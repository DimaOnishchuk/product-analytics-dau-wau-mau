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https://d.docs.live.net/ddaef2df5fe404a5/Desktop/"/>
    </mc:Choice>
  </mc:AlternateContent>
  <xr:revisionPtr revIDLastSave="0" documentId="8_{AD5CDD99-0607-4B12-86E5-D6C2BB91025E}" xr6:coauthVersionLast="47" xr6:coauthVersionMax="47" xr10:uidLastSave="{00000000-0000-0000-0000-000000000000}"/>
  <bookViews>
    <workbookView xWindow="-23148" yWindow="1452" windowWidth="23256" windowHeight="12456" xr2:uid="{00000000-000D-0000-FFFF-FFFF00000000}"/>
  </bookViews>
  <sheets>
    <sheet name="onboarding_funnel_dataset" sheetId="1" r:id="rId1"/>
    <sheet name="purchases" sheetId="2" r:id="rId2"/>
    <sheet name="dau" sheetId="3" r:id="rId3"/>
    <sheet name="wau" sheetId="4" r:id="rId4"/>
    <sheet name="mau" sheetId="5" r:id="rId5"/>
    <sheet name="questions" sheetId="6" r:id="rId6"/>
  </sheets>
  <calcPr calcId="191029"/>
  <fileRecoveryPr repairLoad="1"/>
</workbook>
</file>

<file path=xl/calcChain.xml><?xml version="1.0" encoding="utf-8"?>
<calcChain xmlns="http://schemas.openxmlformats.org/spreadsheetml/2006/main">
  <c r="B8" i="5" l="1"/>
  <c r="B7" i="5"/>
  <c r="B6" i="5"/>
  <c r="B5" i="5"/>
  <c r="B4" i="5"/>
  <c r="B3" i="5"/>
  <c r="B2" i="5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C2001" i="2"/>
  <c r="B2001" i="2"/>
  <c r="D2001" i="2" s="1"/>
  <c r="E2001" i="2" s="1"/>
  <c r="A2001" i="2"/>
  <c r="C2000" i="2"/>
  <c r="B2000" i="2"/>
  <c r="D2000" i="2" s="1"/>
  <c r="A2000" i="2"/>
  <c r="D1999" i="2"/>
  <c r="C1999" i="2"/>
  <c r="B1999" i="2"/>
  <c r="A1999" i="2"/>
  <c r="C1998" i="2"/>
  <c r="B1998" i="2"/>
  <c r="D1998" i="2" s="1"/>
  <c r="A1998" i="2"/>
  <c r="C1997" i="2"/>
  <c r="B1997" i="2"/>
  <c r="D1997" i="2" s="1"/>
  <c r="E1997" i="2" s="1"/>
  <c r="A1997" i="2"/>
  <c r="C1996" i="2"/>
  <c r="B1996" i="2"/>
  <c r="D1996" i="2" s="1"/>
  <c r="A1996" i="2"/>
  <c r="C1995" i="2"/>
  <c r="B1995" i="2"/>
  <c r="D1995" i="2" s="1"/>
  <c r="A1995" i="2"/>
  <c r="C1994" i="2"/>
  <c r="B1994" i="2"/>
  <c r="D1994" i="2" s="1"/>
  <c r="E1994" i="2" s="1"/>
  <c r="A1994" i="2"/>
  <c r="C1993" i="2"/>
  <c r="B1993" i="2"/>
  <c r="D1993" i="2" s="1"/>
  <c r="A1993" i="2"/>
  <c r="C1992" i="2"/>
  <c r="B1992" i="2"/>
  <c r="D1992" i="2" s="1"/>
  <c r="A1992" i="2"/>
  <c r="C1991" i="2"/>
  <c r="B1991" i="2"/>
  <c r="D1991" i="2" s="1"/>
  <c r="A1991" i="2"/>
  <c r="C1990" i="2"/>
  <c r="B1990" i="2"/>
  <c r="D1990" i="2" s="1"/>
  <c r="A1990" i="2"/>
  <c r="C1989" i="2"/>
  <c r="B1989" i="2"/>
  <c r="D1989" i="2" s="1"/>
  <c r="E1989" i="2" s="1"/>
  <c r="A1989" i="2"/>
  <c r="C1988" i="2"/>
  <c r="B1988" i="2"/>
  <c r="D1988" i="2" s="1"/>
  <c r="A1988" i="2"/>
  <c r="C1987" i="2"/>
  <c r="B1987" i="2"/>
  <c r="D1987" i="2" s="1"/>
  <c r="E1987" i="2" s="1"/>
  <c r="A1987" i="2"/>
  <c r="C1986" i="2"/>
  <c r="B1986" i="2"/>
  <c r="D1986" i="2" s="1"/>
  <c r="E1986" i="2" s="1"/>
  <c r="A1986" i="2"/>
  <c r="C1985" i="2"/>
  <c r="B1985" i="2"/>
  <c r="D1985" i="2" s="1"/>
  <c r="A1985" i="2"/>
  <c r="C1984" i="2"/>
  <c r="B1984" i="2"/>
  <c r="D1984" i="2" s="1"/>
  <c r="A1984" i="2"/>
  <c r="C1983" i="2"/>
  <c r="B1983" i="2"/>
  <c r="D1983" i="2" s="1"/>
  <c r="A1983" i="2"/>
  <c r="C1982" i="2"/>
  <c r="B1982" i="2"/>
  <c r="D1982" i="2" s="1"/>
  <c r="A1982" i="2"/>
  <c r="C1981" i="2"/>
  <c r="B1981" i="2"/>
  <c r="D1981" i="2" s="1"/>
  <c r="E1981" i="2" s="1"/>
  <c r="A1981" i="2"/>
  <c r="C1980" i="2"/>
  <c r="B1980" i="2"/>
  <c r="D1980" i="2" s="1"/>
  <c r="A1980" i="2"/>
  <c r="C1979" i="2"/>
  <c r="B1979" i="2"/>
  <c r="D1979" i="2" s="1"/>
  <c r="A1979" i="2"/>
  <c r="C1978" i="2"/>
  <c r="B1978" i="2"/>
  <c r="D1978" i="2" s="1"/>
  <c r="E1978" i="2" s="1"/>
  <c r="A1978" i="2"/>
  <c r="C1977" i="2"/>
  <c r="B1977" i="2"/>
  <c r="D1977" i="2" s="1"/>
  <c r="A1977" i="2"/>
  <c r="C1976" i="2"/>
  <c r="B1976" i="2"/>
  <c r="D1976" i="2" s="1"/>
  <c r="A1976" i="2"/>
  <c r="C1975" i="2"/>
  <c r="B1975" i="2"/>
  <c r="D1975" i="2" s="1"/>
  <c r="A1975" i="2"/>
  <c r="C1974" i="2"/>
  <c r="B1974" i="2"/>
  <c r="D1974" i="2" s="1"/>
  <c r="A1974" i="2"/>
  <c r="C1973" i="2"/>
  <c r="B1973" i="2"/>
  <c r="D1973" i="2" s="1"/>
  <c r="E1973" i="2" s="1"/>
  <c r="A1973" i="2"/>
  <c r="C1972" i="2"/>
  <c r="B1972" i="2"/>
  <c r="D1972" i="2" s="1"/>
  <c r="A1972" i="2"/>
  <c r="C1971" i="2"/>
  <c r="B1971" i="2"/>
  <c r="D1971" i="2" s="1"/>
  <c r="A1971" i="2"/>
  <c r="C1970" i="2"/>
  <c r="B1970" i="2"/>
  <c r="D1970" i="2" s="1"/>
  <c r="E1970" i="2" s="1"/>
  <c r="A1970" i="2"/>
  <c r="C1969" i="2"/>
  <c r="B1969" i="2"/>
  <c r="D1969" i="2" s="1"/>
  <c r="E1969" i="2" s="1"/>
  <c r="A1969" i="2"/>
  <c r="C1968" i="2"/>
  <c r="B1968" i="2"/>
  <c r="D1968" i="2" s="1"/>
  <c r="A1968" i="2"/>
  <c r="D1967" i="2"/>
  <c r="C1967" i="2"/>
  <c r="B1967" i="2"/>
  <c r="A1967" i="2"/>
  <c r="C1966" i="2"/>
  <c r="B1966" i="2"/>
  <c r="D1966" i="2" s="1"/>
  <c r="A1966" i="2"/>
  <c r="C1965" i="2"/>
  <c r="B1965" i="2"/>
  <c r="D1965" i="2" s="1"/>
  <c r="E1965" i="2" s="1"/>
  <c r="A1965" i="2"/>
  <c r="C1964" i="2"/>
  <c r="B1964" i="2"/>
  <c r="D1964" i="2" s="1"/>
  <c r="A1964" i="2"/>
  <c r="C1963" i="2"/>
  <c r="B1963" i="2"/>
  <c r="D1963" i="2" s="1"/>
  <c r="A1963" i="2"/>
  <c r="C1962" i="2"/>
  <c r="B1962" i="2"/>
  <c r="D1962" i="2" s="1"/>
  <c r="E1962" i="2" s="1"/>
  <c r="A1962" i="2"/>
  <c r="C1961" i="2"/>
  <c r="B1961" i="2"/>
  <c r="D1961" i="2" s="1"/>
  <c r="A1961" i="2"/>
  <c r="C1960" i="2"/>
  <c r="B1960" i="2"/>
  <c r="D1960" i="2" s="1"/>
  <c r="A1960" i="2"/>
  <c r="C1959" i="2"/>
  <c r="B1959" i="2"/>
  <c r="D1959" i="2" s="1"/>
  <c r="A1959" i="2"/>
  <c r="C1958" i="2"/>
  <c r="B1958" i="2"/>
  <c r="D1958" i="2" s="1"/>
  <c r="A1958" i="2"/>
  <c r="C1957" i="2"/>
  <c r="B1957" i="2"/>
  <c r="D1957" i="2" s="1"/>
  <c r="E1957" i="2" s="1"/>
  <c r="A1957" i="2"/>
  <c r="C1956" i="2"/>
  <c r="B1956" i="2"/>
  <c r="D1956" i="2" s="1"/>
  <c r="A1956" i="2"/>
  <c r="C1955" i="2"/>
  <c r="B1955" i="2"/>
  <c r="D1955" i="2" s="1"/>
  <c r="E1955" i="2" s="1"/>
  <c r="A1955" i="2"/>
  <c r="C1954" i="2"/>
  <c r="B1954" i="2"/>
  <c r="D1954" i="2" s="1"/>
  <c r="E1954" i="2" s="1"/>
  <c r="A1954" i="2"/>
  <c r="C1953" i="2"/>
  <c r="B1953" i="2"/>
  <c r="D1953" i="2" s="1"/>
  <c r="A1953" i="2"/>
  <c r="C1952" i="2"/>
  <c r="B1952" i="2"/>
  <c r="D1952" i="2" s="1"/>
  <c r="A1952" i="2"/>
  <c r="C1951" i="2"/>
  <c r="B1951" i="2"/>
  <c r="D1951" i="2" s="1"/>
  <c r="A1951" i="2"/>
  <c r="C1950" i="2"/>
  <c r="B1950" i="2"/>
  <c r="D1950" i="2" s="1"/>
  <c r="A1950" i="2"/>
  <c r="C1949" i="2"/>
  <c r="B1949" i="2"/>
  <c r="D1949" i="2" s="1"/>
  <c r="E1949" i="2" s="1"/>
  <c r="A1949" i="2"/>
  <c r="C1948" i="2"/>
  <c r="B1948" i="2"/>
  <c r="D1948" i="2" s="1"/>
  <c r="A1948" i="2"/>
  <c r="C1947" i="2"/>
  <c r="B1947" i="2"/>
  <c r="D1947" i="2" s="1"/>
  <c r="A1947" i="2"/>
  <c r="C1946" i="2"/>
  <c r="B1946" i="2"/>
  <c r="D1946" i="2" s="1"/>
  <c r="E1946" i="2" s="1"/>
  <c r="A1946" i="2"/>
  <c r="C1945" i="2"/>
  <c r="B1945" i="2"/>
  <c r="D1945" i="2" s="1"/>
  <c r="A1945" i="2"/>
  <c r="C1944" i="2"/>
  <c r="B1944" i="2"/>
  <c r="D1944" i="2" s="1"/>
  <c r="A1944" i="2"/>
  <c r="C1943" i="2"/>
  <c r="B1943" i="2"/>
  <c r="D1943" i="2" s="1"/>
  <c r="A1943" i="2"/>
  <c r="C1942" i="2"/>
  <c r="B1942" i="2"/>
  <c r="D1942" i="2" s="1"/>
  <c r="A1942" i="2"/>
  <c r="C1941" i="2"/>
  <c r="B1941" i="2"/>
  <c r="D1941" i="2" s="1"/>
  <c r="E1941" i="2" s="1"/>
  <c r="A1941" i="2"/>
  <c r="C1940" i="2"/>
  <c r="B1940" i="2"/>
  <c r="D1940" i="2" s="1"/>
  <c r="A1940" i="2"/>
  <c r="C1939" i="2"/>
  <c r="B1939" i="2"/>
  <c r="D1939" i="2" s="1"/>
  <c r="A1939" i="2"/>
  <c r="C1938" i="2"/>
  <c r="B1938" i="2"/>
  <c r="D1938" i="2" s="1"/>
  <c r="E1938" i="2" s="1"/>
  <c r="A1938" i="2"/>
  <c r="C1937" i="2"/>
  <c r="B1937" i="2"/>
  <c r="D1937" i="2" s="1"/>
  <c r="E1937" i="2" s="1"/>
  <c r="A1937" i="2"/>
  <c r="C1936" i="2"/>
  <c r="B1936" i="2"/>
  <c r="D1936" i="2" s="1"/>
  <c r="A1936" i="2"/>
  <c r="C1935" i="2"/>
  <c r="B1935" i="2"/>
  <c r="D1935" i="2" s="1"/>
  <c r="A1935" i="2"/>
  <c r="C1934" i="2"/>
  <c r="B1934" i="2"/>
  <c r="D1934" i="2" s="1"/>
  <c r="A1934" i="2"/>
  <c r="C1933" i="2"/>
  <c r="B1933" i="2"/>
  <c r="D1933" i="2" s="1"/>
  <c r="E1933" i="2" s="1"/>
  <c r="A1933" i="2"/>
  <c r="C1932" i="2"/>
  <c r="B1932" i="2"/>
  <c r="D1932" i="2" s="1"/>
  <c r="A1932" i="2"/>
  <c r="C1931" i="2"/>
  <c r="B1931" i="2"/>
  <c r="D1931" i="2" s="1"/>
  <c r="A1931" i="2"/>
  <c r="C1930" i="2"/>
  <c r="B1930" i="2"/>
  <c r="D1930" i="2" s="1"/>
  <c r="A1930" i="2"/>
  <c r="C1929" i="2"/>
  <c r="B1929" i="2"/>
  <c r="D1929" i="2" s="1"/>
  <c r="A1929" i="2"/>
  <c r="C1928" i="2"/>
  <c r="B1928" i="2"/>
  <c r="D1928" i="2" s="1"/>
  <c r="A1928" i="2"/>
  <c r="C1927" i="2"/>
  <c r="B1927" i="2"/>
  <c r="D1927" i="2" s="1"/>
  <c r="E1927" i="2" s="1"/>
  <c r="A1927" i="2"/>
  <c r="C1926" i="2"/>
  <c r="B1926" i="2"/>
  <c r="D1926" i="2" s="1"/>
  <c r="F1926" i="2" s="1"/>
  <c r="A1926" i="2"/>
  <c r="C1925" i="2"/>
  <c r="B1925" i="2"/>
  <c r="D1925" i="2" s="1"/>
  <c r="E1925" i="2" s="1"/>
  <c r="A1925" i="2"/>
  <c r="C1924" i="2"/>
  <c r="B1924" i="2"/>
  <c r="D1924" i="2" s="1"/>
  <c r="A1924" i="2"/>
  <c r="C1923" i="2"/>
  <c r="B1923" i="2"/>
  <c r="D1923" i="2" s="1"/>
  <c r="E1923" i="2" s="1"/>
  <c r="A1923" i="2"/>
  <c r="C1922" i="2"/>
  <c r="B1922" i="2"/>
  <c r="D1922" i="2" s="1"/>
  <c r="A1922" i="2"/>
  <c r="C1921" i="2"/>
  <c r="B1921" i="2"/>
  <c r="D1921" i="2" s="1"/>
  <c r="A1921" i="2"/>
  <c r="C1920" i="2"/>
  <c r="B1920" i="2"/>
  <c r="D1920" i="2" s="1"/>
  <c r="A1920" i="2"/>
  <c r="C1919" i="2"/>
  <c r="B1919" i="2"/>
  <c r="D1919" i="2" s="1"/>
  <c r="E1919" i="2" s="1"/>
  <c r="A1919" i="2"/>
  <c r="C1918" i="2"/>
  <c r="B1918" i="2"/>
  <c r="D1918" i="2" s="1"/>
  <c r="F1918" i="2" s="1"/>
  <c r="A1918" i="2"/>
  <c r="C1917" i="2"/>
  <c r="B1917" i="2"/>
  <c r="D1917" i="2" s="1"/>
  <c r="A1917" i="2"/>
  <c r="C1916" i="2"/>
  <c r="B1916" i="2"/>
  <c r="D1916" i="2" s="1"/>
  <c r="E1916" i="2" s="1"/>
  <c r="A1916" i="2"/>
  <c r="C1915" i="2"/>
  <c r="B1915" i="2"/>
  <c r="D1915" i="2" s="1"/>
  <c r="A1915" i="2"/>
  <c r="C1914" i="2"/>
  <c r="B1914" i="2"/>
  <c r="D1914" i="2" s="1"/>
  <c r="F1914" i="2" s="1"/>
  <c r="A1914" i="2"/>
  <c r="C1913" i="2"/>
  <c r="B1913" i="2"/>
  <c r="D1913" i="2" s="1"/>
  <c r="A1913" i="2"/>
  <c r="C1912" i="2"/>
  <c r="B1912" i="2"/>
  <c r="D1912" i="2" s="1"/>
  <c r="F1912" i="2" s="1"/>
  <c r="A1912" i="2"/>
  <c r="C1911" i="2"/>
  <c r="B1911" i="2"/>
  <c r="D1911" i="2" s="1"/>
  <c r="E1911" i="2" s="1"/>
  <c r="A1911" i="2"/>
  <c r="C1910" i="2"/>
  <c r="B1910" i="2"/>
  <c r="D1910" i="2" s="1"/>
  <c r="A1910" i="2"/>
  <c r="C1909" i="2"/>
  <c r="B1909" i="2"/>
  <c r="D1909" i="2" s="1"/>
  <c r="A1909" i="2"/>
  <c r="C1908" i="2"/>
  <c r="B1908" i="2"/>
  <c r="D1908" i="2" s="1"/>
  <c r="A1908" i="2"/>
  <c r="C1907" i="2"/>
  <c r="B1907" i="2"/>
  <c r="D1907" i="2" s="1"/>
  <c r="E1907" i="2" s="1"/>
  <c r="A1907" i="2"/>
  <c r="C1906" i="2"/>
  <c r="B1906" i="2"/>
  <c r="D1906" i="2" s="1"/>
  <c r="A1906" i="2"/>
  <c r="C1905" i="2"/>
  <c r="B1905" i="2"/>
  <c r="D1905" i="2" s="1"/>
  <c r="A1905" i="2"/>
  <c r="C1904" i="2"/>
  <c r="B1904" i="2"/>
  <c r="D1904" i="2" s="1"/>
  <c r="A1904" i="2"/>
  <c r="C1903" i="2"/>
  <c r="B1903" i="2"/>
  <c r="D1903" i="2" s="1"/>
  <c r="A1903" i="2"/>
  <c r="C1902" i="2"/>
  <c r="B1902" i="2"/>
  <c r="D1902" i="2" s="1"/>
  <c r="F1902" i="2" s="1"/>
  <c r="A1902" i="2"/>
  <c r="C1901" i="2"/>
  <c r="B1901" i="2"/>
  <c r="D1901" i="2" s="1"/>
  <c r="A1901" i="2"/>
  <c r="C1900" i="2"/>
  <c r="B1900" i="2"/>
  <c r="D1900" i="2" s="1"/>
  <c r="A1900" i="2"/>
  <c r="C1899" i="2"/>
  <c r="B1899" i="2"/>
  <c r="D1899" i="2" s="1"/>
  <c r="A1899" i="2"/>
  <c r="C1898" i="2"/>
  <c r="B1898" i="2"/>
  <c r="D1898" i="2" s="1"/>
  <c r="F1898" i="2" s="1"/>
  <c r="A1898" i="2"/>
  <c r="C1897" i="2"/>
  <c r="B1897" i="2"/>
  <c r="D1897" i="2" s="1"/>
  <c r="A1897" i="2"/>
  <c r="C1896" i="2"/>
  <c r="B1896" i="2"/>
  <c r="D1896" i="2" s="1"/>
  <c r="A1896" i="2"/>
  <c r="C1895" i="2"/>
  <c r="B1895" i="2"/>
  <c r="D1895" i="2" s="1"/>
  <c r="E1895" i="2" s="1"/>
  <c r="A1895" i="2"/>
  <c r="C1894" i="2"/>
  <c r="B1894" i="2"/>
  <c r="D1894" i="2" s="1"/>
  <c r="A1894" i="2"/>
  <c r="C1893" i="2"/>
  <c r="B1893" i="2"/>
  <c r="D1893" i="2" s="1"/>
  <c r="E1893" i="2" s="1"/>
  <c r="A1893" i="2"/>
  <c r="C1892" i="2"/>
  <c r="B1892" i="2"/>
  <c r="D1892" i="2" s="1"/>
  <c r="A1892" i="2"/>
  <c r="C1891" i="2"/>
  <c r="B1891" i="2"/>
  <c r="D1891" i="2" s="1"/>
  <c r="E1891" i="2" s="1"/>
  <c r="A1891" i="2"/>
  <c r="C1890" i="2"/>
  <c r="B1890" i="2"/>
  <c r="D1890" i="2" s="1"/>
  <c r="A1890" i="2"/>
  <c r="C1889" i="2"/>
  <c r="B1889" i="2"/>
  <c r="D1889" i="2" s="1"/>
  <c r="A1889" i="2"/>
  <c r="C1888" i="2"/>
  <c r="B1888" i="2"/>
  <c r="D1888" i="2" s="1"/>
  <c r="A1888" i="2"/>
  <c r="C1887" i="2"/>
  <c r="B1887" i="2"/>
  <c r="D1887" i="2" s="1"/>
  <c r="E1887" i="2" s="1"/>
  <c r="A1887" i="2"/>
  <c r="C1886" i="2"/>
  <c r="B1886" i="2"/>
  <c r="D1886" i="2" s="1"/>
  <c r="F1886" i="2" s="1"/>
  <c r="A1886" i="2"/>
  <c r="C1885" i="2"/>
  <c r="B1885" i="2"/>
  <c r="D1885" i="2" s="1"/>
  <c r="A1885" i="2"/>
  <c r="C1884" i="2"/>
  <c r="B1884" i="2"/>
  <c r="D1884" i="2" s="1"/>
  <c r="E1884" i="2" s="1"/>
  <c r="A1884" i="2"/>
  <c r="C1883" i="2"/>
  <c r="B1883" i="2"/>
  <c r="D1883" i="2" s="1"/>
  <c r="A1883" i="2"/>
  <c r="C1882" i="2"/>
  <c r="B1882" i="2"/>
  <c r="D1882" i="2" s="1"/>
  <c r="A1882" i="2"/>
  <c r="C1881" i="2"/>
  <c r="B1881" i="2"/>
  <c r="D1881" i="2" s="1"/>
  <c r="A1881" i="2"/>
  <c r="C1880" i="2"/>
  <c r="B1880" i="2"/>
  <c r="D1880" i="2" s="1"/>
  <c r="A1880" i="2"/>
  <c r="C1879" i="2"/>
  <c r="B1879" i="2"/>
  <c r="D1879" i="2" s="1"/>
  <c r="E1879" i="2" s="1"/>
  <c r="A1879" i="2"/>
  <c r="C1878" i="2"/>
  <c r="B1878" i="2"/>
  <c r="D1878" i="2" s="1"/>
  <c r="F1878" i="2" s="1"/>
  <c r="A1878" i="2"/>
  <c r="C1877" i="2"/>
  <c r="B1877" i="2"/>
  <c r="D1877" i="2" s="1"/>
  <c r="A1877" i="2"/>
  <c r="C1876" i="2"/>
  <c r="B1876" i="2"/>
  <c r="D1876" i="2" s="1"/>
  <c r="E1876" i="2" s="1"/>
  <c r="A1876" i="2"/>
  <c r="C1875" i="2"/>
  <c r="B1875" i="2"/>
  <c r="D1875" i="2" s="1"/>
  <c r="A1875" i="2"/>
  <c r="C1874" i="2"/>
  <c r="B1874" i="2"/>
  <c r="D1874" i="2" s="1"/>
  <c r="A1874" i="2"/>
  <c r="C1873" i="2"/>
  <c r="B1873" i="2"/>
  <c r="D1873" i="2" s="1"/>
  <c r="A1873" i="2"/>
  <c r="C1872" i="2"/>
  <c r="B1872" i="2"/>
  <c r="D1872" i="2" s="1"/>
  <c r="F1872" i="2" s="1"/>
  <c r="A1872" i="2"/>
  <c r="C1871" i="2"/>
  <c r="B1871" i="2"/>
  <c r="D1871" i="2" s="1"/>
  <c r="A1871" i="2"/>
  <c r="C1870" i="2"/>
  <c r="B1870" i="2"/>
  <c r="D1870" i="2" s="1"/>
  <c r="A1870" i="2"/>
  <c r="C1869" i="2"/>
  <c r="B1869" i="2"/>
  <c r="D1869" i="2" s="1"/>
  <c r="E1869" i="2" s="1"/>
  <c r="A1869" i="2"/>
  <c r="C1868" i="2"/>
  <c r="B1868" i="2"/>
  <c r="D1868" i="2" s="1"/>
  <c r="A1868" i="2"/>
  <c r="C1867" i="2"/>
  <c r="B1867" i="2"/>
  <c r="D1867" i="2" s="1"/>
  <c r="A1867" i="2"/>
  <c r="C1866" i="2"/>
  <c r="B1866" i="2"/>
  <c r="D1866" i="2" s="1"/>
  <c r="F1866" i="2" s="1"/>
  <c r="A1866" i="2"/>
  <c r="C1865" i="2"/>
  <c r="B1865" i="2"/>
  <c r="D1865" i="2" s="1"/>
  <c r="A1865" i="2"/>
  <c r="C1864" i="2"/>
  <c r="B1864" i="2"/>
  <c r="D1864" i="2" s="1"/>
  <c r="E1864" i="2" s="1"/>
  <c r="A1864" i="2"/>
  <c r="C1863" i="2"/>
  <c r="B1863" i="2"/>
  <c r="D1863" i="2" s="1"/>
  <c r="A1863" i="2"/>
  <c r="C1862" i="2"/>
  <c r="B1862" i="2"/>
  <c r="D1862" i="2" s="1"/>
  <c r="A1862" i="2"/>
  <c r="C1861" i="2"/>
  <c r="B1861" i="2"/>
  <c r="D1861" i="2" s="1"/>
  <c r="A1861" i="2"/>
  <c r="C1860" i="2"/>
  <c r="B1860" i="2"/>
  <c r="D1860" i="2" s="1"/>
  <c r="E1860" i="2" s="1"/>
  <c r="A1860" i="2"/>
  <c r="C1859" i="2"/>
  <c r="B1859" i="2"/>
  <c r="D1859" i="2" s="1"/>
  <c r="E1859" i="2" s="1"/>
  <c r="A1859" i="2"/>
  <c r="C1858" i="2"/>
  <c r="B1858" i="2"/>
  <c r="D1858" i="2" s="1"/>
  <c r="F1858" i="2" s="1"/>
  <c r="A1858" i="2"/>
  <c r="C1857" i="2"/>
  <c r="B1857" i="2"/>
  <c r="D1857" i="2" s="1"/>
  <c r="A1857" i="2"/>
  <c r="C1856" i="2"/>
  <c r="B1856" i="2"/>
  <c r="D1856" i="2" s="1"/>
  <c r="F1856" i="2" s="1"/>
  <c r="A1856" i="2"/>
  <c r="C1855" i="2"/>
  <c r="B1855" i="2"/>
  <c r="D1855" i="2" s="1"/>
  <c r="E1855" i="2" s="1"/>
  <c r="A1855" i="2"/>
  <c r="C1854" i="2"/>
  <c r="B1854" i="2"/>
  <c r="D1854" i="2" s="1"/>
  <c r="A1854" i="2"/>
  <c r="C1853" i="2"/>
  <c r="B1853" i="2"/>
  <c r="D1853" i="2" s="1"/>
  <c r="E1853" i="2" s="1"/>
  <c r="A1853" i="2"/>
  <c r="C1852" i="2"/>
  <c r="B1852" i="2"/>
  <c r="D1852" i="2" s="1"/>
  <c r="A1852" i="2"/>
  <c r="C1851" i="2"/>
  <c r="B1851" i="2"/>
  <c r="D1851" i="2" s="1"/>
  <c r="A1851" i="2"/>
  <c r="C1850" i="2"/>
  <c r="B1850" i="2"/>
  <c r="D1850" i="2" s="1"/>
  <c r="A1850" i="2"/>
  <c r="C1849" i="2"/>
  <c r="B1849" i="2"/>
  <c r="D1849" i="2" s="1"/>
  <c r="E1849" i="2" s="1"/>
  <c r="A1849" i="2"/>
  <c r="C1848" i="2"/>
  <c r="B1848" i="2"/>
  <c r="D1848" i="2" s="1"/>
  <c r="A1848" i="2"/>
  <c r="C1847" i="2"/>
  <c r="B1847" i="2"/>
  <c r="D1847" i="2" s="1"/>
  <c r="A1847" i="2"/>
  <c r="C1846" i="2"/>
  <c r="B1846" i="2"/>
  <c r="D1846" i="2" s="1"/>
  <c r="A1846" i="2"/>
  <c r="C1845" i="2"/>
  <c r="B1845" i="2"/>
  <c r="D1845" i="2" s="1"/>
  <c r="E1845" i="2" s="1"/>
  <c r="A1845" i="2"/>
  <c r="C1844" i="2"/>
  <c r="B1844" i="2"/>
  <c r="D1844" i="2" s="1"/>
  <c r="A1844" i="2"/>
  <c r="C1843" i="2"/>
  <c r="B1843" i="2"/>
  <c r="D1843" i="2" s="1"/>
  <c r="A1843" i="2"/>
  <c r="C1842" i="2"/>
  <c r="B1842" i="2"/>
  <c r="D1842" i="2" s="1"/>
  <c r="A1842" i="2"/>
  <c r="C1841" i="2"/>
  <c r="B1841" i="2"/>
  <c r="D1841" i="2" s="1"/>
  <c r="E1841" i="2" s="1"/>
  <c r="A1841" i="2"/>
  <c r="C1840" i="2"/>
  <c r="B1840" i="2"/>
  <c r="D1840" i="2" s="1"/>
  <c r="A1840" i="2"/>
  <c r="C1839" i="2"/>
  <c r="B1839" i="2"/>
  <c r="D1839" i="2" s="1"/>
  <c r="A1839" i="2"/>
  <c r="C1838" i="2"/>
  <c r="B1838" i="2"/>
  <c r="D1838" i="2" s="1"/>
  <c r="A1838" i="2"/>
  <c r="C1837" i="2"/>
  <c r="B1837" i="2"/>
  <c r="D1837" i="2" s="1"/>
  <c r="E1837" i="2" s="1"/>
  <c r="A1837" i="2"/>
  <c r="C1836" i="2"/>
  <c r="B1836" i="2"/>
  <c r="D1836" i="2" s="1"/>
  <c r="A1836" i="2"/>
  <c r="C1835" i="2"/>
  <c r="B1835" i="2"/>
  <c r="D1835" i="2" s="1"/>
  <c r="A1835" i="2"/>
  <c r="C1834" i="2"/>
  <c r="B1834" i="2"/>
  <c r="D1834" i="2" s="1"/>
  <c r="A1834" i="2"/>
  <c r="C1833" i="2"/>
  <c r="B1833" i="2"/>
  <c r="D1833" i="2" s="1"/>
  <c r="E1833" i="2" s="1"/>
  <c r="A1833" i="2"/>
  <c r="C1832" i="2"/>
  <c r="B1832" i="2"/>
  <c r="D1832" i="2" s="1"/>
  <c r="A1832" i="2"/>
  <c r="C1831" i="2"/>
  <c r="B1831" i="2"/>
  <c r="D1831" i="2" s="1"/>
  <c r="A1831" i="2"/>
  <c r="C1830" i="2"/>
  <c r="B1830" i="2"/>
  <c r="D1830" i="2" s="1"/>
  <c r="A1830" i="2"/>
  <c r="C1829" i="2"/>
  <c r="B1829" i="2"/>
  <c r="D1829" i="2" s="1"/>
  <c r="E1829" i="2" s="1"/>
  <c r="A1829" i="2"/>
  <c r="C1828" i="2"/>
  <c r="B1828" i="2"/>
  <c r="D1828" i="2" s="1"/>
  <c r="A1828" i="2"/>
  <c r="C1827" i="2"/>
  <c r="B1827" i="2"/>
  <c r="D1827" i="2" s="1"/>
  <c r="A1827" i="2"/>
  <c r="C1826" i="2"/>
  <c r="B1826" i="2"/>
  <c r="D1826" i="2" s="1"/>
  <c r="A1826" i="2"/>
  <c r="C1825" i="2"/>
  <c r="B1825" i="2"/>
  <c r="D1825" i="2" s="1"/>
  <c r="E1825" i="2" s="1"/>
  <c r="A1825" i="2"/>
  <c r="C1824" i="2"/>
  <c r="B1824" i="2"/>
  <c r="D1824" i="2" s="1"/>
  <c r="A1824" i="2"/>
  <c r="C1823" i="2"/>
  <c r="B1823" i="2"/>
  <c r="D1823" i="2" s="1"/>
  <c r="A1823" i="2"/>
  <c r="C1822" i="2"/>
  <c r="B1822" i="2"/>
  <c r="D1822" i="2" s="1"/>
  <c r="A1822" i="2"/>
  <c r="C1821" i="2"/>
  <c r="B1821" i="2"/>
  <c r="D1821" i="2" s="1"/>
  <c r="E1821" i="2" s="1"/>
  <c r="A1821" i="2"/>
  <c r="C1820" i="2"/>
  <c r="B1820" i="2"/>
  <c r="D1820" i="2" s="1"/>
  <c r="A1820" i="2"/>
  <c r="C1819" i="2"/>
  <c r="B1819" i="2"/>
  <c r="D1819" i="2" s="1"/>
  <c r="A1819" i="2"/>
  <c r="C1818" i="2"/>
  <c r="B1818" i="2"/>
  <c r="D1818" i="2" s="1"/>
  <c r="A1818" i="2"/>
  <c r="C1817" i="2"/>
  <c r="B1817" i="2"/>
  <c r="D1817" i="2" s="1"/>
  <c r="E1817" i="2" s="1"/>
  <c r="A1817" i="2"/>
  <c r="C1816" i="2"/>
  <c r="B1816" i="2"/>
  <c r="D1816" i="2" s="1"/>
  <c r="A1816" i="2"/>
  <c r="C1815" i="2"/>
  <c r="B1815" i="2"/>
  <c r="D1815" i="2" s="1"/>
  <c r="A1815" i="2"/>
  <c r="C1814" i="2"/>
  <c r="B1814" i="2"/>
  <c r="D1814" i="2" s="1"/>
  <c r="A1814" i="2"/>
  <c r="C1813" i="2"/>
  <c r="B1813" i="2"/>
  <c r="D1813" i="2" s="1"/>
  <c r="E1813" i="2" s="1"/>
  <c r="A1813" i="2"/>
  <c r="C1812" i="2"/>
  <c r="B1812" i="2"/>
  <c r="D1812" i="2" s="1"/>
  <c r="A1812" i="2"/>
  <c r="C1811" i="2"/>
  <c r="B1811" i="2"/>
  <c r="D1811" i="2" s="1"/>
  <c r="A1811" i="2"/>
  <c r="C1810" i="2"/>
  <c r="B1810" i="2"/>
  <c r="D1810" i="2" s="1"/>
  <c r="A1810" i="2"/>
  <c r="C1809" i="2"/>
  <c r="B1809" i="2"/>
  <c r="D1809" i="2" s="1"/>
  <c r="E1809" i="2" s="1"/>
  <c r="A1809" i="2"/>
  <c r="C1808" i="2"/>
  <c r="B1808" i="2"/>
  <c r="D1808" i="2" s="1"/>
  <c r="A1808" i="2"/>
  <c r="C1807" i="2"/>
  <c r="B1807" i="2"/>
  <c r="D1807" i="2" s="1"/>
  <c r="A1807" i="2"/>
  <c r="C1806" i="2"/>
  <c r="B1806" i="2"/>
  <c r="D1806" i="2" s="1"/>
  <c r="A1806" i="2"/>
  <c r="C1805" i="2"/>
  <c r="B1805" i="2"/>
  <c r="D1805" i="2" s="1"/>
  <c r="E1805" i="2" s="1"/>
  <c r="A1805" i="2"/>
  <c r="C1804" i="2"/>
  <c r="B1804" i="2"/>
  <c r="D1804" i="2" s="1"/>
  <c r="A1804" i="2"/>
  <c r="C1803" i="2"/>
  <c r="B1803" i="2"/>
  <c r="D1803" i="2" s="1"/>
  <c r="A1803" i="2"/>
  <c r="C1802" i="2"/>
  <c r="B1802" i="2"/>
  <c r="D1802" i="2" s="1"/>
  <c r="A1802" i="2"/>
  <c r="C1801" i="2"/>
  <c r="B1801" i="2"/>
  <c r="D1801" i="2" s="1"/>
  <c r="E1801" i="2" s="1"/>
  <c r="A1801" i="2"/>
  <c r="C1800" i="2"/>
  <c r="B1800" i="2"/>
  <c r="D1800" i="2" s="1"/>
  <c r="E1800" i="2" s="1"/>
  <c r="A1800" i="2"/>
  <c r="C1799" i="2"/>
  <c r="B1799" i="2"/>
  <c r="D1799" i="2" s="1"/>
  <c r="A1799" i="2"/>
  <c r="C1798" i="2"/>
  <c r="B1798" i="2"/>
  <c r="D1798" i="2" s="1"/>
  <c r="A1798" i="2"/>
  <c r="C1797" i="2"/>
  <c r="B1797" i="2"/>
  <c r="D1797" i="2" s="1"/>
  <c r="E1797" i="2" s="1"/>
  <c r="A1797" i="2"/>
  <c r="C1796" i="2"/>
  <c r="B1796" i="2"/>
  <c r="D1796" i="2" s="1"/>
  <c r="A1796" i="2"/>
  <c r="C1795" i="2"/>
  <c r="B1795" i="2"/>
  <c r="D1795" i="2" s="1"/>
  <c r="A1795" i="2"/>
  <c r="C1794" i="2"/>
  <c r="B1794" i="2"/>
  <c r="D1794" i="2" s="1"/>
  <c r="A1794" i="2"/>
  <c r="C1793" i="2"/>
  <c r="B1793" i="2"/>
  <c r="D1793" i="2" s="1"/>
  <c r="E1793" i="2" s="1"/>
  <c r="A1793" i="2"/>
  <c r="C1792" i="2"/>
  <c r="B1792" i="2"/>
  <c r="D1792" i="2" s="1"/>
  <c r="A1792" i="2"/>
  <c r="C1791" i="2"/>
  <c r="B1791" i="2"/>
  <c r="D1791" i="2" s="1"/>
  <c r="A1791" i="2"/>
  <c r="C1790" i="2"/>
  <c r="B1790" i="2"/>
  <c r="D1790" i="2" s="1"/>
  <c r="A1790" i="2"/>
  <c r="C1789" i="2"/>
  <c r="B1789" i="2"/>
  <c r="D1789" i="2" s="1"/>
  <c r="E1789" i="2" s="1"/>
  <c r="A1789" i="2"/>
  <c r="C1788" i="2"/>
  <c r="B1788" i="2"/>
  <c r="D1788" i="2" s="1"/>
  <c r="A1788" i="2"/>
  <c r="C1787" i="2"/>
  <c r="B1787" i="2"/>
  <c r="D1787" i="2" s="1"/>
  <c r="A1787" i="2"/>
  <c r="C1786" i="2"/>
  <c r="B1786" i="2"/>
  <c r="D1786" i="2" s="1"/>
  <c r="A1786" i="2"/>
  <c r="C1785" i="2"/>
  <c r="B1785" i="2"/>
  <c r="D1785" i="2" s="1"/>
  <c r="E1785" i="2" s="1"/>
  <c r="A1785" i="2"/>
  <c r="C1784" i="2"/>
  <c r="B1784" i="2"/>
  <c r="D1784" i="2" s="1"/>
  <c r="A1784" i="2"/>
  <c r="C1783" i="2"/>
  <c r="B1783" i="2"/>
  <c r="D1783" i="2" s="1"/>
  <c r="A1783" i="2"/>
  <c r="C1782" i="2"/>
  <c r="B1782" i="2"/>
  <c r="D1782" i="2" s="1"/>
  <c r="A1782" i="2"/>
  <c r="C1781" i="2"/>
  <c r="B1781" i="2"/>
  <c r="D1781" i="2" s="1"/>
  <c r="E1781" i="2" s="1"/>
  <c r="A1781" i="2"/>
  <c r="C1780" i="2"/>
  <c r="B1780" i="2"/>
  <c r="D1780" i="2" s="1"/>
  <c r="A1780" i="2"/>
  <c r="C1779" i="2"/>
  <c r="B1779" i="2"/>
  <c r="D1779" i="2" s="1"/>
  <c r="A1779" i="2"/>
  <c r="C1778" i="2"/>
  <c r="B1778" i="2"/>
  <c r="D1778" i="2" s="1"/>
  <c r="A1778" i="2"/>
  <c r="C1777" i="2"/>
  <c r="B1777" i="2"/>
  <c r="D1777" i="2" s="1"/>
  <c r="A1777" i="2"/>
  <c r="C1776" i="2"/>
  <c r="B1776" i="2"/>
  <c r="D1776" i="2" s="1"/>
  <c r="A1776" i="2"/>
  <c r="C1775" i="2"/>
  <c r="B1775" i="2"/>
  <c r="D1775" i="2" s="1"/>
  <c r="E1775" i="2" s="1"/>
  <c r="A1775" i="2"/>
  <c r="C1774" i="2"/>
  <c r="B1774" i="2"/>
  <c r="D1774" i="2" s="1"/>
  <c r="A1774" i="2"/>
  <c r="C1773" i="2"/>
  <c r="B1773" i="2"/>
  <c r="D1773" i="2" s="1"/>
  <c r="A1773" i="2"/>
  <c r="C1772" i="2"/>
  <c r="B1772" i="2"/>
  <c r="D1772" i="2" s="1"/>
  <c r="E1772" i="2" s="1"/>
  <c r="A1772" i="2"/>
  <c r="C1771" i="2"/>
  <c r="B1771" i="2"/>
  <c r="D1771" i="2" s="1"/>
  <c r="A1771" i="2"/>
  <c r="C1770" i="2"/>
  <c r="B1770" i="2"/>
  <c r="D1770" i="2" s="1"/>
  <c r="A1770" i="2"/>
  <c r="C1769" i="2"/>
  <c r="B1769" i="2"/>
  <c r="D1769" i="2" s="1"/>
  <c r="A1769" i="2"/>
  <c r="C1768" i="2"/>
  <c r="B1768" i="2"/>
  <c r="D1768" i="2" s="1"/>
  <c r="A1768" i="2"/>
  <c r="C1767" i="2"/>
  <c r="B1767" i="2"/>
  <c r="D1767" i="2" s="1"/>
  <c r="A1767" i="2"/>
  <c r="C1766" i="2"/>
  <c r="B1766" i="2"/>
  <c r="D1766" i="2" s="1"/>
  <c r="A1766" i="2"/>
  <c r="C1765" i="2"/>
  <c r="B1765" i="2"/>
  <c r="D1765" i="2" s="1"/>
  <c r="A1765" i="2"/>
  <c r="C1764" i="2"/>
  <c r="B1764" i="2"/>
  <c r="D1764" i="2" s="1"/>
  <c r="A1764" i="2"/>
  <c r="C1763" i="2"/>
  <c r="B1763" i="2"/>
  <c r="D1763" i="2" s="1"/>
  <c r="A1763" i="2"/>
  <c r="C1762" i="2"/>
  <c r="B1762" i="2"/>
  <c r="D1762" i="2" s="1"/>
  <c r="A1762" i="2"/>
  <c r="C1761" i="2"/>
  <c r="B1761" i="2"/>
  <c r="D1761" i="2" s="1"/>
  <c r="A1761" i="2"/>
  <c r="C1760" i="2"/>
  <c r="B1760" i="2"/>
  <c r="D1760" i="2" s="1"/>
  <c r="A1760" i="2"/>
  <c r="C1759" i="2"/>
  <c r="B1759" i="2"/>
  <c r="D1759" i="2" s="1"/>
  <c r="A1759" i="2"/>
  <c r="C1758" i="2"/>
  <c r="B1758" i="2"/>
  <c r="D1758" i="2" s="1"/>
  <c r="A1758" i="2"/>
  <c r="C1757" i="2"/>
  <c r="B1757" i="2"/>
  <c r="D1757" i="2" s="1"/>
  <c r="A1757" i="2"/>
  <c r="C1756" i="2"/>
  <c r="B1756" i="2"/>
  <c r="D1756" i="2" s="1"/>
  <c r="A1756" i="2"/>
  <c r="C1755" i="2"/>
  <c r="B1755" i="2"/>
  <c r="D1755" i="2" s="1"/>
  <c r="A1755" i="2"/>
  <c r="C1754" i="2"/>
  <c r="B1754" i="2"/>
  <c r="D1754" i="2" s="1"/>
  <c r="A1754" i="2"/>
  <c r="C1753" i="2"/>
  <c r="B1753" i="2"/>
  <c r="D1753" i="2" s="1"/>
  <c r="A1753" i="2"/>
  <c r="C1752" i="2"/>
  <c r="B1752" i="2"/>
  <c r="D1752" i="2" s="1"/>
  <c r="A1752" i="2"/>
  <c r="C1751" i="2"/>
  <c r="B1751" i="2"/>
  <c r="D1751" i="2" s="1"/>
  <c r="A1751" i="2"/>
  <c r="C1750" i="2"/>
  <c r="B1750" i="2"/>
  <c r="D1750" i="2" s="1"/>
  <c r="A1750" i="2"/>
  <c r="C1749" i="2"/>
  <c r="B1749" i="2"/>
  <c r="D1749" i="2" s="1"/>
  <c r="A1749" i="2"/>
  <c r="C1748" i="2"/>
  <c r="B1748" i="2"/>
  <c r="D1748" i="2" s="1"/>
  <c r="A1748" i="2"/>
  <c r="C1747" i="2"/>
  <c r="B1747" i="2"/>
  <c r="D1747" i="2" s="1"/>
  <c r="A1747" i="2"/>
  <c r="C1746" i="2"/>
  <c r="B1746" i="2"/>
  <c r="D1746" i="2" s="1"/>
  <c r="A1746" i="2"/>
  <c r="C1745" i="2"/>
  <c r="B1745" i="2"/>
  <c r="D1745" i="2" s="1"/>
  <c r="A1745" i="2"/>
  <c r="C1744" i="2"/>
  <c r="B1744" i="2"/>
  <c r="D1744" i="2" s="1"/>
  <c r="A1744" i="2"/>
  <c r="C1743" i="2"/>
  <c r="B1743" i="2"/>
  <c r="D1743" i="2" s="1"/>
  <c r="A1743" i="2"/>
  <c r="C1742" i="2"/>
  <c r="B1742" i="2"/>
  <c r="D1742" i="2" s="1"/>
  <c r="A1742" i="2"/>
  <c r="C1741" i="2"/>
  <c r="B1741" i="2"/>
  <c r="D1741" i="2" s="1"/>
  <c r="A1741" i="2"/>
  <c r="C1740" i="2"/>
  <c r="B1740" i="2"/>
  <c r="D1740" i="2" s="1"/>
  <c r="A1740" i="2"/>
  <c r="C1739" i="2"/>
  <c r="B1739" i="2"/>
  <c r="D1739" i="2" s="1"/>
  <c r="A1739" i="2"/>
  <c r="C1738" i="2"/>
  <c r="B1738" i="2"/>
  <c r="D1738" i="2" s="1"/>
  <c r="A1738" i="2"/>
  <c r="C1737" i="2"/>
  <c r="B1737" i="2"/>
  <c r="D1737" i="2" s="1"/>
  <c r="A1737" i="2"/>
  <c r="C1736" i="2"/>
  <c r="B1736" i="2"/>
  <c r="D1736" i="2" s="1"/>
  <c r="A1736" i="2"/>
  <c r="C1735" i="2"/>
  <c r="B1735" i="2"/>
  <c r="D1735" i="2" s="1"/>
  <c r="A1735" i="2"/>
  <c r="C1734" i="2"/>
  <c r="B1734" i="2"/>
  <c r="D1734" i="2" s="1"/>
  <c r="A1734" i="2"/>
  <c r="C1733" i="2"/>
  <c r="B1733" i="2"/>
  <c r="D1733" i="2" s="1"/>
  <c r="A1733" i="2"/>
  <c r="C1732" i="2"/>
  <c r="B1732" i="2"/>
  <c r="D1732" i="2" s="1"/>
  <c r="A1732" i="2"/>
  <c r="C1731" i="2"/>
  <c r="B1731" i="2"/>
  <c r="D1731" i="2" s="1"/>
  <c r="A1731" i="2"/>
  <c r="C1730" i="2"/>
  <c r="B1730" i="2"/>
  <c r="D1730" i="2" s="1"/>
  <c r="A1730" i="2"/>
  <c r="C1729" i="2"/>
  <c r="B1729" i="2"/>
  <c r="D1729" i="2" s="1"/>
  <c r="A1729" i="2"/>
  <c r="C1728" i="2"/>
  <c r="B1728" i="2"/>
  <c r="D1728" i="2" s="1"/>
  <c r="A1728" i="2"/>
  <c r="C1727" i="2"/>
  <c r="B1727" i="2"/>
  <c r="D1727" i="2" s="1"/>
  <c r="A1727" i="2"/>
  <c r="C1726" i="2"/>
  <c r="B1726" i="2"/>
  <c r="D1726" i="2" s="1"/>
  <c r="A1726" i="2"/>
  <c r="C1725" i="2"/>
  <c r="B1725" i="2"/>
  <c r="D1725" i="2" s="1"/>
  <c r="A1725" i="2"/>
  <c r="C1724" i="2"/>
  <c r="B1724" i="2"/>
  <c r="D1724" i="2" s="1"/>
  <c r="A1724" i="2"/>
  <c r="C1723" i="2"/>
  <c r="B1723" i="2"/>
  <c r="D1723" i="2" s="1"/>
  <c r="A1723" i="2"/>
  <c r="C1722" i="2"/>
  <c r="B1722" i="2"/>
  <c r="D1722" i="2" s="1"/>
  <c r="A1722" i="2"/>
  <c r="C1721" i="2"/>
  <c r="B1721" i="2"/>
  <c r="D1721" i="2" s="1"/>
  <c r="A1721" i="2"/>
  <c r="C1720" i="2"/>
  <c r="B1720" i="2"/>
  <c r="D1720" i="2" s="1"/>
  <c r="A1720" i="2"/>
  <c r="C1719" i="2"/>
  <c r="B1719" i="2"/>
  <c r="D1719" i="2" s="1"/>
  <c r="A1719" i="2"/>
  <c r="C1718" i="2"/>
  <c r="B1718" i="2"/>
  <c r="D1718" i="2" s="1"/>
  <c r="A1718" i="2"/>
  <c r="C1717" i="2"/>
  <c r="B1717" i="2"/>
  <c r="D1717" i="2" s="1"/>
  <c r="A1717" i="2"/>
  <c r="C1716" i="2"/>
  <c r="B1716" i="2"/>
  <c r="D1716" i="2" s="1"/>
  <c r="A1716" i="2"/>
  <c r="C1715" i="2"/>
  <c r="B1715" i="2"/>
  <c r="D1715" i="2" s="1"/>
  <c r="A1715" i="2"/>
  <c r="C1714" i="2"/>
  <c r="B1714" i="2"/>
  <c r="D1714" i="2" s="1"/>
  <c r="A1714" i="2"/>
  <c r="C1713" i="2"/>
  <c r="B1713" i="2"/>
  <c r="D1713" i="2" s="1"/>
  <c r="A1713" i="2"/>
  <c r="C1712" i="2"/>
  <c r="B1712" i="2"/>
  <c r="D1712" i="2" s="1"/>
  <c r="A1712" i="2"/>
  <c r="C1711" i="2"/>
  <c r="B1711" i="2"/>
  <c r="D1711" i="2" s="1"/>
  <c r="A1711" i="2"/>
  <c r="C1710" i="2"/>
  <c r="B1710" i="2"/>
  <c r="D1710" i="2" s="1"/>
  <c r="A1710" i="2"/>
  <c r="C1709" i="2"/>
  <c r="B1709" i="2"/>
  <c r="D1709" i="2" s="1"/>
  <c r="A1709" i="2"/>
  <c r="C1708" i="2"/>
  <c r="B1708" i="2"/>
  <c r="D1708" i="2" s="1"/>
  <c r="A1708" i="2"/>
  <c r="C1707" i="2"/>
  <c r="B1707" i="2"/>
  <c r="D1707" i="2" s="1"/>
  <c r="A1707" i="2"/>
  <c r="C1706" i="2"/>
  <c r="B1706" i="2"/>
  <c r="D1706" i="2" s="1"/>
  <c r="A1706" i="2"/>
  <c r="C1705" i="2"/>
  <c r="B1705" i="2"/>
  <c r="D1705" i="2" s="1"/>
  <c r="A1705" i="2"/>
  <c r="C1704" i="2"/>
  <c r="B1704" i="2"/>
  <c r="D1704" i="2" s="1"/>
  <c r="A1704" i="2"/>
  <c r="C1703" i="2"/>
  <c r="B1703" i="2"/>
  <c r="D1703" i="2" s="1"/>
  <c r="A1703" i="2"/>
  <c r="C1702" i="2"/>
  <c r="B1702" i="2"/>
  <c r="D1702" i="2" s="1"/>
  <c r="A1702" i="2"/>
  <c r="C1701" i="2"/>
  <c r="B1701" i="2"/>
  <c r="D1701" i="2" s="1"/>
  <c r="A1701" i="2"/>
  <c r="C1700" i="2"/>
  <c r="B1700" i="2"/>
  <c r="D1700" i="2" s="1"/>
  <c r="A1700" i="2"/>
  <c r="C1699" i="2"/>
  <c r="B1699" i="2"/>
  <c r="D1699" i="2" s="1"/>
  <c r="F1699" i="2" s="1"/>
  <c r="A1699" i="2"/>
  <c r="C1698" i="2"/>
  <c r="B1698" i="2"/>
  <c r="D1698" i="2" s="1"/>
  <c r="A1698" i="2"/>
  <c r="C1697" i="2"/>
  <c r="B1697" i="2"/>
  <c r="D1697" i="2" s="1"/>
  <c r="A1697" i="2"/>
  <c r="C1696" i="2"/>
  <c r="B1696" i="2"/>
  <c r="D1696" i="2" s="1"/>
  <c r="A1696" i="2"/>
  <c r="C1695" i="2"/>
  <c r="B1695" i="2"/>
  <c r="D1695" i="2" s="1"/>
  <c r="F1695" i="2" s="1"/>
  <c r="A1695" i="2"/>
  <c r="C1694" i="2"/>
  <c r="B1694" i="2"/>
  <c r="D1694" i="2" s="1"/>
  <c r="A1694" i="2"/>
  <c r="C1693" i="2"/>
  <c r="B1693" i="2"/>
  <c r="D1693" i="2" s="1"/>
  <c r="A1693" i="2"/>
  <c r="C1692" i="2"/>
  <c r="B1692" i="2"/>
  <c r="D1692" i="2" s="1"/>
  <c r="A1692" i="2"/>
  <c r="C1691" i="2"/>
  <c r="B1691" i="2"/>
  <c r="D1691" i="2" s="1"/>
  <c r="F1691" i="2" s="1"/>
  <c r="A1691" i="2"/>
  <c r="C1690" i="2"/>
  <c r="B1690" i="2"/>
  <c r="D1690" i="2" s="1"/>
  <c r="A1690" i="2"/>
  <c r="C1689" i="2"/>
  <c r="B1689" i="2"/>
  <c r="D1689" i="2" s="1"/>
  <c r="A1689" i="2"/>
  <c r="C1688" i="2"/>
  <c r="B1688" i="2"/>
  <c r="D1688" i="2" s="1"/>
  <c r="F1688" i="2" s="1"/>
  <c r="A1688" i="2"/>
  <c r="C1687" i="2"/>
  <c r="B1687" i="2"/>
  <c r="D1687" i="2" s="1"/>
  <c r="F1687" i="2" s="1"/>
  <c r="A1687" i="2"/>
  <c r="C1686" i="2"/>
  <c r="B1686" i="2"/>
  <c r="D1686" i="2" s="1"/>
  <c r="E1686" i="2" s="1"/>
  <c r="A1686" i="2"/>
  <c r="C1685" i="2"/>
  <c r="B1685" i="2"/>
  <c r="D1685" i="2" s="1"/>
  <c r="A1685" i="2"/>
  <c r="C1684" i="2"/>
  <c r="B1684" i="2"/>
  <c r="D1684" i="2" s="1"/>
  <c r="A1684" i="2"/>
  <c r="C1683" i="2"/>
  <c r="B1683" i="2"/>
  <c r="D1683" i="2" s="1"/>
  <c r="F1683" i="2" s="1"/>
  <c r="A1683" i="2"/>
  <c r="C1682" i="2"/>
  <c r="B1682" i="2"/>
  <c r="D1682" i="2" s="1"/>
  <c r="A1682" i="2"/>
  <c r="C1681" i="2"/>
  <c r="B1681" i="2"/>
  <c r="D1681" i="2" s="1"/>
  <c r="A1681" i="2"/>
  <c r="C1680" i="2"/>
  <c r="B1680" i="2"/>
  <c r="D1680" i="2" s="1"/>
  <c r="F1680" i="2" s="1"/>
  <c r="A1680" i="2"/>
  <c r="C1679" i="2"/>
  <c r="B1679" i="2"/>
  <c r="D1679" i="2" s="1"/>
  <c r="F1679" i="2" s="1"/>
  <c r="A1679" i="2"/>
  <c r="C1678" i="2"/>
  <c r="B1678" i="2"/>
  <c r="D1678" i="2" s="1"/>
  <c r="E1678" i="2" s="1"/>
  <c r="A1678" i="2"/>
  <c r="C1677" i="2"/>
  <c r="B1677" i="2"/>
  <c r="D1677" i="2" s="1"/>
  <c r="F1677" i="2" s="1"/>
  <c r="A1677" i="2"/>
  <c r="C1676" i="2"/>
  <c r="B1676" i="2"/>
  <c r="D1676" i="2" s="1"/>
  <c r="A1676" i="2"/>
  <c r="C1675" i="2"/>
  <c r="B1675" i="2"/>
  <c r="D1675" i="2" s="1"/>
  <c r="F1675" i="2" s="1"/>
  <c r="A1675" i="2"/>
  <c r="C1674" i="2"/>
  <c r="B1674" i="2"/>
  <c r="D1674" i="2" s="1"/>
  <c r="A1674" i="2"/>
  <c r="C1673" i="2"/>
  <c r="B1673" i="2"/>
  <c r="D1673" i="2" s="1"/>
  <c r="A1673" i="2"/>
  <c r="C1672" i="2"/>
  <c r="B1672" i="2"/>
  <c r="D1672" i="2" s="1"/>
  <c r="A1672" i="2"/>
  <c r="C1671" i="2"/>
  <c r="B1671" i="2"/>
  <c r="D1671" i="2" s="1"/>
  <c r="F1671" i="2" s="1"/>
  <c r="A1671" i="2"/>
  <c r="C1670" i="2"/>
  <c r="B1670" i="2"/>
  <c r="D1670" i="2" s="1"/>
  <c r="A1670" i="2"/>
  <c r="C1669" i="2"/>
  <c r="B1669" i="2"/>
  <c r="D1669" i="2" s="1"/>
  <c r="A1669" i="2"/>
  <c r="C1668" i="2"/>
  <c r="B1668" i="2"/>
  <c r="D1668" i="2" s="1"/>
  <c r="F1668" i="2" s="1"/>
  <c r="A1668" i="2"/>
  <c r="C1667" i="2"/>
  <c r="B1667" i="2"/>
  <c r="D1667" i="2" s="1"/>
  <c r="F1667" i="2" s="1"/>
  <c r="A1667" i="2"/>
  <c r="C1666" i="2"/>
  <c r="B1666" i="2"/>
  <c r="D1666" i="2" s="1"/>
  <c r="E1666" i="2" s="1"/>
  <c r="A1666" i="2"/>
  <c r="C1665" i="2"/>
  <c r="B1665" i="2"/>
  <c r="D1665" i="2" s="1"/>
  <c r="A1665" i="2"/>
  <c r="C1664" i="2"/>
  <c r="B1664" i="2"/>
  <c r="D1664" i="2" s="1"/>
  <c r="A1664" i="2"/>
  <c r="C1663" i="2"/>
  <c r="B1663" i="2"/>
  <c r="D1663" i="2" s="1"/>
  <c r="F1663" i="2" s="1"/>
  <c r="A1663" i="2"/>
  <c r="C1662" i="2"/>
  <c r="B1662" i="2"/>
  <c r="D1662" i="2" s="1"/>
  <c r="A1662" i="2"/>
  <c r="C1661" i="2"/>
  <c r="B1661" i="2"/>
  <c r="D1661" i="2" s="1"/>
  <c r="A1661" i="2"/>
  <c r="C1660" i="2"/>
  <c r="B1660" i="2"/>
  <c r="D1660" i="2" s="1"/>
  <c r="A1660" i="2"/>
  <c r="C1659" i="2"/>
  <c r="B1659" i="2"/>
  <c r="D1659" i="2" s="1"/>
  <c r="F1659" i="2" s="1"/>
  <c r="A1659" i="2"/>
  <c r="C1658" i="2"/>
  <c r="B1658" i="2"/>
  <c r="D1658" i="2" s="1"/>
  <c r="A1658" i="2"/>
  <c r="C1657" i="2"/>
  <c r="B1657" i="2"/>
  <c r="D1657" i="2" s="1"/>
  <c r="A1657" i="2"/>
  <c r="C1656" i="2"/>
  <c r="B1656" i="2"/>
  <c r="D1656" i="2" s="1"/>
  <c r="A1656" i="2"/>
  <c r="C1655" i="2"/>
  <c r="B1655" i="2"/>
  <c r="D1655" i="2" s="1"/>
  <c r="F1655" i="2" s="1"/>
  <c r="A1655" i="2"/>
  <c r="C1654" i="2"/>
  <c r="B1654" i="2"/>
  <c r="D1654" i="2" s="1"/>
  <c r="A1654" i="2"/>
  <c r="C1653" i="2"/>
  <c r="B1653" i="2"/>
  <c r="D1653" i="2" s="1"/>
  <c r="A1653" i="2"/>
  <c r="C1652" i="2"/>
  <c r="B1652" i="2"/>
  <c r="D1652" i="2" s="1"/>
  <c r="A1652" i="2"/>
  <c r="C1651" i="2"/>
  <c r="B1651" i="2"/>
  <c r="D1651" i="2" s="1"/>
  <c r="F1651" i="2" s="1"/>
  <c r="A1651" i="2"/>
  <c r="C1650" i="2"/>
  <c r="B1650" i="2"/>
  <c r="D1650" i="2" s="1"/>
  <c r="A1650" i="2"/>
  <c r="C1649" i="2"/>
  <c r="B1649" i="2"/>
  <c r="D1649" i="2" s="1"/>
  <c r="A1649" i="2"/>
  <c r="C1648" i="2"/>
  <c r="B1648" i="2"/>
  <c r="D1648" i="2" s="1"/>
  <c r="E1648" i="2" s="1"/>
  <c r="A1648" i="2"/>
  <c r="C1647" i="2"/>
  <c r="B1647" i="2"/>
  <c r="D1647" i="2" s="1"/>
  <c r="A1647" i="2"/>
  <c r="C1646" i="2"/>
  <c r="B1646" i="2"/>
  <c r="D1646" i="2" s="1"/>
  <c r="E1646" i="2" s="1"/>
  <c r="A1646" i="2"/>
  <c r="D1645" i="2"/>
  <c r="C1645" i="2"/>
  <c r="B1645" i="2"/>
  <c r="A1645" i="2"/>
  <c r="C1644" i="2"/>
  <c r="B1644" i="2"/>
  <c r="D1644" i="2" s="1"/>
  <c r="E1644" i="2" s="1"/>
  <c r="A1644" i="2"/>
  <c r="C1643" i="2"/>
  <c r="B1643" i="2"/>
  <c r="D1643" i="2" s="1"/>
  <c r="A1643" i="2"/>
  <c r="C1642" i="2"/>
  <c r="B1642" i="2"/>
  <c r="D1642" i="2" s="1"/>
  <c r="E1642" i="2" s="1"/>
  <c r="A1642" i="2"/>
  <c r="C1641" i="2"/>
  <c r="B1641" i="2"/>
  <c r="D1641" i="2" s="1"/>
  <c r="A1641" i="2"/>
  <c r="C1640" i="2"/>
  <c r="B1640" i="2"/>
  <c r="D1640" i="2" s="1"/>
  <c r="E1640" i="2" s="1"/>
  <c r="A1640" i="2"/>
  <c r="C1639" i="2"/>
  <c r="B1639" i="2"/>
  <c r="D1639" i="2" s="1"/>
  <c r="A1639" i="2"/>
  <c r="C1638" i="2"/>
  <c r="B1638" i="2"/>
  <c r="D1638" i="2" s="1"/>
  <c r="E1638" i="2" s="1"/>
  <c r="A1638" i="2"/>
  <c r="C1637" i="2"/>
  <c r="B1637" i="2"/>
  <c r="D1637" i="2" s="1"/>
  <c r="A1637" i="2"/>
  <c r="C1636" i="2"/>
  <c r="B1636" i="2"/>
  <c r="D1636" i="2" s="1"/>
  <c r="E1636" i="2" s="1"/>
  <c r="A1636" i="2"/>
  <c r="C1635" i="2"/>
  <c r="B1635" i="2"/>
  <c r="D1635" i="2" s="1"/>
  <c r="A1635" i="2"/>
  <c r="C1634" i="2"/>
  <c r="B1634" i="2"/>
  <c r="D1634" i="2" s="1"/>
  <c r="E1634" i="2" s="1"/>
  <c r="A1634" i="2"/>
  <c r="C1633" i="2"/>
  <c r="B1633" i="2"/>
  <c r="D1633" i="2" s="1"/>
  <c r="A1633" i="2"/>
  <c r="C1632" i="2"/>
  <c r="B1632" i="2"/>
  <c r="D1632" i="2" s="1"/>
  <c r="E1632" i="2" s="1"/>
  <c r="A1632" i="2"/>
  <c r="C1631" i="2"/>
  <c r="B1631" i="2"/>
  <c r="D1631" i="2" s="1"/>
  <c r="A1631" i="2"/>
  <c r="C1630" i="2"/>
  <c r="B1630" i="2"/>
  <c r="D1630" i="2" s="1"/>
  <c r="E1630" i="2" s="1"/>
  <c r="A1630" i="2"/>
  <c r="C1629" i="2"/>
  <c r="B1629" i="2"/>
  <c r="D1629" i="2" s="1"/>
  <c r="A1629" i="2"/>
  <c r="C1628" i="2"/>
  <c r="B1628" i="2"/>
  <c r="D1628" i="2" s="1"/>
  <c r="E1628" i="2" s="1"/>
  <c r="A1628" i="2"/>
  <c r="C1627" i="2"/>
  <c r="B1627" i="2"/>
  <c r="D1627" i="2" s="1"/>
  <c r="A1627" i="2"/>
  <c r="C1626" i="2"/>
  <c r="B1626" i="2"/>
  <c r="D1626" i="2" s="1"/>
  <c r="E1626" i="2" s="1"/>
  <c r="A1626" i="2"/>
  <c r="C1625" i="2"/>
  <c r="B1625" i="2"/>
  <c r="D1625" i="2" s="1"/>
  <c r="A1625" i="2"/>
  <c r="C1624" i="2"/>
  <c r="B1624" i="2"/>
  <c r="D1624" i="2" s="1"/>
  <c r="E1624" i="2" s="1"/>
  <c r="A1624" i="2"/>
  <c r="C1623" i="2"/>
  <c r="B1623" i="2"/>
  <c r="D1623" i="2" s="1"/>
  <c r="A1623" i="2"/>
  <c r="C1622" i="2"/>
  <c r="B1622" i="2"/>
  <c r="D1622" i="2" s="1"/>
  <c r="E1622" i="2" s="1"/>
  <c r="A1622" i="2"/>
  <c r="C1621" i="2"/>
  <c r="B1621" i="2"/>
  <c r="D1621" i="2" s="1"/>
  <c r="A1621" i="2"/>
  <c r="C1620" i="2"/>
  <c r="B1620" i="2"/>
  <c r="D1620" i="2" s="1"/>
  <c r="E1620" i="2" s="1"/>
  <c r="A1620" i="2"/>
  <c r="C1619" i="2"/>
  <c r="B1619" i="2"/>
  <c r="D1619" i="2" s="1"/>
  <c r="A1619" i="2"/>
  <c r="C1618" i="2"/>
  <c r="B1618" i="2"/>
  <c r="D1618" i="2" s="1"/>
  <c r="E1618" i="2" s="1"/>
  <c r="A1618" i="2"/>
  <c r="C1617" i="2"/>
  <c r="B1617" i="2"/>
  <c r="D1617" i="2" s="1"/>
  <c r="A1617" i="2"/>
  <c r="C1616" i="2"/>
  <c r="B1616" i="2"/>
  <c r="D1616" i="2" s="1"/>
  <c r="E1616" i="2" s="1"/>
  <c r="A1616" i="2"/>
  <c r="C1615" i="2"/>
  <c r="B1615" i="2"/>
  <c r="D1615" i="2" s="1"/>
  <c r="A1615" i="2"/>
  <c r="C1614" i="2"/>
  <c r="B1614" i="2"/>
  <c r="D1614" i="2" s="1"/>
  <c r="E1614" i="2" s="1"/>
  <c r="A1614" i="2"/>
  <c r="C1613" i="2"/>
  <c r="B1613" i="2"/>
  <c r="D1613" i="2" s="1"/>
  <c r="A1613" i="2"/>
  <c r="C1612" i="2"/>
  <c r="B1612" i="2"/>
  <c r="D1612" i="2" s="1"/>
  <c r="E1612" i="2" s="1"/>
  <c r="A1612" i="2"/>
  <c r="C1611" i="2"/>
  <c r="B1611" i="2"/>
  <c r="D1611" i="2" s="1"/>
  <c r="A1611" i="2"/>
  <c r="C1610" i="2"/>
  <c r="B1610" i="2"/>
  <c r="D1610" i="2" s="1"/>
  <c r="E1610" i="2" s="1"/>
  <c r="A1610" i="2"/>
  <c r="C1609" i="2"/>
  <c r="B1609" i="2"/>
  <c r="D1609" i="2" s="1"/>
  <c r="A1609" i="2"/>
  <c r="C1608" i="2"/>
  <c r="B1608" i="2"/>
  <c r="D1608" i="2" s="1"/>
  <c r="E1608" i="2" s="1"/>
  <c r="A1608" i="2"/>
  <c r="C1607" i="2"/>
  <c r="B1607" i="2"/>
  <c r="D1607" i="2" s="1"/>
  <c r="A1607" i="2"/>
  <c r="C1606" i="2"/>
  <c r="B1606" i="2"/>
  <c r="D1606" i="2" s="1"/>
  <c r="E1606" i="2" s="1"/>
  <c r="A1606" i="2"/>
  <c r="C1605" i="2"/>
  <c r="B1605" i="2"/>
  <c r="D1605" i="2" s="1"/>
  <c r="A1605" i="2"/>
  <c r="C1604" i="2"/>
  <c r="B1604" i="2"/>
  <c r="D1604" i="2" s="1"/>
  <c r="E1604" i="2" s="1"/>
  <c r="A1604" i="2"/>
  <c r="C1603" i="2"/>
  <c r="B1603" i="2"/>
  <c r="D1603" i="2" s="1"/>
  <c r="A1603" i="2"/>
  <c r="C1602" i="2"/>
  <c r="B1602" i="2"/>
  <c r="D1602" i="2" s="1"/>
  <c r="E1602" i="2" s="1"/>
  <c r="A1602" i="2"/>
  <c r="C1601" i="2"/>
  <c r="B1601" i="2"/>
  <c r="D1601" i="2" s="1"/>
  <c r="A1601" i="2"/>
  <c r="C1600" i="2"/>
  <c r="B1600" i="2"/>
  <c r="D1600" i="2" s="1"/>
  <c r="E1600" i="2" s="1"/>
  <c r="A1600" i="2"/>
  <c r="C1599" i="2"/>
  <c r="B1599" i="2"/>
  <c r="D1599" i="2" s="1"/>
  <c r="A1599" i="2"/>
  <c r="C1598" i="2"/>
  <c r="B1598" i="2"/>
  <c r="D1598" i="2" s="1"/>
  <c r="E1598" i="2" s="1"/>
  <c r="A1598" i="2"/>
  <c r="C1597" i="2"/>
  <c r="B1597" i="2"/>
  <c r="D1597" i="2" s="1"/>
  <c r="A1597" i="2"/>
  <c r="C1596" i="2"/>
  <c r="B1596" i="2"/>
  <c r="D1596" i="2" s="1"/>
  <c r="E1596" i="2" s="1"/>
  <c r="A1596" i="2"/>
  <c r="C1595" i="2"/>
  <c r="B1595" i="2"/>
  <c r="D1595" i="2" s="1"/>
  <c r="A1595" i="2"/>
  <c r="C1594" i="2"/>
  <c r="B1594" i="2"/>
  <c r="D1594" i="2" s="1"/>
  <c r="E1594" i="2" s="1"/>
  <c r="A1594" i="2"/>
  <c r="C1593" i="2"/>
  <c r="B1593" i="2"/>
  <c r="D1593" i="2" s="1"/>
  <c r="A1593" i="2"/>
  <c r="C1592" i="2"/>
  <c r="B1592" i="2"/>
  <c r="D1592" i="2" s="1"/>
  <c r="E1592" i="2" s="1"/>
  <c r="A1592" i="2"/>
  <c r="C1591" i="2"/>
  <c r="B1591" i="2"/>
  <c r="D1591" i="2" s="1"/>
  <c r="A1591" i="2"/>
  <c r="C1590" i="2"/>
  <c r="B1590" i="2"/>
  <c r="D1590" i="2" s="1"/>
  <c r="E1590" i="2" s="1"/>
  <c r="A1590" i="2"/>
  <c r="C1589" i="2"/>
  <c r="B1589" i="2"/>
  <c r="D1589" i="2" s="1"/>
  <c r="A1589" i="2"/>
  <c r="C1588" i="2"/>
  <c r="B1588" i="2"/>
  <c r="D1588" i="2" s="1"/>
  <c r="E1588" i="2" s="1"/>
  <c r="A1588" i="2"/>
  <c r="C1587" i="2"/>
  <c r="B1587" i="2"/>
  <c r="D1587" i="2" s="1"/>
  <c r="A1587" i="2"/>
  <c r="C1586" i="2"/>
  <c r="B1586" i="2"/>
  <c r="D1586" i="2" s="1"/>
  <c r="E1586" i="2" s="1"/>
  <c r="A1586" i="2"/>
  <c r="C1585" i="2"/>
  <c r="B1585" i="2"/>
  <c r="D1585" i="2" s="1"/>
  <c r="A1585" i="2"/>
  <c r="C1584" i="2"/>
  <c r="B1584" i="2"/>
  <c r="D1584" i="2" s="1"/>
  <c r="E1584" i="2" s="1"/>
  <c r="A1584" i="2"/>
  <c r="C1583" i="2"/>
  <c r="B1583" i="2"/>
  <c r="D1583" i="2" s="1"/>
  <c r="A1583" i="2"/>
  <c r="C1582" i="2"/>
  <c r="B1582" i="2"/>
  <c r="D1582" i="2" s="1"/>
  <c r="E1582" i="2" s="1"/>
  <c r="A1582" i="2"/>
  <c r="C1581" i="2"/>
  <c r="B1581" i="2"/>
  <c r="D1581" i="2" s="1"/>
  <c r="A1581" i="2"/>
  <c r="C1580" i="2"/>
  <c r="B1580" i="2"/>
  <c r="D1580" i="2" s="1"/>
  <c r="E1580" i="2" s="1"/>
  <c r="A1580" i="2"/>
  <c r="C1579" i="2"/>
  <c r="B1579" i="2"/>
  <c r="D1579" i="2" s="1"/>
  <c r="A1579" i="2"/>
  <c r="C1578" i="2"/>
  <c r="B1578" i="2"/>
  <c r="D1578" i="2" s="1"/>
  <c r="E1578" i="2" s="1"/>
  <c r="A1578" i="2"/>
  <c r="C1577" i="2"/>
  <c r="B1577" i="2"/>
  <c r="D1577" i="2" s="1"/>
  <c r="A1577" i="2"/>
  <c r="C1576" i="2"/>
  <c r="B1576" i="2"/>
  <c r="D1576" i="2" s="1"/>
  <c r="E1576" i="2" s="1"/>
  <c r="A1576" i="2"/>
  <c r="C1575" i="2"/>
  <c r="B1575" i="2"/>
  <c r="D1575" i="2" s="1"/>
  <c r="F1575" i="2" s="1"/>
  <c r="A1575" i="2"/>
  <c r="C1574" i="2"/>
  <c r="B1574" i="2"/>
  <c r="D1574" i="2" s="1"/>
  <c r="E1574" i="2" s="1"/>
  <c r="A1574" i="2"/>
  <c r="C1573" i="2"/>
  <c r="B1573" i="2"/>
  <c r="D1573" i="2" s="1"/>
  <c r="A1573" i="2"/>
  <c r="C1572" i="2"/>
  <c r="B1572" i="2"/>
  <c r="D1572" i="2" s="1"/>
  <c r="E1572" i="2" s="1"/>
  <c r="A1572" i="2"/>
  <c r="C1571" i="2"/>
  <c r="B1571" i="2"/>
  <c r="D1571" i="2" s="1"/>
  <c r="F1571" i="2" s="1"/>
  <c r="A1571" i="2"/>
  <c r="C1570" i="2"/>
  <c r="B1570" i="2"/>
  <c r="D1570" i="2" s="1"/>
  <c r="E1570" i="2" s="1"/>
  <c r="A1570" i="2"/>
  <c r="C1569" i="2"/>
  <c r="B1569" i="2"/>
  <c r="D1569" i="2" s="1"/>
  <c r="A1569" i="2"/>
  <c r="C1568" i="2"/>
  <c r="B1568" i="2"/>
  <c r="D1568" i="2" s="1"/>
  <c r="E1568" i="2" s="1"/>
  <c r="A1568" i="2"/>
  <c r="C1567" i="2"/>
  <c r="B1567" i="2"/>
  <c r="D1567" i="2" s="1"/>
  <c r="F1567" i="2" s="1"/>
  <c r="A1567" i="2"/>
  <c r="C1566" i="2"/>
  <c r="B1566" i="2"/>
  <c r="D1566" i="2" s="1"/>
  <c r="E1566" i="2" s="1"/>
  <c r="A1566" i="2"/>
  <c r="C1565" i="2"/>
  <c r="B1565" i="2"/>
  <c r="D1565" i="2" s="1"/>
  <c r="F1565" i="2" s="1"/>
  <c r="A1565" i="2"/>
  <c r="C1564" i="2"/>
  <c r="B1564" i="2"/>
  <c r="D1564" i="2" s="1"/>
  <c r="F1564" i="2" s="1"/>
  <c r="A1564" i="2"/>
  <c r="C1563" i="2"/>
  <c r="B1563" i="2"/>
  <c r="D1563" i="2" s="1"/>
  <c r="F1563" i="2" s="1"/>
  <c r="A1563" i="2"/>
  <c r="C1562" i="2"/>
  <c r="B1562" i="2"/>
  <c r="D1562" i="2" s="1"/>
  <c r="F1562" i="2" s="1"/>
  <c r="A1562" i="2"/>
  <c r="C1561" i="2"/>
  <c r="B1561" i="2"/>
  <c r="D1561" i="2" s="1"/>
  <c r="F1561" i="2" s="1"/>
  <c r="A1561" i="2"/>
  <c r="C1560" i="2"/>
  <c r="B1560" i="2"/>
  <c r="D1560" i="2" s="1"/>
  <c r="F1560" i="2" s="1"/>
  <c r="A1560" i="2"/>
  <c r="C1559" i="2"/>
  <c r="B1559" i="2"/>
  <c r="D1559" i="2" s="1"/>
  <c r="A1559" i="2"/>
  <c r="C1558" i="2"/>
  <c r="B1558" i="2"/>
  <c r="D1558" i="2" s="1"/>
  <c r="A1558" i="2"/>
  <c r="C1557" i="2"/>
  <c r="B1557" i="2"/>
  <c r="D1557" i="2" s="1"/>
  <c r="A1557" i="2"/>
  <c r="C1556" i="2"/>
  <c r="B1556" i="2"/>
  <c r="D1556" i="2" s="1"/>
  <c r="F1556" i="2" s="1"/>
  <c r="A1556" i="2"/>
  <c r="C1555" i="2"/>
  <c r="B1555" i="2"/>
  <c r="D1555" i="2" s="1"/>
  <c r="A1555" i="2"/>
  <c r="C1554" i="2"/>
  <c r="B1554" i="2"/>
  <c r="D1554" i="2" s="1"/>
  <c r="A1554" i="2"/>
  <c r="C1553" i="2"/>
  <c r="B1553" i="2"/>
  <c r="D1553" i="2" s="1"/>
  <c r="A1553" i="2"/>
  <c r="C1552" i="2"/>
  <c r="B1552" i="2"/>
  <c r="D1552" i="2" s="1"/>
  <c r="F1552" i="2" s="1"/>
  <c r="A1552" i="2"/>
  <c r="C1551" i="2"/>
  <c r="B1551" i="2"/>
  <c r="D1551" i="2" s="1"/>
  <c r="A1551" i="2"/>
  <c r="C1550" i="2"/>
  <c r="B1550" i="2"/>
  <c r="D1550" i="2" s="1"/>
  <c r="F1550" i="2" s="1"/>
  <c r="A1550" i="2"/>
  <c r="C1549" i="2"/>
  <c r="B1549" i="2"/>
  <c r="D1549" i="2" s="1"/>
  <c r="A1549" i="2"/>
  <c r="C1548" i="2"/>
  <c r="B1548" i="2"/>
  <c r="D1548" i="2" s="1"/>
  <c r="F1548" i="2" s="1"/>
  <c r="A1548" i="2"/>
  <c r="C1547" i="2"/>
  <c r="B1547" i="2"/>
  <c r="D1547" i="2" s="1"/>
  <c r="A1547" i="2"/>
  <c r="C1546" i="2"/>
  <c r="B1546" i="2"/>
  <c r="D1546" i="2" s="1"/>
  <c r="F1546" i="2" s="1"/>
  <c r="A1546" i="2"/>
  <c r="C1545" i="2"/>
  <c r="B1545" i="2"/>
  <c r="D1545" i="2" s="1"/>
  <c r="F1545" i="2" s="1"/>
  <c r="A1545" i="2"/>
  <c r="C1544" i="2"/>
  <c r="B1544" i="2"/>
  <c r="D1544" i="2" s="1"/>
  <c r="F1544" i="2" s="1"/>
  <c r="A1544" i="2"/>
  <c r="C1543" i="2"/>
  <c r="B1543" i="2"/>
  <c r="D1543" i="2" s="1"/>
  <c r="F1543" i="2" s="1"/>
  <c r="A1543" i="2"/>
  <c r="C1542" i="2"/>
  <c r="B1542" i="2"/>
  <c r="D1542" i="2" s="1"/>
  <c r="A1542" i="2"/>
  <c r="C1541" i="2"/>
  <c r="B1541" i="2"/>
  <c r="D1541" i="2" s="1"/>
  <c r="A1541" i="2"/>
  <c r="C1540" i="2"/>
  <c r="B1540" i="2"/>
  <c r="D1540" i="2" s="1"/>
  <c r="F1540" i="2" s="1"/>
  <c r="A1540" i="2"/>
  <c r="C1539" i="2"/>
  <c r="B1539" i="2"/>
  <c r="D1539" i="2" s="1"/>
  <c r="A1539" i="2"/>
  <c r="C1538" i="2"/>
  <c r="B1538" i="2"/>
  <c r="D1538" i="2" s="1"/>
  <c r="A1538" i="2"/>
  <c r="C1537" i="2"/>
  <c r="B1537" i="2"/>
  <c r="D1537" i="2" s="1"/>
  <c r="A1537" i="2"/>
  <c r="C1536" i="2"/>
  <c r="B1536" i="2"/>
  <c r="D1536" i="2" s="1"/>
  <c r="F1536" i="2" s="1"/>
  <c r="A1536" i="2"/>
  <c r="C1535" i="2"/>
  <c r="B1535" i="2"/>
  <c r="D1535" i="2" s="1"/>
  <c r="A1535" i="2"/>
  <c r="C1534" i="2"/>
  <c r="B1534" i="2"/>
  <c r="D1534" i="2" s="1"/>
  <c r="F1534" i="2" s="1"/>
  <c r="A1534" i="2"/>
  <c r="C1533" i="2"/>
  <c r="B1533" i="2"/>
  <c r="D1533" i="2" s="1"/>
  <c r="A1533" i="2"/>
  <c r="C1532" i="2"/>
  <c r="B1532" i="2"/>
  <c r="D1532" i="2" s="1"/>
  <c r="F1532" i="2" s="1"/>
  <c r="A1532" i="2"/>
  <c r="C1531" i="2"/>
  <c r="B1531" i="2"/>
  <c r="D1531" i="2" s="1"/>
  <c r="A1531" i="2"/>
  <c r="C1530" i="2"/>
  <c r="B1530" i="2"/>
  <c r="D1530" i="2" s="1"/>
  <c r="A1530" i="2"/>
  <c r="C1529" i="2"/>
  <c r="B1529" i="2"/>
  <c r="D1529" i="2" s="1"/>
  <c r="A1529" i="2"/>
  <c r="C1528" i="2"/>
  <c r="B1528" i="2"/>
  <c r="D1528" i="2" s="1"/>
  <c r="F1528" i="2" s="1"/>
  <c r="A1528" i="2"/>
  <c r="C1527" i="2"/>
  <c r="B1527" i="2"/>
  <c r="D1527" i="2" s="1"/>
  <c r="A1527" i="2"/>
  <c r="C1526" i="2"/>
  <c r="B1526" i="2"/>
  <c r="D1526" i="2" s="1"/>
  <c r="A1526" i="2"/>
  <c r="C1525" i="2"/>
  <c r="B1525" i="2"/>
  <c r="D1525" i="2" s="1"/>
  <c r="A1525" i="2"/>
  <c r="C1524" i="2"/>
  <c r="B1524" i="2"/>
  <c r="D1524" i="2" s="1"/>
  <c r="F1524" i="2" s="1"/>
  <c r="A1524" i="2"/>
  <c r="C1523" i="2"/>
  <c r="B1523" i="2"/>
  <c r="D1523" i="2" s="1"/>
  <c r="A1523" i="2"/>
  <c r="C1522" i="2"/>
  <c r="B1522" i="2"/>
  <c r="D1522" i="2" s="1"/>
  <c r="F1522" i="2" s="1"/>
  <c r="A1522" i="2"/>
  <c r="C1521" i="2"/>
  <c r="B1521" i="2"/>
  <c r="D1521" i="2" s="1"/>
  <c r="A1521" i="2"/>
  <c r="C1520" i="2"/>
  <c r="B1520" i="2"/>
  <c r="D1520" i="2" s="1"/>
  <c r="F1520" i="2" s="1"/>
  <c r="A1520" i="2"/>
  <c r="C1519" i="2"/>
  <c r="B1519" i="2"/>
  <c r="D1519" i="2" s="1"/>
  <c r="A1519" i="2"/>
  <c r="C1518" i="2"/>
  <c r="B1518" i="2"/>
  <c r="D1518" i="2" s="1"/>
  <c r="F1518" i="2" s="1"/>
  <c r="A1518" i="2"/>
  <c r="C1517" i="2"/>
  <c r="B1517" i="2"/>
  <c r="D1517" i="2" s="1"/>
  <c r="A1517" i="2"/>
  <c r="C1516" i="2"/>
  <c r="B1516" i="2"/>
  <c r="D1516" i="2" s="1"/>
  <c r="F1516" i="2" s="1"/>
  <c r="A1516" i="2"/>
  <c r="C1515" i="2"/>
  <c r="B1515" i="2"/>
  <c r="D1515" i="2" s="1"/>
  <c r="A1515" i="2"/>
  <c r="C1514" i="2"/>
  <c r="B1514" i="2"/>
  <c r="D1514" i="2" s="1"/>
  <c r="A1514" i="2"/>
  <c r="C1513" i="2"/>
  <c r="B1513" i="2"/>
  <c r="D1513" i="2" s="1"/>
  <c r="A1513" i="2"/>
  <c r="C1512" i="2"/>
  <c r="B1512" i="2"/>
  <c r="D1512" i="2" s="1"/>
  <c r="F1512" i="2" s="1"/>
  <c r="A1512" i="2"/>
  <c r="C1511" i="2"/>
  <c r="B1511" i="2"/>
  <c r="D1511" i="2" s="1"/>
  <c r="A1511" i="2"/>
  <c r="C1510" i="2"/>
  <c r="B1510" i="2"/>
  <c r="D1510" i="2" s="1"/>
  <c r="A1510" i="2"/>
  <c r="C1509" i="2"/>
  <c r="B1509" i="2"/>
  <c r="D1509" i="2" s="1"/>
  <c r="A1509" i="2"/>
  <c r="C1508" i="2"/>
  <c r="B1508" i="2"/>
  <c r="D1508" i="2" s="1"/>
  <c r="F1508" i="2" s="1"/>
  <c r="A1508" i="2"/>
  <c r="C1507" i="2"/>
  <c r="B1507" i="2"/>
  <c r="D1507" i="2" s="1"/>
  <c r="A1507" i="2"/>
  <c r="C1506" i="2"/>
  <c r="B1506" i="2"/>
  <c r="D1506" i="2" s="1"/>
  <c r="F1506" i="2" s="1"/>
  <c r="A1506" i="2"/>
  <c r="C1505" i="2"/>
  <c r="B1505" i="2"/>
  <c r="D1505" i="2" s="1"/>
  <c r="A1505" i="2"/>
  <c r="C1504" i="2"/>
  <c r="B1504" i="2"/>
  <c r="D1504" i="2" s="1"/>
  <c r="F1504" i="2" s="1"/>
  <c r="A1504" i="2"/>
  <c r="C1503" i="2"/>
  <c r="B1503" i="2"/>
  <c r="D1503" i="2" s="1"/>
  <c r="A1503" i="2"/>
  <c r="C1502" i="2"/>
  <c r="B1502" i="2"/>
  <c r="D1502" i="2" s="1"/>
  <c r="F1502" i="2" s="1"/>
  <c r="A1502" i="2"/>
  <c r="C1501" i="2"/>
  <c r="B1501" i="2"/>
  <c r="D1501" i="2" s="1"/>
  <c r="A1501" i="2"/>
  <c r="C1500" i="2"/>
  <c r="B1500" i="2"/>
  <c r="D1500" i="2" s="1"/>
  <c r="F1500" i="2" s="1"/>
  <c r="A1500" i="2"/>
  <c r="C1499" i="2"/>
  <c r="B1499" i="2"/>
  <c r="D1499" i="2" s="1"/>
  <c r="A1499" i="2"/>
  <c r="C1498" i="2"/>
  <c r="B1498" i="2"/>
  <c r="D1498" i="2" s="1"/>
  <c r="A1498" i="2"/>
  <c r="C1497" i="2"/>
  <c r="B1497" i="2"/>
  <c r="D1497" i="2" s="1"/>
  <c r="A1497" i="2"/>
  <c r="C1496" i="2"/>
  <c r="B1496" i="2"/>
  <c r="D1496" i="2" s="1"/>
  <c r="F1496" i="2" s="1"/>
  <c r="A1496" i="2"/>
  <c r="C1495" i="2"/>
  <c r="B1495" i="2"/>
  <c r="D1495" i="2" s="1"/>
  <c r="F1495" i="2" s="1"/>
  <c r="A1495" i="2"/>
  <c r="C1494" i="2"/>
  <c r="B1494" i="2"/>
  <c r="D1494" i="2" s="1"/>
  <c r="A1494" i="2"/>
  <c r="C1493" i="2"/>
  <c r="B1493" i="2"/>
  <c r="D1493" i="2" s="1"/>
  <c r="F1493" i="2" s="1"/>
  <c r="A1493" i="2"/>
  <c r="C1492" i="2"/>
  <c r="B1492" i="2"/>
  <c r="D1492" i="2" s="1"/>
  <c r="A1492" i="2"/>
  <c r="C1491" i="2"/>
  <c r="B1491" i="2"/>
  <c r="D1491" i="2" s="1"/>
  <c r="F1491" i="2" s="1"/>
  <c r="A1491" i="2"/>
  <c r="C1490" i="2"/>
  <c r="B1490" i="2"/>
  <c r="D1490" i="2" s="1"/>
  <c r="A1490" i="2"/>
  <c r="C1489" i="2"/>
  <c r="B1489" i="2"/>
  <c r="D1489" i="2" s="1"/>
  <c r="F1489" i="2" s="1"/>
  <c r="A1489" i="2"/>
  <c r="C1488" i="2"/>
  <c r="B1488" i="2"/>
  <c r="D1488" i="2" s="1"/>
  <c r="A1488" i="2"/>
  <c r="D1487" i="2"/>
  <c r="F1487" i="2" s="1"/>
  <c r="C1487" i="2"/>
  <c r="B1487" i="2"/>
  <c r="A1487" i="2"/>
  <c r="C1486" i="2"/>
  <c r="B1486" i="2"/>
  <c r="D1486" i="2" s="1"/>
  <c r="A1486" i="2"/>
  <c r="C1485" i="2"/>
  <c r="B1485" i="2"/>
  <c r="D1485" i="2" s="1"/>
  <c r="F1485" i="2" s="1"/>
  <c r="A1485" i="2"/>
  <c r="C1484" i="2"/>
  <c r="B1484" i="2"/>
  <c r="D1484" i="2" s="1"/>
  <c r="A1484" i="2"/>
  <c r="C1483" i="2"/>
  <c r="B1483" i="2"/>
  <c r="D1483" i="2" s="1"/>
  <c r="F1483" i="2" s="1"/>
  <c r="A1483" i="2"/>
  <c r="C1482" i="2"/>
  <c r="B1482" i="2"/>
  <c r="D1482" i="2" s="1"/>
  <c r="A1482" i="2"/>
  <c r="C1481" i="2"/>
  <c r="B1481" i="2"/>
  <c r="D1481" i="2" s="1"/>
  <c r="F1481" i="2" s="1"/>
  <c r="A1481" i="2"/>
  <c r="C1480" i="2"/>
  <c r="B1480" i="2"/>
  <c r="D1480" i="2" s="1"/>
  <c r="A1480" i="2"/>
  <c r="C1479" i="2"/>
  <c r="B1479" i="2"/>
  <c r="D1479" i="2" s="1"/>
  <c r="F1479" i="2" s="1"/>
  <c r="A1479" i="2"/>
  <c r="C1478" i="2"/>
  <c r="B1478" i="2"/>
  <c r="D1478" i="2" s="1"/>
  <c r="A1478" i="2"/>
  <c r="C1477" i="2"/>
  <c r="B1477" i="2"/>
  <c r="D1477" i="2" s="1"/>
  <c r="F1477" i="2" s="1"/>
  <c r="A1477" i="2"/>
  <c r="C1476" i="2"/>
  <c r="B1476" i="2"/>
  <c r="D1476" i="2" s="1"/>
  <c r="A1476" i="2"/>
  <c r="C1475" i="2"/>
  <c r="B1475" i="2"/>
  <c r="D1475" i="2" s="1"/>
  <c r="F1475" i="2" s="1"/>
  <c r="A1475" i="2"/>
  <c r="C1474" i="2"/>
  <c r="B1474" i="2"/>
  <c r="D1474" i="2" s="1"/>
  <c r="A1474" i="2"/>
  <c r="C1473" i="2"/>
  <c r="B1473" i="2"/>
  <c r="D1473" i="2" s="1"/>
  <c r="F1473" i="2" s="1"/>
  <c r="A1473" i="2"/>
  <c r="C1472" i="2"/>
  <c r="B1472" i="2"/>
  <c r="D1472" i="2" s="1"/>
  <c r="A1472" i="2"/>
  <c r="C1471" i="2"/>
  <c r="B1471" i="2"/>
  <c r="D1471" i="2" s="1"/>
  <c r="F1471" i="2" s="1"/>
  <c r="A1471" i="2"/>
  <c r="C1470" i="2"/>
  <c r="B1470" i="2"/>
  <c r="D1470" i="2" s="1"/>
  <c r="A1470" i="2"/>
  <c r="C1469" i="2"/>
  <c r="B1469" i="2"/>
  <c r="D1469" i="2" s="1"/>
  <c r="F1469" i="2" s="1"/>
  <c r="A1469" i="2"/>
  <c r="C1468" i="2"/>
  <c r="B1468" i="2"/>
  <c r="D1468" i="2" s="1"/>
  <c r="A1468" i="2"/>
  <c r="C1467" i="2"/>
  <c r="B1467" i="2"/>
  <c r="D1467" i="2" s="1"/>
  <c r="F1467" i="2" s="1"/>
  <c r="A1467" i="2"/>
  <c r="C1466" i="2"/>
  <c r="B1466" i="2"/>
  <c r="D1466" i="2" s="1"/>
  <c r="A1466" i="2"/>
  <c r="C1465" i="2"/>
  <c r="B1465" i="2"/>
  <c r="D1465" i="2" s="1"/>
  <c r="F1465" i="2" s="1"/>
  <c r="A1465" i="2"/>
  <c r="C1464" i="2"/>
  <c r="B1464" i="2"/>
  <c r="D1464" i="2" s="1"/>
  <c r="A1464" i="2"/>
  <c r="C1463" i="2"/>
  <c r="B1463" i="2"/>
  <c r="D1463" i="2" s="1"/>
  <c r="F1463" i="2" s="1"/>
  <c r="A1463" i="2"/>
  <c r="C1462" i="2"/>
  <c r="B1462" i="2"/>
  <c r="D1462" i="2" s="1"/>
  <c r="A1462" i="2"/>
  <c r="C1461" i="2"/>
  <c r="B1461" i="2"/>
  <c r="D1461" i="2" s="1"/>
  <c r="F1461" i="2" s="1"/>
  <c r="A1461" i="2"/>
  <c r="C1460" i="2"/>
  <c r="B1460" i="2"/>
  <c r="D1460" i="2" s="1"/>
  <c r="A1460" i="2"/>
  <c r="C1459" i="2"/>
  <c r="B1459" i="2"/>
  <c r="D1459" i="2" s="1"/>
  <c r="F1459" i="2" s="1"/>
  <c r="A1459" i="2"/>
  <c r="C1458" i="2"/>
  <c r="B1458" i="2"/>
  <c r="D1458" i="2" s="1"/>
  <c r="A1458" i="2"/>
  <c r="C1457" i="2"/>
  <c r="B1457" i="2"/>
  <c r="D1457" i="2" s="1"/>
  <c r="F1457" i="2" s="1"/>
  <c r="A1457" i="2"/>
  <c r="C1456" i="2"/>
  <c r="B1456" i="2"/>
  <c r="D1456" i="2" s="1"/>
  <c r="A1456" i="2"/>
  <c r="C1455" i="2"/>
  <c r="B1455" i="2"/>
  <c r="D1455" i="2" s="1"/>
  <c r="F1455" i="2" s="1"/>
  <c r="A1455" i="2"/>
  <c r="C1454" i="2"/>
  <c r="B1454" i="2"/>
  <c r="D1454" i="2" s="1"/>
  <c r="A1454" i="2"/>
  <c r="D1453" i="2"/>
  <c r="F1453" i="2" s="1"/>
  <c r="C1453" i="2"/>
  <c r="B1453" i="2"/>
  <c r="A1453" i="2"/>
  <c r="C1452" i="2"/>
  <c r="B1452" i="2"/>
  <c r="D1452" i="2" s="1"/>
  <c r="A1452" i="2"/>
  <c r="C1451" i="2"/>
  <c r="B1451" i="2"/>
  <c r="D1451" i="2" s="1"/>
  <c r="F1451" i="2" s="1"/>
  <c r="A1451" i="2"/>
  <c r="C1450" i="2"/>
  <c r="B1450" i="2"/>
  <c r="D1450" i="2" s="1"/>
  <c r="A1450" i="2"/>
  <c r="C1449" i="2"/>
  <c r="B1449" i="2"/>
  <c r="D1449" i="2" s="1"/>
  <c r="F1449" i="2" s="1"/>
  <c r="A1449" i="2"/>
  <c r="C1448" i="2"/>
  <c r="B1448" i="2"/>
  <c r="D1448" i="2" s="1"/>
  <c r="A1448" i="2"/>
  <c r="C1447" i="2"/>
  <c r="B1447" i="2"/>
  <c r="D1447" i="2" s="1"/>
  <c r="F1447" i="2" s="1"/>
  <c r="A1447" i="2"/>
  <c r="C1446" i="2"/>
  <c r="B1446" i="2"/>
  <c r="D1446" i="2" s="1"/>
  <c r="A1446" i="2"/>
  <c r="C1445" i="2"/>
  <c r="B1445" i="2"/>
  <c r="D1445" i="2" s="1"/>
  <c r="F1445" i="2" s="1"/>
  <c r="A1445" i="2"/>
  <c r="C1444" i="2"/>
  <c r="B1444" i="2"/>
  <c r="D1444" i="2" s="1"/>
  <c r="A1444" i="2"/>
  <c r="C1443" i="2"/>
  <c r="B1443" i="2"/>
  <c r="D1443" i="2" s="1"/>
  <c r="F1443" i="2" s="1"/>
  <c r="A1443" i="2"/>
  <c r="C1442" i="2"/>
  <c r="B1442" i="2"/>
  <c r="D1442" i="2" s="1"/>
  <c r="A1442" i="2"/>
  <c r="C1441" i="2"/>
  <c r="B1441" i="2"/>
  <c r="D1441" i="2" s="1"/>
  <c r="F1441" i="2" s="1"/>
  <c r="A1441" i="2"/>
  <c r="C1440" i="2"/>
  <c r="B1440" i="2"/>
  <c r="D1440" i="2" s="1"/>
  <c r="A1440" i="2"/>
  <c r="C1439" i="2"/>
  <c r="B1439" i="2"/>
  <c r="D1439" i="2" s="1"/>
  <c r="F1439" i="2" s="1"/>
  <c r="A1439" i="2"/>
  <c r="C1438" i="2"/>
  <c r="B1438" i="2"/>
  <c r="D1438" i="2" s="1"/>
  <c r="A1438" i="2"/>
  <c r="C1437" i="2"/>
  <c r="B1437" i="2"/>
  <c r="D1437" i="2" s="1"/>
  <c r="F1437" i="2" s="1"/>
  <c r="A1437" i="2"/>
  <c r="C1436" i="2"/>
  <c r="B1436" i="2"/>
  <c r="D1436" i="2" s="1"/>
  <c r="A1436" i="2"/>
  <c r="C1435" i="2"/>
  <c r="B1435" i="2"/>
  <c r="D1435" i="2" s="1"/>
  <c r="F1435" i="2" s="1"/>
  <c r="A1435" i="2"/>
  <c r="C1434" i="2"/>
  <c r="B1434" i="2"/>
  <c r="D1434" i="2" s="1"/>
  <c r="A1434" i="2"/>
  <c r="C1433" i="2"/>
  <c r="B1433" i="2"/>
  <c r="D1433" i="2" s="1"/>
  <c r="F1433" i="2" s="1"/>
  <c r="A1433" i="2"/>
  <c r="C1432" i="2"/>
  <c r="B1432" i="2"/>
  <c r="D1432" i="2" s="1"/>
  <c r="A1432" i="2"/>
  <c r="C1431" i="2"/>
  <c r="B1431" i="2"/>
  <c r="D1431" i="2" s="1"/>
  <c r="F1431" i="2" s="1"/>
  <c r="A1431" i="2"/>
  <c r="C1430" i="2"/>
  <c r="B1430" i="2"/>
  <c r="D1430" i="2" s="1"/>
  <c r="A1430" i="2"/>
  <c r="C1429" i="2"/>
  <c r="B1429" i="2"/>
  <c r="D1429" i="2" s="1"/>
  <c r="F1429" i="2" s="1"/>
  <c r="A1429" i="2"/>
  <c r="C1428" i="2"/>
  <c r="B1428" i="2"/>
  <c r="D1428" i="2" s="1"/>
  <c r="A1428" i="2"/>
  <c r="C1427" i="2"/>
  <c r="B1427" i="2"/>
  <c r="D1427" i="2" s="1"/>
  <c r="F1427" i="2" s="1"/>
  <c r="A1427" i="2"/>
  <c r="C1426" i="2"/>
  <c r="B1426" i="2"/>
  <c r="D1426" i="2" s="1"/>
  <c r="E1426" i="2" s="1"/>
  <c r="A1426" i="2"/>
  <c r="C1425" i="2"/>
  <c r="B1425" i="2"/>
  <c r="D1425" i="2" s="1"/>
  <c r="A1425" i="2"/>
  <c r="C1424" i="2"/>
  <c r="B1424" i="2"/>
  <c r="D1424" i="2" s="1"/>
  <c r="E1424" i="2" s="1"/>
  <c r="A1424" i="2"/>
  <c r="C1423" i="2"/>
  <c r="B1423" i="2"/>
  <c r="D1423" i="2" s="1"/>
  <c r="A1423" i="2"/>
  <c r="C1422" i="2"/>
  <c r="B1422" i="2"/>
  <c r="D1422" i="2" s="1"/>
  <c r="E1422" i="2" s="1"/>
  <c r="A1422" i="2"/>
  <c r="C1421" i="2"/>
  <c r="B1421" i="2"/>
  <c r="D1421" i="2" s="1"/>
  <c r="A1421" i="2"/>
  <c r="C1420" i="2"/>
  <c r="B1420" i="2"/>
  <c r="D1420" i="2" s="1"/>
  <c r="E1420" i="2" s="1"/>
  <c r="A1420" i="2"/>
  <c r="C1419" i="2"/>
  <c r="B1419" i="2"/>
  <c r="D1419" i="2" s="1"/>
  <c r="A1419" i="2"/>
  <c r="C1418" i="2"/>
  <c r="B1418" i="2"/>
  <c r="D1418" i="2" s="1"/>
  <c r="E1418" i="2" s="1"/>
  <c r="A1418" i="2"/>
  <c r="C1417" i="2"/>
  <c r="B1417" i="2"/>
  <c r="D1417" i="2" s="1"/>
  <c r="A1417" i="2"/>
  <c r="C1416" i="2"/>
  <c r="B1416" i="2"/>
  <c r="D1416" i="2" s="1"/>
  <c r="E1416" i="2" s="1"/>
  <c r="A1416" i="2"/>
  <c r="C1415" i="2"/>
  <c r="B1415" i="2"/>
  <c r="D1415" i="2" s="1"/>
  <c r="A1415" i="2"/>
  <c r="C1414" i="2"/>
  <c r="B1414" i="2"/>
  <c r="D1414" i="2" s="1"/>
  <c r="E1414" i="2" s="1"/>
  <c r="A1414" i="2"/>
  <c r="C1413" i="2"/>
  <c r="B1413" i="2"/>
  <c r="D1413" i="2" s="1"/>
  <c r="A1413" i="2"/>
  <c r="C1412" i="2"/>
  <c r="B1412" i="2"/>
  <c r="D1412" i="2" s="1"/>
  <c r="E1412" i="2" s="1"/>
  <c r="A1412" i="2"/>
  <c r="C1411" i="2"/>
  <c r="B1411" i="2"/>
  <c r="D1411" i="2" s="1"/>
  <c r="A1411" i="2"/>
  <c r="C1410" i="2"/>
  <c r="B1410" i="2"/>
  <c r="D1410" i="2" s="1"/>
  <c r="E1410" i="2" s="1"/>
  <c r="A1410" i="2"/>
  <c r="C1409" i="2"/>
  <c r="B1409" i="2"/>
  <c r="D1409" i="2" s="1"/>
  <c r="A1409" i="2"/>
  <c r="C1408" i="2"/>
  <c r="B1408" i="2"/>
  <c r="D1408" i="2" s="1"/>
  <c r="E1408" i="2" s="1"/>
  <c r="A1408" i="2"/>
  <c r="C1407" i="2"/>
  <c r="B1407" i="2"/>
  <c r="D1407" i="2" s="1"/>
  <c r="A1407" i="2"/>
  <c r="C1406" i="2"/>
  <c r="B1406" i="2"/>
  <c r="D1406" i="2" s="1"/>
  <c r="E1406" i="2" s="1"/>
  <c r="A1406" i="2"/>
  <c r="C1405" i="2"/>
  <c r="B1405" i="2"/>
  <c r="D1405" i="2" s="1"/>
  <c r="A1405" i="2"/>
  <c r="C1404" i="2"/>
  <c r="B1404" i="2"/>
  <c r="D1404" i="2" s="1"/>
  <c r="E1404" i="2" s="1"/>
  <c r="A1404" i="2"/>
  <c r="C1403" i="2"/>
  <c r="B1403" i="2"/>
  <c r="D1403" i="2" s="1"/>
  <c r="A1403" i="2"/>
  <c r="C1402" i="2"/>
  <c r="B1402" i="2"/>
  <c r="D1402" i="2" s="1"/>
  <c r="E1402" i="2" s="1"/>
  <c r="A1402" i="2"/>
  <c r="C1401" i="2"/>
  <c r="B1401" i="2"/>
  <c r="D1401" i="2" s="1"/>
  <c r="A1401" i="2"/>
  <c r="C1400" i="2"/>
  <c r="B1400" i="2"/>
  <c r="D1400" i="2" s="1"/>
  <c r="E1400" i="2" s="1"/>
  <c r="A1400" i="2"/>
  <c r="C1399" i="2"/>
  <c r="B1399" i="2"/>
  <c r="D1399" i="2" s="1"/>
  <c r="A1399" i="2"/>
  <c r="C1398" i="2"/>
  <c r="B1398" i="2"/>
  <c r="D1398" i="2" s="1"/>
  <c r="E1398" i="2" s="1"/>
  <c r="A1398" i="2"/>
  <c r="C1397" i="2"/>
  <c r="B1397" i="2"/>
  <c r="D1397" i="2" s="1"/>
  <c r="A1397" i="2"/>
  <c r="C1396" i="2"/>
  <c r="B1396" i="2"/>
  <c r="D1396" i="2" s="1"/>
  <c r="E1396" i="2" s="1"/>
  <c r="A1396" i="2"/>
  <c r="C1395" i="2"/>
  <c r="B1395" i="2"/>
  <c r="D1395" i="2" s="1"/>
  <c r="A1395" i="2"/>
  <c r="C1394" i="2"/>
  <c r="B1394" i="2"/>
  <c r="D1394" i="2" s="1"/>
  <c r="E1394" i="2" s="1"/>
  <c r="A1394" i="2"/>
  <c r="C1393" i="2"/>
  <c r="B1393" i="2"/>
  <c r="D1393" i="2" s="1"/>
  <c r="A1393" i="2"/>
  <c r="C1392" i="2"/>
  <c r="B1392" i="2"/>
  <c r="D1392" i="2" s="1"/>
  <c r="E1392" i="2" s="1"/>
  <c r="A1392" i="2"/>
  <c r="C1391" i="2"/>
  <c r="B1391" i="2"/>
  <c r="D1391" i="2" s="1"/>
  <c r="A1391" i="2"/>
  <c r="C1390" i="2"/>
  <c r="B1390" i="2"/>
  <c r="D1390" i="2" s="1"/>
  <c r="E1390" i="2" s="1"/>
  <c r="A1390" i="2"/>
  <c r="C1389" i="2"/>
  <c r="B1389" i="2"/>
  <c r="D1389" i="2" s="1"/>
  <c r="A1389" i="2"/>
  <c r="C1388" i="2"/>
  <c r="B1388" i="2"/>
  <c r="D1388" i="2" s="1"/>
  <c r="E1388" i="2" s="1"/>
  <c r="A1388" i="2"/>
  <c r="C1387" i="2"/>
  <c r="B1387" i="2"/>
  <c r="D1387" i="2" s="1"/>
  <c r="A1387" i="2"/>
  <c r="C1386" i="2"/>
  <c r="B1386" i="2"/>
  <c r="D1386" i="2" s="1"/>
  <c r="E1386" i="2" s="1"/>
  <c r="A1386" i="2"/>
  <c r="C1385" i="2"/>
  <c r="B1385" i="2"/>
  <c r="D1385" i="2" s="1"/>
  <c r="A1385" i="2"/>
  <c r="C1384" i="2"/>
  <c r="B1384" i="2"/>
  <c r="D1384" i="2" s="1"/>
  <c r="E1384" i="2" s="1"/>
  <c r="A1384" i="2"/>
  <c r="C1383" i="2"/>
  <c r="B1383" i="2"/>
  <c r="D1383" i="2" s="1"/>
  <c r="A1383" i="2"/>
  <c r="C1382" i="2"/>
  <c r="B1382" i="2"/>
  <c r="D1382" i="2" s="1"/>
  <c r="E1382" i="2" s="1"/>
  <c r="A1382" i="2"/>
  <c r="C1381" i="2"/>
  <c r="B1381" i="2"/>
  <c r="D1381" i="2" s="1"/>
  <c r="A1381" i="2"/>
  <c r="C1380" i="2"/>
  <c r="B1380" i="2"/>
  <c r="D1380" i="2" s="1"/>
  <c r="E1380" i="2" s="1"/>
  <c r="A1380" i="2"/>
  <c r="C1379" i="2"/>
  <c r="B1379" i="2"/>
  <c r="D1379" i="2" s="1"/>
  <c r="A1379" i="2"/>
  <c r="C1378" i="2"/>
  <c r="B1378" i="2"/>
  <c r="D1378" i="2" s="1"/>
  <c r="E1378" i="2" s="1"/>
  <c r="A1378" i="2"/>
  <c r="C1377" i="2"/>
  <c r="B1377" i="2"/>
  <c r="D1377" i="2" s="1"/>
  <c r="A1377" i="2"/>
  <c r="C1376" i="2"/>
  <c r="B1376" i="2"/>
  <c r="D1376" i="2" s="1"/>
  <c r="E1376" i="2" s="1"/>
  <c r="A1376" i="2"/>
  <c r="C1375" i="2"/>
  <c r="B1375" i="2"/>
  <c r="D1375" i="2" s="1"/>
  <c r="A1375" i="2"/>
  <c r="C1374" i="2"/>
  <c r="B1374" i="2"/>
  <c r="D1374" i="2" s="1"/>
  <c r="E1374" i="2" s="1"/>
  <c r="A1374" i="2"/>
  <c r="C1373" i="2"/>
  <c r="B1373" i="2"/>
  <c r="D1373" i="2" s="1"/>
  <c r="A1373" i="2"/>
  <c r="C1372" i="2"/>
  <c r="B1372" i="2"/>
  <c r="D1372" i="2" s="1"/>
  <c r="E1372" i="2" s="1"/>
  <c r="A1372" i="2"/>
  <c r="C1371" i="2"/>
  <c r="B1371" i="2"/>
  <c r="D1371" i="2" s="1"/>
  <c r="A1371" i="2"/>
  <c r="C1370" i="2"/>
  <c r="B1370" i="2"/>
  <c r="D1370" i="2" s="1"/>
  <c r="A1370" i="2"/>
  <c r="C1369" i="2"/>
  <c r="B1369" i="2"/>
  <c r="D1369" i="2" s="1"/>
  <c r="A1369" i="2"/>
  <c r="C1368" i="2"/>
  <c r="B1368" i="2"/>
  <c r="D1368" i="2" s="1"/>
  <c r="E1368" i="2" s="1"/>
  <c r="A1368" i="2"/>
  <c r="C1367" i="2"/>
  <c r="B1367" i="2"/>
  <c r="D1367" i="2" s="1"/>
  <c r="A1367" i="2"/>
  <c r="C1366" i="2"/>
  <c r="B1366" i="2"/>
  <c r="D1366" i="2" s="1"/>
  <c r="A1366" i="2"/>
  <c r="C1365" i="2"/>
  <c r="B1365" i="2"/>
  <c r="D1365" i="2" s="1"/>
  <c r="A1365" i="2"/>
  <c r="C1364" i="2"/>
  <c r="B1364" i="2"/>
  <c r="D1364" i="2" s="1"/>
  <c r="A1364" i="2"/>
  <c r="C1363" i="2"/>
  <c r="B1363" i="2"/>
  <c r="D1363" i="2" s="1"/>
  <c r="A1363" i="2"/>
  <c r="C1362" i="2"/>
  <c r="B1362" i="2"/>
  <c r="D1362" i="2" s="1"/>
  <c r="A1362" i="2"/>
  <c r="C1361" i="2"/>
  <c r="B1361" i="2"/>
  <c r="D1361" i="2" s="1"/>
  <c r="A1361" i="2"/>
  <c r="C1360" i="2"/>
  <c r="B1360" i="2"/>
  <c r="D1360" i="2" s="1"/>
  <c r="A1360" i="2"/>
  <c r="C1359" i="2"/>
  <c r="B1359" i="2"/>
  <c r="D1359" i="2" s="1"/>
  <c r="A1359" i="2"/>
  <c r="C1358" i="2"/>
  <c r="B1358" i="2"/>
  <c r="D1358" i="2" s="1"/>
  <c r="A1358" i="2"/>
  <c r="C1357" i="2"/>
  <c r="B1357" i="2"/>
  <c r="D1357" i="2" s="1"/>
  <c r="A1357" i="2"/>
  <c r="C1356" i="2"/>
  <c r="B1356" i="2"/>
  <c r="D1356" i="2" s="1"/>
  <c r="A1356" i="2"/>
  <c r="C1355" i="2"/>
  <c r="B1355" i="2"/>
  <c r="D1355" i="2" s="1"/>
  <c r="A1355" i="2"/>
  <c r="C1354" i="2"/>
  <c r="B1354" i="2"/>
  <c r="D1354" i="2" s="1"/>
  <c r="A1354" i="2"/>
  <c r="C1353" i="2"/>
  <c r="B1353" i="2"/>
  <c r="D1353" i="2" s="1"/>
  <c r="A1353" i="2"/>
  <c r="C1352" i="2"/>
  <c r="B1352" i="2"/>
  <c r="D1352" i="2" s="1"/>
  <c r="F1352" i="2" s="1"/>
  <c r="A1352" i="2"/>
  <c r="C1351" i="2"/>
  <c r="B1351" i="2"/>
  <c r="D1351" i="2" s="1"/>
  <c r="A1351" i="2"/>
  <c r="C1350" i="2"/>
  <c r="B1350" i="2"/>
  <c r="D1350" i="2" s="1"/>
  <c r="F1350" i="2" s="1"/>
  <c r="A1350" i="2"/>
  <c r="C1349" i="2"/>
  <c r="B1349" i="2"/>
  <c r="D1349" i="2" s="1"/>
  <c r="A1349" i="2"/>
  <c r="C1348" i="2"/>
  <c r="B1348" i="2"/>
  <c r="D1348" i="2" s="1"/>
  <c r="A1348" i="2"/>
  <c r="C1347" i="2"/>
  <c r="B1347" i="2"/>
  <c r="D1347" i="2" s="1"/>
  <c r="A1347" i="2"/>
  <c r="C1346" i="2"/>
  <c r="B1346" i="2"/>
  <c r="D1346" i="2" s="1"/>
  <c r="F1346" i="2" s="1"/>
  <c r="A1346" i="2"/>
  <c r="C1345" i="2"/>
  <c r="B1345" i="2"/>
  <c r="D1345" i="2" s="1"/>
  <c r="A1345" i="2"/>
  <c r="C1344" i="2"/>
  <c r="B1344" i="2"/>
  <c r="D1344" i="2" s="1"/>
  <c r="A1344" i="2"/>
  <c r="C1343" i="2"/>
  <c r="B1343" i="2"/>
  <c r="D1343" i="2" s="1"/>
  <c r="A1343" i="2"/>
  <c r="E1342" i="2"/>
  <c r="C1342" i="2"/>
  <c r="B1342" i="2"/>
  <c r="D1342" i="2" s="1"/>
  <c r="F1342" i="2" s="1"/>
  <c r="A1342" i="2"/>
  <c r="C1341" i="2"/>
  <c r="B1341" i="2"/>
  <c r="D1341" i="2" s="1"/>
  <c r="A1341" i="2"/>
  <c r="C1340" i="2"/>
  <c r="B1340" i="2"/>
  <c r="D1340" i="2" s="1"/>
  <c r="A1340" i="2"/>
  <c r="C1339" i="2"/>
  <c r="B1339" i="2"/>
  <c r="D1339" i="2" s="1"/>
  <c r="A1339" i="2"/>
  <c r="C1338" i="2"/>
  <c r="B1338" i="2"/>
  <c r="D1338" i="2" s="1"/>
  <c r="F1338" i="2" s="1"/>
  <c r="A1338" i="2"/>
  <c r="C1337" i="2"/>
  <c r="B1337" i="2"/>
  <c r="D1337" i="2" s="1"/>
  <c r="A1337" i="2"/>
  <c r="C1336" i="2"/>
  <c r="B1336" i="2"/>
  <c r="D1336" i="2" s="1"/>
  <c r="A1336" i="2"/>
  <c r="C1335" i="2"/>
  <c r="B1335" i="2"/>
  <c r="D1335" i="2" s="1"/>
  <c r="A1335" i="2"/>
  <c r="C1334" i="2"/>
  <c r="B1334" i="2"/>
  <c r="D1334" i="2" s="1"/>
  <c r="F1334" i="2" s="1"/>
  <c r="A1334" i="2"/>
  <c r="C1333" i="2"/>
  <c r="B1333" i="2"/>
  <c r="D1333" i="2" s="1"/>
  <c r="A1333" i="2"/>
  <c r="C1332" i="2"/>
  <c r="B1332" i="2"/>
  <c r="D1332" i="2" s="1"/>
  <c r="A1332" i="2"/>
  <c r="C1331" i="2"/>
  <c r="B1331" i="2"/>
  <c r="D1331" i="2" s="1"/>
  <c r="A1331" i="2"/>
  <c r="C1330" i="2"/>
  <c r="B1330" i="2"/>
  <c r="D1330" i="2" s="1"/>
  <c r="F1330" i="2" s="1"/>
  <c r="A1330" i="2"/>
  <c r="C1329" i="2"/>
  <c r="B1329" i="2"/>
  <c r="D1329" i="2" s="1"/>
  <c r="A1329" i="2"/>
  <c r="C1328" i="2"/>
  <c r="B1328" i="2"/>
  <c r="D1328" i="2" s="1"/>
  <c r="A1328" i="2"/>
  <c r="C1327" i="2"/>
  <c r="B1327" i="2"/>
  <c r="D1327" i="2" s="1"/>
  <c r="A1327" i="2"/>
  <c r="C1326" i="2"/>
  <c r="B1326" i="2"/>
  <c r="D1326" i="2" s="1"/>
  <c r="F1326" i="2" s="1"/>
  <c r="A1326" i="2"/>
  <c r="C1325" i="2"/>
  <c r="B1325" i="2"/>
  <c r="D1325" i="2" s="1"/>
  <c r="A1325" i="2"/>
  <c r="C1324" i="2"/>
  <c r="B1324" i="2"/>
  <c r="D1324" i="2" s="1"/>
  <c r="A1324" i="2"/>
  <c r="C1323" i="2"/>
  <c r="B1323" i="2"/>
  <c r="D1323" i="2" s="1"/>
  <c r="A1323" i="2"/>
  <c r="C1322" i="2"/>
  <c r="B1322" i="2"/>
  <c r="D1322" i="2" s="1"/>
  <c r="F1322" i="2" s="1"/>
  <c r="A1322" i="2"/>
  <c r="C1321" i="2"/>
  <c r="B1321" i="2"/>
  <c r="D1321" i="2" s="1"/>
  <c r="A1321" i="2"/>
  <c r="C1320" i="2"/>
  <c r="B1320" i="2"/>
  <c r="D1320" i="2" s="1"/>
  <c r="F1320" i="2" s="1"/>
  <c r="A1320" i="2"/>
  <c r="C1319" i="2"/>
  <c r="B1319" i="2"/>
  <c r="D1319" i="2" s="1"/>
  <c r="A1319" i="2"/>
  <c r="C1318" i="2"/>
  <c r="B1318" i="2"/>
  <c r="D1318" i="2" s="1"/>
  <c r="F1318" i="2" s="1"/>
  <c r="A1318" i="2"/>
  <c r="C1317" i="2"/>
  <c r="B1317" i="2"/>
  <c r="D1317" i="2" s="1"/>
  <c r="A1317" i="2"/>
  <c r="C1316" i="2"/>
  <c r="B1316" i="2"/>
  <c r="D1316" i="2" s="1"/>
  <c r="A1316" i="2"/>
  <c r="C1315" i="2"/>
  <c r="B1315" i="2"/>
  <c r="D1315" i="2" s="1"/>
  <c r="A1315" i="2"/>
  <c r="C1314" i="2"/>
  <c r="B1314" i="2"/>
  <c r="D1314" i="2" s="1"/>
  <c r="F1314" i="2" s="1"/>
  <c r="A1314" i="2"/>
  <c r="C1313" i="2"/>
  <c r="B1313" i="2"/>
  <c r="D1313" i="2" s="1"/>
  <c r="A1313" i="2"/>
  <c r="C1312" i="2"/>
  <c r="B1312" i="2"/>
  <c r="D1312" i="2" s="1"/>
  <c r="A1312" i="2"/>
  <c r="C1311" i="2"/>
  <c r="B1311" i="2"/>
  <c r="D1311" i="2" s="1"/>
  <c r="A1311" i="2"/>
  <c r="C1310" i="2"/>
  <c r="B1310" i="2"/>
  <c r="D1310" i="2" s="1"/>
  <c r="F1310" i="2" s="1"/>
  <c r="A1310" i="2"/>
  <c r="C1309" i="2"/>
  <c r="B1309" i="2"/>
  <c r="D1309" i="2" s="1"/>
  <c r="A1309" i="2"/>
  <c r="C1308" i="2"/>
  <c r="B1308" i="2"/>
  <c r="D1308" i="2" s="1"/>
  <c r="A1308" i="2"/>
  <c r="C1307" i="2"/>
  <c r="B1307" i="2"/>
  <c r="D1307" i="2" s="1"/>
  <c r="A1307" i="2"/>
  <c r="C1306" i="2"/>
  <c r="B1306" i="2"/>
  <c r="D1306" i="2" s="1"/>
  <c r="A1306" i="2"/>
  <c r="C1305" i="2"/>
  <c r="B1305" i="2"/>
  <c r="D1305" i="2" s="1"/>
  <c r="A1305" i="2"/>
  <c r="C1304" i="2"/>
  <c r="B1304" i="2"/>
  <c r="D1304" i="2" s="1"/>
  <c r="A1304" i="2"/>
  <c r="C1303" i="2"/>
  <c r="B1303" i="2"/>
  <c r="D1303" i="2" s="1"/>
  <c r="A1303" i="2"/>
  <c r="C1302" i="2"/>
  <c r="B1302" i="2"/>
  <c r="D1302" i="2" s="1"/>
  <c r="F1302" i="2" s="1"/>
  <c r="A1302" i="2"/>
  <c r="C1301" i="2"/>
  <c r="B1301" i="2"/>
  <c r="D1301" i="2" s="1"/>
  <c r="A1301" i="2"/>
  <c r="C1300" i="2"/>
  <c r="B1300" i="2"/>
  <c r="D1300" i="2" s="1"/>
  <c r="A1300" i="2"/>
  <c r="C1299" i="2"/>
  <c r="B1299" i="2"/>
  <c r="D1299" i="2" s="1"/>
  <c r="A1299" i="2"/>
  <c r="C1298" i="2"/>
  <c r="B1298" i="2"/>
  <c r="D1298" i="2" s="1"/>
  <c r="A1298" i="2"/>
  <c r="C1297" i="2"/>
  <c r="B1297" i="2"/>
  <c r="D1297" i="2" s="1"/>
  <c r="A1297" i="2"/>
  <c r="C1296" i="2"/>
  <c r="B1296" i="2"/>
  <c r="D1296" i="2" s="1"/>
  <c r="A1296" i="2"/>
  <c r="C1295" i="2"/>
  <c r="B1295" i="2"/>
  <c r="D1295" i="2" s="1"/>
  <c r="A1295" i="2"/>
  <c r="C1294" i="2"/>
  <c r="B1294" i="2"/>
  <c r="D1294" i="2" s="1"/>
  <c r="F1294" i="2" s="1"/>
  <c r="A1294" i="2"/>
  <c r="C1293" i="2"/>
  <c r="B1293" i="2"/>
  <c r="D1293" i="2" s="1"/>
  <c r="A1293" i="2"/>
  <c r="C1292" i="2"/>
  <c r="B1292" i="2"/>
  <c r="D1292" i="2" s="1"/>
  <c r="A1292" i="2"/>
  <c r="C1291" i="2"/>
  <c r="B1291" i="2"/>
  <c r="D1291" i="2" s="1"/>
  <c r="A1291" i="2"/>
  <c r="C1290" i="2"/>
  <c r="B1290" i="2"/>
  <c r="D1290" i="2" s="1"/>
  <c r="A1290" i="2"/>
  <c r="C1289" i="2"/>
  <c r="B1289" i="2"/>
  <c r="D1289" i="2" s="1"/>
  <c r="F1289" i="2" s="1"/>
  <c r="A1289" i="2"/>
  <c r="C1288" i="2"/>
  <c r="B1288" i="2"/>
  <c r="D1288" i="2" s="1"/>
  <c r="A1288" i="2"/>
  <c r="C1287" i="2"/>
  <c r="B1287" i="2"/>
  <c r="D1287" i="2" s="1"/>
  <c r="F1287" i="2" s="1"/>
  <c r="A1287" i="2"/>
  <c r="C1286" i="2"/>
  <c r="B1286" i="2"/>
  <c r="D1286" i="2" s="1"/>
  <c r="A1286" i="2"/>
  <c r="C1285" i="2"/>
  <c r="B1285" i="2"/>
  <c r="D1285" i="2" s="1"/>
  <c r="A1285" i="2"/>
  <c r="D1284" i="2"/>
  <c r="C1284" i="2"/>
  <c r="B1284" i="2"/>
  <c r="A1284" i="2"/>
  <c r="E1283" i="2"/>
  <c r="C1283" i="2"/>
  <c r="B1283" i="2"/>
  <c r="D1283" i="2" s="1"/>
  <c r="F1283" i="2" s="1"/>
  <c r="A1283" i="2"/>
  <c r="E1282" i="2"/>
  <c r="C1282" i="2"/>
  <c r="B1282" i="2"/>
  <c r="D1282" i="2" s="1"/>
  <c r="F1282" i="2" s="1"/>
  <c r="A1282" i="2"/>
  <c r="C1281" i="2"/>
  <c r="B1281" i="2"/>
  <c r="D1281" i="2" s="1"/>
  <c r="F1281" i="2" s="1"/>
  <c r="A1281" i="2"/>
  <c r="C1280" i="2"/>
  <c r="B1280" i="2"/>
  <c r="D1280" i="2" s="1"/>
  <c r="F1280" i="2" s="1"/>
  <c r="A1280" i="2"/>
  <c r="C1279" i="2"/>
  <c r="B1279" i="2"/>
  <c r="D1279" i="2" s="1"/>
  <c r="F1279" i="2" s="1"/>
  <c r="A1279" i="2"/>
  <c r="C1278" i="2"/>
  <c r="B1278" i="2"/>
  <c r="D1278" i="2" s="1"/>
  <c r="F1278" i="2" s="1"/>
  <c r="A1278" i="2"/>
  <c r="C1277" i="2"/>
  <c r="B1277" i="2"/>
  <c r="D1277" i="2" s="1"/>
  <c r="F1277" i="2" s="1"/>
  <c r="A1277" i="2"/>
  <c r="C1276" i="2"/>
  <c r="B1276" i="2"/>
  <c r="D1276" i="2" s="1"/>
  <c r="F1276" i="2" s="1"/>
  <c r="A1276" i="2"/>
  <c r="C1275" i="2"/>
  <c r="B1275" i="2"/>
  <c r="D1275" i="2" s="1"/>
  <c r="A1275" i="2"/>
  <c r="C1274" i="2"/>
  <c r="B1274" i="2"/>
  <c r="D1274" i="2" s="1"/>
  <c r="A1274" i="2"/>
  <c r="C1273" i="2"/>
  <c r="B1273" i="2"/>
  <c r="D1273" i="2" s="1"/>
  <c r="F1273" i="2" s="1"/>
  <c r="A1273" i="2"/>
  <c r="C1272" i="2"/>
  <c r="B1272" i="2"/>
  <c r="D1272" i="2" s="1"/>
  <c r="A1272" i="2"/>
  <c r="C1271" i="2"/>
  <c r="B1271" i="2"/>
  <c r="D1271" i="2" s="1"/>
  <c r="F1271" i="2" s="1"/>
  <c r="A1271" i="2"/>
  <c r="C1270" i="2"/>
  <c r="B1270" i="2"/>
  <c r="D1270" i="2" s="1"/>
  <c r="A1270" i="2"/>
  <c r="C1269" i="2"/>
  <c r="B1269" i="2"/>
  <c r="D1269" i="2" s="1"/>
  <c r="F1269" i="2" s="1"/>
  <c r="A1269" i="2"/>
  <c r="C1268" i="2"/>
  <c r="B1268" i="2"/>
  <c r="D1268" i="2" s="1"/>
  <c r="F1268" i="2" s="1"/>
  <c r="A1268" i="2"/>
  <c r="C1267" i="2"/>
  <c r="B1267" i="2"/>
  <c r="D1267" i="2" s="1"/>
  <c r="F1267" i="2" s="1"/>
  <c r="A1267" i="2"/>
  <c r="C1266" i="2"/>
  <c r="B1266" i="2"/>
  <c r="D1266" i="2" s="1"/>
  <c r="A1266" i="2"/>
  <c r="C1265" i="2"/>
  <c r="B1265" i="2"/>
  <c r="D1265" i="2" s="1"/>
  <c r="F1265" i="2" s="1"/>
  <c r="A1265" i="2"/>
  <c r="C1264" i="2"/>
  <c r="B1264" i="2"/>
  <c r="D1264" i="2" s="1"/>
  <c r="A1264" i="2"/>
  <c r="C1263" i="2"/>
  <c r="B1263" i="2"/>
  <c r="D1263" i="2" s="1"/>
  <c r="F1263" i="2" s="1"/>
  <c r="A1263" i="2"/>
  <c r="C1262" i="2"/>
  <c r="B1262" i="2"/>
  <c r="D1262" i="2" s="1"/>
  <c r="A1262" i="2"/>
  <c r="C1261" i="2"/>
  <c r="B1261" i="2"/>
  <c r="D1261" i="2" s="1"/>
  <c r="A1261" i="2"/>
  <c r="C1260" i="2"/>
  <c r="B1260" i="2"/>
  <c r="D1260" i="2" s="1"/>
  <c r="A1260" i="2"/>
  <c r="C1259" i="2"/>
  <c r="B1259" i="2"/>
  <c r="D1259" i="2" s="1"/>
  <c r="A1259" i="2"/>
  <c r="C1258" i="2"/>
  <c r="B1258" i="2"/>
  <c r="D1258" i="2" s="1"/>
  <c r="A1258" i="2"/>
  <c r="C1257" i="2"/>
  <c r="B1257" i="2"/>
  <c r="D1257" i="2" s="1"/>
  <c r="F1257" i="2" s="1"/>
  <c r="A1257" i="2"/>
  <c r="C1256" i="2"/>
  <c r="B1256" i="2"/>
  <c r="D1256" i="2" s="1"/>
  <c r="A1256" i="2"/>
  <c r="C1255" i="2"/>
  <c r="B1255" i="2"/>
  <c r="D1255" i="2" s="1"/>
  <c r="F1255" i="2" s="1"/>
  <c r="A1255" i="2"/>
  <c r="C1254" i="2"/>
  <c r="B1254" i="2"/>
  <c r="D1254" i="2" s="1"/>
  <c r="A1254" i="2"/>
  <c r="C1253" i="2"/>
  <c r="B1253" i="2"/>
  <c r="D1253" i="2" s="1"/>
  <c r="A1253" i="2"/>
  <c r="C1252" i="2"/>
  <c r="B1252" i="2"/>
  <c r="D1252" i="2" s="1"/>
  <c r="A1252" i="2"/>
  <c r="C1251" i="2"/>
  <c r="B1251" i="2"/>
  <c r="D1251" i="2" s="1"/>
  <c r="F1251" i="2" s="1"/>
  <c r="A1251" i="2"/>
  <c r="C1250" i="2"/>
  <c r="B1250" i="2"/>
  <c r="D1250" i="2" s="1"/>
  <c r="A1250" i="2"/>
  <c r="C1249" i="2"/>
  <c r="B1249" i="2"/>
  <c r="D1249" i="2" s="1"/>
  <c r="F1249" i="2" s="1"/>
  <c r="A1249" i="2"/>
  <c r="C1248" i="2"/>
  <c r="B1248" i="2"/>
  <c r="D1248" i="2" s="1"/>
  <c r="A1248" i="2"/>
  <c r="C1247" i="2"/>
  <c r="B1247" i="2"/>
  <c r="D1247" i="2" s="1"/>
  <c r="F1247" i="2" s="1"/>
  <c r="A1247" i="2"/>
  <c r="C1246" i="2"/>
  <c r="B1246" i="2"/>
  <c r="D1246" i="2" s="1"/>
  <c r="A1246" i="2"/>
  <c r="C1245" i="2"/>
  <c r="B1245" i="2"/>
  <c r="D1245" i="2" s="1"/>
  <c r="F1245" i="2" s="1"/>
  <c r="A1245" i="2"/>
  <c r="C1244" i="2"/>
  <c r="B1244" i="2"/>
  <c r="D1244" i="2" s="1"/>
  <c r="F1244" i="2" s="1"/>
  <c r="A1244" i="2"/>
  <c r="C1243" i="2"/>
  <c r="B1243" i="2"/>
  <c r="D1243" i="2" s="1"/>
  <c r="A1243" i="2"/>
  <c r="C1242" i="2"/>
  <c r="B1242" i="2"/>
  <c r="D1242" i="2" s="1"/>
  <c r="A1242" i="2"/>
  <c r="C1241" i="2"/>
  <c r="B1241" i="2"/>
  <c r="D1241" i="2" s="1"/>
  <c r="F1241" i="2" s="1"/>
  <c r="A1241" i="2"/>
  <c r="C1240" i="2"/>
  <c r="B1240" i="2"/>
  <c r="D1240" i="2" s="1"/>
  <c r="F1240" i="2" s="1"/>
  <c r="A1240" i="2"/>
  <c r="C1239" i="2"/>
  <c r="B1239" i="2"/>
  <c r="D1239" i="2" s="1"/>
  <c r="A1239" i="2"/>
  <c r="C1238" i="2"/>
  <c r="B1238" i="2"/>
  <c r="D1238" i="2" s="1"/>
  <c r="A1238" i="2"/>
  <c r="C1237" i="2"/>
  <c r="B1237" i="2"/>
  <c r="D1237" i="2" s="1"/>
  <c r="F1237" i="2" s="1"/>
  <c r="A1237" i="2"/>
  <c r="C1236" i="2"/>
  <c r="B1236" i="2"/>
  <c r="D1236" i="2" s="1"/>
  <c r="F1236" i="2" s="1"/>
  <c r="A1236" i="2"/>
  <c r="C1235" i="2"/>
  <c r="B1235" i="2"/>
  <c r="D1235" i="2" s="1"/>
  <c r="A1235" i="2"/>
  <c r="C1234" i="2"/>
  <c r="B1234" i="2"/>
  <c r="D1234" i="2" s="1"/>
  <c r="A1234" i="2"/>
  <c r="C1233" i="2"/>
  <c r="B1233" i="2"/>
  <c r="D1233" i="2" s="1"/>
  <c r="F1233" i="2" s="1"/>
  <c r="A1233" i="2"/>
  <c r="C1232" i="2"/>
  <c r="B1232" i="2"/>
  <c r="D1232" i="2" s="1"/>
  <c r="F1232" i="2" s="1"/>
  <c r="A1232" i="2"/>
  <c r="C1231" i="2"/>
  <c r="B1231" i="2"/>
  <c r="D1231" i="2" s="1"/>
  <c r="A1231" i="2"/>
  <c r="C1230" i="2"/>
  <c r="B1230" i="2"/>
  <c r="D1230" i="2" s="1"/>
  <c r="A1230" i="2"/>
  <c r="C1229" i="2"/>
  <c r="B1229" i="2"/>
  <c r="D1229" i="2" s="1"/>
  <c r="F1229" i="2" s="1"/>
  <c r="A1229" i="2"/>
  <c r="D1228" i="2"/>
  <c r="F1228" i="2" s="1"/>
  <c r="C1228" i="2"/>
  <c r="B1228" i="2"/>
  <c r="A1228" i="2"/>
  <c r="F1227" i="2"/>
  <c r="C1227" i="2"/>
  <c r="B1227" i="2"/>
  <c r="D1227" i="2" s="1"/>
  <c r="E1227" i="2" s="1"/>
  <c r="A1227" i="2"/>
  <c r="C1226" i="2"/>
  <c r="B1226" i="2"/>
  <c r="D1226" i="2" s="1"/>
  <c r="A1226" i="2"/>
  <c r="C1225" i="2"/>
  <c r="B1225" i="2"/>
  <c r="D1225" i="2" s="1"/>
  <c r="F1225" i="2" s="1"/>
  <c r="A1225" i="2"/>
  <c r="C1224" i="2"/>
  <c r="B1224" i="2"/>
  <c r="D1224" i="2" s="1"/>
  <c r="F1224" i="2" s="1"/>
  <c r="A1224" i="2"/>
  <c r="C1223" i="2"/>
  <c r="B1223" i="2"/>
  <c r="D1223" i="2" s="1"/>
  <c r="A1223" i="2"/>
  <c r="D1222" i="2"/>
  <c r="C1222" i="2"/>
  <c r="B1222" i="2"/>
  <c r="A1222" i="2"/>
  <c r="C1221" i="2"/>
  <c r="B1221" i="2"/>
  <c r="D1221" i="2" s="1"/>
  <c r="F1221" i="2" s="1"/>
  <c r="A1221" i="2"/>
  <c r="C1220" i="2"/>
  <c r="B1220" i="2"/>
  <c r="D1220" i="2" s="1"/>
  <c r="F1220" i="2" s="1"/>
  <c r="A1220" i="2"/>
  <c r="C1219" i="2"/>
  <c r="B1219" i="2"/>
  <c r="D1219" i="2" s="1"/>
  <c r="F1219" i="2" s="1"/>
  <c r="A1219" i="2"/>
  <c r="C1218" i="2"/>
  <c r="B1218" i="2"/>
  <c r="D1218" i="2" s="1"/>
  <c r="A1218" i="2"/>
  <c r="C1217" i="2"/>
  <c r="B1217" i="2"/>
  <c r="D1217" i="2" s="1"/>
  <c r="F1217" i="2" s="1"/>
  <c r="A1217" i="2"/>
  <c r="C1216" i="2"/>
  <c r="B1216" i="2"/>
  <c r="D1216" i="2" s="1"/>
  <c r="F1216" i="2" s="1"/>
  <c r="A1216" i="2"/>
  <c r="C1215" i="2"/>
  <c r="B1215" i="2"/>
  <c r="D1215" i="2" s="1"/>
  <c r="A1215" i="2"/>
  <c r="C1214" i="2"/>
  <c r="B1214" i="2"/>
  <c r="D1214" i="2" s="1"/>
  <c r="F1214" i="2" s="1"/>
  <c r="A1214" i="2"/>
  <c r="C1213" i="2"/>
  <c r="B1213" i="2"/>
  <c r="D1213" i="2" s="1"/>
  <c r="F1213" i="2" s="1"/>
  <c r="A1213" i="2"/>
  <c r="C1212" i="2"/>
  <c r="B1212" i="2"/>
  <c r="D1212" i="2" s="1"/>
  <c r="F1212" i="2" s="1"/>
  <c r="A1212" i="2"/>
  <c r="C1211" i="2"/>
  <c r="B1211" i="2"/>
  <c r="D1211" i="2" s="1"/>
  <c r="E1211" i="2" s="1"/>
  <c r="A1211" i="2"/>
  <c r="C1210" i="2"/>
  <c r="B1210" i="2"/>
  <c r="D1210" i="2" s="1"/>
  <c r="A1210" i="2"/>
  <c r="C1209" i="2"/>
  <c r="B1209" i="2"/>
  <c r="D1209" i="2" s="1"/>
  <c r="F1209" i="2" s="1"/>
  <c r="A1209" i="2"/>
  <c r="C1208" i="2"/>
  <c r="B1208" i="2"/>
  <c r="D1208" i="2" s="1"/>
  <c r="F1208" i="2" s="1"/>
  <c r="A1208" i="2"/>
  <c r="C1207" i="2"/>
  <c r="B1207" i="2"/>
  <c r="D1207" i="2" s="1"/>
  <c r="A1207" i="2"/>
  <c r="C1206" i="2"/>
  <c r="B1206" i="2"/>
  <c r="D1206" i="2" s="1"/>
  <c r="A1206" i="2"/>
  <c r="C1205" i="2"/>
  <c r="B1205" i="2"/>
  <c r="D1205" i="2" s="1"/>
  <c r="F1205" i="2" s="1"/>
  <c r="A1205" i="2"/>
  <c r="C1204" i="2"/>
  <c r="B1204" i="2"/>
  <c r="D1204" i="2" s="1"/>
  <c r="F1204" i="2" s="1"/>
  <c r="A1204" i="2"/>
  <c r="C1203" i="2"/>
  <c r="B1203" i="2"/>
  <c r="D1203" i="2" s="1"/>
  <c r="F1203" i="2" s="1"/>
  <c r="A1203" i="2"/>
  <c r="C1202" i="2"/>
  <c r="B1202" i="2"/>
  <c r="D1202" i="2" s="1"/>
  <c r="A1202" i="2"/>
  <c r="C1201" i="2"/>
  <c r="B1201" i="2"/>
  <c r="D1201" i="2" s="1"/>
  <c r="F1201" i="2" s="1"/>
  <c r="A1201" i="2"/>
  <c r="C1200" i="2"/>
  <c r="B1200" i="2"/>
  <c r="D1200" i="2" s="1"/>
  <c r="A1200" i="2"/>
  <c r="C1199" i="2"/>
  <c r="B1199" i="2"/>
  <c r="D1199" i="2" s="1"/>
  <c r="F1199" i="2" s="1"/>
  <c r="A1199" i="2"/>
  <c r="C1198" i="2"/>
  <c r="B1198" i="2"/>
  <c r="D1198" i="2" s="1"/>
  <c r="A1198" i="2"/>
  <c r="C1197" i="2"/>
  <c r="B1197" i="2"/>
  <c r="D1197" i="2" s="1"/>
  <c r="F1197" i="2" s="1"/>
  <c r="A1197" i="2"/>
  <c r="C1196" i="2"/>
  <c r="B1196" i="2"/>
  <c r="D1196" i="2" s="1"/>
  <c r="A1196" i="2"/>
  <c r="C1195" i="2"/>
  <c r="B1195" i="2"/>
  <c r="D1195" i="2" s="1"/>
  <c r="F1195" i="2" s="1"/>
  <c r="A1195" i="2"/>
  <c r="C1194" i="2"/>
  <c r="B1194" i="2"/>
  <c r="D1194" i="2" s="1"/>
  <c r="A1194" i="2"/>
  <c r="C1193" i="2"/>
  <c r="B1193" i="2"/>
  <c r="D1193" i="2" s="1"/>
  <c r="F1193" i="2" s="1"/>
  <c r="A1193" i="2"/>
  <c r="C1192" i="2"/>
  <c r="B1192" i="2"/>
  <c r="D1192" i="2" s="1"/>
  <c r="A1192" i="2"/>
  <c r="C1191" i="2"/>
  <c r="B1191" i="2"/>
  <c r="D1191" i="2" s="1"/>
  <c r="F1191" i="2" s="1"/>
  <c r="A1191" i="2"/>
  <c r="C1190" i="2"/>
  <c r="B1190" i="2"/>
  <c r="D1190" i="2" s="1"/>
  <c r="A1190" i="2"/>
  <c r="C1189" i="2"/>
  <c r="B1189" i="2"/>
  <c r="D1189" i="2" s="1"/>
  <c r="F1189" i="2" s="1"/>
  <c r="A1189" i="2"/>
  <c r="C1188" i="2"/>
  <c r="B1188" i="2"/>
  <c r="D1188" i="2" s="1"/>
  <c r="A1188" i="2"/>
  <c r="C1187" i="2"/>
  <c r="B1187" i="2"/>
  <c r="D1187" i="2" s="1"/>
  <c r="F1187" i="2" s="1"/>
  <c r="A1187" i="2"/>
  <c r="C1186" i="2"/>
  <c r="B1186" i="2"/>
  <c r="D1186" i="2" s="1"/>
  <c r="A1186" i="2"/>
  <c r="C1185" i="2"/>
  <c r="B1185" i="2"/>
  <c r="D1185" i="2" s="1"/>
  <c r="F1185" i="2" s="1"/>
  <c r="A1185" i="2"/>
  <c r="C1184" i="2"/>
  <c r="B1184" i="2"/>
  <c r="D1184" i="2" s="1"/>
  <c r="A1184" i="2"/>
  <c r="C1183" i="2"/>
  <c r="B1183" i="2"/>
  <c r="D1183" i="2" s="1"/>
  <c r="F1183" i="2" s="1"/>
  <c r="A1183" i="2"/>
  <c r="C1182" i="2"/>
  <c r="B1182" i="2"/>
  <c r="D1182" i="2" s="1"/>
  <c r="A1182" i="2"/>
  <c r="C1181" i="2"/>
  <c r="B1181" i="2"/>
  <c r="D1181" i="2" s="1"/>
  <c r="F1181" i="2" s="1"/>
  <c r="A1181" i="2"/>
  <c r="C1180" i="2"/>
  <c r="B1180" i="2"/>
  <c r="D1180" i="2" s="1"/>
  <c r="A1180" i="2"/>
  <c r="C1179" i="2"/>
  <c r="B1179" i="2"/>
  <c r="D1179" i="2" s="1"/>
  <c r="F1179" i="2" s="1"/>
  <c r="A1179" i="2"/>
  <c r="C1178" i="2"/>
  <c r="B1178" i="2"/>
  <c r="D1178" i="2" s="1"/>
  <c r="A1178" i="2"/>
  <c r="C1177" i="2"/>
  <c r="B1177" i="2"/>
  <c r="D1177" i="2" s="1"/>
  <c r="F1177" i="2" s="1"/>
  <c r="A1177" i="2"/>
  <c r="C1176" i="2"/>
  <c r="B1176" i="2"/>
  <c r="D1176" i="2" s="1"/>
  <c r="A1176" i="2"/>
  <c r="C1175" i="2"/>
  <c r="B1175" i="2"/>
  <c r="D1175" i="2" s="1"/>
  <c r="F1175" i="2" s="1"/>
  <c r="A1175" i="2"/>
  <c r="C1174" i="2"/>
  <c r="B1174" i="2"/>
  <c r="D1174" i="2" s="1"/>
  <c r="A1174" i="2"/>
  <c r="C1173" i="2"/>
  <c r="B1173" i="2"/>
  <c r="D1173" i="2" s="1"/>
  <c r="F1173" i="2" s="1"/>
  <c r="A1173" i="2"/>
  <c r="C1172" i="2"/>
  <c r="B1172" i="2"/>
  <c r="D1172" i="2" s="1"/>
  <c r="A1172" i="2"/>
  <c r="C1171" i="2"/>
  <c r="B1171" i="2"/>
  <c r="D1171" i="2" s="1"/>
  <c r="F1171" i="2" s="1"/>
  <c r="A1171" i="2"/>
  <c r="C1170" i="2"/>
  <c r="B1170" i="2"/>
  <c r="D1170" i="2" s="1"/>
  <c r="A1170" i="2"/>
  <c r="C1169" i="2"/>
  <c r="B1169" i="2"/>
  <c r="D1169" i="2" s="1"/>
  <c r="F1169" i="2" s="1"/>
  <c r="A1169" i="2"/>
  <c r="C1168" i="2"/>
  <c r="B1168" i="2"/>
  <c r="D1168" i="2" s="1"/>
  <c r="A1168" i="2"/>
  <c r="C1167" i="2"/>
  <c r="B1167" i="2"/>
  <c r="D1167" i="2" s="1"/>
  <c r="F1167" i="2" s="1"/>
  <c r="A1167" i="2"/>
  <c r="C1166" i="2"/>
  <c r="B1166" i="2"/>
  <c r="D1166" i="2" s="1"/>
  <c r="A1166" i="2"/>
  <c r="C1165" i="2"/>
  <c r="B1165" i="2"/>
  <c r="D1165" i="2" s="1"/>
  <c r="F1165" i="2" s="1"/>
  <c r="A1165" i="2"/>
  <c r="C1164" i="2"/>
  <c r="B1164" i="2"/>
  <c r="D1164" i="2" s="1"/>
  <c r="A1164" i="2"/>
  <c r="C1163" i="2"/>
  <c r="B1163" i="2"/>
  <c r="D1163" i="2" s="1"/>
  <c r="F1163" i="2" s="1"/>
  <c r="A1163" i="2"/>
  <c r="C1162" i="2"/>
  <c r="B1162" i="2"/>
  <c r="D1162" i="2" s="1"/>
  <c r="A1162" i="2"/>
  <c r="C1161" i="2"/>
  <c r="B1161" i="2"/>
  <c r="D1161" i="2" s="1"/>
  <c r="F1161" i="2" s="1"/>
  <c r="A1161" i="2"/>
  <c r="C1160" i="2"/>
  <c r="B1160" i="2"/>
  <c r="D1160" i="2" s="1"/>
  <c r="A1160" i="2"/>
  <c r="C1159" i="2"/>
  <c r="B1159" i="2"/>
  <c r="D1159" i="2" s="1"/>
  <c r="F1159" i="2" s="1"/>
  <c r="A1159" i="2"/>
  <c r="C1158" i="2"/>
  <c r="B1158" i="2"/>
  <c r="D1158" i="2" s="1"/>
  <c r="A1158" i="2"/>
  <c r="D1157" i="2"/>
  <c r="F1157" i="2" s="1"/>
  <c r="C1157" i="2"/>
  <c r="B1157" i="2"/>
  <c r="A1157" i="2"/>
  <c r="C1156" i="2"/>
  <c r="B1156" i="2"/>
  <c r="D1156" i="2" s="1"/>
  <c r="A1156" i="2"/>
  <c r="C1155" i="2"/>
  <c r="B1155" i="2"/>
  <c r="D1155" i="2" s="1"/>
  <c r="F1155" i="2" s="1"/>
  <c r="A1155" i="2"/>
  <c r="C1154" i="2"/>
  <c r="B1154" i="2"/>
  <c r="D1154" i="2" s="1"/>
  <c r="A1154" i="2"/>
  <c r="C1153" i="2"/>
  <c r="B1153" i="2"/>
  <c r="D1153" i="2" s="1"/>
  <c r="F1153" i="2" s="1"/>
  <c r="A1153" i="2"/>
  <c r="C1152" i="2"/>
  <c r="B1152" i="2"/>
  <c r="D1152" i="2" s="1"/>
  <c r="A1152" i="2"/>
  <c r="C1151" i="2"/>
  <c r="B1151" i="2"/>
  <c r="D1151" i="2" s="1"/>
  <c r="F1151" i="2" s="1"/>
  <c r="A1151" i="2"/>
  <c r="C1150" i="2"/>
  <c r="B1150" i="2"/>
  <c r="D1150" i="2" s="1"/>
  <c r="A1150" i="2"/>
  <c r="C1149" i="2"/>
  <c r="B1149" i="2"/>
  <c r="D1149" i="2" s="1"/>
  <c r="F1149" i="2" s="1"/>
  <c r="A1149" i="2"/>
  <c r="C1148" i="2"/>
  <c r="B1148" i="2"/>
  <c r="D1148" i="2" s="1"/>
  <c r="A1148" i="2"/>
  <c r="C1147" i="2"/>
  <c r="B1147" i="2"/>
  <c r="D1147" i="2" s="1"/>
  <c r="F1147" i="2" s="1"/>
  <c r="A1147" i="2"/>
  <c r="C1146" i="2"/>
  <c r="B1146" i="2"/>
  <c r="D1146" i="2" s="1"/>
  <c r="A1146" i="2"/>
  <c r="C1145" i="2"/>
  <c r="B1145" i="2"/>
  <c r="D1145" i="2" s="1"/>
  <c r="F1145" i="2" s="1"/>
  <c r="A1145" i="2"/>
  <c r="C1144" i="2"/>
  <c r="B1144" i="2"/>
  <c r="D1144" i="2" s="1"/>
  <c r="A1144" i="2"/>
  <c r="C1143" i="2"/>
  <c r="B1143" i="2"/>
  <c r="D1143" i="2" s="1"/>
  <c r="F1143" i="2" s="1"/>
  <c r="A1143" i="2"/>
  <c r="C1142" i="2"/>
  <c r="B1142" i="2"/>
  <c r="D1142" i="2" s="1"/>
  <c r="A1142" i="2"/>
  <c r="C1141" i="2"/>
  <c r="B1141" i="2"/>
  <c r="D1141" i="2" s="1"/>
  <c r="F1141" i="2" s="1"/>
  <c r="A1141" i="2"/>
  <c r="C1140" i="2"/>
  <c r="B1140" i="2"/>
  <c r="D1140" i="2" s="1"/>
  <c r="A1140" i="2"/>
  <c r="C1139" i="2"/>
  <c r="B1139" i="2"/>
  <c r="D1139" i="2" s="1"/>
  <c r="F1139" i="2" s="1"/>
  <c r="A1139" i="2"/>
  <c r="C1138" i="2"/>
  <c r="B1138" i="2"/>
  <c r="D1138" i="2" s="1"/>
  <c r="A1138" i="2"/>
  <c r="C1137" i="2"/>
  <c r="B1137" i="2"/>
  <c r="D1137" i="2" s="1"/>
  <c r="F1137" i="2" s="1"/>
  <c r="A1137" i="2"/>
  <c r="C1136" i="2"/>
  <c r="B1136" i="2"/>
  <c r="D1136" i="2" s="1"/>
  <c r="A1136" i="2"/>
  <c r="C1135" i="2"/>
  <c r="B1135" i="2"/>
  <c r="D1135" i="2" s="1"/>
  <c r="F1135" i="2" s="1"/>
  <c r="A1135" i="2"/>
  <c r="C1134" i="2"/>
  <c r="B1134" i="2"/>
  <c r="D1134" i="2" s="1"/>
  <c r="A1134" i="2"/>
  <c r="C1133" i="2"/>
  <c r="B1133" i="2"/>
  <c r="D1133" i="2" s="1"/>
  <c r="F1133" i="2" s="1"/>
  <c r="A1133" i="2"/>
  <c r="C1132" i="2"/>
  <c r="B1132" i="2"/>
  <c r="D1132" i="2" s="1"/>
  <c r="A1132" i="2"/>
  <c r="C1131" i="2"/>
  <c r="B1131" i="2"/>
  <c r="D1131" i="2" s="1"/>
  <c r="F1131" i="2" s="1"/>
  <c r="A1131" i="2"/>
  <c r="C1130" i="2"/>
  <c r="B1130" i="2"/>
  <c r="D1130" i="2" s="1"/>
  <c r="A1130" i="2"/>
  <c r="C1129" i="2"/>
  <c r="B1129" i="2"/>
  <c r="D1129" i="2" s="1"/>
  <c r="F1129" i="2" s="1"/>
  <c r="A1129" i="2"/>
  <c r="C1128" i="2"/>
  <c r="B1128" i="2"/>
  <c r="D1128" i="2" s="1"/>
  <c r="A1128" i="2"/>
  <c r="C1127" i="2"/>
  <c r="B1127" i="2"/>
  <c r="D1127" i="2" s="1"/>
  <c r="F1127" i="2" s="1"/>
  <c r="A1127" i="2"/>
  <c r="C1126" i="2"/>
  <c r="B1126" i="2"/>
  <c r="D1126" i="2" s="1"/>
  <c r="A1126" i="2"/>
  <c r="C1125" i="2"/>
  <c r="B1125" i="2"/>
  <c r="D1125" i="2" s="1"/>
  <c r="F1125" i="2" s="1"/>
  <c r="A1125" i="2"/>
  <c r="C1124" i="2"/>
  <c r="B1124" i="2"/>
  <c r="D1124" i="2" s="1"/>
  <c r="A1124" i="2"/>
  <c r="C1123" i="2"/>
  <c r="B1123" i="2"/>
  <c r="D1123" i="2" s="1"/>
  <c r="F1123" i="2" s="1"/>
  <c r="A1123" i="2"/>
  <c r="C1122" i="2"/>
  <c r="B1122" i="2"/>
  <c r="D1122" i="2" s="1"/>
  <c r="A1122" i="2"/>
  <c r="C1121" i="2"/>
  <c r="B1121" i="2"/>
  <c r="D1121" i="2" s="1"/>
  <c r="F1121" i="2" s="1"/>
  <c r="A1121" i="2"/>
  <c r="C1120" i="2"/>
  <c r="B1120" i="2"/>
  <c r="D1120" i="2" s="1"/>
  <c r="A1120" i="2"/>
  <c r="C1119" i="2"/>
  <c r="B1119" i="2"/>
  <c r="D1119" i="2" s="1"/>
  <c r="F1119" i="2" s="1"/>
  <c r="A1119" i="2"/>
  <c r="C1118" i="2"/>
  <c r="B1118" i="2"/>
  <c r="D1118" i="2" s="1"/>
  <c r="A1118" i="2"/>
  <c r="C1117" i="2"/>
  <c r="B1117" i="2"/>
  <c r="D1117" i="2" s="1"/>
  <c r="F1117" i="2" s="1"/>
  <c r="A1117" i="2"/>
  <c r="C1116" i="2"/>
  <c r="B1116" i="2"/>
  <c r="D1116" i="2" s="1"/>
  <c r="A1116" i="2"/>
  <c r="C1115" i="2"/>
  <c r="B1115" i="2"/>
  <c r="D1115" i="2" s="1"/>
  <c r="F1115" i="2" s="1"/>
  <c r="A1115" i="2"/>
  <c r="C1114" i="2"/>
  <c r="B1114" i="2"/>
  <c r="D1114" i="2" s="1"/>
  <c r="A1114" i="2"/>
  <c r="C1113" i="2"/>
  <c r="B1113" i="2"/>
  <c r="D1113" i="2" s="1"/>
  <c r="F1113" i="2" s="1"/>
  <c r="A1113" i="2"/>
  <c r="C1112" i="2"/>
  <c r="B1112" i="2"/>
  <c r="D1112" i="2" s="1"/>
  <c r="A1112" i="2"/>
  <c r="C1111" i="2"/>
  <c r="B1111" i="2"/>
  <c r="D1111" i="2" s="1"/>
  <c r="F1111" i="2" s="1"/>
  <c r="A1111" i="2"/>
  <c r="C1110" i="2"/>
  <c r="B1110" i="2"/>
  <c r="D1110" i="2" s="1"/>
  <c r="A1110" i="2"/>
  <c r="C1109" i="2"/>
  <c r="B1109" i="2"/>
  <c r="D1109" i="2" s="1"/>
  <c r="F1109" i="2" s="1"/>
  <c r="A1109" i="2"/>
  <c r="C1108" i="2"/>
  <c r="B1108" i="2"/>
  <c r="D1108" i="2" s="1"/>
  <c r="A1108" i="2"/>
  <c r="C1107" i="2"/>
  <c r="B1107" i="2"/>
  <c r="D1107" i="2" s="1"/>
  <c r="F1107" i="2" s="1"/>
  <c r="A1107" i="2"/>
  <c r="C1106" i="2"/>
  <c r="B1106" i="2"/>
  <c r="D1106" i="2" s="1"/>
  <c r="A1106" i="2"/>
  <c r="C1105" i="2"/>
  <c r="B1105" i="2"/>
  <c r="D1105" i="2" s="1"/>
  <c r="F1105" i="2" s="1"/>
  <c r="A1105" i="2"/>
  <c r="C1104" i="2"/>
  <c r="B1104" i="2"/>
  <c r="D1104" i="2" s="1"/>
  <c r="A1104" i="2"/>
  <c r="C1103" i="2"/>
  <c r="B1103" i="2"/>
  <c r="D1103" i="2" s="1"/>
  <c r="F1103" i="2" s="1"/>
  <c r="A1103" i="2"/>
  <c r="C1102" i="2"/>
  <c r="B1102" i="2"/>
  <c r="D1102" i="2" s="1"/>
  <c r="A1102" i="2"/>
  <c r="C1101" i="2"/>
  <c r="B1101" i="2"/>
  <c r="D1101" i="2" s="1"/>
  <c r="F1101" i="2" s="1"/>
  <c r="A1101" i="2"/>
  <c r="C1100" i="2"/>
  <c r="B1100" i="2"/>
  <c r="D1100" i="2" s="1"/>
  <c r="A1100" i="2"/>
  <c r="D1099" i="2"/>
  <c r="F1099" i="2" s="1"/>
  <c r="C1099" i="2"/>
  <c r="B1099" i="2"/>
  <c r="A1099" i="2"/>
  <c r="C1098" i="2"/>
  <c r="B1098" i="2"/>
  <c r="D1098" i="2" s="1"/>
  <c r="A1098" i="2"/>
  <c r="C1097" i="2"/>
  <c r="B1097" i="2"/>
  <c r="D1097" i="2" s="1"/>
  <c r="F1097" i="2" s="1"/>
  <c r="A1097" i="2"/>
  <c r="C1096" i="2"/>
  <c r="B1096" i="2"/>
  <c r="D1096" i="2" s="1"/>
  <c r="A1096" i="2"/>
  <c r="C1095" i="2"/>
  <c r="B1095" i="2"/>
  <c r="D1095" i="2" s="1"/>
  <c r="F1095" i="2" s="1"/>
  <c r="A1095" i="2"/>
  <c r="C1094" i="2"/>
  <c r="B1094" i="2"/>
  <c r="D1094" i="2" s="1"/>
  <c r="A1094" i="2"/>
  <c r="C1093" i="2"/>
  <c r="B1093" i="2"/>
  <c r="D1093" i="2" s="1"/>
  <c r="F1093" i="2" s="1"/>
  <c r="A1093" i="2"/>
  <c r="C1092" i="2"/>
  <c r="B1092" i="2"/>
  <c r="D1092" i="2" s="1"/>
  <c r="A1092" i="2"/>
  <c r="C1091" i="2"/>
  <c r="B1091" i="2"/>
  <c r="D1091" i="2" s="1"/>
  <c r="F1091" i="2" s="1"/>
  <c r="A1091" i="2"/>
  <c r="C1090" i="2"/>
  <c r="B1090" i="2"/>
  <c r="D1090" i="2" s="1"/>
  <c r="A1090" i="2"/>
  <c r="C1089" i="2"/>
  <c r="B1089" i="2"/>
  <c r="D1089" i="2" s="1"/>
  <c r="F1089" i="2" s="1"/>
  <c r="A1089" i="2"/>
  <c r="C1088" i="2"/>
  <c r="B1088" i="2"/>
  <c r="D1088" i="2" s="1"/>
  <c r="A1088" i="2"/>
  <c r="C1087" i="2"/>
  <c r="B1087" i="2"/>
  <c r="D1087" i="2" s="1"/>
  <c r="F1087" i="2" s="1"/>
  <c r="A1087" i="2"/>
  <c r="C1086" i="2"/>
  <c r="B1086" i="2"/>
  <c r="D1086" i="2" s="1"/>
  <c r="A1086" i="2"/>
  <c r="C1085" i="2"/>
  <c r="B1085" i="2"/>
  <c r="D1085" i="2" s="1"/>
  <c r="F1085" i="2" s="1"/>
  <c r="A1085" i="2"/>
  <c r="C1084" i="2"/>
  <c r="B1084" i="2"/>
  <c r="D1084" i="2" s="1"/>
  <c r="A1084" i="2"/>
  <c r="C1083" i="2"/>
  <c r="B1083" i="2"/>
  <c r="D1083" i="2" s="1"/>
  <c r="F1083" i="2" s="1"/>
  <c r="A1083" i="2"/>
  <c r="C1082" i="2"/>
  <c r="B1082" i="2"/>
  <c r="D1082" i="2" s="1"/>
  <c r="A1082" i="2"/>
  <c r="C1081" i="2"/>
  <c r="B1081" i="2"/>
  <c r="D1081" i="2" s="1"/>
  <c r="F1081" i="2" s="1"/>
  <c r="A1081" i="2"/>
  <c r="C1080" i="2"/>
  <c r="B1080" i="2"/>
  <c r="D1080" i="2" s="1"/>
  <c r="A1080" i="2"/>
  <c r="C1079" i="2"/>
  <c r="B1079" i="2"/>
  <c r="D1079" i="2" s="1"/>
  <c r="F1079" i="2" s="1"/>
  <c r="A1079" i="2"/>
  <c r="C1078" i="2"/>
  <c r="B1078" i="2"/>
  <c r="D1078" i="2" s="1"/>
  <c r="A1078" i="2"/>
  <c r="C1077" i="2"/>
  <c r="B1077" i="2"/>
  <c r="D1077" i="2" s="1"/>
  <c r="F1077" i="2" s="1"/>
  <c r="A1077" i="2"/>
  <c r="C1076" i="2"/>
  <c r="B1076" i="2"/>
  <c r="D1076" i="2" s="1"/>
  <c r="A1076" i="2"/>
  <c r="C1075" i="2"/>
  <c r="B1075" i="2"/>
  <c r="D1075" i="2" s="1"/>
  <c r="F1075" i="2" s="1"/>
  <c r="A1075" i="2"/>
  <c r="C1074" i="2"/>
  <c r="B1074" i="2"/>
  <c r="D1074" i="2" s="1"/>
  <c r="A1074" i="2"/>
  <c r="C1073" i="2"/>
  <c r="B1073" i="2"/>
  <c r="D1073" i="2" s="1"/>
  <c r="F1073" i="2" s="1"/>
  <c r="A1073" i="2"/>
  <c r="C1072" i="2"/>
  <c r="B1072" i="2"/>
  <c r="D1072" i="2" s="1"/>
  <c r="A1072" i="2"/>
  <c r="C1071" i="2"/>
  <c r="B1071" i="2"/>
  <c r="D1071" i="2" s="1"/>
  <c r="F1071" i="2" s="1"/>
  <c r="A1071" i="2"/>
  <c r="C1070" i="2"/>
  <c r="B1070" i="2"/>
  <c r="D1070" i="2" s="1"/>
  <c r="A1070" i="2"/>
  <c r="C1069" i="2"/>
  <c r="B1069" i="2"/>
  <c r="D1069" i="2" s="1"/>
  <c r="F1069" i="2" s="1"/>
  <c r="A1069" i="2"/>
  <c r="C1068" i="2"/>
  <c r="B1068" i="2"/>
  <c r="D1068" i="2" s="1"/>
  <c r="A1068" i="2"/>
  <c r="C1067" i="2"/>
  <c r="B1067" i="2"/>
  <c r="D1067" i="2" s="1"/>
  <c r="F1067" i="2" s="1"/>
  <c r="A1067" i="2"/>
  <c r="C1066" i="2"/>
  <c r="B1066" i="2"/>
  <c r="D1066" i="2" s="1"/>
  <c r="A1066" i="2"/>
  <c r="C1065" i="2"/>
  <c r="B1065" i="2"/>
  <c r="D1065" i="2" s="1"/>
  <c r="F1065" i="2" s="1"/>
  <c r="A1065" i="2"/>
  <c r="C1064" i="2"/>
  <c r="B1064" i="2"/>
  <c r="D1064" i="2" s="1"/>
  <c r="A1064" i="2"/>
  <c r="C1063" i="2"/>
  <c r="B1063" i="2"/>
  <c r="D1063" i="2" s="1"/>
  <c r="F1063" i="2" s="1"/>
  <c r="A1063" i="2"/>
  <c r="C1062" i="2"/>
  <c r="B1062" i="2"/>
  <c r="D1062" i="2" s="1"/>
  <c r="A1062" i="2"/>
  <c r="C1061" i="2"/>
  <c r="B1061" i="2"/>
  <c r="D1061" i="2" s="1"/>
  <c r="F1061" i="2" s="1"/>
  <c r="A1061" i="2"/>
  <c r="C1060" i="2"/>
  <c r="B1060" i="2"/>
  <c r="D1060" i="2" s="1"/>
  <c r="A1060" i="2"/>
  <c r="C1059" i="2"/>
  <c r="B1059" i="2"/>
  <c r="D1059" i="2" s="1"/>
  <c r="F1059" i="2" s="1"/>
  <c r="A1059" i="2"/>
  <c r="C1058" i="2"/>
  <c r="B1058" i="2"/>
  <c r="D1058" i="2" s="1"/>
  <c r="A1058" i="2"/>
  <c r="C1057" i="2"/>
  <c r="B1057" i="2"/>
  <c r="D1057" i="2" s="1"/>
  <c r="F1057" i="2" s="1"/>
  <c r="A1057" i="2"/>
  <c r="C1056" i="2"/>
  <c r="B1056" i="2"/>
  <c r="D1056" i="2" s="1"/>
  <c r="A1056" i="2"/>
  <c r="C1055" i="2"/>
  <c r="B1055" i="2"/>
  <c r="D1055" i="2" s="1"/>
  <c r="F1055" i="2" s="1"/>
  <c r="A1055" i="2"/>
  <c r="C1054" i="2"/>
  <c r="B1054" i="2"/>
  <c r="D1054" i="2" s="1"/>
  <c r="A1054" i="2"/>
  <c r="C1053" i="2"/>
  <c r="B1053" i="2"/>
  <c r="D1053" i="2" s="1"/>
  <c r="F1053" i="2" s="1"/>
  <c r="A1053" i="2"/>
  <c r="C1052" i="2"/>
  <c r="B1052" i="2"/>
  <c r="D1052" i="2" s="1"/>
  <c r="A1052" i="2"/>
  <c r="C1051" i="2"/>
  <c r="B1051" i="2"/>
  <c r="D1051" i="2" s="1"/>
  <c r="F1051" i="2" s="1"/>
  <c r="A1051" i="2"/>
  <c r="C1050" i="2"/>
  <c r="B1050" i="2"/>
  <c r="D1050" i="2" s="1"/>
  <c r="A1050" i="2"/>
  <c r="C1049" i="2"/>
  <c r="B1049" i="2"/>
  <c r="D1049" i="2" s="1"/>
  <c r="F1049" i="2" s="1"/>
  <c r="A1049" i="2"/>
  <c r="C1048" i="2"/>
  <c r="B1048" i="2"/>
  <c r="D1048" i="2" s="1"/>
  <c r="A1048" i="2"/>
  <c r="C1047" i="2"/>
  <c r="B1047" i="2"/>
  <c r="D1047" i="2" s="1"/>
  <c r="F1047" i="2" s="1"/>
  <c r="A1047" i="2"/>
  <c r="C1046" i="2"/>
  <c r="B1046" i="2"/>
  <c r="D1046" i="2" s="1"/>
  <c r="A1046" i="2"/>
  <c r="C1045" i="2"/>
  <c r="B1045" i="2"/>
  <c r="D1045" i="2" s="1"/>
  <c r="F1045" i="2" s="1"/>
  <c r="A1045" i="2"/>
  <c r="C1044" i="2"/>
  <c r="B1044" i="2"/>
  <c r="D1044" i="2" s="1"/>
  <c r="A1044" i="2"/>
  <c r="C1043" i="2"/>
  <c r="B1043" i="2"/>
  <c r="D1043" i="2" s="1"/>
  <c r="F1043" i="2" s="1"/>
  <c r="A1043" i="2"/>
  <c r="C1042" i="2"/>
  <c r="B1042" i="2"/>
  <c r="D1042" i="2" s="1"/>
  <c r="A1042" i="2"/>
  <c r="C1041" i="2"/>
  <c r="B1041" i="2"/>
  <c r="D1041" i="2" s="1"/>
  <c r="F1041" i="2" s="1"/>
  <c r="A1041" i="2"/>
  <c r="C1040" i="2"/>
  <c r="B1040" i="2"/>
  <c r="D1040" i="2" s="1"/>
  <c r="A1040" i="2"/>
  <c r="C1039" i="2"/>
  <c r="B1039" i="2"/>
  <c r="D1039" i="2" s="1"/>
  <c r="F1039" i="2" s="1"/>
  <c r="A1039" i="2"/>
  <c r="C1038" i="2"/>
  <c r="B1038" i="2"/>
  <c r="D1038" i="2" s="1"/>
  <c r="A1038" i="2"/>
  <c r="C1037" i="2"/>
  <c r="B1037" i="2"/>
  <c r="D1037" i="2" s="1"/>
  <c r="F1037" i="2" s="1"/>
  <c r="A1037" i="2"/>
  <c r="C1036" i="2"/>
  <c r="B1036" i="2"/>
  <c r="D1036" i="2" s="1"/>
  <c r="A1036" i="2"/>
  <c r="C1035" i="2"/>
  <c r="B1035" i="2"/>
  <c r="D1035" i="2" s="1"/>
  <c r="F1035" i="2" s="1"/>
  <c r="A1035" i="2"/>
  <c r="C1034" i="2"/>
  <c r="B1034" i="2"/>
  <c r="D1034" i="2" s="1"/>
  <c r="A1034" i="2"/>
  <c r="C1033" i="2"/>
  <c r="B1033" i="2"/>
  <c r="D1033" i="2" s="1"/>
  <c r="F1033" i="2" s="1"/>
  <c r="A1033" i="2"/>
  <c r="C1032" i="2"/>
  <c r="B1032" i="2"/>
  <c r="D1032" i="2" s="1"/>
  <c r="A1032" i="2"/>
  <c r="C1031" i="2"/>
  <c r="B1031" i="2"/>
  <c r="D1031" i="2" s="1"/>
  <c r="F1031" i="2" s="1"/>
  <c r="A1031" i="2"/>
  <c r="C1030" i="2"/>
  <c r="B1030" i="2"/>
  <c r="D1030" i="2" s="1"/>
  <c r="A1030" i="2"/>
  <c r="C1029" i="2"/>
  <c r="B1029" i="2"/>
  <c r="D1029" i="2" s="1"/>
  <c r="F1029" i="2" s="1"/>
  <c r="A1029" i="2"/>
  <c r="C1028" i="2"/>
  <c r="B1028" i="2"/>
  <c r="D1028" i="2" s="1"/>
  <c r="A1028" i="2"/>
  <c r="C1027" i="2"/>
  <c r="B1027" i="2"/>
  <c r="D1027" i="2" s="1"/>
  <c r="F1027" i="2" s="1"/>
  <c r="A1027" i="2"/>
  <c r="C1026" i="2"/>
  <c r="B1026" i="2"/>
  <c r="D1026" i="2" s="1"/>
  <c r="A1026" i="2"/>
  <c r="C1025" i="2"/>
  <c r="B1025" i="2"/>
  <c r="D1025" i="2" s="1"/>
  <c r="F1025" i="2" s="1"/>
  <c r="A1025" i="2"/>
  <c r="C1024" i="2"/>
  <c r="B1024" i="2"/>
  <c r="D1024" i="2" s="1"/>
  <c r="A1024" i="2"/>
  <c r="C1023" i="2"/>
  <c r="B1023" i="2"/>
  <c r="D1023" i="2" s="1"/>
  <c r="F1023" i="2" s="1"/>
  <c r="A1023" i="2"/>
  <c r="C1022" i="2"/>
  <c r="B1022" i="2"/>
  <c r="D1022" i="2" s="1"/>
  <c r="A1022" i="2"/>
  <c r="C1021" i="2"/>
  <c r="B1021" i="2"/>
  <c r="D1021" i="2" s="1"/>
  <c r="F1021" i="2" s="1"/>
  <c r="A1021" i="2"/>
  <c r="C1020" i="2"/>
  <c r="B1020" i="2"/>
  <c r="D1020" i="2" s="1"/>
  <c r="A1020" i="2"/>
  <c r="C1019" i="2"/>
  <c r="B1019" i="2"/>
  <c r="D1019" i="2" s="1"/>
  <c r="F1019" i="2" s="1"/>
  <c r="A1019" i="2"/>
  <c r="C1018" i="2"/>
  <c r="B1018" i="2"/>
  <c r="D1018" i="2" s="1"/>
  <c r="A1018" i="2"/>
  <c r="C1017" i="2"/>
  <c r="B1017" i="2"/>
  <c r="D1017" i="2" s="1"/>
  <c r="F1017" i="2" s="1"/>
  <c r="A1017" i="2"/>
  <c r="C1016" i="2"/>
  <c r="B1016" i="2"/>
  <c r="D1016" i="2" s="1"/>
  <c r="A1016" i="2"/>
  <c r="C1015" i="2"/>
  <c r="B1015" i="2"/>
  <c r="D1015" i="2" s="1"/>
  <c r="F1015" i="2" s="1"/>
  <c r="A1015" i="2"/>
  <c r="C1014" i="2"/>
  <c r="B1014" i="2"/>
  <c r="D1014" i="2" s="1"/>
  <c r="A1014" i="2"/>
  <c r="C1013" i="2"/>
  <c r="B1013" i="2"/>
  <c r="D1013" i="2" s="1"/>
  <c r="F1013" i="2" s="1"/>
  <c r="A1013" i="2"/>
  <c r="C1012" i="2"/>
  <c r="B1012" i="2"/>
  <c r="D1012" i="2" s="1"/>
  <c r="A1012" i="2"/>
  <c r="C1011" i="2"/>
  <c r="B1011" i="2"/>
  <c r="D1011" i="2" s="1"/>
  <c r="F1011" i="2" s="1"/>
  <c r="A1011" i="2"/>
  <c r="C1010" i="2"/>
  <c r="B1010" i="2"/>
  <c r="D1010" i="2" s="1"/>
  <c r="A1010" i="2"/>
  <c r="C1009" i="2"/>
  <c r="B1009" i="2"/>
  <c r="D1009" i="2" s="1"/>
  <c r="F1009" i="2" s="1"/>
  <c r="A1009" i="2"/>
  <c r="C1008" i="2"/>
  <c r="B1008" i="2"/>
  <c r="D1008" i="2" s="1"/>
  <c r="A1008" i="2"/>
  <c r="C1007" i="2"/>
  <c r="B1007" i="2"/>
  <c r="D1007" i="2" s="1"/>
  <c r="F1007" i="2" s="1"/>
  <c r="A1007" i="2"/>
  <c r="C1006" i="2"/>
  <c r="B1006" i="2"/>
  <c r="D1006" i="2" s="1"/>
  <c r="A1006" i="2"/>
  <c r="C1005" i="2"/>
  <c r="B1005" i="2"/>
  <c r="D1005" i="2" s="1"/>
  <c r="F1005" i="2" s="1"/>
  <c r="A1005" i="2"/>
  <c r="C1004" i="2"/>
  <c r="B1004" i="2"/>
  <c r="D1004" i="2" s="1"/>
  <c r="A1004" i="2"/>
  <c r="C1003" i="2"/>
  <c r="B1003" i="2"/>
  <c r="D1003" i="2" s="1"/>
  <c r="F1003" i="2" s="1"/>
  <c r="A1003" i="2"/>
  <c r="C1002" i="2"/>
  <c r="B1002" i="2"/>
  <c r="D1002" i="2" s="1"/>
  <c r="A1002" i="2"/>
  <c r="C1001" i="2"/>
  <c r="B1001" i="2"/>
  <c r="D1001" i="2" s="1"/>
  <c r="F1001" i="2" s="1"/>
  <c r="A1001" i="2"/>
  <c r="C1000" i="2"/>
  <c r="B1000" i="2"/>
  <c r="D1000" i="2" s="1"/>
  <c r="A1000" i="2"/>
  <c r="C999" i="2"/>
  <c r="B999" i="2"/>
  <c r="D999" i="2" s="1"/>
  <c r="F999" i="2" s="1"/>
  <c r="A999" i="2"/>
  <c r="C998" i="2"/>
  <c r="B998" i="2"/>
  <c r="D998" i="2" s="1"/>
  <c r="A998" i="2"/>
  <c r="C997" i="2"/>
  <c r="B997" i="2"/>
  <c r="D997" i="2" s="1"/>
  <c r="F997" i="2" s="1"/>
  <c r="A997" i="2"/>
  <c r="C996" i="2"/>
  <c r="B996" i="2"/>
  <c r="D996" i="2" s="1"/>
  <c r="A996" i="2"/>
  <c r="C995" i="2"/>
  <c r="B995" i="2"/>
  <c r="D995" i="2" s="1"/>
  <c r="F995" i="2" s="1"/>
  <c r="A995" i="2"/>
  <c r="C994" i="2"/>
  <c r="B994" i="2"/>
  <c r="D994" i="2" s="1"/>
  <c r="A994" i="2"/>
  <c r="C993" i="2"/>
  <c r="B993" i="2"/>
  <c r="D993" i="2" s="1"/>
  <c r="F993" i="2" s="1"/>
  <c r="A993" i="2"/>
  <c r="C992" i="2"/>
  <c r="B992" i="2"/>
  <c r="D992" i="2" s="1"/>
  <c r="A992" i="2"/>
  <c r="C991" i="2"/>
  <c r="B991" i="2"/>
  <c r="D991" i="2" s="1"/>
  <c r="F991" i="2" s="1"/>
  <c r="A991" i="2"/>
  <c r="C990" i="2"/>
  <c r="B990" i="2"/>
  <c r="D990" i="2" s="1"/>
  <c r="A990" i="2"/>
  <c r="C989" i="2"/>
  <c r="B989" i="2"/>
  <c r="D989" i="2" s="1"/>
  <c r="F989" i="2" s="1"/>
  <c r="A989" i="2"/>
  <c r="C988" i="2"/>
  <c r="B988" i="2"/>
  <c r="D988" i="2" s="1"/>
  <c r="A988" i="2"/>
  <c r="C987" i="2"/>
  <c r="B987" i="2"/>
  <c r="D987" i="2" s="1"/>
  <c r="F987" i="2" s="1"/>
  <c r="A987" i="2"/>
  <c r="C986" i="2"/>
  <c r="B986" i="2"/>
  <c r="D986" i="2" s="1"/>
  <c r="A986" i="2"/>
  <c r="C985" i="2"/>
  <c r="B985" i="2"/>
  <c r="D985" i="2" s="1"/>
  <c r="F985" i="2" s="1"/>
  <c r="A985" i="2"/>
  <c r="C984" i="2"/>
  <c r="B984" i="2"/>
  <c r="D984" i="2" s="1"/>
  <c r="A984" i="2"/>
  <c r="C983" i="2"/>
  <c r="B983" i="2"/>
  <c r="D983" i="2" s="1"/>
  <c r="F983" i="2" s="1"/>
  <c r="A983" i="2"/>
  <c r="C982" i="2"/>
  <c r="B982" i="2"/>
  <c r="D982" i="2" s="1"/>
  <c r="A982" i="2"/>
  <c r="C981" i="2"/>
  <c r="B981" i="2"/>
  <c r="D981" i="2" s="1"/>
  <c r="F981" i="2" s="1"/>
  <c r="A981" i="2"/>
  <c r="C980" i="2"/>
  <c r="B980" i="2"/>
  <c r="D980" i="2" s="1"/>
  <c r="F980" i="2" s="1"/>
  <c r="A980" i="2"/>
  <c r="C979" i="2"/>
  <c r="B979" i="2"/>
  <c r="D979" i="2" s="1"/>
  <c r="F979" i="2" s="1"/>
  <c r="A979" i="2"/>
  <c r="C978" i="2"/>
  <c r="B978" i="2"/>
  <c r="D978" i="2" s="1"/>
  <c r="F978" i="2" s="1"/>
  <c r="A978" i="2"/>
  <c r="C977" i="2"/>
  <c r="B977" i="2"/>
  <c r="D977" i="2" s="1"/>
  <c r="F977" i="2" s="1"/>
  <c r="A977" i="2"/>
  <c r="C976" i="2"/>
  <c r="B976" i="2"/>
  <c r="D976" i="2" s="1"/>
  <c r="F976" i="2" s="1"/>
  <c r="A976" i="2"/>
  <c r="C975" i="2"/>
  <c r="B975" i="2"/>
  <c r="D975" i="2" s="1"/>
  <c r="F975" i="2" s="1"/>
  <c r="A975" i="2"/>
  <c r="C974" i="2"/>
  <c r="B974" i="2"/>
  <c r="D974" i="2" s="1"/>
  <c r="F974" i="2" s="1"/>
  <c r="A974" i="2"/>
  <c r="C973" i="2"/>
  <c r="B973" i="2"/>
  <c r="D973" i="2" s="1"/>
  <c r="F973" i="2" s="1"/>
  <c r="A973" i="2"/>
  <c r="C972" i="2"/>
  <c r="B972" i="2"/>
  <c r="D972" i="2" s="1"/>
  <c r="F972" i="2" s="1"/>
  <c r="A972" i="2"/>
  <c r="C971" i="2"/>
  <c r="B971" i="2"/>
  <c r="D971" i="2" s="1"/>
  <c r="F971" i="2" s="1"/>
  <c r="A971" i="2"/>
  <c r="C970" i="2"/>
  <c r="B970" i="2"/>
  <c r="D970" i="2" s="1"/>
  <c r="F970" i="2" s="1"/>
  <c r="A970" i="2"/>
  <c r="C969" i="2"/>
  <c r="B969" i="2"/>
  <c r="D969" i="2" s="1"/>
  <c r="F969" i="2" s="1"/>
  <c r="A969" i="2"/>
  <c r="C968" i="2"/>
  <c r="B968" i="2"/>
  <c r="D968" i="2" s="1"/>
  <c r="F968" i="2" s="1"/>
  <c r="A968" i="2"/>
  <c r="C967" i="2"/>
  <c r="B967" i="2"/>
  <c r="D967" i="2" s="1"/>
  <c r="F967" i="2" s="1"/>
  <c r="A967" i="2"/>
  <c r="C966" i="2"/>
  <c r="B966" i="2"/>
  <c r="D966" i="2" s="1"/>
  <c r="E966" i="2" s="1"/>
  <c r="A966" i="2"/>
  <c r="C965" i="2"/>
  <c r="B965" i="2"/>
  <c r="D965" i="2" s="1"/>
  <c r="A965" i="2"/>
  <c r="C964" i="2"/>
  <c r="B964" i="2"/>
  <c r="D964" i="2" s="1"/>
  <c r="F964" i="2" s="1"/>
  <c r="A964" i="2"/>
  <c r="C963" i="2"/>
  <c r="B963" i="2"/>
  <c r="D963" i="2" s="1"/>
  <c r="A963" i="2"/>
  <c r="C962" i="2"/>
  <c r="B962" i="2"/>
  <c r="D962" i="2" s="1"/>
  <c r="A962" i="2"/>
  <c r="C961" i="2"/>
  <c r="B961" i="2"/>
  <c r="D961" i="2" s="1"/>
  <c r="F961" i="2" s="1"/>
  <c r="A961" i="2"/>
  <c r="C960" i="2"/>
  <c r="B960" i="2"/>
  <c r="D960" i="2" s="1"/>
  <c r="A960" i="2"/>
  <c r="C959" i="2"/>
  <c r="B959" i="2"/>
  <c r="D959" i="2" s="1"/>
  <c r="F959" i="2" s="1"/>
  <c r="A959" i="2"/>
  <c r="C958" i="2"/>
  <c r="B958" i="2"/>
  <c r="D958" i="2" s="1"/>
  <c r="A958" i="2"/>
  <c r="C957" i="2"/>
  <c r="B957" i="2"/>
  <c r="D957" i="2" s="1"/>
  <c r="F957" i="2" s="1"/>
  <c r="A957" i="2"/>
  <c r="C956" i="2"/>
  <c r="B956" i="2"/>
  <c r="D956" i="2" s="1"/>
  <c r="F956" i="2" s="1"/>
  <c r="A956" i="2"/>
  <c r="C955" i="2"/>
  <c r="B955" i="2"/>
  <c r="D955" i="2" s="1"/>
  <c r="F955" i="2" s="1"/>
  <c r="A955" i="2"/>
  <c r="C954" i="2"/>
  <c r="B954" i="2"/>
  <c r="D954" i="2" s="1"/>
  <c r="E954" i="2" s="1"/>
  <c r="A954" i="2"/>
  <c r="C953" i="2"/>
  <c r="B953" i="2"/>
  <c r="D953" i="2" s="1"/>
  <c r="F953" i="2" s="1"/>
  <c r="A953" i="2"/>
  <c r="C952" i="2"/>
  <c r="B952" i="2"/>
  <c r="D952" i="2" s="1"/>
  <c r="A952" i="2"/>
  <c r="C951" i="2"/>
  <c r="B951" i="2"/>
  <c r="D951" i="2" s="1"/>
  <c r="F951" i="2" s="1"/>
  <c r="A951" i="2"/>
  <c r="C950" i="2"/>
  <c r="B950" i="2"/>
  <c r="D950" i="2" s="1"/>
  <c r="E950" i="2" s="1"/>
  <c r="A950" i="2"/>
  <c r="C949" i="2"/>
  <c r="B949" i="2"/>
  <c r="D949" i="2" s="1"/>
  <c r="F949" i="2" s="1"/>
  <c r="A949" i="2"/>
  <c r="C948" i="2"/>
  <c r="B948" i="2"/>
  <c r="D948" i="2" s="1"/>
  <c r="E948" i="2" s="1"/>
  <c r="A948" i="2"/>
  <c r="C947" i="2"/>
  <c r="B947" i="2"/>
  <c r="D947" i="2" s="1"/>
  <c r="F947" i="2" s="1"/>
  <c r="A947" i="2"/>
  <c r="C946" i="2"/>
  <c r="B946" i="2"/>
  <c r="D946" i="2" s="1"/>
  <c r="E946" i="2" s="1"/>
  <c r="A946" i="2"/>
  <c r="C945" i="2"/>
  <c r="B945" i="2"/>
  <c r="D945" i="2" s="1"/>
  <c r="F945" i="2" s="1"/>
  <c r="A945" i="2"/>
  <c r="C944" i="2"/>
  <c r="B944" i="2"/>
  <c r="D944" i="2" s="1"/>
  <c r="E944" i="2" s="1"/>
  <c r="A944" i="2"/>
  <c r="C943" i="2"/>
  <c r="B943" i="2"/>
  <c r="D943" i="2" s="1"/>
  <c r="F943" i="2" s="1"/>
  <c r="A943" i="2"/>
  <c r="C942" i="2"/>
  <c r="B942" i="2"/>
  <c r="D942" i="2" s="1"/>
  <c r="A942" i="2"/>
  <c r="C941" i="2"/>
  <c r="B941" i="2"/>
  <c r="D941" i="2" s="1"/>
  <c r="F941" i="2" s="1"/>
  <c r="A941" i="2"/>
  <c r="C940" i="2"/>
  <c r="B940" i="2"/>
  <c r="D940" i="2" s="1"/>
  <c r="A940" i="2"/>
  <c r="C939" i="2"/>
  <c r="B939" i="2"/>
  <c r="D939" i="2" s="1"/>
  <c r="F939" i="2" s="1"/>
  <c r="A939" i="2"/>
  <c r="C938" i="2"/>
  <c r="B938" i="2"/>
  <c r="D938" i="2" s="1"/>
  <c r="A938" i="2"/>
  <c r="C937" i="2"/>
  <c r="B937" i="2"/>
  <c r="D937" i="2" s="1"/>
  <c r="F937" i="2" s="1"/>
  <c r="A937" i="2"/>
  <c r="C936" i="2"/>
  <c r="B936" i="2"/>
  <c r="D936" i="2" s="1"/>
  <c r="E936" i="2" s="1"/>
  <c r="A936" i="2"/>
  <c r="C935" i="2"/>
  <c r="B935" i="2"/>
  <c r="D935" i="2" s="1"/>
  <c r="F935" i="2" s="1"/>
  <c r="A935" i="2"/>
  <c r="C934" i="2"/>
  <c r="B934" i="2"/>
  <c r="D934" i="2" s="1"/>
  <c r="E934" i="2" s="1"/>
  <c r="A934" i="2"/>
  <c r="C933" i="2"/>
  <c r="B933" i="2"/>
  <c r="D933" i="2" s="1"/>
  <c r="F933" i="2" s="1"/>
  <c r="A933" i="2"/>
  <c r="C932" i="2"/>
  <c r="B932" i="2"/>
  <c r="D932" i="2" s="1"/>
  <c r="F932" i="2" s="1"/>
  <c r="A932" i="2"/>
  <c r="C931" i="2"/>
  <c r="B931" i="2"/>
  <c r="D931" i="2" s="1"/>
  <c r="F931" i="2" s="1"/>
  <c r="A931" i="2"/>
  <c r="C930" i="2"/>
  <c r="B930" i="2"/>
  <c r="D930" i="2" s="1"/>
  <c r="E930" i="2" s="1"/>
  <c r="A930" i="2"/>
  <c r="C929" i="2"/>
  <c r="B929" i="2"/>
  <c r="D929" i="2" s="1"/>
  <c r="F929" i="2" s="1"/>
  <c r="A929" i="2"/>
  <c r="C928" i="2"/>
  <c r="B928" i="2"/>
  <c r="D928" i="2" s="1"/>
  <c r="E928" i="2" s="1"/>
  <c r="A928" i="2"/>
  <c r="C927" i="2"/>
  <c r="B927" i="2"/>
  <c r="D927" i="2" s="1"/>
  <c r="F927" i="2" s="1"/>
  <c r="A927" i="2"/>
  <c r="C926" i="2"/>
  <c r="B926" i="2"/>
  <c r="D926" i="2" s="1"/>
  <c r="A926" i="2"/>
  <c r="C925" i="2"/>
  <c r="B925" i="2"/>
  <c r="D925" i="2" s="1"/>
  <c r="F925" i="2" s="1"/>
  <c r="A925" i="2"/>
  <c r="C924" i="2"/>
  <c r="B924" i="2"/>
  <c r="D924" i="2" s="1"/>
  <c r="F924" i="2" s="1"/>
  <c r="A924" i="2"/>
  <c r="C923" i="2"/>
  <c r="B923" i="2"/>
  <c r="D923" i="2" s="1"/>
  <c r="F923" i="2" s="1"/>
  <c r="A923" i="2"/>
  <c r="C922" i="2"/>
  <c r="B922" i="2"/>
  <c r="D922" i="2" s="1"/>
  <c r="E922" i="2" s="1"/>
  <c r="A922" i="2"/>
  <c r="C921" i="2"/>
  <c r="B921" i="2"/>
  <c r="D921" i="2" s="1"/>
  <c r="F921" i="2" s="1"/>
  <c r="A921" i="2"/>
  <c r="C920" i="2"/>
  <c r="B920" i="2"/>
  <c r="D920" i="2" s="1"/>
  <c r="E920" i="2" s="1"/>
  <c r="A920" i="2"/>
  <c r="C919" i="2"/>
  <c r="B919" i="2"/>
  <c r="D919" i="2" s="1"/>
  <c r="F919" i="2" s="1"/>
  <c r="A919" i="2"/>
  <c r="C918" i="2"/>
  <c r="B918" i="2"/>
  <c r="D918" i="2" s="1"/>
  <c r="E918" i="2" s="1"/>
  <c r="A918" i="2"/>
  <c r="C917" i="2"/>
  <c r="B917" i="2"/>
  <c r="D917" i="2" s="1"/>
  <c r="F917" i="2" s="1"/>
  <c r="A917" i="2"/>
  <c r="C916" i="2"/>
  <c r="B916" i="2"/>
  <c r="D916" i="2" s="1"/>
  <c r="A916" i="2"/>
  <c r="C915" i="2"/>
  <c r="B915" i="2"/>
  <c r="D915" i="2" s="1"/>
  <c r="F915" i="2" s="1"/>
  <c r="A915" i="2"/>
  <c r="C914" i="2"/>
  <c r="B914" i="2"/>
  <c r="D914" i="2" s="1"/>
  <c r="A914" i="2"/>
  <c r="C913" i="2"/>
  <c r="B913" i="2"/>
  <c r="D913" i="2" s="1"/>
  <c r="F913" i="2" s="1"/>
  <c r="A913" i="2"/>
  <c r="C912" i="2"/>
  <c r="B912" i="2"/>
  <c r="D912" i="2" s="1"/>
  <c r="A912" i="2"/>
  <c r="C911" i="2"/>
  <c r="B911" i="2"/>
  <c r="D911" i="2" s="1"/>
  <c r="F911" i="2" s="1"/>
  <c r="A911" i="2"/>
  <c r="C910" i="2"/>
  <c r="B910" i="2"/>
  <c r="D910" i="2" s="1"/>
  <c r="A910" i="2"/>
  <c r="C909" i="2"/>
  <c r="B909" i="2"/>
  <c r="D909" i="2" s="1"/>
  <c r="F909" i="2" s="1"/>
  <c r="A909" i="2"/>
  <c r="C908" i="2"/>
  <c r="B908" i="2"/>
  <c r="D908" i="2" s="1"/>
  <c r="F908" i="2" s="1"/>
  <c r="A908" i="2"/>
  <c r="C907" i="2"/>
  <c r="B907" i="2"/>
  <c r="D907" i="2" s="1"/>
  <c r="F907" i="2" s="1"/>
  <c r="A907" i="2"/>
  <c r="C906" i="2"/>
  <c r="B906" i="2"/>
  <c r="D906" i="2" s="1"/>
  <c r="E906" i="2" s="1"/>
  <c r="A906" i="2"/>
  <c r="C905" i="2"/>
  <c r="B905" i="2"/>
  <c r="D905" i="2" s="1"/>
  <c r="F905" i="2" s="1"/>
  <c r="A905" i="2"/>
  <c r="C904" i="2"/>
  <c r="B904" i="2"/>
  <c r="D904" i="2" s="1"/>
  <c r="E904" i="2" s="1"/>
  <c r="A904" i="2"/>
  <c r="C903" i="2"/>
  <c r="B903" i="2"/>
  <c r="D903" i="2" s="1"/>
  <c r="F903" i="2" s="1"/>
  <c r="A903" i="2"/>
  <c r="C902" i="2"/>
  <c r="B902" i="2"/>
  <c r="D902" i="2" s="1"/>
  <c r="E902" i="2" s="1"/>
  <c r="A902" i="2"/>
  <c r="C901" i="2"/>
  <c r="B901" i="2"/>
  <c r="D901" i="2" s="1"/>
  <c r="F901" i="2" s="1"/>
  <c r="A901" i="2"/>
  <c r="C900" i="2"/>
  <c r="B900" i="2"/>
  <c r="D900" i="2" s="1"/>
  <c r="A900" i="2"/>
  <c r="C899" i="2"/>
  <c r="B899" i="2"/>
  <c r="D899" i="2" s="1"/>
  <c r="F899" i="2" s="1"/>
  <c r="A899" i="2"/>
  <c r="C898" i="2"/>
  <c r="B898" i="2"/>
  <c r="D898" i="2" s="1"/>
  <c r="A898" i="2"/>
  <c r="C897" i="2"/>
  <c r="B897" i="2"/>
  <c r="D897" i="2" s="1"/>
  <c r="F897" i="2" s="1"/>
  <c r="A897" i="2"/>
  <c r="C896" i="2"/>
  <c r="B896" i="2"/>
  <c r="D896" i="2" s="1"/>
  <c r="A896" i="2"/>
  <c r="C895" i="2"/>
  <c r="B895" i="2"/>
  <c r="D895" i="2" s="1"/>
  <c r="F895" i="2" s="1"/>
  <c r="A895" i="2"/>
  <c r="C894" i="2"/>
  <c r="B894" i="2"/>
  <c r="D894" i="2" s="1"/>
  <c r="A894" i="2"/>
  <c r="C893" i="2"/>
  <c r="B893" i="2"/>
  <c r="D893" i="2" s="1"/>
  <c r="F893" i="2" s="1"/>
  <c r="A893" i="2"/>
  <c r="C892" i="2"/>
  <c r="B892" i="2"/>
  <c r="D892" i="2" s="1"/>
  <c r="F892" i="2" s="1"/>
  <c r="A892" i="2"/>
  <c r="C891" i="2"/>
  <c r="B891" i="2"/>
  <c r="D891" i="2" s="1"/>
  <c r="F891" i="2" s="1"/>
  <c r="A891" i="2"/>
  <c r="C890" i="2"/>
  <c r="B890" i="2"/>
  <c r="D890" i="2" s="1"/>
  <c r="E890" i="2" s="1"/>
  <c r="A890" i="2"/>
  <c r="C889" i="2"/>
  <c r="B889" i="2"/>
  <c r="D889" i="2" s="1"/>
  <c r="A889" i="2"/>
  <c r="C888" i="2"/>
  <c r="B888" i="2"/>
  <c r="D888" i="2" s="1"/>
  <c r="A888" i="2"/>
  <c r="C887" i="2"/>
  <c r="B887" i="2"/>
  <c r="D887" i="2" s="1"/>
  <c r="A887" i="2"/>
  <c r="C886" i="2"/>
  <c r="B886" i="2"/>
  <c r="D886" i="2" s="1"/>
  <c r="A886" i="2"/>
  <c r="C885" i="2"/>
  <c r="B885" i="2"/>
  <c r="D885" i="2" s="1"/>
  <c r="A885" i="2"/>
  <c r="C884" i="2"/>
  <c r="B884" i="2"/>
  <c r="D884" i="2" s="1"/>
  <c r="A884" i="2"/>
  <c r="C883" i="2"/>
  <c r="B883" i="2"/>
  <c r="D883" i="2" s="1"/>
  <c r="A883" i="2"/>
  <c r="C882" i="2"/>
  <c r="B882" i="2"/>
  <c r="D882" i="2" s="1"/>
  <c r="A882" i="2"/>
  <c r="C881" i="2"/>
  <c r="B881" i="2"/>
  <c r="D881" i="2" s="1"/>
  <c r="A881" i="2"/>
  <c r="C880" i="2"/>
  <c r="B880" i="2"/>
  <c r="D880" i="2" s="1"/>
  <c r="A880" i="2"/>
  <c r="C879" i="2"/>
  <c r="B879" i="2"/>
  <c r="D879" i="2" s="1"/>
  <c r="A879" i="2"/>
  <c r="C878" i="2"/>
  <c r="B878" i="2"/>
  <c r="D878" i="2" s="1"/>
  <c r="A878" i="2"/>
  <c r="C877" i="2"/>
  <c r="B877" i="2"/>
  <c r="D877" i="2" s="1"/>
  <c r="A877" i="2"/>
  <c r="C876" i="2"/>
  <c r="B876" i="2"/>
  <c r="D876" i="2" s="1"/>
  <c r="A876" i="2"/>
  <c r="C875" i="2"/>
  <c r="B875" i="2"/>
  <c r="D875" i="2" s="1"/>
  <c r="A875" i="2"/>
  <c r="C874" i="2"/>
  <c r="B874" i="2"/>
  <c r="D874" i="2" s="1"/>
  <c r="A874" i="2"/>
  <c r="C873" i="2"/>
  <c r="B873" i="2"/>
  <c r="D873" i="2" s="1"/>
  <c r="A873" i="2"/>
  <c r="C872" i="2"/>
  <c r="B872" i="2"/>
  <c r="D872" i="2" s="1"/>
  <c r="A872" i="2"/>
  <c r="C871" i="2"/>
  <c r="B871" i="2"/>
  <c r="D871" i="2" s="1"/>
  <c r="A871" i="2"/>
  <c r="C870" i="2"/>
  <c r="B870" i="2"/>
  <c r="D870" i="2" s="1"/>
  <c r="A870" i="2"/>
  <c r="C869" i="2"/>
  <c r="B869" i="2"/>
  <c r="D869" i="2" s="1"/>
  <c r="A869" i="2"/>
  <c r="C868" i="2"/>
  <c r="B868" i="2"/>
  <c r="D868" i="2" s="1"/>
  <c r="A868" i="2"/>
  <c r="C867" i="2"/>
  <c r="B867" i="2"/>
  <c r="D867" i="2" s="1"/>
  <c r="A867" i="2"/>
  <c r="C866" i="2"/>
  <c r="B866" i="2"/>
  <c r="D866" i="2" s="1"/>
  <c r="A866" i="2"/>
  <c r="C865" i="2"/>
  <c r="B865" i="2"/>
  <c r="D865" i="2" s="1"/>
  <c r="A865" i="2"/>
  <c r="C864" i="2"/>
  <c r="B864" i="2"/>
  <c r="D864" i="2" s="1"/>
  <c r="A864" i="2"/>
  <c r="C863" i="2"/>
  <c r="B863" i="2"/>
  <c r="D863" i="2" s="1"/>
  <c r="A863" i="2"/>
  <c r="C862" i="2"/>
  <c r="B862" i="2"/>
  <c r="D862" i="2" s="1"/>
  <c r="A862" i="2"/>
  <c r="C861" i="2"/>
  <c r="B861" i="2"/>
  <c r="D861" i="2" s="1"/>
  <c r="A861" i="2"/>
  <c r="C860" i="2"/>
  <c r="B860" i="2"/>
  <c r="D860" i="2" s="1"/>
  <c r="A860" i="2"/>
  <c r="C859" i="2"/>
  <c r="B859" i="2"/>
  <c r="D859" i="2" s="1"/>
  <c r="A859" i="2"/>
  <c r="C858" i="2"/>
  <c r="B858" i="2"/>
  <c r="D858" i="2" s="1"/>
  <c r="A858" i="2"/>
  <c r="C857" i="2"/>
  <c r="B857" i="2"/>
  <c r="D857" i="2" s="1"/>
  <c r="A857" i="2"/>
  <c r="C856" i="2"/>
  <c r="B856" i="2"/>
  <c r="D856" i="2" s="1"/>
  <c r="A856" i="2"/>
  <c r="C855" i="2"/>
  <c r="B855" i="2"/>
  <c r="D855" i="2" s="1"/>
  <c r="A855" i="2"/>
  <c r="C854" i="2"/>
  <c r="B854" i="2"/>
  <c r="D854" i="2" s="1"/>
  <c r="A854" i="2"/>
  <c r="C853" i="2"/>
  <c r="B853" i="2"/>
  <c r="D853" i="2" s="1"/>
  <c r="A853" i="2"/>
  <c r="C852" i="2"/>
  <c r="B852" i="2"/>
  <c r="D852" i="2" s="1"/>
  <c r="A852" i="2"/>
  <c r="C851" i="2"/>
  <c r="B851" i="2"/>
  <c r="D851" i="2" s="1"/>
  <c r="A851" i="2"/>
  <c r="C850" i="2"/>
  <c r="B850" i="2"/>
  <c r="D850" i="2" s="1"/>
  <c r="A850" i="2"/>
  <c r="C849" i="2"/>
  <c r="B849" i="2"/>
  <c r="D849" i="2" s="1"/>
  <c r="A849" i="2"/>
  <c r="C848" i="2"/>
  <c r="B848" i="2"/>
  <c r="D848" i="2" s="1"/>
  <c r="A848" i="2"/>
  <c r="C847" i="2"/>
  <c r="B847" i="2"/>
  <c r="D847" i="2" s="1"/>
  <c r="A847" i="2"/>
  <c r="C846" i="2"/>
  <c r="B846" i="2"/>
  <c r="D846" i="2" s="1"/>
  <c r="A846" i="2"/>
  <c r="C845" i="2"/>
  <c r="B845" i="2"/>
  <c r="D845" i="2" s="1"/>
  <c r="A845" i="2"/>
  <c r="C844" i="2"/>
  <c r="B844" i="2"/>
  <c r="D844" i="2" s="1"/>
  <c r="A844" i="2"/>
  <c r="C843" i="2"/>
  <c r="B843" i="2"/>
  <c r="D843" i="2" s="1"/>
  <c r="A843" i="2"/>
  <c r="C842" i="2"/>
  <c r="B842" i="2"/>
  <c r="D842" i="2" s="1"/>
  <c r="A842" i="2"/>
  <c r="C841" i="2"/>
  <c r="B841" i="2"/>
  <c r="D841" i="2" s="1"/>
  <c r="A841" i="2"/>
  <c r="C840" i="2"/>
  <c r="B840" i="2"/>
  <c r="D840" i="2" s="1"/>
  <c r="A840" i="2"/>
  <c r="C839" i="2"/>
  <c r="B839" i="2"/>
  <c r="D839" i="2" s="1"/>
  <c r="A839" i="2"/>
  <c r="C838" i="2"/>
  <c r="B838" i="2"/>
  <c r="D838" i="2" s="1"/>
  <c r="A838" i="2"/>
  <c r="C837" i="2"/>
  <c r="B837" i="2"/>
  <c r="D837" i="2" s="1"/>
  <c r="A837" i="2"/>
  <c r="C836" i="2"/>
  <c r="B836" i="2"/>
  <c r="D836" i="2" s="1"/>
  <c r="A836" i="2"/>
  <c r="C835" i="2"/>
  <c r="B835" i="2"/>
  <c r="D835" i="2" s="1"/>
  <c r="A835" i="2"/>
  <c r="C834" i="2"/>
  <c r="B834" i="2"/>
  <c r="D834" i="2" s="1"/>
  <c r="A834" i="2"/>
  <c r="C833" i="2"/>
  <c r="B833" i="2"/>
  <c r="D833" i="2" s="1"/>
  <c r="A833" i="2"/>
  <c r="C832" i="2"/>
  <c r="B832" i="2"/>
  <c r="D832" i="2" s="1"/>
  <c r="A832" i="2"/>
  <c r="D831" i="2"/>
  <c r="C831" i="2"/>
  <c r="B831" i="2"/>
  <c r="A831" i="2"/>
  <c r="C830" i="2"/>
  <c r="B830" i="2"/>
  <c r="D830" i="2" s="1"/>
  <c r="A830" i="2"/>
  <c r="D829" i="2"/>
  <c r="C829" i="2"/>
  <c r="B829" i="2"/>
  <c r="A829" i="2"/>
  <c r="C828" i="2"/>
  <c r="B828" i="2"/>
  <c r="D828" i="2" s="1"/>
  <c r="A828" i="2"/>
  <c r="C827" i="2"/>
  <c r="B827" i="2"/>
  <c r="D827" i="2" s="1"/>
  <c r="A827" i="2"/>
  <c r="C826" i="2"/>
  <c r="B826" i="2"/>
  <c r="D826" i="2" s="1"/>
  <c r="A826" i="2"/>
  <c r="C825" i="2"/>
  <c r="B825" i="2"/>
  <c r="D825" i="2" s="1"/>
  <c r="A825" i="2"/>
  <c r="C824" i="2"/>
  <c r="B824" i="2"/>
  <c r="D824" i="2" s="1"/>
  <c r="F824" i="2" s="1"/>
  <c r="A824" i="2"/>
  <c r="C823" i="2"/>
  <c r="B823" i="2"/>
  <c r="D823" i="2" s="1"/>
  <c r="A823" i="2"/>
  <c r="C822" i="2"/>
  <c r="B822" i="2"/>
  <c r="D822" i="2" s="1"/>
  <c r="F822" i="2" s="1"/>
  <c r="A822" i="2"/>
  <c r="C821" i="2"/>
  <c r="B821" i="2"/>
  <c r="D821" i="2" s="1"/>
  <c r="A821" i="2"/>
  <c r="C820" i="2"/>
  <c r="B820" i="2"/>
  <c r="D820" i="2" s="1"/>
  <c r="F820" i="2" s="1"/>
  <c r="A820" i="2"/>
  <c r="C819" i="2"/>
  <c r="B819" i="2"/>
  <c r="D819" i="2" s="1"/>
  <c r="A819" i="2"/>
  <c r="C818" i="2"/>
  <c r="B818" i="2"/>
  <c r="D818" i="2" s="1"/>
  <c r="F818" i="2" s="1"/>
  <c r="A818" i="2"/>
  <c r="C817" i="2"/>
  <c r="B817" i="2"/>
  <c r="D817" i="2" s="1"/>
  <c r="F817" i="2" s="1"/>
  <c r="A817" i="2"/>
  <c r="C816" i="2"/>
  <c r="B816" i="2"/>
  <c r="D816" i="2" s="1"/>
  <c r="A816" i="2"/>
  <c r="C815" i="2"/>
  <c r="B815" i="2"/>
  <c r="D815" i="2" s="1"/>
  <c r="A815" i="2"/>
  <c r="C814" i="2"/>
  <c r="B814" i="2"/>
  <c r="D814" i="2" s="1"/>
  <c r="F814" i="2" s="1"/>
  <c r="A814" i="2"/>
  <c r="C813" i="2"/>
  <c r="B813" i="2"/>
  <c r="D813" i="2" s="1"/>
  <c r="A813" i="2"/>
  <c r="C812" i="2"/>
  <c r="B812" i="2"/>
  <c r="D812" i="2" s="1"/>
  <c r="F812" i="2" s="1"/>
  <c r="A812" i="2"/>
  <c r="C811" i="2"/>
  <c r="B811" i="2"/>
  <c r="D811" i="2" s="1"/>
  <c r="A811" i="2"/>
  <c r="C810" i="2"/>
  <c r="B810" i="2"/>
  <c r="D810" i="2" s="1"/>
  <c r="A810" i="2"/>
  <c r="C809" i="2"/>
  <c r="B809" i="2"/>
  <c r="D809" i="2" s="1"/>
  <c r="A809" i="2"/>
  <c r="C808" i="2"/>
  <c r="B808" i="2"/>
  <c r="D808" i="2" s="1"/>
  <c r="F808" i="2" s="1"/>
  <c r="A808" i="2"/>
  <c r="C807" i="2"/>
  <c r="B807" i="2"/>
  <c r="D807" i="2" s="1"/>
  <c r="A807" i="2"/>
  <c r="C806" i="2"/>
  <c r="B806" i="2"/>
  <c r="D806" i="2" s="1"/>
  <c r="F806" i="2" s="1"/>
  <c r="A806" i="2"/>
  <c r="D805" i="2"/>
  <c r="C805" i="2"/>
  <c r="B805" i="2"/>
  <c r="A805" i="2"/>
  <c r="C804" i="2"/>
  <c r="B804" i="2"/>
  <c r="D804" i="2" s="1"/>
  <c r="F804" i="2" s="1"/>
  <c r="A804" i="2"/>
  <c r="D803" i="2"/>
  <c r="C803" i="2"/>
  <c r="B803" i="2"/>
  <c r="A803" i="2"/>
  <c r="E802" i="2"/>
  <c r="C802" i="2"/>
  <c r="B802" i="2"/>
  <c r="D802" i="2" s="1"/>
  <c r="F802" i="2" s="1"/>
  <c r="A802" i="2"/>
  <c r="E801" i="2"/>
  <c r="C801" i="2"/>
  <c r="B801" i="2"/>
  <c r="D801" i="2" s="1"/>
  <c r="F801" i="2" s="1"/>
  <c r="A801" i="2"/>
  <c r="C800" i="2"/>
  <c r="B800" i="2"/>
  <c r="D800" i="2" s="1"/>
  <c r="A800" i="2"/>
  <c r="C799" i="2"/>
  <c r="B799" i="2"/>
  <c r="D799" i="2" s="1"/>
  <c r="A799" i="2"/>
  <c r="C798" i="2"/>
  <c r="B798" i="2"/>
  <c r="D798" i="2" s="1"/>
  <c r="F798" i="2" s="1"/>
  <c r="A798" i="2"/>
  <c r="C797" i="2"/>
  <c r="B797" i="2"/>
  <c r="D797" i="2" s="1"/>
  <c r="A797" i="2"/>
  <c r="C796" i="2"/>
  <c r="B796" i="2"/>
  <c r="D796" i="2" s="1"/>
  <c r="F796" i="2" s="1"/>
  <c r="A796" i="2"/>
  <c r="C795" i="2"/>
  <c r="B795" i="2"/>
  <c r="D795" i="2" s="1"/>
  <c r="A795" i="2"/>
  <c r="C794" i="2"/>
  <c r="B794" i="2"/>
  <c r="D794" i="2" s="1"/>
  <c r="F794" i="2" s="1"/>
  <c r="A794" i="2"/>
  <c r="D793" i="2"/>
  <c r="F793" i="2" s="1"/>
  <c r="C793" i="2"/>
  <c r="B793" i="2"/>
  <c r="A793" i="2"/>
  <c r="E792" i="2"/>
  <c r="C792" i="2"/>
  <c r="B792" i="2"/>
  <c r="D792" i="2" s="1"/>
  <c r="F792" i="2" s="1"/>
  <c r="A792" i="2"/>
  <c r="C791" i="2"/>
  <c r="B791" i="2"/>
  <c r="D791" i="2" s="1"/>
  <c r="A791" i="2"/>
  <c r="C790" i="2"/>
  <c r="B790" i="2"/>
  <c r="D790" i="2" s="1"/>
  <c r="F790" i="2" s="1"/>
  <c r="A790" i="2"/>
  <c r="C789" i="2"/>
  <c r="B789" i="2"/>
  <c r="D789" i="2" s="1"/>
  <c r="A789" i="2"/>
  <c r="C788" i="2"/>
  <c r="B788" i="2"/>
  <c r="D788" i="2" s="1"/>
  <c r="F788" i="2" s="1"/>
  <c r="A788" i="2"/>
  <c r="C787" i="2"/>
  <c r="B787" i="2"/>
  <c r="D787" i="2" s="1"/>
  <c r="A787" i="2"/>
  <c r="C786" i="2"/>
  <c r="B786" i="2"/>
  <c r="D786" i="2" s="1"/>
  <c r="F786" i="2" s="1"/>
  <c r="A786" i="2"/>
  <c r="C785" i="2"/>
  <c r="B785" i="2"/>
  <c r="D785" i="2" s="1"/>
  <c r="F785" i="2" s="1"/>
  <c r="A785" i="2"/>
  <c r="C784" i="2"/>
  <c r="B784" i="2"/>
  <c r="D784" i="2" s="1"/>
  <c r="A784" i="2"/>
  <c r="C783" i="2"/>
  <c r="B783" i="2"/>
  <c r="D783" i="2" s="1"/>
  <c r="A783" i="2"/>
  <c r="C782" i="2"/>
  <c r="B782" i="2"/>
  <c r="D782" i="2" s="1"/>
  <c r="F782" i="2" s="1"/>
  <c r="A782" i="2"/>
  <c r="C781" i="2"/>
  <c r="B781" i="2"/>
  <c r="D781" i="2" s="1"/>
  <c r="A781" i="2"/>
  <c r="C780" i="2"/>
  <c r="B780" i="2"/>
  <c r="D780" i="2" s="1"/>
  <c r="F780" i="2" s="1"/>
  <c r="A780" i="2"/>
  <c r="D779" i="2"/>
  <c r="C779" i="2"/>
  <c r="B779" i="2"/>
  <c r="A779" i="2"/>
  <c r="E778" i="2"/>
  <c r="C778" i="2"/>
  <c r="B778" i="2"/>
  <c r="D778" i="2" s="1"/>
  <c r="F778" i="2" s="1"/>
  <c r="A778" i="2"/>
  <c r="C777" i="2"/>
  <c r="B777" i="2"/>
  <c r="D777" i="2" s="1"/>
  <c r="A777" i="2"/>
  <c r="C776" i="2"/>
  <c r="B776" i="2"/>
  <c r="D776" i="2" s="1"/>
  <c r="F776" i="2" s="1"/>
  <c r="A776" i="2"/>
  <c r="C775" i="2"/>
  <c r="B775" i="2"/>
  <c r="D775" i="2" s="1"/>
  <c r="A775" i="2"/>
  <c r="C774" i="2"/>
  <c r="B774" i="2"/>
  <c r="D774" i="2" s="1"/>
  <c r="F774" i="2" s="1"/>
  <c r="A774" i="2"/>
  <c r="C773" i="2"/>
  <c r="B773" i="2"/>
  <c r="D773" i="2" s="1"/>
  <c r="A773" i="2"/>
  <c r="C772" i="2"/>
  <c r="B772" i="2"/>
  <c r="D772" i="2" s="1"/>
  <c r="F772" i="2" s="1"/>
  <c r="A772" i="2"/>
  <c r="C771" i="2"/>
  <c r="B771" i="2"/>
  <c r="D771" i="2" s="1"/>
  <c r="A771" i="2"/>
  <c r="C770" i="2"/>
  <c r="B770" i="2"/>
  <c r="D770" i="2" s="1"/>
  <c r="A770" i="2"/>
  <c r="C769" i="2"/>
  <c r="B769" i="2"/>
  <c r="D769" i="2" s="1"/>
  <c r="A769" i="2"/>
  <c r="C768" i="2"/>
  <c r="B768" i="2"/>
  <c r="D768" i="2" s="1"/>
  <c r="A768" i="2"/>
  <c r="C767" i="2"/>
  <c r="B767" i="2"/>
  <c r="D767" i="2" s="1"/>
  <c r="A767" i="2"/>
  <c r="C766" i="2"/>
  <c r="B766" i="2"/>
  <c r="D766" i="2" s="1"/>
  <c r="F766" i="2" s="1"/>
  <c r="A766" i="2"/>
  <c r="D765" i="2"/>
  <c r="C765" i="2"/>
  <c r="B765" i="2"/>
  <c r="A765" i="2"/>
  <c r="C764" i="2"/>
  <c r="B764" i="2"/>
  <c r="D764" i="2" s="1"/>
  <c r="F764" i="2" s="1"/>
  <c r="A764" i="2"/>
  <c r="C763" i="2"/>
  <c r="B763" i="2"/>
  <c r="D763" i="2" s="1"/>
  <c r="A763" i="2"/>
  <c r="C762" i="2"/>
  <c r="B762" i="2"/>
  <c r="D762" i="2" s="1"/>
  <c r="F762" i="2" s="1"/>
  <c r="A762" i="2"/>
  <c r="C761" i="2"/>
  <c r="B761" i="2"/>
  <c r="D761" i="2" s="1"/>
  <c r="A761" i="2"/>
  <c r="C760" i="2"/>
  <c r="B760" i="2"/>
  <c r="D760" i="2" s="1"/>
  <c r="F760" i="2" s="1"/>
  <c r="A760" i="2"/>
  <c r="C759" i="2"/>
  <c r="B759" i="2"/>
  <c r="D759" i="2" s="1"/>
  <c r="A759" i="2"/>
  <c r="C758" i="2"/>
  <c r="B758" i="2"/>
  <c r="D758" i="2" s="1"/>
  <c r="F758" i="2" s="1"/>
  <c r="A758" i="2"/>
  <c r="C757" i="2"/>
  <c r="B757" i="2"/>
  <c r="D757" i="2" s="1"/>
  <c r="A757" i="2"/>
  <c r="C756" i="2"/>
  <c r="B756" i="2"/>
  <c r="D756" i="2" s="1"/>
  <c r="F756" i="2" s="1"/>
  <c r="A756" i="2"/>
  <c r="C755" i="2"/>
  <c r="B755" i="2"/>
  <c r="D755" i="2" s="1"/>
  <c r="A755" i="2"/>
  <c r="C754" i="2"/>
  <c r="B754" i="2"/>
  <c r="D754" i="2" s="1"/>
  <c r="F754" i="2" s="1"/>
  <c r="A754" i="2"/>
  <c r="C753" i="2"/>
  <c r="B753" i="2"/>
  <c r="D753" i="2" s="1"/>
  <c r="F753" i="2" s="1"/>
  <c r="A753" i="2"/>
  <c r="C752" i="2"/>
  <c r="B752" i="2"/>
  <c r="D752" i="2" s="1"/>
  <c r="A752" i="2"/>
  <c r="C751" i="2"/>
  <c r="B751" i="2"/>
  <c r="D751" i="2" s="1"/>
  <c r="A751" i="2"/>
  <c r="C750" i="2"/>
  <c r="B750" i="2"/>
  <c r="D750" i="2" s="1"/>
  <c r="F750" i="2" s="1"/>
  <c r="A750" i="2"/>
  <c r="C749" i="2"/>
  <c r="B749" i="2"/>
  <c r="D749" i="2" s="1"/>
  <c r="A749" i="2"/>
  <c r="C748" i="2"/>
  <c r="B748" i="2"/>
  <c r="D748" i="2" s="1"/>
  <c r="F748" i="2" s="1"/>
  <c r="A748" i="2"/>
  <c r="C747" i="2"/>
  <c r="B747" i="2"/>
  <c r="D747" i="2" s="1"/>
  <c r="A747" i="2"/>
  <c r="C746" i="2"/>
  <c r="B746" i="2"/>
  <c r="D746" i="2" s="1"/>
  <c r="A746" i="2"/>
  <c r="C745" i="2"/>
  <c r="B745" i="2"/>
  <c r="D745" i="2" s="1"/>
  <c r="A745" i="2"/>
  <c r="C744" i="2"/>
  <c r="B744" i="2"/>
  <c r="D744" i="2" s="1"/>
  <c r="F744" i="2" s="1"/>
  <c r="A744" i="2"/>
  <c r="C743" i="2"/>
  <c r="B743" i="2"/>
  <c r="D743" i="2" s="1"/>
  <c r="A743" i="2"/>
  <c r="C742" i="2"/>
  <c r="B742" i="2"/>
  <c r="D742" i="2" s="1"/>
  <c r="F742" i="2" s="1"/>
  <c r="A742" i="2"/>
  <c r="C741" i="2"/>
  <c r="B741" i="2"/>
  <c r="D741" i="2" s="1"/>
  <c r="A741" i="2"/>
  <c r="C740" i="2"/>
  <c r="B740" i="2"/>
  <c r="D740" i="2" s="1"/>
  <c r="F740" i="2" s="1"/>
  <c r="A740" i="2"/>
  <c r="D739" i="2"/>
  <c r="C739" i="2"/>
  <c r="B739" i="2"/>
  <c r="A739" i="2"/>
  <c r="E738" i="2"/>
  <c r="C738" i="2"/>
  <c r="B738" i="2"/>
  <c r="D738" i="2" s="1"/>
  <c r="F738" i="2" s="1"/>
  <c r="A738" i="2"/>
  <c r="E737" i="2"/>
  <c r="C737" i="2"/>
  <c r="B737" i="2"/>
  <c r="D737" i="2" s="1"/>
  <c r="F737" i="2" s="1"/>
  <c r="A737" i="2"/>
  <c r="C736" i="2"/>
  <c r="B736" i="2"/>
  <c r="D736" i="2" s="1"/>
  <c r="A736" i="2"/>
  <c r="C735" i="2"/>
  <c r="B735" i="2"/>
  <c r="D735" i="2" s="1"/>
  <c r="A735" i="2"/>
  <c r="C734" i="2"/>
  <c r="B734" i="2"/>
  <c r="D734" i="2" s="1"/>
  <c r="F734" i="2" s="1"/>
  <c r="A734" i="2"/>
  <c r="C733" i="2"/>
  <c r="B733" i="2"/>
  <c r="D733" i="2" s="1"/>
  <c r="A733" i="2"/>
  <c r="C732" i="2"/>
  <c r="B732" i="2"/>
  <c r="D732" i="2" s="1"/>
  <c r="F732" i="2" s="1"/>
  <c r="A732" i="2"/>
  <c r="C731" i="2"/>
  <c r="B731" i="2"/>
  <c r="D731" i="2" s="1"/>
  <c r="A731" i="2"/>
  <c r="C730" i="2"/>
  <c r="B730" i="2"/>
  <c r="D730" i="2" s="1"/>
  <c r="F730" i="2" s="1"/>
  <c r="A730" i="2"/>
  <c r="C729" i="2"/>
  <c r="B729" i="2"/>
  <c r="D729" i="2" s="1"/>
  <c r="F729" i="2" s="1"/>
  <c r="A729" i="2"/>
  <c r="C728" i="2"/>
  <c r="B728" i="2"/>
  <c r="D728" i="2" s="1"/>
  <c r="F728" i="2" s="1"/>
  <c r="A728" i="2"/>
  <c r="C727" i="2"/>
  <c r="B727" i="2"/>
  <c r="D727" i="2" s="1"/>
  <c r="A727" i="2"/>
  <c r="C726" i="2"/>
  <c r="B726" i="2"/>
  <c r="D726" i="2" s="1"/>
  <c r="F726" i="2" s="1"/>
  <c r="A726" i="2"/>
  <c r="C725" i="2"/>
  <c r="B725" i="2"/>
  <c r="D725" i="2" s="1"/>
  <c r="A725" i="2"/>
  <c r="C724" i="2"/>
  <c r="B724" i="2"/>
  <c r="D724" i="2" s="1"/>
  <c r="F724" i="2" s="1"/>
  <c r="A724" i="2"/>
  <c r="C723" i="2"/>
  <c r="B723" i="2"/>
  <c r="D723" i="2" s="1"/>
  <c r="A723" i="2"/>
  <c r="C722" i="2"/>
  <c r="B722" i="2"/>
  <c r="D722" i="2" s="1"/>
  <c r="F722" i="2" s="1"/>
  <c r="A722" i="2"/>
  <c r="C721" i="2"/>
  <c r="B721" i="2"/>
  <c r="D721" i="2" s="1"/>
  <c r="F721" i="2" s="1"/>
  <c r="A721" i="2"/>
  <c r="C720" i="2"/>
  <c r="B720" i="2"/>
  <c r="D720" i="2" s="1"/>
  <c r="A720" i="2"/>
  <c r="C719" i="2"/>
  <c r="B719" i="2"/>
  <c r="D719" i="2" s="1"/>
  <c r="A719" i="2"/>
  <c r="C718" i="2"/>
  <c r="B718" i="2"/>
  <c r="D718" i="2" s="1"/>
  <c r="F718" i="2" s="1"/>
  <c r="A718" i="2"/>
  <c r="C717" i="2"/>
  <c r="B717" i="2"/>
  <c r="D717" i="2" s="1"/>
  <c r="A717" i="2"/>
  <c r="C716" i="2"/>
  <c r="B716" i="2"/>
  <c r="D716" i="2" s="1"/>
  <c r="F716" i="2" s="1"/>
  <c r="A716" i="2"/>
  <c r="C715" i="2"/>
  <c r="B715" i="2"/>
  <c r="D715" i="2" s="1"/>
  <c r="A715" i="2"/>
  <c r="C714" i="2"/>
  <c r="B714" i="2"/>
  <c r="D714" i="2" s="1"/>
  <c r="F714" i="2" s="1"/>
  <c r="A714" i="2"/>
  <c r="C713" i="2"/>
  <c r="B713" i="2"/>
  <c r="D713" i="2" s="1"/>
  <c r="A713" i="2"/>
  <c r="C712" i="2"/>
  <c r="B712" i="2"/>
  <c r="D712" i="2" s="1"/>
  <c r="F712" i="2" s="1"/>
  <c r="A712" i="2"/>
  <c r="C711" i="2"/>
  <c r="B711" i="2"/>
  <c r="D711" i="2" s="1"/>
  <c r="A711" i="2"/>
  <c r="C710" i="2"/>
  <c r="B710" i="2"/>
  <c r="D710" i="2" s="1"/>
  <c r="F710" i="2" s="1"/>
  <c r="A710" i="2"/>
  <c r="C709" i="2"/>
  <c r="B709" i="2"/>
  <c r="D709" i="2" s="1"/>
  <c r="A709" i="2"/>
  <c r="C708" i="2"/>
  <c r="B708" i="2"/>
  <c r="D708" i="2" s="1"/>
  <c r="F708" i="2" s="1"/>
  <c r="A708" i="2"/>
  <c r="C707" i="2"/>
  <c r="B707" i="2"/>
  <c r="D707" i="2" s="1"/>
  <c r="A707" i="2"/>
  <c r="C706" i="2"/>
  <c r="B706" i="2"/>
  <c r="D706" i="2" s="1"/>
  <c r="A706" i="2"/>
  <c r="C705" i="2"/>
  <c r="B705" i="2"/>
  <c r="D705" i="2" s="1"/>
  <c r="A705" i="2"/>
  <c r="C704" i="2"/>
  <c r="B704" i="2"/>
  <c r="D704" i="2" s="1"/>
  <c r="A704" i="2"/>
  <c r="C703" i="2"/>
  <c r="B703" i="2"/>
  <c r="D703" i="2" s="1"/>
  <c r="A703" i="2"/>
  <c r="C702" i="2"/>
  <c r="B702" i="2"/>
  <c r="D702" i="2" s="1"/>
  <c r="F702" i="2" s="1"/>
  <c r="A702" i="2"/>
  <c r="C701" i="2"/>
  <c r="B701" i="2"/>
  <c r="D701" i="2" s="1"/>
  <c r="A701" i="2"/>
  <c r="C700" i="2"/>
  <c r="B700" i="2"/>
  <c r="D700" i="2" s="1"/>
  <c r="F700" i="2" s="1"/>
  <c r="A700" i="2"/>
  <c r="C699" i="2"/>
  <c r="B699" i="2"/>
  <c r="D699" i="2" s="1"/>
  <c r="A699" i="2"/>
  <c r="C698" i="2"/>
  <c r="B698" i="2"/>
  <c r="D698" i="2" s="1"/>
  <c r="F698" i="2" s="1"/>
  <c r="A698" i="2"/>
  <c r="C697" i="2"/>
  <c r="B697" i="2"/>
  <c r="D697" i="2" s="1"/>
  <c r="A697" i="2"/>
  <c r="C696" i="2"/>
  <c r="B696" i="2"/>
  <c r="D696" i="2" s="1"/>
  <c r="F696" i="2" s="1"/>
  <c r="A696" i="2"/>
  <c r="C695" i="2"/>
  <c r="B695" i="2"/>
  <c r="D695" i="2" s="1"/>
  <c r="A695" i="2"/>
  <c r="C694" i="2"/>
  <c r="B694" i="2"/>
  <c r="D694" i="2" s="1"/>
  <c r="F694" i="2" s="1"/>
  <c r="A694" i="2"/>
  <c r="C693" i="2"/>
  <c r="B693" i="2"/>
  <c r="D693" i="2" s="1"/>
  <c r="A693" i="2"/>
  <c r="C692" i="2"/>
  <c r="B692" i="2"/>
  <c r="D692" i="2" s="1"/>
  <c r="F692" i="2" s="1"/>
  <c r="A692" i="2"/>
  <c r="C691" i="2"/>
  <c r="B691" i="2"/>
  <c r="D691" i="2" s="1"/>
  <c r="A691" i="2"/>
  <c r="C690" i="2"/>
  <c r="B690" i="2"/>
  <c r="D690" i="2" s="1"/>
  <c r="F690" i="2" s="1"/>
  <c r="A690" i="2"/>
  <c r="C689" i="2"/>
  <c r="B689" i="2"/>
  <c r="D689" i="2" s="1"/>
  <c r="F689" i="2" s="1"/>
  <c r="A689" i="2"/>
  <c r="C688" i="2"/>
  <c r="B688" i="2"/>
  <c r="D688" i="2" s="1"/>
  <c r="A688" i="2"/>
  <c r="C687" i="2"/>
  <c r="B687" i="2"/>
  <c r="D687" i="2" s="1"/>
  <c r="A687" i="2"/>
  <c r="C686" i="2"/>
  <c r="B686" i="2"/>
  <c r="D686" i="2" s="1"/>
  <c r="F686" i="2" s="1"/>
  <c r="A686" i="2"/>
  <c r="C685" i="2"/>
  <c r="B685" i="2"/>
  <c r="D685" i="2" s="1"/>
  <c r="A685" i="2"/>
  <c r="C684" i="2"/>
  <c r="B684" i="2"/>
  <c r="D684" i="2" s="1"/>
  <c r="F684" i="2" s="1"/>
  <c r="A684" i="2"/>
  <c r="C683" i="2"/>
  <c r="B683" i="2"/>
  <c r="D683" i="2" s="1"/>
  <c r="A683" i="2"/>
  <c r="C682" i="2"/>
  <c r="B682" i="2"/>
  <c r="D682" i="2" s="1"/>
  <c r="A682" i="2"/>
  <c r="C681" i="2"/>
  <c r="B681" i="2"/>
  <c r="D681" i="2" s="1"/>
  <c r="F681" i="2" s="1"/>
  <c r="A681" i="2"/>
  <c r="C680" i="2"/>
  <c r="B680" i="2"/>
  <c r="D680" i="2" s="1"/>
  <c r="A680" i="2"/>
  <c r="C679" i="2"/>
  <c r="B679" i="2"/>
  <c r="D679" i="2" s="1"/>
  <c r="A679" i="2"/>
  <c r="C678" i="2"/>
  <c r="B678" i="2"/>
  <c r="D678" i="2" s="1"/>
  <c r="F678" i="2" s="1"/>
  <c r="A678" i="2"/>
  <c r="C677" i="2"/>
  <c r="B677" i="2"/>
  <c r="D677" i="2" s="1"/>
  <c r="A677" i="2"/>
  <c r="C676" i="2"/>
  <c r="B676" i="2"/>
  <c r="D676" i="2" s="1"/>
  <c r="F676" i="2" s="1"/>
  <c r="A676" i="2"/>
  <c r="C675" i="2"/>
  <c r="B675" i="2"/>
  <c r="D675" i="2" s="1"/>
  <c r="A675" i="2"/>
  <c r="C674" i="2"/>
  <c r="B674" i="2"/>
  <c r="D674" i="2" s="1"/>
  <c r="F674" i="2" s="1"/>
  <c r="A674" i="2"/>
  <c r="C673" i="2"/>
  <c r="B673" i="2"/>
  <c r="D673" i="2" s="1"/>
  <c r="F673" i="2" s="1"/>
  <c r="A673" i="2"/>
  <c r="C672" i="2"/>
  <c r="B672" i="2"/>
  <c r="D672" i="2" s="1"/>
  <c r="A672" i="2"/>
  <c r="C671" i="2"/>
  <c r="B671" i="2"/>
  <c r="D671" i="2" s="1"/>
  <c r="A671" i="2"/>
  <c r="C670" i="2"/>
  <c r="B670" i="2"/>
  <c r="D670" i="2" s="1"/>
  <c r="F670" i="2" s="1"/>
  <c r="A670" i="2"/>
  <c r="C669" i="2"/>
  <c r="B669" i="2"/>
  <c r="D669" i="2" s="1"/>
  <c r="A669" i="2"/>
  <c r="C668" i="2"/>
  <c r="B668" i="2"/>
  <c r="D668" i="2" s="1"/>
  <c r="F668" i="2" s="1"/>
  <c r="A668" i="2"/>
  <c r="C667" i="2"/>
  <c r="B667" i="2"/>
  <c r="D667" i="2" s="1"/>
  <c r="A667" i="2"/>
  <c r="C666" i="2"/>
  <c r="B666" i="2"/>
  <c r="D666" i="2" s="1"/>
  <c r="F666" i="2" s="1"/>
  <c r="A666" i="2"/>
  <c r="C665" i="2"/>
  <c r="B665" i="2"/>
  <c r="D665" i="2" s="1"/>
  <c r="A665" i="2"/>
  <c r="C664" i="2"/>
  <c r="B664" i="2"/>
  <c r="D664" i="2" s="1"/>
  <c r="F664" i="2" s="1"/>
  <c r="A664" i="2"/>
  <c r="C663" i="2"/>
  <c r="B663" i="2"/>
  <c r="D663" i="2" s="1"/>
  <c r="A663" i="2"/>
  <c r="C662" i="2"/>
  <c r="B662" i="2"/>
  <c r="D662" i="2" s="1"/>
  <c r="F662" i="2" s="1"/>
  <c r="A662" i="2"/>
  <c r="C661" i="2"/>
  <c r="B661" i="2"/>
  <c r="D661" i="2" s="1"/>
  <c r="A661" i="2"/>
  <c r="C660" i="2"/>
  <c r="B660" i="2"/>
  <c r="D660" i="2" s="1"/>
  <c r="F660" i="2" s="1"/>
  <c r="A660" i="2"/>
  <c r="C659" i="2"/>
  <c r="B659" i="2"/>
  <c r="D659" i="2" s="1"/>
  <c r="A659" i="2"/>
  <c r="C658" i="2"/>
  <c r="B658" i="2"/>
  <c r="D658" i="2" s="1"/>
  <c r="F658" i="2" s="1"/>
  <c r="A658" i="2"/>
  <c r="C657" i="2"/>
  <c r="B657" i="2"/>
  <c r="D657" i="2" s="1"/>
  <c r="F657" i="2" s="1"/>
  <c r="A657" i="2"/>
  <c r="C656" i="2"/>
  <c r="B656" i="2"/>
  <c r="D656" i="2" s="1"/>
  <c r="A656" i="2"/>
  <c r="C655" i="2"/>
  <c r="B655" i="2"/>
  <c r="D655" i="2" s="1"/>
  <c r="A655" i="2"/>
  <c r="C654" i="2"/>
  <c r="B654" i="2"/>
  <c r="D654" i="2" s="1"/>
  <c r="F654" i="2" s="1"/>
  <c r="A654" i="2"/>
  <c r="C653" i="2"/>
  <c r="B653" i="2"/>
  <c r="D653" i="2" s="1"/>
  <c r="A653" i="2"/>
  <c r="C652" i="2"/>
  <c r="B652" i="2"/>
  <c r="D652" i="2" s="1"/>
  <c r="F652" i="2" s="1"/>
  <c r="A652" i="2"/>
  <c r="C651" i="2"/>
  <c r="B651" i="2"/>
  <c r="D651" i="2" s="1"/>
  <c r="A651" i="2"/>
  <c r="C650" i="2"/>
  <c r="B650" i="2"/>
  <c r="D650" i="2" s="1"/>
  <c r="F650" i="2" s="1"/>
  <c r="A650" i="2"/>
  <c r="C649" i="2"/>
  <c r="B649" i="2"/>
  <c r="D649" i="2" s="1"/>
  <c r="A649" i="2"/>
  <c r="C648" i="2"/>
  <c r="B648" i="2"/>
  <c r="D648" i="2" s="1"/>
  <c r="A648" i="2"/>
  <c r="C647" i="2"/>
  <c r="B647" i="2"/>
  <c r="D647" i="2" s="1"/>
  <c r="A647" i="2"/>
  <c r="C646" i="2"/>
  <c r="B646" i="2"/>
  <c r="D646" i="2" s="1"/>
  <c r="F646" i="2" s="1"/>
  <c r="A646" i="2"/>
  <c r="C645" i="2"/>
  <c r="B645" i="2"/>
  <c r="D645" i="2" s="1"/>
  <c r="F645" i="2" s="1"/>
  <c r="A645" i="2"/>
  <c r="C644" i="2"/>
  <c r="B644" i="2"/>
  <c r="D644" i="2" s="1"/>
  <c r="A644" i="2"/>
  <c r="C643" i="2"/>
  <c r="B643" i="2"/>
  <c r="D643" i="2" s="1"/>
  <c r="A643" i="2"/>
  <c r="C642" i="2"/>
  <c r="B642" i="2"/>
  <c r="D642" i="2" s="1"/>
  <c r="F642" i="2" s="1"/>
  <c r="A642" i="2"/>
  <c r="D641" i="2"/>
  <c r="F641" i="2" s="1"/>
  <c r="C641" i="2"/>
  <c r="B641" i="2"/>
  <c r="A641" i="2"/>
  <c r="F640" i="2"/>
  <c r="C640" i="2"/>
  <c r="B640" i="2"/>
  <c r="D640" i="2" s="1"/>
  <c r="E640" i="2" s="1"/>
  <c r="A640" i="2"/>
  <c r="D639" i="2"/>
  <c r="C639" i="2"/>
  <c r="B639" i="2"/>
  <c r="A639" i="2"/>
  <c r="C638" i="2"/>
  <c r="B638" i="2"/>
  <c r="D638" i="2" s="1"/>
  <c r="F638" i="2" s="1"/>
  <c r="A638" i="2"/>
  <c r="C637" i="2"/>
  <c r="B637" i="2"/>
  <c r="D637" i="2" s="1"/>
  <c r="F637" i="2" s="1"/>
  <c r="A637" i="2"/>
  <c r="C636" i="2"/>
  <c r="B636" i="2"/>
  <c r="D636" i="2" s="1"/>
  <c r="F636" i="2" s="1"/>
  <c r="A636" i="2"/>
  <c r="C635" i="2"/>
  <c r="B635" i="2"/>
  <c r="D635" i="2" s="1"/>
  <c r="A635" i="2"/>
  <c r="C634" i="2"/>
  <c r="B634" i="2"/>
  <c r="D634" i="2" s="1"/>
  <c r="F634" i="2" s="1"/>
  <c r="A634" i="2"/>
  <c r="C633" i="2"/>
  <c r="B633" i="2"/>
  <c r="D633" i="2" s="1"/>
  <c r="F633" i="2" s="1"/>
  <c r="A633" i="2"/>
  <c r="F632" i="2"/>
  <c r="E632" i="2"/>
  <c r="C632" i="2"/>
  <c r="B632" i="2"/>
  <c r="D632" i="2" s="1"/>
  <c r="A632" i="2"/>
  <c r="E631" i="2"/>
  <c r="C631" i="2"/>
  <c r="B631" i="2"/>
  <c r="D631" i="2" s="1"/>
  <c r="F631" i="2" s="1"/>
  <c r="A631" i="2"/>
  <c r="C630" i="2"/>
  <c r="B630" i="2"/>
  <c r="D630" i="2" s="1"/>
  <c r="F630" i="2" s="1"/>
  <c r="A630" i="2"/>
  <c r="C629" i="2"/>
  <c r="B629" i="2"/>
  <c r="D629" i="2" s="1"/>
  <c r="F629" i="2" s="1"/>
  <c r="A629" i="2"/>
  <c r="C628" i="2"/>
  <c r="B628" i="2"/>
  <c r="D628" i="2" s="1"/>
  <c r="E628" i="2" s="1"/>
  <c r="A628" i="2"/>
  <c r="C627" i="2"/>
  <c r="B627" i="2"/>
  <c r="D627" i="2" s="1"/>
  <c r="F627" i="2" s="1"/>
  <c r="A627" i="2"/>
  <c r="C626" i="2"/>
  <c r="B626" i="2"/>
  <c r="D626" i="2" s="1"/>
  <c r="F626" i="2" s="1"/>
  <c r="A626" i="2"/>
  <c r="C625" i="2"/>
  <c r="B625" i="2"/>
  <c r="D625" i="2" s="1"/>
  <c r="F625" i="2" s="1"/>
  <c r="A625" i="2"/>
  <c r="C624" i="2"/>
  <c r="B624" i="2"/>
  <c r="D624" i="2" s="1"/>
  <c r="E624" i="2" s="1"/>
  <c r="A624" i="2"/>
  <c r="C623" i="2"/>
  <c r="B623" i="2"/>
  <c r="D623" i="2" s="1"/>
  <c r="A623" i="2"/>
  <c r="C622" i="2"/>
  <c r="B622" i="2"/>
  <c r="D622" i="2" s="1"/>
  <c r="F622" i="2" s="1"/>
  <c r="A622" i="2"/>
  <c r="C621" i="2"/>
  <c r="B621" i="2"/>
  <c r="D621" i="2" s="1"/>
  <c r="F621" i="2" s="1"/>
  <c r="A621" i="2"/>
  <c r="C620" i="2"/>
  <c r="B620" i="2"/>
  <c r="D620" i="2" s="1"/>
  <c r="A620" i="2"/>
  <c r="C619" i="2"/>
  <c r="B619" i="2"/>
  <c r="D619" i="2" s="1"/>
  <c r="F619" i="2" s="1"/>
  <c r="A619" i="2"/>
  <c r="C618" i="2"/>
  <c r="B618" i="2"/>
  <c r="D618" i="2" s="1"/>
  <c r="F618" i="2" s="1"/>
  <c r="A618" i="2"/>
  <c r="C617" i="2"/>
  <c r="B617" i="2"/>
  <c r="D617" i="2" s="1"/>
  <c r="F617" i="2" s="1"/>
  <c r="A617" i="2"/>
  <c r="F616" i="2"/>
  <c r="C616" i="2"/>
  <c r="B616" i="2"/>
  <c r="D616" i="2" s="1"/>
  <c r="E616" i="2" s="1"/>
  <c r="A616" i="2"/>
  <c r="C615" i="2"/>
  <c r="B615" i="2"/>
  <c r="D615" i="2" s="1"/>
  <c r="A615" i="2"/>
  <c r="C614" i="2"/>
  <c r="B614" i="2"/>
  <c r="D614" i="2" s="1"/>
  <c r="F614" i="2" s="1"/>
  <c r="A614" i="2"/>
  <c r="C613" i="2"/>
  <c r="B613" i="2"/>
  <c r="D613" i="2" s="1"/>
  <c r="F613" i="2" s="1"/>
  <c r="A613" i="2"/>
  <c r="C612" i="2"/>
  <c r="B612" i="2"/>
  <c r="D612" i="2" s="1"/>
  <c r="F612" i="2" s="1"/>
  <c r="A612" i="2"/>
  <c r="C611" i="2"/>
  <c r="B611" i="2"/>
  <c r="D611" i="2" s="1"/>
  <c r="F611" i="2" s="1"/>
  <c r="A611" i="2"/>
  <c r="C610" i="2"/>
  <c r="B610" i="2"/>
  <c r="D610" i="2" s="1"/>
  <c r="F610" i="2" s="1"/>
  <c r="A610" i="2"/>
  <c r="C609" i="2"/>
  <c r="B609" i="2"/>
  <c r="D609" i="2" s="1"/>
  <c r="F609" i="2" s="1"/>
  <c r="A609" i="2"/>
  <c r="C608" i="2"/>
  <c r="B608" i="2"/>
  <c r="D608" i="2" s="1"/>
  <c r="E608" i="2" s="1"/>
  <c r="A608" i="2"/>
  <c r="C607" i="2"/>
  <c r="B607" i="2"/>
  <c r="D607" i="2" s="1"/>
  <c r="A607" i="2"/>
  <c r="C606" i="2"/>
  <c r="B606" i="2"/>
  <c r="D606" i="2" s="1"/>
  <c r="F606" i="2" s="1"/>
  <c r="A606" i="2"/>
  <c r="C605" i="2"/>
  <c r="B605" i="2"/>
  <c r="D605" i="2" s="1"/>
  <c r="F605" i="2" s="1"/>
  <c r="A605" i="2"/>
  <c r="C604" i="2"/>
  <c r="B604" i="2"/>
  <c r="D604" i="2" s="1"/>
  <c r="F604" i="2" s="1"/>
  <c r="A604" i="2"/>
  <c r="C603" i="2"/>
  <c r="B603" i="2"/>
  <c r="D603" i="2" s="1"/>
  <c r="A603" i="2"/>
  <c r="C602" i="2"/>
  <c r="B602" i="2"/>
  <c r="D602" i="2" s="1"/>
  <c r="F602" i="2" s="1"/>
  <c r="A602" i="2"/>
  <c r="C601" i="2"/>
  <c r="B601" i="2"/>
  <c r="D601" i="2" s="1"/>
  <c r="F601" i="2" s="1"/>
  <c r="A601" i="2"/>
  <c r="C600" i="2"/>
  <c r="B600" i="2"/>
  <c r="D600" i="2" s="1"/>
  <c r="F600" i="2" s="1"/>
  <c r="A600" i="2"/>
  <c r="C599" i="2"/>
  <c r="B599" i="2"/>
  <c r="D599" i="2" s="1"/>
  <c r="A599" i="2"/>
  <c r="C598" i="2"/>
  <c r="B598" i="2"/>
  <c r="D598" i="2" s="1"/>
  <c r="F598" i="2" s="1"/>
  <c r="A598" i="2"/>
  <c r="C597" i="2"/>
  <c r="B597" i="2"/>
  <c r="D597" i="2" s="1"/>
  <c r="F597" i="2" s="1"/>
  <c r="A597" i="2"/>
  <c r="C596" i="2"/>
  <c r="B596" i="2"/>
  <c r="D596" i="2" s="1"/>
  <c r="F596" i="2" s="1"/>
  <c r="A596" i="2"/>
  <c r="C595" i="2"/>
  <c r="B595" i="2"/>
  <c r="D595" i="2" s="1"/>
  <c r="F595" i="2" s="1"/>
  <c r="A595" i="2"/>
  <c r="C594" i="2"/>
  <c r="B594" i="2"/>
  <c r="D594" i="2" s="1"/>
  <c r="F594" i="2" s="1"/>
  <c r="A594" i="2"/>
  <c r="C593" i="2"/>
  <c r="B593" i="2"/>
  <c r="D593" i="2" s="1"/>
  <c r="F593" i="2" s="1"/>
  <c r="A593" i="2"/>
  <c r="C592" i="2"/>
  <c r="B592" i="2"/>
  <c r="D592" i="2" s="1"/>
  <c r="A592" i="2"/>
  <c r="C591" i="2"/>
  <c r="B591" i="2"/>
  <c r="D591" i="2" s="1"/>
  <c r="A591" i="2"/>
  <c r="C590" i="2"/>
  <c r="B590" i="2"/>
  <c r="D590" i="2" s="1"/>
  <c r="F590" i="2" s="1"/>
  <c r="A590" i="2"/>
  <c r="C589" i="2"/>
  <c r="B589" i="2"/>
  <c r="D589" i="2" s="1"/>
  <c r="A589" i="2"/>
  <c r="C588" i="2"/>
  <c r="B588" i="2"/>
  <c r="D588" i="2" s="1"/>
  <c r="F588" i="2" s="1"/>
  <c r="A588" i="2"/>
  <c r="C587" i="2"/>
  <c r="B587" i="2"/>
  <c r="D587" i="2" s="1"/>
  <c r="A587" i="2"/>
  <c r="C586" i="2"/>
  <c r="B586" i="2"/>
  <c r="D586" i="2" s="1"/>
  <c r="F586" i="2" s="1"/>
  <c r="A586" i="2"/>
  <c r="C585" i="2"/>
  <c r="B585" i="2"/>
  <c r="D585" i="2" s="1"/>
  <c r="A585" i="2"/>
  <c r="C584" i="2"/>
  <c r="B584" i="2"/>
  <c r="D584" i="2" s="1"/>
  <c r="F584" i="2" s="1"/>
  <c r="A584" i="2"/>
  <c r="C583" i="2"/>
  <c r="B583" i="2"/>
  <c r="D583" i="2" s="1"/>
  <c r="A583" i="2"/>
  <c r="C582" i="2"/>
  <c r="B582" i="2"/>
  <c r="D582" i="2" s="1"/>
  <c r="F582" i="2" s="1"/>
  <c r="A582" i="2"/>
  <c r="C581" i="2"/>
  <c r="B581" i="2"/>
  <c r="D581" i="2" s="1"/>
  <c r="A581" i="2"/>
  <c r="C580" i="2"/>
  <c r="B580" i="2"/>
  <c r="D580" i="2" s="1"/>
  <c r="F580" i="2" s="1"/>
  <c r="A580" i="2"/>
  <c r="C579" i="2"/>
  <c r="B579" i="2"/>
  <c r="D579" i="2" s="1"/>
  <c r="A579" i="2"/>
  <c r="C578" i="2"/>
  <c r="B578" i="2"/>
  <c r="D578" i="2" s="1"/>
  <c r="F578" i="2" s="1"/>
  <c r="A578" i="2"/>
  <c r="C577" i="2"/>
  <c r="B577" i="2"/>
  <c r="D577" i="2" s="1"/>
  <c r="A577" i="2"/>
  <c r="C576" i="2"/>
  <c r="B576" i="2"/>
  <c r="D576" i="2" s="1"/>
  <c r="F576" i="2" s="1"/>
  <c r="A576" i="2"/>
  <c r="C575" i="2"/>
  <c r="B575" i="2"/>
  <c r="D575" i="2" s="1"/>
  <c r="A575" i="2"/>
  <c r="C574" i="2"/>
  <c r="B574" i="2"/>
  <c r="D574" i="2" s="1"/>
  <c r="F574" i="2" s="1"/>
  <c r="A574" i="2"/>
  <c r="C573" i="2"/>
  <c r="B573" i="2"/>
  <c r="D573" i="2" s="1"/>
  <c r="A573" i="2"/>
  <c r="C572" i="2"/>
  <c r="B572" i="2"/>
  <c r="D572" i="2" s="1"/>
  <c r="F572" i="2" s="1"/>
  <c r="A572" i="2"/>
  <c r="C571" i="2"/>
  <c r="B571" i="2"/>
  <c r="D571" i="2" s="1"/>
  <c r="A571" i="2"/>
  <c r="C570" i="2"/>
  <c r="B570" i="2"/>
  <c r="D570" i="2" s="1"/>
  <c r="F570" i="2" s="1"/>
  <c r="A570" i="2"/>
  <c r="C569" i="2"/>
  <c r="B569" i="2"/>
  <c r="D569" i="2" s="1"/>
  <c r="A569" i="2"/>
  <c r="C568" i="2"/>
  <c r="B568" i="2"/>
  <c r="D568" i="2" s="1"/>
  <c r="F568" i="2" s="1"/>
  <c r="A568" i="2"/>
  <c r="C567" i="2"/>
  <c r="B567" i="2"/>
  <c r="D567" i="2" s="1"/>
  <c r="A567" i="2"/>
  <c r="C566" i="2"/>
  <c r="B566" i="2"/>
  <c r="D566" i="2" s="1"/>
  <c r="F566" i="2" s="1"/>
  <c r="A566" i="2"/>
  <c r="C565" i="2"/>
  <c r="B565" i="2"/>
  <c r="D565" i="2" s="1"/>
  <c r="A565" i="2"/>
  <c r="C564" i="2"/>
  <c r="B564" i="2"/>
  <c r="D564" i="2" s="1"/>
  <c r="F564" i="2" s="1"/>
  <c r="A564" i="2"/>
  <c r="C563" i="2"/>
  <c r="B563" i="2"/>
  <c r="D563" i="2" s="1"/>
  <c r="A563" i="2"/>
  <c r="C562" i="2"/>
  <c r="B562" i="2"/>
  <c r="D562" i="2" s="1"/>
  <c r="F562" i="2" s="1"/>
  <c r="A562" i="2"/>
  <c r="C561" i="2"/>
  <c r="B561" i="2"/>
  <c r="D561" i="2" s="1"/>
  <c r="A561" i="2"/>
  <c r="C560" i="2"/>
  <c r="B560" i="2"/>
  <c r="D560" i="2" s="1"/>
  <c r="F560" i="2" s="1"/>
  <c r="A560" i="2"/>
  <c r="C559" i="2"/>
  <c r="B559" i="2"/>
  <c r="D559" i="2" s="1"/>
  <c r="A559" i="2"/>
  <c r="C558" i="2"/>
  <c r="B558" i="2"/>
  <c r="D558" i="2" s="1"/>
  <c r="F558" i="2" s="1"/>
  <c r="A558" i="2"/>
  <c r="C557" i="2"/>
  <c r="B557" i="2"/>
  <c r="D557" i="2" s="1"/>
  <c r="A557" i="2"/>
  <c r="C556" i="2"/>
  <c r="B556" i="2"/>
  <c r="D556" i="2" s="1"/>
  <c r="F556" i="2" s="1"/>
  <c r="A556" i="2"/>
  <c r="C555" i="2"/>
  <c r="B555" i="2"/>
  <c r="D555" i="2" s="1"/>
  <c r="A555" i="2"/>
  <c r="C554" i="2"/>
  <c r="B554" i="2"/>
  <c r="D554" i="2" s="1"/>
  <c r="F554" i="2" s="1"/>
  <c r="A554" i="2"/>
  <c r="C553" i="2"/>
  <c r="B553" i="2"/>
  <c r="D553" i="2" s="1"/>
  <c r="A553" i="2"/>
  <c r="C552" i="2"/>
  <c r="B552" i="2"/>
  <c r="D552" i="2" s="1"/>
  <c r="F552" i="2" s="1"/>
  <c r="A552" i="2"/>
  <c r="C551" i="2"/>
  <c r="B551" i="2"/>
  <c r="D551" i="2" s="1"/>
  <c r="A551" i="2"/>
  <c r="C550" i="2"/>
  <c r="B550" i="2"/>
  <c r="D550" i="2" s="1"/>
  <c r="F550" i="2" s="1"/>
  <c r="A550" i="2"/>
  <c r="C549" i="2"/>
  <c r="B549" i="2"/>
  <c r="D549" i="2" s="1"/>
  <c r="A549" i="2"/>
  <c r="C548" i="2"/>
  <c r="B548" i="2"/>
  <c r="D548" i="2" s="1"/>
  <c r="F548" i="2" s="1"/>
  <c r="A548" i="2"/>
  <c r="C547" i="2"/>
  <c r="B547" i="2"/>
  <c r="D547" i="2" s="1"/>
  <c r="A547" i="2"/>
  <c r="C546" i="2"/>
  <c r="B546" i="2"/>
  <c r="D546" i="2" s="1"/>
  <c r="F546" i="2" s="1"/>
  <c r="A546" i="2"/>
  <c r="C545" i="2"/>
  <c r="B545" i="2"/>
  <c r="D545" i="2" s="1"/>
  <c r="A545" i="2"/>
  <c r="C544" i="2"/>
  <c r="B544" i="2"/>
  <c r="D544" i="2" s="1"/>
  <c r="F544" i="2" s="1"/>
  <c r="A544" i="2"/>
  <c r="C543" i="2"/>
  <c r="B543" i="2"/>
  <c r="D543" i="2" s="1"/>
  <c r="A543" i="2"/>
  <c r="C542" i="2"/>
  <c r="B542" i="2"/>
  <c r="D542" i="2" s="1"/>
  <c r="F542" i="2" s="1"/>
  <c r="A542" i="2"/>
  <c r="C541" i="2"/>
  <c r="B541" i="2"/>
  <c r="D541" i="2" s="1"/>
  <c r="A541" i="2"/>
  <c r="C540" i="2"/>
  <c r="B540" i="2"/>
  <c r="D540" i="2" s="1"/>
  <c r="F540" i="2" s="1"/>
  <c r="A540" i="2"/>
  <c r="C539" i="2"/>
  <c r="B539" i="2"/>
  <c r="D539" i="2" s="1"/>
  <c r="A539" i="2"/>
  <c r="C538" i="2"/>
  <c r="B538" i="2"/>
  <c r="D538" i="2" s="1"/>
  <c r="F538" i="2" s="1"/>
  <c r="A538" i="2"/>
  <c r="C537" i="2"/>
  <c r="B537" i="2"/>
  <c r="D537" i="2" s="1"/>
  <c r="A537" i="2"/>
  <c r="C536" i="2"/>
  <c r="B536" i="2"/>
  <c r="D536" i="2" s="1"/>
  <c r="F536" i="2" s="1"/>
  <c r="A536" i="2"/>
  <c r="C535" i="2"/>
  <c r="B535" i="2"/>
  <c r="D535" i="2" s="1"/>
  <c r="A535" i="2"/>
  <c r="C534" i="2"/>
  <c r="B534" i="2"/>
  <c r="D534" i="2" s="1"/>
  <c r="F534" i="2" s="1"/>
  <c r="A534" i="2"/>
  <c r="C533" i="2"/>
  <c r="B533" i="2"/>
  <c r="D533" i="2" s="1"/>
  <c r="A533" i="2"/>
  <c r="C532" i="2"/>
  <c r="B532" i="2"/>
  <c r="D532" i="2" s="1"/>
  <c r="F532" i="2" s="1"/>
  <c r="A532" i="2"/>
  <c r="C531" i="2"/>
  <c r="B531" i="2"/>
  <c r="D531" i="2" s="1"/>
  <c r="A531" i="2"/>
  <c r="C530" i="2"/>
  <c r="B530" i="2"/>
  <c r="D530" i="2" s="1"/>
  <c r="F530" i="2" s="1"/>
  <c r="A530" i="2"/>
  <c r="C529" i="2"/>
  <c r="B529" i="2"/>
  <c r="D529" i="2" s="1"/>
  <c r="A529" i="2"/>
  <c r="C528" i="2"/>
  <c r="B528" i="2"/>
  <c r="D528" i="2" s="1"/>
  <c r="F528" i="2" s="1"/>
  <c r="A528" i="2"/>
  <c r="C527" i="2"/>
  <c r="B527" i="2"/>
  <c r="D527" i="2" s="1"/>
  <c r="A527" i="2"/>
  <c r="C526" i="2"/>
  <c r="B526" i="2"/>
  <c r="D526" i="2" s="1"/>
  <c r="F526" i="2" s="1"/>
  <c r="A526" i="2"/>
  <c r="C525" i="2"/>
  <c r="B525" i="2"/>
  <c r="D525" i="2" s="1"/>
  <c r="A525" i="2"/>
  <c r="C524" i="2"/>
  <c r="B524" i="2"/>
  <c r="D524" i="2" s="1"/>
  <c r="F524" i="2" s="1"/>
  <c r="A524" i="2"/>
  <c r="C523" i="2"/>
  <c r="B523" i="2"/>
  <c r="D523" i="2" s="1"/>
  <c r="A523" i="2"/>
  <c r="C522" i="2"/>
  <c r="B522" i="2"/>
  <c r="D522" i="2" s="1"/>
  <c r="F522" i="2" s="1"/>
  <c r="A522" i="2"/>
  <c r="C521" i="2"/>
  <c r="B521" i="2"/>
  <c r="D521" i="2" s="1"/>
  <c r="A521" i="2"/>
  <c r="C520" i="2"/>
  <c r="B520" i="2"/>
  <c r="D520" i="2" s="1"/>
  <c r="F520" i="2" s="1"/>
  <c r="A520" i="2"/>
  <c r="C519" i="2"/>
  <c r="B519" i="2"/>
  <c r="D519" i="2" s="1"/>
  <c r="A519" i="2"/>
  <c r="C518" i="2"/>
  <c r="B518" i="2"/>
  <c r="D518" i="2" s="1"/>
  <c r="F518" i="2" s="1"/>
  <c r="A518" i="2"/>
  <c r="C517" i="2"/>
  <c r="B517" i="2"/>
  <c r="D517" i="2" s="1"/>
  <c r="A517" i="2"/>
  <c r="C516" i="2"/>
  <c r="B516" i="2"/>
  <c r="D516" i="2" s="1"/>
  <c r="F516" i="2" s="1"/>
  <c r="A516" i="2"/>
  <c r="C515" i="2"/>
  <c r="B515" i="2"/>
  <c r="D515" i="2" s="1"/>
  <c r="A515" i="2"/>
  <c r="C514" i="2"/>
  <c r="B514" i="2"/>
  <c r="D514" i="2" s="1"/>
  <c r="F514" i="2" s="1"/>
  <c r="A514" i="2"/>
  <c r="C513" i="2"/>
  <c r="B513" i="2"/>
  <c r="D513" i="2" s="1"/>
  <c r="A513" i="2"/>
  <c r="D512" i="2"/>
  <c r="F512" i="2" s="1"/>
  <c r="C512" i="2"/>
  <c r="B512" i="2"/>
  <c r="A512" i="2"/>
  <c r="C511" i="2"/>
  <c r="B511" i="2"/>
  <c r="D511" i="2" s="1"/>
  <c r="A511" i="2"/>
  <c r="C510" i="2"/>
  <c r="B510" i="2"/>
  <c r="D510" i="2" s="1"/>
  <c r="F510" i="2" s="1"/>
  <c r="A510" i="2"/>
  <c r="C509" i="2"/>
  <c r="B509" i="2"/>
  <c r="D509" i="2" s="1"/>
  <c r="A509" i="2"/>
  <c r="C508" i="2"/>
  <c r="B508" i="2"/>
  <c r="D508" i="2" s="1"/>
  <c r="F508" i="2" s="1"/>
  <c r="A508" i="2"/>
  <c r="C507" i="2"/>
  <c r="B507" i="2"/>
  <c r="D507" i="2" s="1"/>
  <c r="A507" i="2"/>
  <c r="C506" i="2"/>
  <c r="B506" i="2"/>
  <c r="D506" i="2" s="1"/>
  <c r="F506" i="2" s="1"/>
  <c r="A506" i="2"/>
  <c r="C505" i="2"/>
  <c r="B505" i="2"/>
  <c r="D505" i="2" s="1"/>
  <c r="A505" i="2"/>
  <c r="C504" i="2"/>
  <c r="B504" i="2"/>
  <c r="D504" i="2" s="1"/>
  <c r="F504" i="2" s="1"/>
  <c r="A504" i="2"/>
  <c r="C503" i="2"/>
  <c r="B503" i="2"/>
  <c r="D503" i="2" s="1"/>
  <c r="A503" i="2"/>
  <c r="C502" i="2"/>
  <c r="B502" i="2"/>
  <c r="D502" i="2" s="1"/>
  <c r="F502" i="2" s="1"/>
  <c r="A502" i="2"/>
  <c r="C501" i="2"/>
  <c r="B501" i="2"/>
  <c r="D501" i="2" s="1"/>
  <c r="A501" i="2"/>
  <c r="C500" i="2"/>
  <c r="B500" i="2"/>
  <c r="D500" i="2" s="1"/>
  <c r="F500" i="2" s="1"/>
  <c r="A500" i="2"/>
  <c r="C499" i="2"/>
  <c r="B499" i="2"/>
  <c r="D499" i="2" s="1"/>
  <c r="A499" i="2"/>
  <c r="C498" i="2"/>
  <c r="B498" i="2"/>
  <c r="D498" i="2" s="1"/>
  <c r="F498" i="2" s="1"/>
  <c r="A498" i="2"/>
  <c r="C497" i="2"/>
  <c r="B497" i="2"/>
  <c r="D497" i="2" s="1"/>
  <c r="A497" i="2"/>
  <c r="C496" i="2"/>
  <c r="B496" i="2"/>
  <c r="D496" i="2" s="1"/>
  <c r="F496" i="2" s="1"/>
  <c r="A496" i="2"/>
  <c r="C495" i="2"/>
  <c r="B495" i="2"/>
  <c r="D495" i="2" s="1"/>
  <c r="A495" i="2"/>
  <c r="C494" i="2"/>
  <c r="B494" i="2"/>
  <c r="D494" i="2" s="1"/>
  <c r="F494" i="2" s="1"/>
  <c r="A494" i="2"/>
  <c r="C493" i="2"/>
  <c r="B493" i="2"/>
  <c r="D493" i="2" s="1"/>
  <c r="A493" i="2"/>
  <c r="C492" i="2"/>
  <c r="B492" i="2"/>
  <c r="D492" i="2" s="1"/>
  <c r="F492" i="2" s="1"/>
  <c r="A492" i="2"/>
  <c r="C491" i="2"/>
  <c r="B491" i="2"/>
  <c r="D491" i="2" s="1"/>
  <c r="A491" i="2"/>
  <c r="C490" i="2"/>
  <c r="B490" i="2"/>
  <c r="D490" i="2" s="1"/>
  <c r="F490" i="2" s="1"/>
  <c r="A490" i="2"/>
  <c r="C489" i="2"/>
  <c r="B489" i="2"/>
  <c r="D489" i="2" s="1"/>
  <c r="A489" i="2"/>
  <c r="C488" i="2"/>
  <c r="B488" i="2"/>
  <c r="D488" i="2" s="1"/>
  <c r="F488" i="2" s="1"/>
  <c r="A488" i="2"/>
  <c r="C487" i="2"/>
  <c r="B487" i="2"/>
  <c r="D487" i="2" s="1"/>
  <c r="A487" i="2"/>
  <c r="C486" i="2"/>
  <c r="B486" i="2"/>
  <c r="D486" i="2" s="1"/>
  <c r="F486" i="2" s="1"/>
  <c r="A486" i="2"/>
  <c r="C485" i="2"/>
  <c r="B485" i="2"/>
  <c r="D485" i="2" s="1"/>
  <c r="A485" i="2"/>
  <c r="C484" i="2"/>
  <c r="B484" i="2"/>
  <c r="D484" i="2" s="1"/>
  <c r="F484" i="2" s="1"/>
  <c r="A484" i="2"/>
  <c r="C483" i="2"/>
  <c r="B483" i="2"/>
  <c r="D483" i="2" s="1"/>
  <c r="A483" i="2"/>
  <c r="C482" i="2"/>
  <c r="B482" i="2"/>
  <c r="D482" i="2" s="1"/>
  <c r="F482" i="2" s="1"/>
  <c r="A482" i="2"/>
  <c r="C481" i="2"/>
  <c r="B481" i="2"/>
  <c r="D481" i="2" s="1"/>
  <c r="A481" i="2"/>
  <c r="C480" i="2"/>
  <c r="B480" i="2"/>
  <c r="D480" i="2" s="1"/>
  <c r="F480" i="2" s="1"/>
  <c r="A480" i="2"/>
  <c r="C479" i="2"/>
  <c r="B479" i="2"/>
  <c r="D479" i="2" s="1"/>
  <c r="A479" i="2"/>
  <c r="C478" i="2"/>
  <c r="B478" i="2"/>
  <c r="D478" i="2" s="1"/>
  <c r="F478" i="2" s="1"/>
  <c r="A478" i="2"/>
  <c r="C477" i="2"/>
  <c r="B477" i="2"/>
  <c r="D477" i="2" s="1"/>
  <c r="A477" i="2"/>
  <c r="C476" i="2"/>
  <c r="B476" i="2"/>
  <c r="D476" i="2" s="1"/>
  <c r="F476" i="2" s="1"/>
  <c r="A476" i="2"/>
  <c r="C475" i="2"/>
  <c r="B475" i="2"/>
  <c r="D475" i="2" s="1"/>
  <c r="A475" i="2"/>
  <c r="C474" i="2"/>
  <c r="B474" i="2"/>
  <c r="D474" i="2" s="1"/>
  <c r="F474" i="2" s="1"/>
  <c r="A474" i="2"/>
  <c r="C473" i="2"/>
  <c r="B473" i="2"/>
  <c r="D473" i="2" s="1"/>
  <c r="A473" i="2"/>
  <c r="C472" i="2"/>
  <c r="B472" i="2"/>
  <c r="D472" i="2" s="1"/>
  <c r="F472" i="2" s="1"/>
  <c r="A472" i="2"/>
  <c r="C471" i="2"/>
  <c r="B471" i="2"/>
  <c r="D471" i="2" s="1"/>
  <c r="A471" i="2"/>
  <c r="C470" i="2"/>
  <c r="B470" i="2"/>
  <c r="D470" i="2" s="1"/>
  <c r="F470" i="2" s="1"/>
  <c r="A470" i="2"/>
  <c r="C469" i="2"/>
  <c r="B469" i="2"/>
  <c r="D469" i="2" s="1"/>
  <c r="A469" i="2"/>
  <c r="C468" i="2"/>
  <c r="B468" i="2"/>
  <c r="D468" i="2" s="1"/>
  <c r="F468" i="2" s="1"/>
  <c r="A468" i="2"/>
  <c r="C467" i="2"/>
  <c r="B467" i="2"/>
  <c r="D467" i="2" s="1"/>
  <c r="A467" i="2"/>
  <c r="C466" i="2"/>
  <c r="B466" i="2"/>
  <c r="D466" i="2" s="1"/>
  <c r="F466" i="2" s="1"/>
  <c r="A466" i="2"/>
  <c r="C465" i="2"/>
  <c r="B465" i="2"/>
  <c r="D465" i="2" s="1"/>
  <c r="A465" i="2"/>
  <c r="C464" i="2"/>
  <c r="B464" i="2"/>
  <c r="D464" i="2" s="1"/>
  <c r="F464" i="2" s="1"/>
  <c r="A464" i="2"/>
  <c r="C463" i="2"/>
  <c r="B463" i="2"/>
  <c r="D463" i="2" s="1"/>
  <c r="A463" i="2"/>
  <c r="C462" i="2"/>
  <c r="B462" i="2"/>
  <c r="D462" i="2" s="1"/>
  <c r="F462" i="2" s="1"/>
  <c r="A462" i="2"/>
  <c r="C461" i="2"/>
  <c r="B461" i="2"/>
  <c r="D461" i="2" s="1"/>
  <c r="A461" i="2"/>
  <c r="C460" i="2"/>
  <c r="B460" i="2"/>
  <c r="D460" i="2" s="1"/>
  <c r="F460" i="2" s="1"/>
  <c r="A460" i="2"/>
  <c r="C459" i="2"/>
  <c r="B459" i="2"/>
  <c r="D459" i="2" s="1"/>
  <c r="A459" i="2"/>
  <c r="C458" i="2"/>
  <c r="B458" i="2"/>
  <c r="D458" i="2" s="1"/>
  <c r="F458" i="2" s="1"/>
  <c r="A458" i="2"/>
  <c r="C457" i="2"/>
  <c r="B457" i="2"/>
  <c r="D457" i="2" s="1"/>
  <c r="A457" i="2"/>
  <c r="C456" i="2"/>
  <c r="B456" i="2"/>
  <c r="D456" i="2" s="1"/>
  <c r="F456" i="2" s="1"/>
  <c r="A456" i="2"/>
  <c r="C455" i="2"/>
  <c r="B455" i="2"/>
  <c r="D455" i="2" s="1"/>
  <c r="A455" i="2"/>
  <c r="D454" i="2"/>
  <c r="F454" i="2" s="1"/>
  <c r="C454" i="2"/>
  <c r="B454" i="2"/>
  <c r="A454" i="2"/>
  <c r="C453" i="2"/>
  <c r="B453" i="2"/>
  <c r="D453" i="2" s="1"/>
  <c r="A453" i="2"/>
  <c r="C452" i="2"/>
  <c r="B452" i="2"/>
  <c r="D452" i="2" s="1"/>
  <c r="F452" i="2" s="1"/>
  <c r="A452" i="2"/>
  <c r="C451" i="2"/>
  <c r="B451" i="2"/>
  <c r="D451" i="2" s="1"/>
  <c r="A451" i="2"/>
  <c r="C450" i="2"/>
  <c r="B450" i="2"/>
  <c r="D450" i="2" s="1"/>
  <c r="F450" i="2" s="1"/>
  <c r="A450" i="2"/>
  <c r="C449" i="2"/>
  <c r="B449" i="2"/>
  <c r="D449" i="2" s="1"/>
  <c r="A449" i="2"/>
  <c r="C448" i="2"/>
  <c r="B448" i="2"/>
  <c r="D448" i="2" s="1"/>
  <c r="F448" i="2" s="1"/>
  <c r="A448" i="2"/>
  <c r="C447" i="2"/>
  <c r="B447" i="2"/>
  <c r="D447" i="2" s="1"/>
  <c r="A447" i="2"/>
  <c r="C446" i="2"/>
  <c r="B446" i="2"/>
  <c r="D446" i="2" s="1"/>
  <c r="F446" i="2" s="1"/>
  <c r="A446" i="2"/>
  <c r="C445" i="2"/>
  <c r="B445" i="2"/>
  <c r="D445" i="2" s="1"/>
  <c r="A445" i="2"/>
  <c r="C444" i="2"/>
  <c r="B444" i="2"/>
  <c r="D444" i="2" s="1"/>
  <c r="F444" i="2" s="1"/>
  <c r="A444" i="2"/>
  <c r="C443" i="2"/>
  <c r="B443" i="2"/>
  <c r="D443" i="2" s="1"/>
  <c r="A443" i="2"/>
  <c r="C442" i="2"/>
  <c r="B442" i="2"/>
  <c r="D442" i="2" s="1"/>
  <c r="F442" i="2" s="1"/>
  <c r="A442" i="2"/>
  <c r="C441" i="2"/>
  <c r="B441" i="2"/>
  <c r="D441" i="2" s="1"/>
  <c r="A441" i="2"/>
  <c r="C440" i="2"/>
  <c r="B440" i="2"/>
  <c r="D440" i="2" s="1"/>
  <c r="F440" i="2" s="1"/>
  <c r="A440" i="2"/>
  <c r="C439" i="2"/>
  <c r="B439" i="2"/>
  <c r="D439" i="2" s="1"/>
  <c r="A439" i="2"/>
  <c r="C438" i="2"/>
  <c r="B438" i="2"/>
  <c r="D438" i="2" s="1"/>
  <c r="F438" i="2" s="1"/>
  <c r="A438" i="2"/>
  <c r="C437" i="2"/>
  <c r="B437" i="2"/>
  <c r="D437" i="2" s="1"/>
  <c r="A437" i="2"/>
  <c r="C436" i="2"/>
  <c r="B436" i="2"/>
  <c r="D436" i="2" s="1"/>
  <c r="F436" i="2" s="1"/>
  <c r="A436" i="2"/>
  <c r="C435" i="2"/>
  <c r="B435" i="2"/>
  <c r="D435" i="2" s="1"/>
  <c r="A435" i="2"/>
  <c r="C434" i="2"/>
  <c r="B434" i="2"/>
  <c r="D434" i="2" s="1"/>
  <c r="F434" i="2" s="1"/>
  <c r="A434" i="2"/>
  <c r="C433" i="2"/>
  <c r="B433" i="2"/>
  <c r="D433" i="2" s="1"/>
  <c r="A433" i="2"/>
  <c r="C432" i="2"/>
  <c r="B432" i="2"/>
  <c r="D432" i="2" s="1"/>
  <c r="F432" i="2" s="1"/>
  <c r="A432" i="2"/>
  <c r="C431" i="2"/>
  <c r="B431" i="2"/>
  <c r="D431" i="2" s="1"/>
  <c r="A431" i="2"/>
  <c r="C430" i="2"/>
  <c r="B430" i="2"/>
  <c r="D430" i="2" s="1"/>
  <c r="F430" i="2" s="1"/>
  <c r="A430" i="2"/>
  <c r="C429" i="2"/>
  <c r="B429" i="2"/>
  <c r="D429" i="2" s="1"/>
  <c r="A429" i="2"/>
  <c r="C428" i="2"/>
  <c r="B428" i="2"/>
  <c r="D428" i="2" s="1"/>
  <c r="F428" i="2" s="1"/>
  <c r="A428" i="2"/>
  <c r="C427" i="2"/>
  <c r="B427" i="2"/>
  <c r="D427" i="2" s="1"/>
  <c r="A427" i="2"/>
  <c r="C426" i="2"/>
  <c r="B426" i="2"/>
  <c r="D426" i="2" s="1"/>
  <c r="F426" i="2" s="1"/>
  <c r="A426" i="2"/>
  <c r="C425" i="2"/>
  <c r="B425" i="2"/>
  <c r="D425" i="2" s="1"/>
  <c r="A425" i="2"/>
  <c r="C424" i="2"/>
  <c r="B424" i="2"/>
  <c r="D424" i="2" s="1"/>
  <c r="F424" i="2" s="1"/>
  <c r="A424" i="2"/>
  <c r="C423" i="2"/>
  <c r="B423" i="2"/>
  <c r="D423" i="2" s="1"/>
  <c r="A423" i="2"/>
  <c r="C422" i="2"/>
  <c r="B422" i="2"/>
  <c r="D422" i="2" s="1"/>
  <c r="F422" i="2" s="1"/>
  <c r="A422" i="2"/>
  <c r="C421" i="2"/>
  <c r="B421" i="2"/>
  <c r="D421" i="2" s="1"/>
  <c r="A421" i="2"/>
  <c r="C420" i="2"/>
  <c r="B420" i="2"/>
  <c r="D420" i="2" s="1"/>
  <c r="F420" i="2" s="1"/>
  <c r="A420" i="2"/>
  <c r="C419" i="2"/>
  <c r="B419" i="2"/>
  <c r="D419" i="2" s="1"/>
  <c r="A419" i="2"/>
  <c r="C418" i="2"/>
  <c r="B418" i="2"/>
  <c r="D418" i="2" s="1"/>
  <c r="F418" i="2" s="1"/>
  <c r="A418" i="2"/>
  <c r="C417" i="2"/>
  <c r="B417" i="2"/>
  <c r="D417" i="2" s="1"/>
  <c r="A417" i="2"/>
  <c r="C416" i="2"/>
  <c r="B416" i="2"/>
  <c r="D416" i="2" s="1"/>
  <c r="F416" i="2" s="1"/>
  <c r="A416" i="2"/>
  <c r="C415" i="2"/>
  <c r="B415" i="2"/>
  <c r="D415" i="2" s="1"/>
  <c r="A415" i="2"/>
  <c r="C414" i="2"/>
  <c r="B414" i="2"/>
  <c r="D414" i="2" s="1"/>
  <c r="F414" i="2" s="1"/>
  <c r="A414" i="2"/>
  <c r="C413" i="2"/>
  <c r="B413" i="2"/>
  <c r="D413" i="2" s="1"/>
  <c r="A413" i="2"/>
  <c r="C412" i="2"/>
  <c r="B412" i="2"/>
  <c r="D412" i="2" s="1"/>
  <c r="F412" i="2" s="1"/>
  <c r="A412" i="2"/>
  <c r="C411" i="2"/>
  <c r="B411" i="2"/>
  <c r="D411" i="2" s="1"/>
  <c r="A411" i="2"/>
  <c r="C410" i="2"/>
  <c r="B410" i="2"/>
  <c r="D410" i="2" s="1"/>
  <c r="F410" i="2" s="1"/>
  <c r="A410" i="2"/>
  <c r="C409" i="2"/>
  <c r="B409" i="2"/>
  <c r="D409" i="2" s="1"/>
  <c r="A409" i="2"/>
  <c r="C408" i="2"/>
  <c r="B408" i="2"/>
  <c r="D408" i="2" s="1"/>
  <c r="F408" i="2" s="1"/>
  <c r="A408" i="2"/>
  <c r="C407" i="2"/>
  <c r="B407" i="2"/>
  <c r="D407" i="2" s="1"/>
  <c r="A407" i="2"/>
  <c r="C406" i="2"/>
  <c r="B406" i="2"/>
  <c r="D406" i="2" s="1"/>
  <c r="F406" i="2" s="1"/>
  <c r="A406" i="2"/>
  <c r="C405" i="2"/>
  <c r="B405" i="2"/>
  <c r="D405" i="2" s="1"/>
  <c r="A405" i="2"/>
  <c r="C404" i="2"/>
  <c r="B404" i="2"/>
  <c r="D404" i="2" s="1"/>
  <c r="F404" i="2" s="1"/>
  <c r="A404" i="2"/>
  <c r="C403" i="2"/>
  <c r="B403" i="2"/>
  <c r="D403" i="2" s="1"/>
  <c r="A403" i="2"/>
  <c r="C402" i="2"/>
  <c r="B402" i="2"/>
  <c r="D402" i="2" s="1"/>
  <c r="F402" i="2" s="1"/>
  <c r="A402" i="2"/>
  <c r="C401" i="2"/>
  <c r="B401" i="2"/>
  <c r="D401" i="2" s="1"/>
  <c r="A401" i="2"/>
  <c r="C400" i="2"/>
  <c r="B400" i="2"/>
  <c r="D400" i="2" s="1"/>
  <c r="F400" i="2" s="1"/>
  <c r="A400" i="2"/>
  <c r="C399" i="2"/>
  <c r="B399" i="2"/>
  <c r="D399" i="2" s="1"/>
  <c r="A399" i="2"/>
  <c r="C398" i="2"/>
  <c r="B398" i="2"/>
  <c r="D398" i="2" s="1"/>
  <c r="F398" i="2" s="1"/>
  <c r="A398" i="2"/>
  <c r="C397" i="2"/>
  <c r="B397" i="2"/>
  <c r="D397" i="2" s="1"/>
  <c r="A397" i="2"/>
  <c r="C396" i="2"/>
  <c r="B396" i="2"/>
  <c r="D396" i="2" s="1"/>
  <c r="F396" i="2" s="1"/>
  <c r="A396" i="2"/>
  <c r="C395" i="2"/>
  <c r="B395" i="2"/>
  <c r="D395" i="2" s="1"/>
  <c r="A395" i="2"/>
  <c r="C394" i="2"/>
  <c r="B394" i="2"/>
  <c r="D394" i="2" s="1"/>
  <c r="F394" i="2" s="1"/>
  <c r="A394" i="2"/>
  <c r="C393" i="2"/>
  <c r="B393" i="2"/>
  <c r="D393" i="2" s="1"/>
  <c r="A393" i="2"/>
  <c r="C392" i="2"/>
  <c r="B392" i="2"/>
  <c r="D392" i="2" s="1"/>
  <c r="F392" i="2" s="1"/>
  <c r="A392" i="2"/>
  <c r="C391" i="2"/>
  <c r="B391" i="2"/>
  <c r="D391" i="2" s="1"/>
  <c r="A391" i="2"/>
  <c r="C390" i="2"/>
  <c r="B390" i="2"/>
  <c r="D390" i="2" s="1"/>
  <c r="F390" i="2" s="1"/>
  <c r="A390" i="2"/>
  <c r="C389" i="2"/>
  <c r="B389" i="2"/>
  <c r="D389" i="2" s="1"/>
  <c r="A389" i="2"/>
  <c r="C388" i="2"/>
  <c r="B388" i="2"/>
  <c r="D388" i="2" s="1"/>
  <c r="F388" i="2" s="1"/>
  <c r="A388" i="2"/>
  <c r="C387" i="2"/>
  <c r="B387" i="2"/>
  <c r="D387" i="2" s="1"/>
  <c r="A387" i="2"/>
  <c r="C386" i="2"/>
  <c r="B386" i="2"/>
  <c r="D386" i="2" s="1"/>
  <c r="F386" i="2" s="1"/>
  <c r="A386" i="2"/>
  <c r="C385" i="2"/>
  <c r="B385" i="2"/>
  <c r="D385" i="2" s="1"/>
  <c r="A385" i="2"/>
  <c r="D384" i="2"/>
  <c r="F384" i="2" s="1"/>
  <c r="C384" i="2"/>
  <c r="B384" i="2"/>
  <c r="A384" i="2"/>
  <c r="C383" i="2"/>
  <c r="B383" i="2"/>
  <c r="D383" i="2" s="1"/>
  <c r="A383" i="2"/>
  <c r="C382" i="2"/>
  <c r="B382" i="2"/>
  <c r="D382" i="2" s="1"/>
  <c r="F382" i="2" s="1"/>
  <c r="A382" i="2"/>
  <c r="C381" i="2"/>
  <c r="B381" i="2"/>
  <c r="D381" i="2" s="1"/>
  <c r="A381" i="2"/>
  <c r="C380" i="2"/>
  <c r="B380" i="2"/>
  <c r="D380" i="2" s="1"/>
  <c r="F380" i="2" s="1"/>
  <c r="A380" i="2"/>
  <c r="C379" i="2"/>
  <c r="B379" i="2"/>
  <c r="D379" i="2" s="1"/>
  <c r="A379" i="2"/>
  <c r="C378" i="2"/>
  <c r="B378" i="2"/>
  <c r="D378" i="2" s="1"/>
  <c r="F378" i="2" s="1"/>
  <c r="A378" i="2"/>
  <c r="C377" i="2"/>
  <c r="B377" i="2"/>
  <c r="D377" i="2" s="1"/>
  <c r="A377" i="2"/>
  <c r="C376" i="2"/>
  <c r="B376" i="2"/>
  <c r="D376" i="2" s="1"/>
  <c r="F376" i="2" s="1"/>
  <c r="A376" i="2"/>
  <c r="C375" i="2"/>
  <c r="B375" i="2"/>
  <c r="D375" i="2" s="1"/>
  <c r="A375" i="2"/>
  <c r="C374" i="2"/>
  <c r="B374" i="2"/>
  <c r="D374" i="2" s="1"/>
  <c r="F374" i="2" s="1"/>
  <c r="A374" i="2"/>
  <c r="C373" i="2"/>
  <c r="B373" i="2"/>
  <c r="D373" i="2" s="1"/>
  <c r="A373" i="2"/>
  <c r="C372" i="2"/>
  <c r="B372" i="2"/>
  <c r="D372" i="2" s="1"/>
  <c r="F372" i="2" s="1"/>
  <c r="A372" i="2"/>
  <c r="C371" i="2"/>
  <c r="B371" i="2"/>
  <c r="D371" i="2" s="1"/>
  <c r="A371" i="2"/>
  <c r="C370" i="2"/>
  <c r="B370" i="2"/>
  <c r="D370" i="2" s="1"/>
  <c r="F370" i="2" s="1"/>
  <c r="A370" i="2"/>
  <c r="C369" i="2"/>
  <c r="B369" i="2"/>
  <c r="D369" i="2" s="1"/>
  <c r="A369" i="2"/>
  <c r="C368" i="2"/>
  <c r="B368" i="2"/>
  <c r="D368" i="2" s="1"/>
  <c r="F368" i="2" s="1"/>
  <c r="A368" i="2"/>
  <c r="C367" i="2"/>
  <c r="B367" i="2"/>
  <c r="D367" i="2" s="1"/>
  <c r="A367" i="2"/>
  <c r="C366" i="2"/>
  <c r="B366" i="2"/>
  <c r="D366" i="2" s="1"/>
  <c r="F366" i="2" s="1"/>
  <c r="A366" i="2"/>
  <c r="C365" i="2"/>
  <c r="B365" i="2"/>
  <c r="D365" i="2" s="1"/>
  <c r="A365" i="2"/>
  <c r="C364" i="2"/>
  <c r="B364" i="2"/>
  <c r="D364" i="2" s="1"/>
  <c r="F364" i="2" s="1"/>
  <c r="A364" i="2"/>
  <c r="C363" i="2"/>
  <c r="B363" i="2"/>
  <c r="D363" i="2" s="1"/>
  <c r="A363" i="2"/>
  <c r="C362" i="2"/>
  <c r="B362" i="2"/>
  <c r="D362" i="2" s="1"/>
  <c r="F362" i="2" s="1"/>
  <c r="A362" i="2"/>
  <c r="C361" i="2"/>
  <c r="B361" i="2"/>
  <c r="D361" i="2" s="1"/>
  <c r="A361" i="2"/>
  <c r="C360" i="2"/>
  <c r="B360" i="2"/>
  <c r="D360" i="2" s="1"/>
  <c r="F360" i="2" s="1"/>
  <c r="A360" i="2"/>
  <c r="C359" i="2"/>
  <c r="B359" i="2"/>
  <c r="D359" i="2" s="1"/>
  <c r="A359" i="2"/>
  <c r="C358" i="2"/>
  <c r="B358" i="2"/>
  <c r="D358" i="2" s="1"/>
  <c r="F358" i="2" s="1"/>
  <c r="A358" i="2"/>
  <c r="C357" i="2"/>
  <c r="B357" i="2"/>
  <c r="D357" i="2" s="1"/>
  <c r="A357" i="2"/>
  <c r="C356" i="2"/>
  <c r="B356" i="2"/>
  <c r="D356" i="2" s="1"/>
  <c r="F356" i="2" s="1"/>
  <c r="A356" i="2"/>
  <c r="C355" i="2"/>
  <c r="B355" i="2"/>
  <c r="D355" i="2" s="1"/>
  <c r="A355" i="2"/>
  <c r="C354" i="2"/>
  <c r="B354" i="2"/>
  <c r="D354" i="2" s="1"/>
  <c r="F354" i="2" s="1"/>
  <c r="A354" i="2"/>
  <c r="C353" i="2"/>
  <c r="B353" i="2"/>
  <c r="D353" i="2" s="1"/>
  <c r="A353" i="2"/>
  <c r="C352" i="2"/>
  <c r="B352" i="2"/>
  <c r="D352" i="2" s="1"/>
  <c r="F352" i="2" s="1"/>
  <c r="A352" i="2"/>
  <c r="C351" i="2"/>
  <c r="B351" i="2"/>
  <c r="D351" i="2" s="1"/>
  <c r="A351" i="2"/>
  <c r="C350" i="2"/>
  <c r="B350" i="2"/>
  <c r="D350" i="2" s="1"/>
  <c r="F350" i="2" s="1"/>
  <c r="A350" i="2"/>
  <c r="C349" i="2"/>
  <c r="B349" i="2"/>
  <c r="D349" i="2" s="1"/>
  <c r="E349" i="2" s="1"/>
  <c r="A349" i="2"/>
  <c r="C348" i="2"/>
  <c r="B348" i="2"/>
  <c r="D348" i="2" s="1"/>
  <c r="F348" i="2" s="1"/>
  <c r="A348" i="2"/>
  <c r="C347" i="2"/>
  <c r="B347" i="2"/>
  <c r="D347" i="2" s="1"/>
  <c r="E347" i="2" s="1"/>
  <c r="A347" i="2"/>
  <c r="C346" i="2"/>
  <c r="B346" i="2"/>
  <c r="D346" i="2" s="1"/>
  <c r="F346" i="2" s="1"/>
  <c r="A346" i="2"/>
  <c r="C345" i="2"/>
  <c r="B345" i="2"/>
  <c r="D345" i="2" s="1"/>
  <c r="E345" i="2" s="1"/>
  <c r="A345" i="2"/>
  <c r="C344" i="2"/>
  <c r="B344" i="2"/>
  <c r="D344" i="2" s="1"/>
  <c r="F344" i="2" s="1"/>
  <c r="A344" i="2"/>
  <c r="C343" i="2"/>
  <c r="B343" i="2"/>
  <c r="D343" i="2" s="1"/>
  <c r="F343" i="2" s="1"/>
  <c r="A343" i="2"/>
  <c r="C342" i="2"/>
  <c r="B342" i="2"/>
  <c r="D342" i="2" s="1"/>
  <c r="F342" i="2" s="1"/>
  <c r="A342" i="2"/>
  <c r="C341" i="2"/>
  <c r="B341" i="2"/>
  <c r="D341" i="2" s="1"/>
  <c r="F341" i="2" s="1"/>
  <c r="A341" i="2"/>
  <c r="C340" i="2"/>
  <c r="B340" i="2"/>
  <c r="D340" i="2" s="1"/>
  <c r="A340" i="2"/>
  <c r="C339" i="2"/>
  <c r="B339" i="2"/>
  <c r="D339" i="2" s="1"/>
  <c r="F339" i="2" s="1"/>
  <c r="A339" i="2"/>
  <c r="C338" i="2"/>
  <c r="B338" i="2"/>
  <c r="D338" i="2" s="1"/>
  <c r="F338" i="2" s="1"/>
  <c r="A338" i="2"/>
  <c r="C337" i="2"/>
  <c r="B337" i="2"/>
  <c r="D337" i="2" s="1"/>
  <c r="A337" i="2"/>
  <c r="C336" i="2"/>
  <c r="B336" i="2"/>
  <c r="D336" i="2" s="1"/>
  <c r="A336" i="2"/>
  <c r="C335" i="2"/>
  <c r="B335" i="2"/>
  <c r="D335" i="2" s="1"/>
  <c r="F335" i="2" s="1"/>
  <c r="A335" i="2"/>
  <c r="C334" i="2"/>
  <c r="B334" i="2"/>
  <c r="D334" i="2" s="1"/>
  <c r="F334" i="2" s="1"/>
  <c r="A334" i="2"/>
  <c r="C333" i="2"/>
  <c r="B333" i="2"/>
  <c r="D333" i="2" s="1"/>
  <c r="F333" i="2" s="1"/>
  <c r="A333" i="2"/>
  <c r="C332" i="2"/>
  <c r="B332" i="2"/>
  <c r="D332" i="2" s="1"/>
  <c r="A332" i="2"/>
  <c r="C331" i="2"/>
  <c r="B331" i="2"/>
  <c r="D331" i="2" s="1"/>
  <c r="F331" i="2" s="1"/>
  <c r="A331" i="2"/>
  <c r="C330" i="2"/>
  <c r="B330" i="2"/>
  <c r="D330" i="2" s="1"/>
  <c r="F330" i="2" s="1"/>
  <c r="A330" i="2"/>
  <c r="C329" i="2"/>
  <c r="B329" i="2"/>
  <c r="D329" i="2" s="1"/>
  <c r="F329" i="2" s="1"/>
  <c r="A329" i="2"/>
  <c r="C328" i="2"/>
  <c r="B328" i="2"/>
  <c r="D328" i="2" s="1"/>
  <c r="F328" i="2" s="1"/>
  <c r="A328" i="2"/>
  <c r="C327" i="2"/>
  <c r="B327" i="2"/>
  <c r="D327" i="2" s="1"/>
  <c r="F327" i="2" s="1"/>
  <c r="A327" i="2"/>
  <c r="C326" i="2"/>
  <c r="B326" i="2"/>
  <c r="D326" i="2" s="1"/>
  <c r="F326" i="2" s="1"/>
  <c r="A326" i="2"/>
  <c r="F325" i="2"/>
  <c r="C325" i="2"/>
  <c r="B325" i="2"/>
  <c r="D325" i="2" s="1"/>
  <c r="E325" i="2" s="1"/>
  <c r="A325" i="2"/>
  <c r="C324" i="2"/>
  <c r="B324" i="2"/>
  <c r="D324" i="2" s="1"/>
  <c r="A324" i="2"/>
  <c r="C323" i="2"/>
  <c r="B323" i="2"/>
  <c r="D323" i="2" s="1"/>
  <c r="F323" i="2" s="1"/>
  <c r="A323" i="2"/>
  <c r="C322" i="2"/>
  <c r="B322" i="2"/>
  <c r="D322" i="2" s="1"/>
  <c r="F322" i="2" s="1"/>
  <c r="A322" i="2"/>
  <c r="C321" i="2"/>
  <c r="B321" i="2"/>
  <c r="D321" i="2" s="1"/>
  <c r="A321" i="2"/>
  <c r="C320" i="2"/>
  <c r="B320" i="2"/>
  <c r="D320" i="2" s="1"/>
  <c r="A320" i="2"/>
  <c r="C319" i="2"/>
  <c r="B319" i="2"/>
  <c r="D319" i="2" s="1"/>
  <c r="F319" i="2" s="1"/>
  <c r="A319" i="2"/>
  <c r="C318" i="2"/>
  <c r="B318" i="2"/>
  <c r="D318" i="2" s="1"/>
  <c r="F318" i="2" s="1"/>
  <c r="A318" i="2"/>
  <c r="C317" i="2"/>
  <c r="B317" i="2"/>
  <c r="D317" i="2" s="1"/>
  <c r="F317" i="2" s="1"/>
  <c r="A317" i="2"/>
  <c r="C316" i="2"/>
  <c r="B316" i="2"/>
  <c r="D316" i="2" s="1"/>
  <c r="A316" i="2"/>
  <c r="C315" i="2"/>
  <c r="B315" i="2"/>
  <c r="D315" i="2" s="1"/>
  <c r="F315" i="2" s="1"/>
  <c r="A315" i="2"/>
  <c r="C314" i="2"/>
  <c r="B314" i="2"/>
  <c r="D314" i="2" s="1"/>
  <c r="F314" i="2" s="1"/>
  <c r="A314" i="2"/>
  <c r="C313" i="2"/>
  <c r="B313" i="2"/>
  <c r="D313" i="2" s="1"/>
  <c r="F313" i="2" s="1"/>
  <c r="A313" i="2"/>
  <c r="C312" i="2"/>
  <c r="B312" i="2"/>
  <c r="D312" i="2" s="1"/>
  <c r="F312" i="2" s="1"/>
  <c r="A312" i="2"/>
  <c r="C311" i="2"/>
  <c r="B311" i="2"/>
  <c r="D311" i="2" s="1"/>
  <c r="F311" i="2" s="1"/>
  <c r="A311" i="2"/>
  <c r="C310" i="2"/>
  <c r="B310" i="2"/>
  <c r="D310" i="2" s="1"/>
  <c r="F310" i="2" s="1"/>
  <c r="A310" i="2"/>
  <c r="C309" i="2"/>
  <c r="B309" i="2"/>
  <c r="D309" i="2" s="1"/>
  <c r="F309" i="2" s="1"/>
  <c r="A309" i="2"/>
  <c r="C308" i="2"/>
  <c r="B308" i="2"/>
  <c r="D308" i="2" s="1"/>
  <c r="F308" i="2" s="1"/>
  <c r="A308" i="2"/>
  <c r="C307" i="2"/>
  <c r="B307" i="2"/>
  <c r="D307" i="2" s="1"/>
  <c r="F307" i="2" s="1"/>
  <c r="A307" i="2"/>
  <c r="C306" i="2"/>
  <c r="B306" i="2"/>
  <c r="D306" i="2" s="1"/>
  <c r="F306" i="2" s="1"/>
  <c r="A306" i="2"/>
  <c r="C305" i="2"/>
  <c r="B305" i="2"/>
  <c r="D305" i="2" s="1"/>
  <c r="E305" i="2" s="1"/>
  <c r="A305" i="2"/>
  <c r="C304" i="2"/>
  <c r="B304" i="2"/>
  <c r="D304" i="2" s="1"/>
  <c r="A304" i="2"/>
  <c r="C303" i="2"/>
  <c r="B303" i="2"/>
  <c r="D303" i="2" s="1"/>
  <c r="F303" i="2" s="1"/>
  <c r="A303" i="2"/>
  <c r="C302" i="2"/>
  <c r="B302" i="2"/>
  <c r="D302" i="2" s="1"/>
  <c r="F302" i="2" s="1"/>
  <c r="A302" i="2"/>
  <c r="C301" i="2"/>
  <c r="B301" i="2"/>
  <c r="D301" i="2" s="1"/>
  <c r="A301" i="2"/>
  <c r="C300" i="2"/>
  <c r="B300" i="2"/>
  <c r="D300" i="2" s="1"/>
  <c r="A300" i="2"/>
  <c r="C299" i="2"/>
  <c r="B299" i="2"/>
  <c r="D299" i="2" s="1"/>
  <c r="F299" i="2" s="1"/>
  <c r="A299" i="2"/>
  <c r="C298" i="2"/>
  <c r="B298" i="2"/>
  <c r="D298" i="2" s="1"/>
  <c r="F298" i="2" s="1"/>
  <c r="A298" i="2"/>
  <c r="C297" i="2"/>
  <c r="B297" i="2"/>
  <c r="D297" i="2" s="1"/>
  <c r="A297" i="2"/>
  <c r="C296" i="2"/>
  <c r="B296" i="2"/>
  <c r="D296" i="2" s="1"/>
  <c r="A296" i="2"/>
  <c r="C295" i="2"/>
  <c r="B295" i="2"/>
  <c r="D295" i="2" s="1"/>
  <c r="F295" i="2" s="1"/>
  <c r="A295" i="2"/>
  <c r="C294" i="2"/>
  <c r="B294" i="2"/>
  <c r="D294" i="2" s="1"/>
  <c r="F294" i="2" s="1"/>
  <c r="A294" i="2"/>
  <c r="C293" i="2"/>
  <c r="B293" i="2"/>
  <c r="D293" i="2" s="1"/>
  <c r="F293" i="2" s="1"/>
  <c r="A293" i="2"/>
  <c r="C292" i="2"/>
  <c r="B292" i="2"/>
  <c r="D292" i="2" s="1"/>
  <c r="F292" i="2" s="1"/>
  <c r="A292" i="2"/>
  <c r="C291" i="2"/>
  <c r="B291" i="2"/>
  <c r="D291" i="2" s="1"/>
  <c r="F291" i="2" s="1"/>
  <c r="A291" i="2"/>
  <c r="C290" i="2"/>
  <c r="B290" i="2"/>
  <c r="D290" i="2" s="1"/>
  <c r="F290" i="2" s="1"/>
  <c r="A290" i="2"/>
  <c r="C289" i="2"/>
  <c r="B289" i="2"/>
  <c r="D289" i="2" s="1"/>
  <c r="E289" i="2" s="1"/>
  <c r="A289" i="2"/>
  <c r="C288" i="2"/>
  <c r="B288" i="2"/>
  <c r="D288" i="2" s="1"/>
  <c r="A288" i="2"/>
  <c r="C287" i="2"/>
  <c r="B287" i="2"/>
  <c r="D287" i="2" s="1"/>
  <c r="F287" i="2" s="1"/>
  <c r="A287" i="2"/>
  <c r="C286" i="2"/>
  <c r="B286" i="2"/>
  <c r="D286" i="2" s="1"/>
  <c r="F286" i="2" s="1"/>
  <c r="A286" i="2"/>
  <c r="C285" i="2"/>
  <c r="B285" i="2"/>
  <c r="D285" i="2" s="1"/>
  <c r="A285" i="2"/>
  <c r="C284" i="2"/>
  <c r="B284" i="2"/>
  <c r="D284" i="2" s="1"/>
  <c r="A284" i="2"/>
  <c r="C283" i="2"/>
  <c r="B283" i="2"/>
  <c r="D283" i="2" s="1"/>
  <c r="F283" i="2" s="1"/>
  <c r="A283" i="2"/>
  <c r="C282" i="2"/>
  <c r="B282" i="2"/>
  <c r="D282" i="2" s="1"/>
  <c r="F282" i="2" s="1"/>
  <c r="A282" i="2"/>
  <c r="E281" i="2"/>
  <c r="C281" i="2"/>
  <c r="B281" i="2"/>
  <c r="D281" i="2" s="1"/>
  <c r="F281" i="2" s="1"/>
  <c r="A281" i="2"/>
  <c r="D280" i="2"/>
  <c r="F280" i="2" s="1"/>
  <c r="C280" i="2"/>
  <c r="B280" i="2"/>
  <c r="A280" i="2"/>
  <c r="C279" i="2"/>
  <c r="B279" i="2"/>
  <c r="D279" i="2" s="1"/>
  <c r="F279" i="2" s="1"/>
  <c r="A279" i="2"/>
  <c r="C278" i="2"/>
  <c r="B278" i="2"/>
  <c r="D278" i="2" s="1"/>
  <c r="F278" i="2" s="1"/>
  <c r="A278" i="2"/>
  <c r="C277" i="2"/>
  <c r="B277" i="2"/>
  <c r="D277" i="2" s="1"/>
  <c r="F277" i="2" s="1"/>
  <c r="A277" i="2"/>
  <c r="C276" i="2"/>
  <c r="B276" i="2"/>
  <c r="D276" i="2" s="1"/>
  <c r="F276" i="2" s="1"/>
  <c r="A276" i="2"/>
  <c r="C275" i="2"/>
  <c r="B275" i="2"/>
  <c r="D275" i="2" s="1"/>
  <c r="F275" i="2" s="1"/>
  <c r="A275" i="2"/>
  <c r="C274" i="2"/>
  <c r="B274" i="2"/>
  <c r="D274" i="2" s="1"/>
  <c r="F274" i="2" s="1"/>
  <c r="A274" i="2"/>
  <c r="C273" i="2"/>
  <c r="B273" i="2"/>
  <c r="D273" i="2" s="1"/>
  <c r="E273" i="2" s="1"/>
  <c r="A273" i="2"/>
  <c r="C272" i="2"/>
  <c r="B272" i="2"/>
  <c r="D272" i="2" s="1"/>
  <c r="A272" i="2"/>
  <c r="C271" i="2"/>
  <c r="B271" i="2"/>
  <c r="D271" i="2" s="1"/>
  <c r="F271" i="2" s="1"/>
  <c r="A271" i="2"/>
  <c r="C270" i="2"/>
  <c r="B270" i="2"/>
  <c r="D270" i="2" s="1"/>
  <c r="F270" i="2" s="1"/>
  <c r="A270" i="2"/>
  <c r="C269" i="2"/>
  <c r="B269" i="2"/>
  <c r="D269" i="2" s="1"/>
  <c r="A269" i="2"/>
  <c r="C268" i="2"/>
  <c r="B268" i="2"/>
  <c r="D268" i="2" s="1"/>
  <c r="A268" i="2"/>
  <c r="C267" i="2"/>
  <c r="B267" i="2"/>
  <c r="D267" i="2" s="1"/>
  <c r="F267" i="2" s="1"/>
  <c r="A267" i="2"/>
  <c r="C266" i="2"/>
  <c r="B266" i="2"/>
  <c r="D266" i="2" s="1"/>
  <c r="F266" i="2" s="1"/>
  <c r="A266" i="2"/>
  <c r="C265" i="2"/>
  <c r="B265" i="2"/>
  <c r="D265" i="2" s="1"/>
  <c r="A265" i="2"/>
  <c r="C264" i="2"/>
  <c r="B264" i="2"/>
  <c r="D264" i="2" s="1"/>
  <c r="A264" i="2"/>
  <c r="C263" i="2"/>
  <c r="B263" i="2"/>
  <c r="D263" i="2" s="1"/>
  <c r="F263" i="2" s="1"/>
  <c r="A263" i="2"/>
  <c r="C262" i="2"/>
  <c r="B262" i="2"/>
  <c r="D262" i="2" s="1"/>
  <c r="F262" i="2" s="1"/>
  <c r="A262" i="2"/>
  <c r="C261" i="2"/>
  <c r="B261" i="2"/>
  <c r="D261" i="2" s="1"/>
  <c r="E261" i="2" s="1"/>
  <c r="A261" i="2"/>
  <c r="C260" i="2"/>
  <c r="B260" i="2"/>
  <c r="D260" i="2" s="1"/>
  <c r="F260" i="2" s="1"/>
  <c r="A260" i="2"/>
  <c r="C259" i="2"/>
  <c r="B259" i="2"/>
  <c r="D259" i="2" s="1"/>
  <c r="F259" i="2" s="1"/>
  <c r="A259" i="2"/>
  <c r="C258" i="2"/>
  <c r="B258" i="2"/>
  <c r="D258" i="2" s="1"/>
  <c r="F258" i="2" s="1"/>
  <c r="A258" i="2"/>
  <c r="C257" i="2"/>
  <c r="B257" i="2"/>
  <c r="D257" i="2" s="1"/>
  <c r="E257" i="2" s="1"/>
  <c r="A257" i="2"/>
  <c r="C256" i="2"/>
  <c r="B256" i="2"/>
  <c r="D256" i="2" s="1"/>
  <c r="A256" i="2"/>
  <c r="C255" i="2"/>
  <c r="B255" i="2"/>
  <c r="D255" i="2" s="1"/>
  <c r="F255" i="2" s="1"/>
  <c r="A255" i="2"/>
  <c r="C254" i="2"/>
  <c r="B254" i="2"/>
  <c r="D254" i="2" s="1"/>
  <c r="F254" i="2" s="1"/>
  <c r="A254" i="2"/>
  <c r="C253" i="2"/>
  <c r="B253" i="2"/>
  <c r="D253" i="2" s="1"/>
  <c r="A253" i="2"/>
  <c r="C252" i="2"/>
  <c r="B252" i="2"/>
  <c r="D252" i="2" s="1"/>
  <c r="A252" i="2"/>
  <c r="C251" i="2"/>
  <c r="B251" i="2"/>
  <c r="D251" i="2" s="1"/>
  <c r="F251" i="2" s="1"/>
  <c r="A251" i="2"/>
  <c r="C250" i="2"/>
  <c r="B250" i="2"/>
  <c r="D250" i="2" s="1"/>
  <c r="F250" i="2" s="1"/>
  <c r="A250" i="2"/>
  <c r="C249" i="2"/>
  <c r="B249" i="2"/>
  <c r="D249" i="2" s="1"/>
  <c r="F249" i="2" s="1"/>
  <c r="A249" i="2"/>
  <c r="C248" i="2"/>
  <c r="B248" i="2"/>
  <c r="D248" i="2" s="1"/>
  <c r="F248" i="2" s="1"/>
  <c r="A248" i="2"/>
  <c r="C247" i="2"/>
  <c r="B247" i="2"/>
  <c r="D247" i="2" s="1"/>
  <c r="F247" i="2" s="1"/>
  <c r="A247" i="2"/>
  <c r="C246" i="2"/>
  <c r="B246" i="2"/>
  <c r="D246" i="2" s="1"/>
  <c r="F246" i="2" s="1"/>
  <c r="A246" i="2"/>
  <c r="C245" i="2"/>
  <c r="B245" i="2"/>
  <c r="D245" i="2" s="1"/>
  <c r="F245" i="2" s="1"/>
  <c r="A245" i="2"/>
  <c r="C244" i="2"/>
  <c r="B244" i="2"/>
  <c r="D244" i="2" s="1"/>
  <c r="F244" i="2" s="1"/>
  <c r="A244" i="2"/>
  <c r="C243" i="2"/>
  <c r="B243" i="2"/>
  <c r="D243" i="2" s="1"/>
  <c r="F243" i="2" s="1"/>
  <c r="A243" i="2"/>
  <c r="C242" i="2"/>
  <c r="B242" i="2"/>
  <c r="D242" i="2" s="1"/>
  <c r="F242" i="2" s="1"/>
  <c r="A242" i="2"/>
  <c r="C241" i="2"/>
  <c r="B241" i="2"/>
  <c r="D241" i="2" s="1"/>
  <c r="E241" i="2" s="1"/>
  <c r="A241" i="2"/>
  <c r="C240" i="2"/>
  <c r="B240" i="2"/>
  <c r="D240" i="2" s="1"/>
  <c r="A240" i="2"/>
  <c r="C239" i="2"/>
  <c r="B239" i="2"/>
  <c r="D239" i="2" s="1"/>
  <c r="F239" i="2" s="1"/>
  <c r="A239" i="2"/>
  <c r="C238" i="2"/>
  <c r="B238" i="2"/>
  <c r="D238" i="2" s="1"/>
  <c r="F238" i="2" s="1"/>
  <c r="A238" i="2"/>
  <c r="C237" i="2"/>
  <c r="B237" i="2"/>
  <c r="D237" i="2" s="1"/>
  <c r="A237" i="2"/>
  <c r="C236" i="2"/>
  <c r="B236" i="2"/>
  <c r="D236" i="2" s="1"/>
  <c r="A236" i="2"/>
  <c r="C235" i="2"/>
  <c r="B235" i="2"/>
  <c r="D235" i="2" s="1"/>
  <c r="F235" i="2" s="1"/>
  <c r="A235" i="2"/>
  <c r="C234" i="2"/>
  <c r="B234" i="2"/>
  <c r="D234" i="2" s="1"/>
  <c r="F234" i="2" s="1"/>
  <c r="A234" i="2"/>
  <c r="C233" i="2"/>
  <c r="B233" i="2"/>
  <c r="D233" i="2" s="1"/>
  <c r="F233" i="2" s="1"/>
  <c r="A233" i="2"/>
  <c r="C232" i="2"/>
  <c r="B232" i="2"/>
  <c r="D232" i="2" s="1"/>
  <c r="A232" i="2"/>
  <c r="C231" i="2"/>
  <c r="B231" i="2"/>
  <c r="D231" i="2" s="1"/>
  <c r="F231" i="2" s="1"/>
  <c r="A231" i="2"/>
  <c r="C230" i="2"/>
  <c r="B230" i="2"/>
  <c r="D230" i="2" s="1"/>
  <c r="F230" i="2" s="1"/>
  <c r="A230" i="2"/>
  <c r="C229" i="2"/>
  <c r="B229" i="2"/>
  <c r="D229" i="2" s="1"/>
  <c r="F229" i="2" s="1"/>
  <c r="A229" i="2"/>
  <c r="C228" i="2"/>
  <c r="B228" i="2"/>
  <c r="D228" i="2" s="1"/>
  <c r="F228" i="2" s="1"/>
  <c r="A228" i="2"/>
  <c r="C227" i="2"/>
  <c r="B227" i="2"/>
  <c r="D227" i="2" s="1"/>
  <c r="F227" i="2" s="1"/>
  <c r="A227" i="2"/>
  <c r="D226" i="2"/>
  <c r="F226" i="2" s="1"/>
  <c r="C226" i="2"/>
  <c r="B226" i="2"/>
  <c r="A226" i="2"/>
  <c r="C225" i="2"/>
  <c r="B225" i="2"/>
  <c r="D225" i="2" s="1"/>
  <c r="E225" i="2" s="1"/>
  <c r="A225" i="2"/>
  <c r="C224" i="2"/>
  <c r="B224" i="2"/>
  <c r="D224" i="2" s="1"/>
  <c r="A224" i="2"/>
  <c r="C223" i="2"/>
  <c r="B223" i="2"/>
  <c r="D223" i="2" s="1"/>
  <c r="F223" i="2" s="1"/>
  <c r="A223" i="2"/>
  <c r="C222" i="2"/>
  <c r="B222" i="2"/>
  <c r="D222" i="2" s="1"/>
  <c r="F222" i="2" s="1"/>
  <c r="A222" i="2"/>
  <c r="C221" i="2"/>
  <c r="B221" i="2"/>
  <c r="D221" i="2" s="1"/>
  <c r="A221" i="2"/>
  <c r="C220" i="2"/>
  <c r="B220" i="2"/>
  <c r="D220" i="2" s="1"/>
  <c r="A220" i="2"/>
  <c r="C219" i="2"/>
  <c r="B219" i="2"/>
  <c r="D219" i="2" s="1"/>
  <c r="F219" i="2" s="1"/>
  <c r="A219" i="2"/>
  <c r="C218" i="2"/>
  <c r="B218" i="2"/>
  <c r="D218" i="2" s="1"/>
  <c r="F218" i="2" s="1"/>
  <c r="A218" i="2"/>
  <c r="C217" i="2"/>
  <c r="B217" i="2"/>
  <c r="D217" i="2" s="1"/>
  <c r="F217" i="2" s="1"/>
  <c r="A217" i="2"/>
  <c r="D216" i="2"/>
  <c r="F216" i="2" s="1"/>
  <c r="C216" i="2"/>
  <c r="B216" i="2"/>
  <c r="A216" i="2"/>
  <c r="C215" i="2"/>
  <c r="B215" i="2"/>
  <c r="D215" i="2" s="1"/>
  <c r="F215" i="2" s="1"/>
  <c r="A215" i="2"/>
  <c r="C214" i="2"/>
  <c r="B214" i="2"/>
  <c r="D214" i="2" s="1"/>
  <c r="F214" i="2" s="1"/>
  <c r="A214" i="2"/>
  <c r="C213" i="2"/>
  <c r="B213" i="2"/>
  <c r="D213" i="2" s="1"/>
  <c r="F213" i="2" s="1"/>
  <c r="A213" i="2"/>
  <c r="C212" i="2"/>
  <c r="B212" i="2"/>
  <c r="D212" i="2" s="1"/>
  <c r="F212" i="2" s="1"/>
  <c r="A212" i="2"/>
  <c r="C211" i="2"/>
  <c r="B211" i="2"/>
  <c r="D211" i="2" s="1"/>
  <c r="F211" i="2" s="1"/>
  <c r="A211" i="2"/>
  <c r="C210" i="2"/>
  <c r="B210" i="2"/>
  <c r="D210" i="2" s="1"/>
  <c r="F210" i="2" s="1"/>
  <c r="A210" i="2"/>
  <c r="C209" i="2"/>
  <c r="B209" i="2"/>
  <c r="D209" i="2" s="1"/>
  <c r="E209" i="2" s="1"/>
  <c r="A209" i="2"/>
  <c r="C208" i="2"/>
  <c r="B208" i="2"/>
  <c r="D208" i="2" s="1"/>
  <c r="A208" i="2"/>
  <c r="C207" i="2"/>
  <c r="B207" i="2"/>
  <c r="D207" i="2" s="1"/>
  <c r="F207" i="2" s="1"/>
  <c r="A207" i="2"/>
  <c r="C206" i="2"/>
  <c r="B206" i="2"/>
  <c r="D206" i="2" s="1"/>
  <c r="F206" i="2" s="1"/>
  <c r="A206" i="2"/>
  <c r="C205" i="2"/>
  <c r="B205" i="2"/>
  <c r="D205" i="2" s="1"/>
  <c r="A205" i="2"/>
  <c r="C204" i="2"/>
  <c r="B204" i="2"/>
  <c r="D204" i="2" s="1"/>
  <c r="A204" i="2"/>
  <c r="C203" i="2"/>
  <c r="B203" i="2"/>
  <c r="D203" i="2" s="1"/>
  <c r="F203" i="2" s="1"/>
  <c r="A203" i="2"/>
  <c r="C202" i="2"/>
  <c r="B202" i="2"/>
  <c r="D202" i="2" s="1"/>
  <c r="F202" i="2" s="1"/>
  <c r="A202" i="2"/>
  <c r="E201" i="2"/>
  <c r="C201" i="2"/>
  <c r="B201" i="2"/>
  <c r="D201" i="2" s="1"/>
  <c r="F201" i="2" s="1"/>
  <c r="A201" i="2"/>
  <c r="C200" i="2"/>
  <c r="B200" i="2"/>
  <c r="D200" i="2" s="1"/>
  <c r="A200" i="2"/>
  <c r="C199" i="2"/>
  <c r="B199" i="2"/>
  <c r="D199" i="2" s="1"/>
  <c r="A199" i="2"/>
  <c r="C198" i="2"/>
  <c r="B198" i="2"/>
  <c r="D198" i="2" s="1"/>
  <c r="A198" i="2"/>
  <c r="C197" i="2"/>
  <c r="B197" i="2"/>
  <c r="D197" i="2" s="1"/>
  <c r="A197" i="2"/>
  <c r="C196" i="2"/>
  <c r="B196" i="2"/>
  <c r="D196" i="2" s="1"/>
  <c r="A196" i="2"/>
  <c r="C195" i="2"/>
  <c r="B195" i="2"/>
  <c r="D195" i="2" s="1"/>
  <c r="F195" i="2" s="1"/>
  <c r="A195" i="2"/>
  <c r="C194" i="2"/>
  <c r="B194" i="2"/>
  <c r="D194" i="2" s="1"/>
  <c r="A194" i="2"/>
  <c r="C193" i="2"/>
  <c r="B193" i="2"/>
  <c r="D193" i="2" s="1"/>
  <c r="F193" i="2" s="1"/>
  <c r="A193" i="2"/>
  <c r="C192" i="2"/>
  <c r="B192" i="2"/>
  <c r="D192" i="2" s="1"/>
  <c r="A192" i="2"/>
  <c r="C191" i="2"/>
  <c r="B191" i="2"/>
  <c r="D191" i="2" s="1"/>
  <c r="F191" i="2" s="1"/>
  <c r="A191" i="2"/>
  <c r="C190" i="2"/>
  <c r="B190" i="2"/>
  <c r="D190" i="2" s="1"/>
  <c r="A190" i="2"/>
  <c r="C189" i="2"/>
  <c r="B189" i="2"/>
  <c r="D189" i="2" s="1"/>
  <c r="F189" i="2" s="1"/>
  <c r="A189" i="2"/>
  <c r="C188" i="2"/>
  <c r="B188" i="2"/>
  <c r="D188" i="2" s="1"/>
  <c r="A188" i="2"/>
  <c r="C187" i="2"/>
  <c r="B187" i="2"/>
  <c r="D187" i="2" s="1"/>
  <c r="F187" i="2" s="1"/>
  <c r="A187" i="2"/>
  <c r="C186" i="2"/>
  <c r="B186" i="2"/>
  <c r="D186" i="2" s="1"/>
  <c r="A186" i="2"/>
  <c r="C185" i="2"/>
  <c r="B185" i="2"/>
  <c r="D185" i="2" s="1"/>
  <c r="F185" i="2" s="1"/>
  <c r="A185" i="2"/>
  <c r="C184" i="2"/>
  <c r="B184" i="2"/>
  <c r="D184" i="2" s="1"/>
  <c r="A184" i="2"/>
  <c r="C183" i="2"/>
  <c r="B183" i="2"/>
  <c r="D183" i="2" s="1"/>
  <c r="F183" i="2" s="1"/>
  <c r="A183" i="2"/>
  <c r="C182" i="2"/>
  <c r="B182" i="2"/>
  <c r="D182" i="2" s="1"/>
  <c r="A182" i="2"/>
  <c r="C181" i="2"/>
  <c r="B181" i="2"/>
  <c r="D181" i="2" s="1"/>
  <c r="F181" i="2" s="1"/>
  <c r="A181" i="2"/>
  <c r="C180" i="2"/>
  <c r="B180" i="2"/>
  <c r="D180" i="2" s="1"/>
  <c r="A180" i="2"/>
  <c r="C179" i="2"/>
  <c r="B179" i="2"/>
  <c r="D179" i="2" s="1"/>
  <c r="F179" i="2" s="1"/>
  <c r="A179" i="2"/>
  <c r="C178" i="2"/>
  <c r="B178" i="2"/>
  <c r="D178" i="2" s="1"/>
  <c r="A178" i="2"/>
  <c r="C177" i="2"/>
  <c r="B177" i="2"/>
  <c r="D177" i="2" s="1"/>
  <c r="F177" i="2" s="1"/>
  <c r="A177" i="2"/>
  <c r="C176" i="2"/>
  <c r="B176" i="2"/>
  <c r="D176" i="2" s="1"/>
  <c r="A176" i="2"/>
  <c r="C175" i="2"/>
  <c r="B175" i="2"/>
  <c r="D175" i="2" s="1"/>
  <c r="F175" i="2" s="1"/>
  <c r="A175" i="2"/>
  <c r="C174" i="2"/>
  <c r="B174" i="2"/>
  <c r="D174" i="2" s="1"/>
  <c r="A174" i="2"/>
  <c r="C173" i="2"/>
  <c r="B173" i="2"/>
  <c r="D173" i="2" s="1"/>
  <c r="F173" i="2" s="1"/>
  <c r="A173" i="2"/>
  <c r="C172" i="2"/>
  <c r="B172" i="2"/>
  <c r="D172" i="2" s="1"/>
  <c r="A172" i="2"/>
  <c r="C171" i="2"/>
  <c r="B171" i="2"/>
  <c r="D171" i="2" s="1"/>
  <c r="F171" i="2" s="1"/>
  <c r="A171" i="2"/>
  <c r="C170" i="2"/>
  <c r="B170" i="2"/>
  <c r="D170" i="2" s="1"/>
  <c r="A170" i="2"/>
  <c r="C169" i="2"/>
  <c r="B169" i="2"/>
  <c r="D169" i="2" s="1"/>
  <c r="F169" i="2" s="1"/>
  <c r="A169" i="2"/>
  <c r="C168" i="2"/>
  <c r="B168" i="2"/>
  <c r="D168" i="2" s="1"/>
  <c r="A168" i="2"/>
  <c r="C167" i="2"/>
  <c r="B167" i="2"/>
  <c r="D167" i="2" s="1"/>
  <c r="F167" i="2" s="1"/>
  <c r="A167" i="2"/>
  <c r="C166" i="2"/>
  <c r="B166" i="2"/>
  <c r="D166" i="2" s="1"/>
  <c r="A166" i="2"/>
  <c r="C165" i="2"/>
  <c r="B165" i="2"/>
  <c r="D165" i="2" s="1"/>
  <c r="F165" i="2" s="1"/>
  <c r="A165" i="2"/>
  <c r="C164" i="2"/>
  <c r="B164" i="2"/>
  <c r="D164" i="2" s="1"/>
  <c r="A164" i="2"/>
  <c r="D163" i="2"/>
  <c r="F163" i="2" s="1"/>
  <c r="C163" i="2"/>
  <c r="B163" i="2"/>
  <c r="A163" i="2"/>
  <c r="C162" i="2"/>
  <c r="B162" i="2"/>
  <c r="D162" i="2" s="1"/>
  <c r="A162" i="2"/>
  <c r="C161" i="2"/>
  <c r="B161" i="2"/>
  <c r="D161" i="2" s="1"/>
  <c r="F161" i="2" s="1"/>
  <c r="A161" i="2"/>
  <c r="C160" i="2"/>
  <c r="B160" i="2"/>
  <c r="D160" i="2" s="1"/>
  <c r="A160" i="2"/>
  <c r="C159" i="2"/>
  <c r="B159" i="2"/>
  <c r="D159" i="2" s="1"/>
  <c r="F159" i="2" s="1"/>
  <c r="A159" i="2"/>
  <c r="C158" i="2"/>
  <c r="B158" i="2"/>
  <c r="D158" i="2" s="1"/>
  <c r="A158" i="2"/>
  <c r="C157" i="2"/>
  <c r="B157" i="2"/>
  <c r="D157" i="2" s="1"/>
  <c r="F157" i="2" s="1"/>
  <c r="A157" i="2"/>
  <c r="C156" i="2"/>
  <c r="B156" i="2"/>
  <c r="D156" i="2" s="1"/>
  <c r="A156" i="2"/>
  <c r="C155" i="2"/>
  <c r="B155" i="2"/>
  <c r="D155" i="2" s="1"/>
  <c r="F155" i="2" s="1"/>
  <c r="A155" i="2"/>
  <c r="C154" i="2"/>
  <c r="B154" i="2"/>
  <c r="D154" i="2" s="1"/>
  <c r="A154" i="2"/>
  <c r="C153" i="2"/>
  <c r="B153" i="2"/>
  <c r="D153" i="2" s="1"/>
  <c r="F153" i="2" s="1"/>
  <c r="A153" i="2"/>
  <c r="C152" i="2"/>
  <c r="B152" i="2"/>
  <c r="D152" i="2" s="1"/>
  <c r="A152" i="2"/>
  <c r="C151" i="2"/>
  <c r="B151" i="2"/>
  <c r="D151" i="2" s="1"/>
  <c r="F151" i="2" s="1"/>
  <c r="A151" i="2"/>
  <c r="C150" i="2"/>
  <c r="B150" i="2"/>
  <c r="D150" i="2" s="1"/>
  <c r="A150" i="2"/>
  <c r="C149" i="2"/>
  <c r="B149" i="2"/>
  <c r="D149" i="2" s="1"/>
  <c r="F149" i="2" s="1"/>
  <c r="A149" i="2"/>
  <c r="C148" i="2"/>
  <c r="B148" i="2"/>
  <c r="D148" i="2" s="1"/>
  <c r="A148" i="2"/>
  <c r="C147" i="2"/>
  <c r="B147" i="2"/>
  <c r="D147" i="2" s="1"/>
  <c r="F147" i="2" s="1"/>
  <c r="A147" i="2"/>
  <c r="C146" i="2"/>
  <c r="B146" i="2"/>
  <c r="D146" i="2" s="1"/>
  <c r="A146" i="2"/>
  <c r="C145" i="2"/>
  <c r="B145" i="2"/>
  <c r="D145" i="2" s="1"/>
  <c r="F145" i="2" s="1"/>
  <c r="A145" i="2"/>
  <c r="C144" i="2"/>
  <c r="B144" i="2"/>
  <c r="D144" i="2" s="1"/>
  <c r="A144" i="2"/>
  <c r="C143" i="2"/>
  <c r="B143" i="2"/>
  <c r="D143" i="2" s="1"/>
  <c r="F143" i="2" s="1"/>
  <c r="A143" i="2"/>
  <c r="C142" i="2"/>
  <c r="B142" i="2"/>
  <c r="D142" i="2" s="1"/>
  <c r="A142" i="2"/>
  <c r="D141" i="2"/>
  <c r="F141" i="2" s="1"/>
  <c r="C141" i="2"/>
  <c r="B141" i="2"/>
  <c r="A141" i="2"/>
  <c r="C140" i="2"/>
  <c r="B140" i="2"/>
  <c r="D140" i="2" s="1"/>
  <c r="A140" i="2"/>
  <c r="C139" i="2"/>
  <c r="B139" i="2"/>
  <c r="D139" i="2" s="1"/>
  <c r="F139" i="2" s="1"/>
  <c r="A139" i="2"/>
  <c r="C138" i="2"/>
  <c r="B138" i="2"/>
  <c r="D138" i="2" s="1"/>
  <c r="A138" i="2"/>
  <c r="C137" i="2"/>
  <c r="B137" i="2"/>
  <c r="D137" i="2" s="1"/>
  <c r="F137" i="2" s="1"/>
  <c r="A137" i="2"/>
  <c r="C136" i="2"/>
  <c r="B136" i="2"/>
  <c r="D136" i="2" s="1"/>
  <c r="A136" i="2"/>
  <c r="C135" i="2"/>
  <c r="B135" i="2"/>
  <c r="D135" i="2" s="1"/>
  <c r="F135" i="2" s="1"/>
  <c r="A135" i="2"/>
  <c r="C134" i="2"/>
  <c r="B134" i="2"/>
  <c r="D134" i="2" s="1"/>
  <c r="A134" i="2"/>
  <c r="C133" i="2"/>
  <c r="B133" i="2"/>
  <c r="D133" i="2" s="1"/>
  <c r="F133" i="2" s="1"/>
  <c r="A133" i="2"/>
  <c r="C132" i="2"/>
  <c r="B132" i="2"/>
  <c r="D132" i="2" s="1"/>
  <c r="A132" i="2"/>
  <c r="C131" i="2"/>
  <c r="B131" i="2"/>
  <c r="D131" i="2" s="1"/>
  <c r="F131" i="2" s="1"/>
  <c r="A131" i="2"/>
  <c r="C130" i="2"/>
  <c r="B130" i="2"/>
  <c r="D130" i="2" s="1"/>
  <c r="A130" i="2"/>
  <c r="C129" i="2"/>
  <c r="B129" i="2"/>
  <c r="D129" i="2" s="1"/>
  <c r="F129" i="2" s="1"/>
  <c r="A129" i="2"/>
  <c r="C128" i="2"/>
  <c r="B128" i="2"/>
  <c r="D128" i="2" s="1"/>
  <c r="A128" i="2"/>
  <c r="C127" i="2"/>
  <c r="B127" i="2"/>
  <c r="D127" i="2" s="1"/>
  <c r="F127" i="2" s="1"/>
  <c r="A127" i="2"/>
  <c r="C126" i="2"/>
  <c r="B126" i="2"/>
  <c r="D126" i="2" s="1"/>
  <c r="A126" i="2"/>
  <c r="C125" i="2"/>
  <c r="B125" i="2"/>
  <c r="D125" i="2" s="1"/>
  <c r="F125" i="2" s="1"/>
  <c r="A125" i="2"/>
  <c r="C124" i="2"/>
  <c r="B124" i="2"/>
  <c r="D124" i="2" s="1"/>
  <c r="A124" i="2"/>
  <c r="C123" i="2"/>
  <c r="B123" i="2"/>
  <c r="D123" i="2" s="1"/>
  <c r="F123" i="2" s="1"/>
  <c r="A123" i="2"/>
  <c r="C122" i="2"/>
  <c r="B122" i="2"/>
  <c r="D122" i="2" s="1"/>
  <c r="A122" i="2"/>
  <c r="C121" i="2"/>
  <c r="B121" i="2"/>
  <c r="D121" i="2" s="1"/>
  <c r="F121" i="2" s="1"/>
  <c r="A121" i="2"/>
  <c r="C120" i="2"/>
  <c r="B120" i="2"/>
  <c r="D120" i="2" s="1"/>
  <c r="A120" i="2"/>
  <c r="C119" i="2"/>
  <c r="B119" i="2"/>
  <c r="D119" i="2" s="1"/>
  <c r="F119" i="2" s="1"/>
  <c r="A119" i="2"/>
  <c r="C118" i="2"/>
  <c r="B118" i="2"/>
  <c r="D118" i="2" s="1"/>
  <c r="A118" i="2"/>
  <c r="C117" i="2"/>
  <c r="B117" i="2"/>
  <c r="D117" i="2" s="1"/>
  <c r="F117" i="2" s="1"/>
  <c r="A117" i="2"/>
  <c r="C116" i="2"/>
  <c r="B116" i="2"/>
  <c r="D116" i="2" s="1"/>
  <c r="A116" i="2"/>
  <c r="C115" i="2"/>
  <c r="B115" i="2"/>
  <c r="D115" i="2" s="1"/>
  <c r="F115" i="2" s="1"/>
  <c r="A115" i="2"/>
  <c r="C114" i="2"/>
  <c r="B114" i="2"/>
  <c r="D114" i="2" s="1"/>
  <c r="A114" i="2"/>
  <c r="C113" i="2"/>
  <c r="B113" i="2"/>
  <c r="D113" i="2" s="1"/>
  <c r="F113" i="2" s="1"/>
  <c r="A113" i="2"/>
  <c r="C112" i="2"/>
  <c r="B112" i="2"/>
  <c r="D112" i="2" s="1"/>
  <c r="A112" i="2"/>
  <c r="C111" i="2"/>
  <c r="B111" i="2"/>
  <c r="D111" i="2" s="1"/>
  <c r="F111" i="2" s="1"/>
  <c r="A111" i="2"/>
  <c r="C110" i="2"/>
  <c r="B110" i="2"/>
  <c r="D110" i="2" s="1"/>
  <c r="A110" i="2"/>
  <c r="C109" i="2"/>
  <c r="B109" i="2"/>
  <c r="D109" i="2" s="1"/>
  <c r="F109" i="2" s="1"/>
  <c r="A109" i="2"/>
  <c r="C108" i="2"/>
  <c r="B108" i="2"/>
  <c r="D108" i="2" s="1"/>
  <c r="A108" i="2"/>
  <c r="C107" i="2"/>
  <c r="B107" i="2"/>
  <c r="D107" i="2" s="1"/>
  <c r="F107" i="2" s="1"/>
  <c r="A107" i="2"/>
  <c r="C106" i="2"/>
  <c r="B106" i="2"/>
  <c r="D106" i="2" s="1"/>
  <c r="A106" i="2"/>
  <c r="C105" i="2"/>
  <c r="B105" i="2"/>
  <c r="D105" i="2" s="1"/>
  <c r="F105" i="2" s="1"/>
  <c r="A105" i="2"/>
  <c r="C104" i="2"/>
  <c r="B104" i="2"/>
  <c r="D104" i="2" s="1"/>
  <c r="A104" i="2"/>
  <c r="C103" i="2"/>
  <c r="B103" i="2"/>
  <c r="D103" i="2" s="1"/>
  <c r="F103" i="2" s="1"/>
  <c r="A103" i="2"/>
  <c r="C102" i="2"/>
  <c r="B102" i="2"/>
  <c r="D102" i="2" s="1"/>
  <c r="A102" i="2"/>
  <c r="C101" i="2"/>
  <c r="B101" i="2"/>
  <c r="D101" i="2" s="1"/>
  <c r="F101" i="2" s="1"/>
  <c r="A101" i="2"/>
  <c r="C100" i="2"/>
  <c r="B100" i="2"/>
  <c r="D100" i="2" s="1"/>
  <c r="A100" i="2"/>
  <c r="D99" i="2"/>
  <c r="F99" i="2" s="1"/>
  <c r="C99" i="2"/>
  <c r="B99" i="2"/>
  <c r="A99" i="2"/>
  <c r="C98" i="2"/>
  <c r="B98" i="2"/>
  <c r="D98" i="2" s="1"/>
  <c r="A98" i="2"/>
  <c r="C97" i="2"/>
  <c r="B97" i="2"/>
  <c r="D97" i="2" s="1"/>
  <c r="F97" i="2" s="1"/>
  <c r="A97" i="2"/>
  <c r="C96" i="2"/>
  <c r="B96" i="2"/>
  <c r="D96" i="2" s="1"/>
  <c r="A96" i="2"/>
  <c r="C95" i="2"/>
  <c r="B95" i="2"/>
  <c r="D95" i="2" s="1"/>
  <c r="F95" i="2" s="1"/>
  <c r="A95" i="2"/>
  <c r="C94" i="2"/>
  <c r="B94" i="2"/>
  <c r="D94" i="2" s="1"/>
  <c r="A94" i="2"/>
  <c r="C93" i="2"/>
  <c r="B93" i="2"/>
  <c r="D93" i="2" s="1"/>
  <c r="F93" i="2" s="1"/>
  <c r="A93" i="2"/>
  <c r="C92" i="2"/>
  <c r="B92" i="2"/>
  <c r="D92" i="2" s="1"/>
  <c r="A92" i="2"/>
  <c r="C91" i="2"/>
  <c r="B91" i="2"/>
  <c r="D91" i="2" s="1"/>
  <c r="F91" i="2" s="1"/>
  <c r="A91" i="2"/>
  <c r="C90" i="2"/>
  <c r="B90" i="2"/>
  <c r="D90" i="2" s="1"/>
  <c r="A90" i="2"/>
  <c r="C89" i="2"/>
  <c r="B89" i="2"/>
  <c r="D89" i="2" s="1"/>
  <c r="F89" i="2" s="1"/>
  <c r="A89" i="2"/>
  <c r="C88" i="2"/>
  <c r="B88" i="2"/>
  <c r="D88" i="2" s="1"/>
  <c r="A88" i="2"/>
  <c r="C87" i="2"/>
  <c r="B87" i="2"/>
  <c r="D87" i="2" s="1"/>
  <c r="F87" i="2" s="1"/>
  <c r="A87" i="2"/>
  <c r="C86" i="2"/>
  <c r="B86" i="2"/>
  <c r="D86" i="2" s="1"/>
  <c r="A86" i="2"/>
  <c r="C85" i="2"/>
  <c r="B85" i="2"/>
  <c r="D85" i="2" s="1"/>
  <c r="F85" i="2" s="1"/>
  <c r="A85" i="2"/>
  <c r="C84" i="2"/>
  <c r="B84" i="2"/>
  <c r="D84" i="2" s="1"/>
  <c r="A84" i="2"/>
  <c r="C83" i="2"/>
  <c r="B83" i="2"/>
  <c r="D83" i="2" s="1"/>
  <c r="F83" i="2" s="1"/>
  <c r="A83" i="2"/>
  <c r="C82" i="2"/>
  <c r="B82" i="2"/>
  <c r="D82" i="2" s="1"/>
  <c r="A82" i="2"/>
  <c r="C81" i="2"/>
  <c r="B81" i="2"/>
  <c r="D81" i="2" s="1"/>
  <c r="F81" i="2" s="1"/>
  <c r="A81" i="2"/>
  <c r="C80" i="2"/>
  <c r="B80" i="2"/>
  <c r="D80" i="2" s="1"/>
  <c r="A80" i="2"/>
  <c r="C79" i="2"/>
  <c r="B79" i="2"/>
  <c r="D79" i="2" s="1"/>
  <c r="F79" i="2" s="1"/>
  <c r="A79" i="2"/>
  <c r="C78" i="2"/>
  <c r="B78" i="2"/>
  <c r="D78" i="2" s="1"/>
  <c r="A78" i="2"/>
  <c r="D77" i="2"/>
  <c r="F77" i="2" s="1"/>
  <c r="C77" i="2"/>
  <c r="B77" i="2"/>
  <c r="A77" i="2"/>
  <c r="C76" i="2"/>
  <c r="B76" i="2"/>
  <c r="D76" i="2" s="1"/>
  <c r="A76" i="2"/>
  <c r="C75" i="2"/>
  <c r="B75" i="2"/>
  <c r="D75" i="2" s="1"/>
  <c r="F75" i="2" s="1"/>
  <c r="A75" i="2"/>
  <c r="C74" i="2"/>
  <c r="B74" i="2"/>
  <c r="D74" i="2" s="1"/>
  <c r="A74" i="2"/>
  <c r="C73" i="2"/>
  <c r="B73" i="2"/>
  <c r="D73" i="2" s="1"/>
  <c r="F73" i="2" s="1"/>
  <c r="A73" i="2"/>
  <c r="C72" i="2"/>
  <c r="B72" i="2"/>
  <c r="D72" i="2" s="1"/>
  <c r="A72" i="2"/>
  <c r="C71" i="2"/>
  <c r="B71" i="2"/>
  <c r="D71" i="2" s="1"/>
  <c r="F71" i="2" s="1"/>
  <c r="A71" i="2"/>
  <c r="C70" i="2"/>
  <c r="B70" i="2"/>
  <c r="D70" i="2" s="1"/>
  <c r="A70" i="2"/>
  <c r="C69" i="2"/>
  <c r="B69" i="2"/>
  <c r="D69" i="2" s="1"/>
  <c r="F69" i="2" s="1"/>
  <c r="A69" i="2"/>
  <c r="C68" i="2"/>
  <c r="B68" i="2"/>
  <c r="D68" i="2" s="1"/>
  <c r="A68" i="2"/>
  <c r="C67" i="2"/>
  <c r="B67" i="2"/>
  <c r="D67" i="2" s="1"/>
  <c r="F67" i="2" s="1"/>
  <c r="A67" i="2"/>
  <c r="C66" i="2"/>
  <c r="B66" i="2"/>
  <c r="D66" i="2" s="1"/>
  <c r="A66" i="2"/>
  <c r="C65" i="2"/>
  <c r="B65" i="2"/>
  <c r="D65" i="2" s="1"/>
  <c r="F65" i="2" s="1"/>
  <c r="A65" i="2"/>
  <c r="C64" i="2"/>
  <c r="B64" i="2"/>
  <c r="D64" i="2" s="1"/>
  <c r="A64" i="2"/>
  <c r="C63" i="2"/>
  <c r="B63" i="2"/>
  <c r="D63" i="2" s="1"/>
  <c r="F63" i="2" s="1"/>
  <c r="A63" i="2"/>
  <c r="C62" i="2"/>
  <c r="B62" i="2"/>
  <c r="D62" i="2" s="1"/>
  <c r="A62" i="2"/>
  <c r="C61" i="2"/>
  <c r="B61" i="2"/>
  <c r="D61" i="2" s="1"/>
  <c r="F61" i="2" s="1"/>
  <c r="A61" i="2"/>
  <c r="C60" i="2"/>
  <c r="B60" i="2"/>
  <c r="D60" i="2" s="1"/>
  <c r="A60" i="2"/>
  <c r="C59" i="2"/>
  <c r="B59" i="2"/>
  <c r="D59" i="2" s="1"/>
  <c r="F59" i="2" s="1"/>
  <c r="A59" i="2"/>
  <c r="C58" i="2"/>
  <c r="B58" i="2"/>
  <c r="D58" i="2" s="1"/>
  <c r="A58" i="2"/>
  <c r="C57" i="2"/>
  <c r="B57" i="2"/>
  <c r="D57" i="2" s="1"/>
  <c r="F57" i="2" s="1"/>
  <c r="A57" i="2"/>
  <c r="C56" i="2"/>
  <c r="B56" i="2"/>
  <c r="D56" i="2" s="1"/>
  <c r="A56" i="2"/>
  <c r="C55" i="2"/>
  <c r="B55" i="2"/>
  <c r="D55" i="2" s="1"/>
  <c r="F55" i="2" s="1"/>
  <c r="A55" i="2"/>
  <c r="C54" i="2"/>
  <c r="B54" i="2"/>
  <c r="D54" i="2" s="1"/>
  <c r="A54" i="2"/>
  <c r="C53" i="2"/>
  <c r="B53" i="2"/>
  <c r="D53" i="2" s="1"/>
  <c r="F53" i="2" s="1"/>
  <c r="A53" i="2"/>
  <c r="C52" i="2"/>
  <c r="B52" i="2"/>
  <c r="D52" i="2" s="1"/>
  <c r="A52" i="2"/>
  <c r="C51" i="2"/>
  <c r="B51" i="2"/>
  <c r="D51" i="2" s="1"/>
  <c r="F51" i="2" s="1"/>
  <c r="A51" i="2"/>
  <c r="C50" i="2"/>
  <c r="B50" i="2"/>
  <c r="D50" i="2" s="1"/>
  <c r="A50" i="2"/>
  <c r="C49" i="2"/>
  <c r="B49" i="2"/>
  <c r="D49" i="2" s="1"/>
  <c r="F49" i="2" s="1"/>
  <c r="A49" i="2"/>
  <c r="C48" i="2"/>
  <c r="B48" i="2"/>
  <c r="D48" i="2" s="1"/>
  <c r="A48" i="2"/>
  <c r="C47" i="2"/>
  <c r="B47" i="2"/>
  <c r="D47" i="2" s="1"/>
  <c r="F47" i="2" s="1"/>
  <c r="A47" i="2"/>
  <c r="C46" i="2"/>
  <c r="B46" i="2"/>
  <c r="D46" i="2" s="1"/>
  <c r="A46" i="2"/>
  <c r="C45" i="2"/>
  <c r="B45" i="2"/>
  <c r="D45" i="2" s="1"/>
  <c r="F45" i="2" s="1"/>
  <c r="A45" i="2"/>
  <c r="C44" i="2"/>
  <c r="B44" i="2"/>
  <c r="D44" i="2" s="1"/>
  <c r="A44" i="2"/>
  <c r="C43" i="2"/>
  <c r="B43" i="2"/>
  <c r="D43" i="2" s="1"/>
  <c r="F43" i="2" s="1"/>
  <c r="A43" i="2"/>
  <c r="C42" i="2"/>
  <c r="B42" i="2"/>
  <c r="D42" i="2" s="1"/>
  <c r="A42" i="2"/>
  <c r="C41" i="2"/>
  <c r="B41" i="2"/>
  <c r="D41" i="2" s="1"/>
  <c r="F41" i="2" s="1"/>
  <c r="A41" i="2"/>
  <c r="C40" i="2"/>
  <c r="B40" i="2"/>
  <c r="D40" i="2" s="1"/>
  <c r="A40" i="2"/>
  <c r="C39" i="2"/>
  <c r="B39" i="2"/>
  <c r="D39" i="2" s="1"/>
  <c r="F39" i="2" s="1"/>
  <c r="A39" i="2"/>
  <c r="C38" i="2"/>
  <c r="B38" i="2"/>
  <c r="D38" i="2" s="1"/>
  <c r="A38" i="2"/>
  <c r="C37" i="2"/>
  <c r="B37" i="2"/>
  <c r="D37" i="2" s="1"/>
  <c r="F37" i="2" s="1"/>
  <c r="A37" i="2"/>
  <c r="C36" i="2"/>
  <c r="B36" i="2"/>
  <c r="D36" i="2" s="1"/>
  <c r="A36" i="2"/>
  <c r="D35" i="2"/>
  <c r="F35" i="2" s="1"/>
  <c r="C35" i="2"/>
  <c r="B35" i="2"/>
  <c r="A35" i="2"/>
  <c r="C34" i="2"/>
  <c r="B34" i="2"/>
  <c r="D34" i="2" s="1"/>
  <c r="A34" i="2"/>
  <c r="C33" i="2"/>
  <c r="B33" i="2"/>
  <c r="D33" i="2" s="1"/>
  <c r="F33" i="2" s="1"/>
  <c r="A33" i="2"/>
  <c r="C32" i="2"/>
  <c r="B32" i="2"/>
  <c r="D32" i="2" s="1"/>
  <c r="A32" i="2"/>
  <c r="C31" i="2"/>
  <c r="B31" i="2"/>
  <c r="D31" i="2" s="1"/>
  <c r="F31" i="2" s="1"/>
  <c r="A31" i="2"/>
  <c r="C30" i="2"/>
  <c r="B30" i="2"/>
  <c r="D30" i="2" s="1"/>
  <c r="A30" i="2"/>
  <c r="C29" i="2"/>
  <c r="B29" i="2"/>
  <c r="D29" i="2" s="1"/>
  <c r="F29" i="2" s="1"/>
  <c r="A29" i="2"/>
  <c r="C28" i="2"/>
  <c r="B28" i="2"/>
  <c r="D28" i="2" s="1"/>
  <c r="A28" i="2"/>
  <c r="C27" i="2"/>
  <c r="B27" i="2"/>
  <c r="D27" i="2" s="1"/>
  <c r="F27" i="2" s="1"/>
  <c r="A27" i="2"/>
  <c r="C26" i="2"/>
  <c r="B26" i="2"/>
  <c r="D26" i="2" s="1"/>
  <c r="A26" i="2"/>
  <c r="C25" i="2"/>
  <c r="B25" i="2"/>
  <c r="D25" i="2" s="1"/>
  <c r="F25" i="2" s="1"/>
  <c r="A25" i="2"/>
  <c r="C24" i="2"/>
  <c r="B24" i="2"/>
  <c r="D24" i="2" s="1"/>
  <c r="A24" i="2"/>
  <c r="C23" i="2"/>
  <c r="B23" i="2"/>
  <c r="D23" i="2" s="1"/>
  <c r="F23" i="2" s="1"/>
  <c r="A23" i="2"/>
  <c r="C22" i="2"/>
  <c r="B22" i="2"/>
  <c r="D22" i="2" s="1"/>
  <c r="A22" i="2"/>
  <c r="C21" i="2"/>
  <c r="B21" i="2"/>
  <c r="D21" i="2" s="1"/>
  <c r="F21" i="2" s="1"/>
  <c r="A21" i="2"/>
  <c r="C20" i="2"/>
  <c r="B20" i="2"/>
  <c r="D20" i="2" s="1"/>
  <c r="A20" i="2"/>
  <c r="C19" i="2"/>
  <c r="B19" i="2"/>
  <c r="D19" i="2" s="1"/>
  <c r="F19" i="2" s="1"/>
  <c r="A19" i="2"/>
  <c r="C18" i="2"/>
  <c r="B18" i="2"/>
  <c r="D18" i="2" s="1"/>
  <c r="A18" i="2"/>
  <c r="C17" i="2"/>
  <c r="B17" i="2"/>
  <c r="D17" i="2" s="1"/>
  <c r="F17" i="2" s="1"/>
  <c r="A17" i="2"/>
  <c r="C16" i="2"/>
  <c r="B16" i="2"/>
  <c r="D16" i="2" s="1"/>
  <c r="A16" i="2"/>
  <c r="C15" i="2"/>
  <c r="B15" i="2"/>
  <c r="D15" i="2" s="1"/>
  <c r="F15" i="2" s="1"/>
  <c r="A15" i="2"/>
  <c r="C14" i="2"/>
  <c r="B14" i="2"/>
  <c r="D14" i="2" s="1"/>
  <c r="A14" i="2"/>
  <c r="D13" i="2"/>
  <c r="F13" i="2" s="1"/>
  <c r="C13" i="2"/>
  <c r="B13" i="2"/>
  <c r="A13" i="2"/>
  <c r="C12" i="2"/>
  <c r="B12" i="2"/>
  <c r="D12" i="2" s="1"/>
  <c r="A12" i="2"/>
  <c r="C11" i="2"/>
  <c r="B11" i="2"/>
  <c r="D11" i="2" s="1"/>
  <c r="F11" i="2" s="1"/>
  <c r="A11" i="2"/>
  <c r="C10" i="2"/>
  <c r="B10" i="2"/>
  <c r="D10" i="2" s="1"/>
  <c r="A10" i="2"/>
  <c r="C9" i="2"/>
  <c r="B9" i="2"/>
  <c r="D9" i="2" s="1"/>
  <c r="F9" i="2" s="1"/>
  <c r="A9" i="2"/>
  <c r="C8" i="2"/>
  <c r="B8" i="2"/>
  <c r="D8" i="2" s="1"/>
  <c r="A8" i="2"/>
  <c r="C7" i="2"/>
  <c r="B7" i="2"/>
  <c r="D7" i="2" s="1"/>
  <c r="F7" i="2" s="1"/>
  <c r="A7" i="2"/>
  <c r="C6" i="2"/>
  <c r="B6" i="2"/>
  <c r="D6" i="2" s="1"/>
  <c r="A6" i="2"/>
  <c r="C5" i="2"/>
  <c r="B5" i="2"/>
  <c r="D5" i="2" s="1"/>
  <c r="F5" i="2" s="1"/>
  <c r="A5" i="2"/>
  <c r="C4" i="2"/>
  <c r="B4" i="2"/>
  <c r="D4" i="2" s="1"/>
  <c r="A4" i="2"/>
  <c r="C3" i="2"/>
  <c r="B3" i="2"/>
  <c r="D3" i="2" s="1"/>
  <c r="F3" i="2" s="1"/>
  <c r="A3" i="2"/>
  <c r="C2" i="2"/>
  <c r="B2" i="2"/>
  <c r="D2" i="2" s="1"/>
  <c r="A2" i="2"/>
  <c r="E213" i="2" l="1"/>
  <c r="E341" i="2"/>
  <c r="F624" i="2"/>
  <c r="F936" i="2"/>
  <c r="E1280" i="2"/>
  <c r="E1352" i="2"/>
  <c r="E1866" i="2"/>
  <c r="E293" i="2"/>
  <c r="E611" i="2"/>
  <c r="E612" i="2"/>
  <c r="F628" i="2"/>
  <c r="F904" i="2"/>
  <c r="F906" i="2"/>
  <c r="E908" i="2"/>
  <c r="E1268" i="2"/>
  <c r="E1269" i="2"/>
  <c r="E1320" i="2"/>
  <c r="F1879" i="2"/>
  <c r="E276" i="2"/>
  <c r="E277" i="2"/>
  <c r="F928" i="2"/>
  <c r="F930" i="2"/>
  <c r="E932" i="2"/>
  <c r="F934" i="2"/>
  <c r="E1310" i="2"/>
  <c r="E912" i="2"/>
  <c r="F912" i="2"/>
  <c r="C86" i="3" s="1"/>
  <c r="F1531" i="2"/>
  <c r="E1531" i="2"/>
  <c r="F297" i="2"/>
  <c r="E297" i="2"/>
  <c r="F649" i="2"/>
  <c r="E649" i="2"/>
  <c r="E914" i="2"/>
  <c r="F914" i="2"/>
  <c r="E952" i="2"/>
  <c r="F952" i="2"/>
  <c r="E1278" i="2"/>
  <c r="F1501" i="2"/>
  <c r="E1501" i="2"/>
  <c r="F1517" i="2"/>
  <c r="E1517" i="2"/>
  <c r="F1533" i="2"/>
  <c r="E1533" i="2"/>
  <c r="E1662" i="2"/>
  <c r="F1662" i="2"/>
  <c r="E1903" i="2"/>
  <c r="F1903" i="2"/>
  <c r="C180" i="3" s="1"/>
  <c r="F916" i="2"/>
  <c r="E916" i="2"/>
  <c r="E1215" i="2"/>
  <c r="F1215" i="2"/>
  <c r="F1499" i="2"/>
  <c r="E1499" i="2"/>
  <c r="F1515" i="2"/>
  <c r="E1515" i="2"/>
  <c r="F1664" i="2"/>
  <c r="E1664" i="2"/>
  <c r="F1336" i="2"/>
  <c r="E1336" i="2"/>
  <c r="F1498" i="2"/>
  <c r="E1498" i="2"/>
  <c r="F1514" i="2"/>
  <c r="E1514" i="2"/>
  <c r="F1530" i="2"/>
  <c r="E1530" i="2"/>
  <c r="E244" i="2"/>
  <c r="E245" i="2"/>
  <c r="E249" i="2"/>
  <c r="F241" i="2"/>
  <c r="F265" i="2"/>
  <c r="E265" i="2"/>
  <c r="F296" i="2"/>
  <c r="E296" i="2"/>
  <c r="F648" i="2"/>
  <c r="E648" i="2"/>
  <c r="F680" i="2"/>
  <c r="E680" i="2"/>
  <c r="E1231" i="2"/>
  <c r="F1231" i="2"/>
  <c r="F1304" i="2"/>
  <c r="E1304" i="2"/>
  <c r="F1661" i="2"/>
  <c r="E1661" i="2"/>
  <c r="F1665" i="2"/>
  <c r="E1665" i="2"/>
  <c r="E1816" i="2"/>
  <c r="F1816" i="2"/>
  <c r="F1922" i="2"/>
  <c r="E1922" i="2"/>
  <c r="E627" i="2"/>
  <c r="E650" i="2"/>
  <c r="E714" i="2"/>
  <c r="E728" i="2"/>
  <c r="E1244" i="2"/>
  <c r="E1245" i="2"/>
  <c r="E1267" i="2"/>
  <c r="E1276" i="2"/>
  <c r="E1277" i="2"/>
  <c r="E1294" i="2"/>
  <c r="E1326" i="2"/>
  <c r="E1502" i="2"/>
  <c r="E1518" i="2"/>
  <c r="E1534" i="2"/>
  <c r="F1566" i="2"/>
  <c r="F1568" i="2"/>
  <c r="F1666" i="2"/>
  <c r="E1668" i="2"/>
  <c r="F1678" i="2"/>
  <c r="E1680" i="2"/>
  <c r="F1800" i="2"/>
  <c r="F1955" i="2"/>
  <c r="F264" i="2"/>
  <c r="E264" i="2"/>
  <c r="F713" i="2"/>
  <c r="E713" i="2"/>
  <c r="F745" i="2"/>
  <c r="E745" i="2"/>
  <c r="F757" i="2"/>
  <c r="E757" i="2"/>
  <c r="F232" i="2"/>
  <c r="E232" i="2"/>
  <c r="F603" i="2"/>
  <c r="C60" i="3" s="1"/>
  <c r="E603" i="2"/>
  <c r="F691" i="2"/>
  <c r="E691" i="2"/>
  <c r="F695" i="2"/>
  <c r="E695" i="2"/>
  <c r="F777" i="2"/>
  <c r="E777" i="2"/>
  <c r="F809" i="2"/>
  <c r="E809" i="2"/>
  <c r="F821" i="2"/>
  <c r="E821" i="2"/>
  <c r="F755" i="2"/>
  <c r="E755" i="2"/>
  <c r="F759" i="2"/>
  <c r="E759" i="2"/>
  <c r="F665" i="2"/>
  <c r="E665" i="2"/>
  <c r="F693" i="2"/>
  <c r="E693" i="2"/>
  <c r="F819" i="2"/>
  <c r="E819" i="2"/>
  <c r="F823" i="2"/>
  <c r="E823" i="2"/>
  <c r="F261" i="2"/>
  <c r="C28" i="3" s="1"/>
  <c r="F902" i="2"/>
  <c r="F920" i="2"/>
  <c r="F948" i="2"/>
  <c r="F950" i="2"/>
  <c r="F966" i="2"/>
  <c r="E968" i="2"/>
  <c r="E970" i="2"/>
  <c r="E972" i="2"/>
  <c r="E974" i="2"/>
  <c r="E976" i="2"/>
  <c r="E978" i="2"/>
  <c r="E980" i="2"/>
  <c r="F1234" i="2"/>
  <c r="E1234" i="2"/>
  <c r="F1312" i="2"/>
  <c r="E1312" i="2"/>
  <c r="F1344" i="2"/>
  <c r="E1344" i="2"/>
  <c r="F982" i="2"/>
  <c r="E982" i="2"/>
  <c r="F986" i="2"/>
  <c r="E986" i="2"/>
  <c r="F990" i="2"/>
  <c r="E990" i="2"/>
  <c r="F994" i="2"/>
  <c r="E994" i="2"/>
  <c r="F998" i="2"/>
  <c r="E998" i="2"/>
  <c r="F1002" i="2"/>
  <c r="E1002" i="2"/>
  <c r="F1006" i="2"/>
  <c r="E1006" i="2"/>
  <c r="F1010" i="2"/>
  <c r="E1010" i="2"/>
  <c r="F1014" i="2"/>
  <c r="E1014" i="2"/>
  <c r="F1018" i="2"/>
  <c r="E1018" i="2"/>
  <c r="F1022" i="2"/>
  <c r="E1022" i="2"/>
  <c r="F1026" i="2"/>
  <c r="E1026" i="2"/>
  <c r="F1547" i="2"/>
  <c r="E1547" i="2"/>
  <c r="F273" i="2"/>
  <c r="E308" i="2"/>
  <c r="E309" i="2"/>
  <c r="E313" i="2"/>
  <c r="E328" i="2"/>
  <c r="E329" i="2"/>
  <c r="E344" i="2"/>
  <c r="F345" i="2"/>
  <c r="F347" i="2"/>
  <c r="E350" i="2"/>
  <c r="E600" i="2"/>
  <c r="E664" i="2"/>
  <c r="E673" i="2"/>
  <c r="E674" i="2"/>
  <c r="E689" i="2"/>
  <c r="E690" i="2"/>
  <c r="E729" i="2"/>
  <c r="E730" i="2"/>
  <c r="E753" i="2"/>
  <c r="E754" i="2"/>
  <c r="E793" i="2"/>
  <c r="E794" i="2"/>
  <c r="E817" i="2"/>
  <c r="E818" i="2"/>
  <c r="F1296" i="2"/>
  <c r="E1296" i="2"/>
  <c r="F1328" i="2"/>
  <c r="E1328" i="2"/>
  <c r="E216" i="2"/>
  <c r="E217" i="2"/>
  <c r="E229" i="2"/>
  <c r="F209" i="2"/>
  <c r="E233" i="2"/>
  <c r="F305" i="2"/>
  <c r="E604" i="2"/>
  <c r="E666" i="2"/>
  <c r="E696" i="2"/>
  <c r="E712" i="2"/>
  <c r="E744" i="2"/>
  <c r="E760" i="2"/>
  <c r="E776" i="2"/>
  <c r="E808" i="2"/>
  <c r="E824" i="2"/>
  <c r="F918" i="2"/>
  <c r="F944" i="2"/>
  <c r="F946" i="2"/>
  <c r="F984" i="2"/>
  <c r="E984" i="2"/>
  <c r="F988" i="2"/>
  <c r="E988" i="2"/>
  <c r="F992" i="2"/>
  <c r="E992" i="2"/>
  <c r="F996" i="2"/>
  <c r="E996" i="2"/>
  <c r="F1000" i="2"/>
  <c r="E1000" i="2"/>
  <c r="F1004" i="2"/>
  <c r="E1004" i="2"/>
  <c r="F1008" i="2"/>
  <c r="E1008" i="2"/>
  <c r="F1012" i="2"/>
  <c r="E1012" i="2"/>
  <c r="F1016" i="2"/>
  <c r="E1016" i="2"/>
  <c r="F1020" i="2"/>
  <c r="E1020" i="2"/>
  <c r="F1024" i="2"/>
  <c r="E1024" i="2"/>
  <c r="F1235" i="2"/>
  <c r="E1235" i="2"/>
  <c r="F1549" i="2"/>
  <c r="E1549" i="2"/>
  <c r="F1681" i="2"/>
  <c r="E1681" i="2"/>
  <c r="F1684" i="2"/>
  <c r="E1684" i="2"/>
  <c r="F1696" i="2"/>
  <c r="E1696" i="2"/>
  <c r="E1871" i="2"/>
  <c r="F1871" i="2"/>
  <c r="E1945" i="2"/>
  <c r="F1945" i="2"/>
  <c r="E1953" i="2"/>
  <c r="F1953" i="2"/>
  <c r="E1975" i="2"/>
  <c r="F1975" i="2"/>
  <c r="E1203" i="2"/>
  <c r="E1214" i="2"/>
  <c r="E1219" i="2"/>
  <c r="E1251" i="2"/>
  <c r="E1302" i="2"/>
  <c r="E1318" i="2"/>
  <c r="E1334" i="2"/>
  <c r="E1350" i="2"/>
  <c r="E1545" i="2"/>
  <c r="E1546" i="2"/>
  <c r="E1562" i="2"/>
  <c r="F1574" i="2"/>
  <c r="F1576" i="2"/>
  <c r="F1703" i="2"/>
  <c r="E1703" i="2"/>
  <c r="F1707" i="2"/>
  <c r="E1707" i="2"/>
  <c r="F1711" i="2"/>
  <c r="E1711" i="2"/>
  <c r="F1715" i="2"/>
  <c r="E1715" i="2"/>
  <c r="F1719" i="2"/>
  <c r="C162" i="3" s="1"/>
  <c r="E1719" i="2"/>
  <c r="F1723" i="2"/>
  <c r="E1723" i="2"/>
  <c r="F1727" i="2"/>
  <c r="E1727" i="2"/>
  <c r="F1731" i="2"/>
  <c r="E1731" i="2"/>
  <c r="F1735" i="2"/>
  <c r="E1735" i="2"/>
  <c r="F1739" i="2"/>
  <c r="E1739" i="2"/>
  <c r="F1743" i="2"/>
  <c r="E1743" i="2"/>
  <c r="F1747" i="2"/>
  <c r="E1747" i="2"/>
  <c r="F1751" i="2"/>
  <c r="E1751" i="2"/>
  <c r="F1755" i="2"/>
  <c r="E1755" i="2"/>
  <c r="F1759" i="2"/>
  <c r="E1759" i="2"/>
  <c r="F1763" i="2"/>
  <c r="E1763" i="2"/>
  <c r="F1767" i="2"/>
  <c r="E1767" i="2"/>
  <c r="E1784" i="2"/>
  <c r="F1784" i="2"/>
  <c r="E1872" i="2"/>
  <c r="E1878" i="2"/>
  <c r="E1543" i="2"/>
  <c r="E1550" i="2"/>
  <c r="F1652" i="2"/>
  <c r="E1652" i="2"/>
  <c r="E1682" i="2"/>
  <c r="F1682" i="2"/>
  <c r="E1694" i="2"/>
  <c r="F1694" i="2"/>
  <c r="C159" i="3" s="1"/>
  <c r="E1698" i="2"/>
  <c r="F1698" i="2"/>
  <c r="E1874" i="2"/>
  <c r="F1874" i="2"/>
  <c r="F1876" i="2"/>
  <c r="E1885" i="2"/>
  <c r="F1885" i="2"/>
  <c r="E1915" i="2"/>
  <c r="F1915" i="2"/>
  <c r="E1943" i="2"/>
  <c r="F1943" i="2"/>
  <c r="E1977" i="2"/>
  <c r="F1977" i="2"/>
  <c r="E1985" i="2"/>
  <c r="F1985" i="2"/>
  <c r="F1987" i="2"/>
  <c r="F1697" i="2"/>
  <c r="E1697" i="2"/>
  <c r="F1701" i="2"/>
  <c r="C160" i="3" s="1"/>
  <c r="E1701" i="2"/>
  <c r="F1705" i="2"/>
  <c r="E1705" i="2"/>
  <c r="F1709" i="2"/>
  <c r="E1709" i="2"/>
  <c r="F1713" i="2"/>
  <c r="E1713" i="2"/>
  <c r="F1717" i="2"/>
  <c r="E1717" i="2"/>
  <c r="F1721" i="2"/>
  <c r="E1721" i="2"/>
  <c r="F1725" i="2"/>
  <c r="E1725" i="2"/>
  <c r="F1729" i="2"/>
  <c r="E1729" i="2"/>
  <c r="F1733" i="2"/>
  <c r="E1733" i="2"/>
  <c r="F1737" i="2"/>
  <c r="E1737" i="2"/>
  <c r="F1741" i="2"/>
  <c r="C164" i="3" s="1"/>
  <c r="E1741" i="2"/>
  <c r="F1745" i="2"/>
  <c r="E1745" i="2"/>
  <c r="F1749" i="2"/>
  <c r="E1749" i="2"/>
  <c r="F1753" i="2"/>
  <c r="E1753" i="2"/>
  <c r="F1757" i="2"/>
  <c r="E1757" i="2"/>
  <c r="F1761" i="2"/>
  <c r="E1761" i="2"/>
  <c r="F1765" i="2"/>
  <c r="E1765" i="2"/>
  <c r="F1769" i="2"/>
  <c r="E1769" i="2"/>
  <c r="E1832" i="2"/>
  <c r="F1832" i="2"/>
  <c r="E1848" i="2"/>
  <c r="F1848" i="2"/>
  <c r="E1906" i="2"/>
  <c r="F1906" i="2"/>
  <c r="E1926" i="2"/>
  <c r="F199" i="2"/>
  <c r="E199" i="2"/>
  <c r="F304" i="2"/>
  <c r="E304" i="2"/>
  <c r="E3" i="2"/>
  <c r="E5" i="2"/>
  <c r="E7" i="2"/>
  <c r="E9" i="2"/>
  <c r="E11" i="2"/>
  <c r="E13" i="2"/>
  <c r="E15" i="2"/>
  <c r="E17" i="2"/>
  <c r="E19" i="2"/>
  <c r="E21" i="2"/>
  <c r="E23" i="2"/>
  <c r="E25" i="2"/>
  <c r="E27" i="2"/>
  <c r="E29" i="2"/>
  <c r="E31" i="2"/>
  <c r="E33" i="2"/>
  <c r="E35" i="2"/>
  <c r="E37" i="2"/>
  <c r="E39" i="2"/>
  <c r="E41" i="2"/>
  <c r="E43" i="2"/>
  <c r="E45" i="2"/>
  <c r="E47" i="2"/>
  <c r="E49" i="2"/>
  <c r="E51" i="2"/>
  <c r="E53" i="2"/>
  <c r="E55" i="2"/>
  <c r="E57" i="2"/>
  <c r="E59" i="2"/>
  <c r="E61" i="2"/>
  <c r="E63" i="2"/>
  <c r="E65" i="2"/>
  <c r="E67" i="2"/>
  <c r="E69" i="2"/>
  <c r="E71" i="2"/>
  <c r="E73" i="2"/>
  <c r="E75" i="2"/>
  <c r="E77" i="2"/>
  <c r="E79" i="2"/>
  <c r="E81" i="2"/>
  <c r="E83" i="2"/>
  <c r="E85" i="2"/>
  <c r="E87" i="2"/>
  <c r="E89" i="2"/>
  <c r="E91" i="2"/>
  <c r="E93" i="2"/>
  <c r="E95" i="2"/>
  <c r="E97" i="2"/>
  <c r="E99" i="2"/>
  <c r="E101" i="2"/>
  <c r="E103" i="2"/>
  <c r="E105" i="2"/>
  <c r="E107" i="2"/>
  <c r="E109" i="2"/>
  <c r="E111" i="2"/>
  <c r="E113" i="2"/>
  <c r="E115" i="2"/>
  <c r="E117" i="2"/>
  <c r="E119" i="2"/>
  <c r="E121" i="2"/>
  <c r="E123" i="2"/>
  <c r="E125" i="2"/>
  <c r="E127" i="2"/>
  <c r="E129" i="2"/>
  <c r="E131" i="2"/>
  <c r="E133" i="2"/>
  <c r="E135" i="2"/>
  <c r="E137" i="2"/>
  <c r="E139" i="2"/>
  <c r="E141" i="2"/>
  <c r="E143" i="2"/>
  <c r="E145" i="2"/>
  <c r="E147" i="2"/>
  <c r="E149" i="2"/>
  <c r="E151" i="2"/>
  <c r="E153" i="2"/>
  <c r="E155" i="2"/>
  <c r="E157" i="2"/>
  <c r="E159" i="2"/>
  <c r="E161" i="2"/>
  <c r="E163" i="2"/>
  <c r="E165" i="2"/>
  <c r="E167" i="2"/>
  <c r="E169" i="2"/>
  <c r="E171" i="2"/>
  <c r="E173" i="2"/>
  <c r="E175" i="2"/>
  <c r="E177" i="2"/>
  <c r="E179" i="2"/>
  <c r="E181" i="2"/>
  <c r="E183" i="2"/>
  <c r="E185" i="2"/>
  <c r="E187" i="2"/>
  <c r="E189" i="2"/>
  <c r="E191" i="2"/>
  <c r="E193" i="2"/>
  <c r="E195" i="2"/>
  <c r="F221" i="2"/>
  <c r="E221" i="2"/>
  <c r="F236" i="2"/>
  <c r="E236" i="2"/>
  <c r="E248" i="2"/>
  <c r="F253" i="2"/>
  <c r="E253" i="2"/>
  <c r="F268" i="2"/>
  <c r="E268" i="2"/>
  <c r="E280" i="2"/>
  <c r="F285" i="2"/>
  <c r="E285" i="2"/>
  <c r="F300" i="2"/>
  <c r="E300" i="2"/>
  <c r="F321" i="2"/>
  <c r="E321" i="2"/>
  <c r="F643" i="2"/>
  <c r="E643" i="2"/>
  <c r="F675" i="2"/>
  <c r="E675" i="2"/>
  <c r="F746" i="2"/>
  <c r="E746" i="2"/>
  <c r="F771" i="2"/>
  <c r="E771" i="2"/>
  <c r="F775" i="2"/>
  <c r="E775" i="2"/>
  <c r="F789" i="2"/>
  <c r="E789" i="2"/>
  <c r="F875" i="2"/>
  <c r="E875" i="2"/>
  <c r="F883" i="2"/>
  <c r="E883" i="2"/>
  <c r="F1260" i="2"/>
  <c r="E1260" i="2"/>
  <c r="F1284" i="2"/>
  <c r="E1284" i="2"/>
  <c r="F1291" i="2"/>
  <c r="C120" i="3" s="1"/>
  <c r="E1291" i="2"/>
  <c r="E1367" i="2"/>
  <c r="F1367" i="2"/>
  <c r="F1503" i="2"/>
  <c r="E1503" i="2"/>
  <c r="F1507" i="2"/>
  <c r="E1507" i="2"/>
  <c r="F1511" i="2"/>
  <c r="E1511" i="2"/>
  <c r="F1519" i="2"/>
  <c r="E1519" i="2"/>
  <c r="F1523" i="2"/>
  <c r="E1523" i="2"/>
  <c r="F1527" i="2"/>
  <c r="E1527" i="2"/>
  <c r="F1535" i="2"/>
  <c r="E1535" i="2"/>
  <c r="E1690" i="2"/>
  <c r="F1690" i="2"/>
  <c r="E1792" i="2"/>
  <c r="F1792" i="2"/>
  <c r="E1804" i="2"/>
  <c r="F1804" i="2"/>
  <c r="E1828" i="2"/>
  <c r="F1828" i="2"/>
  <c r="E1883" i="2"/>
  <c r="F1883" i="2"/>
  <c r="F1904" i="2"/>
  <c r="E1904" i="2"/>
  <c r="F1930" i="2"/>
  <c r="E1930" i="2"/>
  <c r="E1939" i="2"/>
  <c r="F1939" i="2"/>
  <c r="E1971" i="2"/>
  <c r="F1971" i="2"/>
  <c r="F205" i="2"/>
  <c r="C23" i="3" s="1"/>
  <c r="E205" i="2"/>
  <c r="F224" i="2"/>
  <c r="E224" i="2"/>
  <c r="E228" i="2"/>
  <c r="F256" i="2"/>
  <c r="E256" i="2"/>
  <c r="E260" i="2"/>
  <c r="F288" i="2"/>
  <c r="E288" i="2"/>
  <c r="E292" i="2"/>
  <c r="F320" i="2"/>
  <c r="E320" i="2"/>
  <c r="F336" i="2"/>
  <c r="E336" i="2"/>
  <c r="E592" i="2"/>
  <c r="F592" i="2"/>
  <c r="F607" i="2"/>
  <c r="E607" i="2"/>
  <c r="F647" i="2"/>
  <c r="E647" i="2"/>
  <c r="F661" i="2"/>
  <c r="E661" i="2"/>
  <c r="F685" i="2"/>
  <c r="E685" i="2"/>
  <c r="F687" i="2"/>
  <c r="E687" i="2"/>
  <c r="F697" i="2"/>
  <c r="E697" i="2"/>
  <c r="F706" i="2"/>
  <c r="E706" i="2"/>
  <c r="F720" i="2"/>
  <c r="E720" i="2"/>
  <c r="F733" i="2"/>
  <c r="E733" i="2"/>
  <c r="F743" i="2"/>
  <c r="E743" i="2"/>
  <c r="F749" i="2"/>
  <c r="E749" i="2"/>
  <c r="F751" i="2"/>
  <c r="E751" i="2"/>
  <c r="F761" i="2"/>
  <c r="E761" i="2"/>
  <c r="F770" i="2"/>
  <c r="E770" i="2"/>
  <c r="F784" i="2"/>
  <c r="E784" i="2"/>
  <c r="F797" i="2"/>
  <c r="E797" i="2"/>
  <c r="F807" i="2"/>
  <c r="E807" i="2"/>
  <c r="F813" i="2"/>
  <c r="E813" i="2"/>
  <c r="F815" i="2"/>
  <c r="E815" i="2"/>
  <c r="F825" i="2"/>
  <c r="E825" i="2"/>
  <c r="F833" i="2"/>
  <c r="E833" i="2"/>
  <c r="F841" i="2"/>
  <c r="E841" i="2"/>
  <c r="F849" i="2"/>
  <c r="E849" i="2"/>
  <c r="F857" i="2"/>
  <c r="E857" i="2"/>
  <c r="F865" i="2"/>
  <c r="E865" i="2"/>
  <c r="F873" i="2"/>
  <c r="E873" i="2"/>
  <c r="F881" i="2"/>
  <c r="E881" i="2"/>
  <c r="F889" i="2"/>
  <c r="E889" i="2"/>
  <c r="E896" i="2"/>
  <c r="F896" i="2"/>
  <c r="F900" i="2"/>
  <c r="E900" i="2"/>
  <c r="E938" i="2"/>
  <c r="F938" i="2"/>
  <c r="F1218" i="2"/>
  <c r="E1218" i="2"/>
  <c r="F1250" i="2"/>
  <c r="E1250" i="2"/>
  <c r="F197" i="2"/>
  <c r="E197" i="2"/>
  <c r="F204" i="2"/>
  <c r="E204" i="2"/>
  <c r="F240" i="2"/>
  <c r="E240" i="2"/>
  <c r="F272" i="2"/>
  <c r="E272" i="2"/>
  <c r="E312" i="2"/>
  <c r="F337" i="2"/>
  <c r="E337" i="2"/>
  <c r="F620" i="2"/>
  <c r="E620" i="2"/>
  <c r="F671" i="2"/>
  <c r="E671" i="2"/>
  <c r="F682" i="2"/>
  <c r="E682" i="2"/>
  <c r="F707" i="2"/>
  <c r="E707" i="2"/>
  <c r="F711" i="2"/>
  <c r="E711" i="2"/>
  <c r="F725" i="2"/>
  <c r="E725" i="2"/>
  <c r="F810" i="2"/>
  <c r="E810" i="2"/>
  <c r="F827" i="2"/>
  <c r="E827" i="2"/>
  <c r="F835" i="2"/>
  <c r="E835" i="2"/>
  <c r="F843" i="2"/>
  <c r="E843" i="2"/>
  <c r="F851" i="2"/>
  <c r="E851" i="2"/>
  <c r="F859" i="2"/>
  <c r="E859" i="2"/>
  <c r="F867" i="2"/>
  <c r="E867" i="2"/>
  <c r="E962" i="2"/>
  <c r="F962" i="2"/>
  <c r="F1230" i="2"/>
  <c r="E1230" i="2"/>
  <c r="F1256" i="2"/>
  <c r="E1256" i="2"/>
  <c r="F1264" i="2"/>
  <c r="E1264" i="2"/>
  <c r="F1270" i="2"/>
  <c r="E1270" i="2"/>
  <c r="F208" i="2"/>
  <c r="E208" i="2"/>
  <c r="E212" i="2"/>
  <c r="F220" i="2"/>
  <c r="E220" i="2"/>
  <c r="F225" i="2"/>
  <c r="F237" i="2"/>
  <c r="E237" i="2"/>
  <c r="F252" i="2"/>
  <c r="E252" i="2"/>
  <c r="F257" i="2"/>
  <c r="F269" i="2"/>
  <c r="E269" i="2"/>
  <c r="F284" i="2"/>
  <c r="E284" i="2"/>
  <c r="F289" i="2"/>
  <c r="F301" i="2"/>
  <c r="E301" i="2"/>
  <c r="F316" i="2"/>
  <c r="E316" i="2"/>
  <c r="F324" i="2"/>
  <c r="E324" i="2"/>
  <c r="F332" i="2"/>
  <c r="E332" i="2"/>
  <c r="F340" i="2"/>
  <c r="E340" i="2"/>
  <c r="F635" i="2"/>
  <c r="E635" i="2"/>
  <c r="F656" i="2"/>
  <c r="E656" i="2"/>
  <c r="F669" i="2"/>
  <c r="E669" i="2"/>
  <c r="F679" i="2"/>
  <c r="E679" i="2"/>
  <c r="F699" i="2"/>
  <c r="E699" i="2"/>
  <c r="F701" i="2"/>
  <c r="E701" i="2"/>
  <c r="F705" i="2"/>
  <c r="E705" i="2"/>
  <c r="F709" i="2"/>
  <c r="E709" i="2"/>
  <c r="F715" i="2"/>
  <c r="E715" i="2"/>
  <c r="F719" i="2"/>
  <c r="E719" i="2"/>
  <c r="F723" i="2"/>
  <c r="E723" i="2"/>
  <c r="F727" i="2"/>
  <c r="E727" i="2"/>
  <c r="F741" i="2"/>
  <c r="E741" i="2"/>
  <c r="F763" i="2"/>
  <c r="E763" i="2"/>
  <c r="F765" i="2"/>
  <c r="E765" i="2"/>
  <c r="F769" i="2"/>
  <c r="E769" i="2"/>
  <c r="F773" i="2"/>
  <c r="E773" i="2"/>
  <c r="F779" i="2"/>
  <c r="E779" i="2"/>
  <c r="F783" i="2"/>
  <c r="E783" i="2"/>
  <c r="F787" i="2"/>
  <c r="E787" i="2"/>
  <c r="F791" i="2"/>
  <c r="E791" i="2"/>
  <c r="F805" i="2"/>
  <c r="E805" i="2"/>
  <c r="F831" i="2"/>
  <c r="C80" i="3" s="1"/>
  <c r="E831" i="2"/>
  <c r="F839" i="2"/>
  <c r="E839" i="2"/>
  <c r="F847" i="2"/>
  <c r="E847" i="2"/>
  <c r="F855" i="2"/>
  <c r="E855" i="2"/>
  <c r="F863" i="2"/>
  <c r="E863" i="2"/>
  <c r="F871" i="2"/>
  <c r="E871" i="2"/>
  <c r="F879" i="2"/>
  <c r="E879" i="2"/>
  <c r="F887" i="2"/>
  <c r="E887" i="2"/>
  <c r="E960" i="2"/>
  <c r="F960" i="2"/>
  <c r="F1030" i="2"/>
  <c r="E1030" i="2"/>
  <c r="F1034" i="2"/>
  <c r="E1034" i="2"/>
  <c r="F1038" i="2"/>
  <c r="E1038" i="2"/>
  <c r="F1042" i="2"/>
  <c r="E1042" i="2"/>
  <c r="F1046" i="2"/>
  <c r="E1046" i="2"/>
  <c r="F1050" i="2"/>
  <c r="E1050" i="2"/>
  <c r="F1054" i="2"/>
  <c r="E1054" i="2"/>
  <c r="F1058" i="2"/>
  <c r="E1058" i="2"/>
  <c r="F1062" i="2"/>
  <c r="E1062" i="2"/>
  <c r="F1210" i="2"/>
  <c r="E1210" i="2"/>
  <c r="F1248" i="2"/>
  <c r="E1248" i="2"/>
  <c r="F599" i="2"/>
  <c r="E599" i="2"/>
  <c r="F615" i="2"/>
  <c r="E615" i="2"/>
  <c r="F623" i="2"/>
  <c r="E623" i="2"/>
  <c r="F644" i="2"/>
  <c r="E644" i="2"/>
  <c r="F651" i="2"/>
  <c r="E651" i="2"/>
  <c r="F655" i="2"/>
  <c r="E655" i="2"/>
  <c r="F659" i="2"/>
  <c r="E659" i="2"/>
  <c r="F663" i="2"/>
  <c r="E663" i="2"/>
  <c r="F677" i="2"/>
  <c r="E677" i="2"/>
  <c r="F683" i="2"/>
  <c r="E683" i="2"/>
  <c r="F735" i="2"/>
  <c r="E735" i="2"/>
  <c r="F739" i="2"/>
  <c r="E739" i="2"/>
  <c r="F747" i="2"/>
  <c r="E747" i="2"/>
  <c r="F799" i="2"/>
  <c r="E799" i="2"/>
  <c r="F803" i="2"/>
  <c r="E803" i="2"/>
  <c r="F811" i="2"/>
  <c r="E811" i="2"/>
  <c r="F829" i="2"/>
  <c r="E829" i="2"/>
  <c r="F837" i="2"/>
  <c r="E837" i="2"/>
  <c r="F845" i="2"/>
  <c r="E845" i="2"/>
  <c r="F853" i="2"/>
  <c r="E853" i="2"/>
  <c r="F861" i="2"/>
  <c r="E861" i="2"/>
  <c r="F869" i="2"/>
  <c r="E869" i="2"/>
  <c r="F877" i="2"/>
  <c r="E877" i="2"/>
  <c r="F885" i="2"/>
  <c r="E885" i="2"/>
  <c r="E898" i="2"/>
  <c r="F898" i="2"/>
  <c r="E926" i="2"/>
  <c r="F926" i="2"/>
  <c r="F940" i="2"/>
  <c r="E940" i="2"/>
  <c r="F1242" i="2"/>
  <c r="E1242" i="2"/>
  <c r="F1246" i="2"/>
  <c r="E1246" i="2"/>
  <c r="E317" i="2"/>
  <c r="E333" i="2"/>
  <c r="E595" i="2"/>
  <c r="E596" i="2"/>
  <c r="F608" i="2"/>
  <c r="E636" i="2"/>
  <c r="E657" i="2"/>
  <c r="E658" i="2"/>
  <c r="E698" i="2"/>
  <c r="F704" i="2"/>
  <c r="E704" i="2"/>
  <c r="E721" i="2"/>
  <c r="E722" i="2"/>
  <c r="E762" i="2"/>
  <c r="F768" i="2"/>
  <c r="E768" i="2"/>
  <c r="E785" i="2"/>
  <c r="E786" i="2"/>
  <c r="F890" i="2"/>
  <c r="E892" i="2"/>
  <c r="E910" i="2"/>
  <c r="F910" i="2"/>
  <c r="F954" i="2"/>
  <c r="E956" i="2"/>
  <c r="F1206" i="2"/>
  <c r="E1206" i="2"/>
  <c r="F1211" i="2"/>
  <c r="F1223" i="2"/>
  <c r="E1223" i="2"/>
  <c r="F1238" i="2"/>
  <c r="E1238" i="2"/>
  <c r="F1252" i="2"/>
  <c r="E1252" i="2"/>
  <c r="F1259" i="2"/>
  <c r="E1259" i="2"/>
  <c r="F1272" i="2"/>
  <c r="E1272" i="2"/>
  <c r="F1300" i="2"/>
  <c r="E1300" i="2"/>
  <c r="F1306" i="2"/>
  <c r="E1306" i="2"/>
  <c r="F1316" i="2"/>
  <c r="E1316" i="2"/>
  <c r="F1332" i="2"/>
  <c r="E1332" i="2"/>
  <c r="F1348" i="2"/>
  <c r="E1348" i="2"/>
  <c r="E619" i="2"/>
  <c r="E681" i="2"/>
  <c r="F688" i="2"/>
  <c r="E688" i="2"/>
  <c r="F752" i="2"/>
  <c r="E752" i="2"/>
  <c r="F816" i="2"/>
  <c r="E816" i="2"/>
  <c r="E894" i="2"/>
  <c r="F894" i="2"/>
  <c r="E958" i="2"/>
  <c r="F958" i="2"/>
  <c r="F1028" i="2"/>
  <c r="E1028" i="2"/>
  <c r="F1032" i="2"/>
  <c r="E1032" i="2"/>
  <c r="F1036" i="2"/>
  <c r="E1036" i="2"/>
  <c r="F1040" i="2"/>
  <c r="E1040" i="2"/>
  <c r="F1044" i="2"/>
  <c r="E1044" i="2"/>
  <c r="F1048" i="2"/>
  <c r="E1048" i="2"/>
  <c r="F1052" i="2"/>
  <c r="E1052" i="2"/>
  <c r="F1056" i="2"/>
  <c r="E1056" i="2"/>
  <c r="F1060" i="2"/>
  <c r="E1060" i="2"/>
  <c r="F1226" i="2"/>
  <c r="E1226" i="2"/>
  <c r="F1254" i="2"/>
  <c r="E1254" i="2"/>
  <c r="F1258" i="2"/>
  <c r="E1258" i="2"/>
  <c r="F1262" i="2"/>
  <c r="E1262" i="2"/>
  <c r="F1266" i="2"/>
  <c r="E1266" i="2"/>
  <c r="F639" i="2"/>
  <c r="E639" i="2"/>
  <c r="F653" i="2"/>
  <c r="E653" i="2"/>
  <c r="F667" i="2"/>
  <c r="E667" i="2"/>
  <c r="F672" i="2"/>
  <c r="E672" i="2"/>
  <c r="F703" i="2"/>
  <c r="E703" i="2"/>
  <c r="F717" i="2"/>
  <c r="E717" i="2"/>
  <c r="F731" i="2"/>
  <c r="E731" i="2"/>
  <c r="F736" i="2"/>
  <c r="E736" i="2"/>
  <c r="F767" i="2"/>
  <c r="E767" i="2"/>
  <c r="F781" i="2"/>
  <c r="E781" i="2"/>
  <c r="F795" i="2"/>
  <c r="E795" i="2"/>
  <c r="F800" i="2"/>
  <c r="E800" i="2"/>
  <c r="F922" i="2"/>
  <c r="E924" i="2"/>
  <c r="E942" i="2"/>
  <c r="F942" i="2"/>
  <c r="F1207" i="2"/>
  <c r="E1207" i="2"/>
  <c r="F1222" i="2"/>
  <c r="E1222" i="2"/>
  <c r="F1239" i="2"/>
  <c r="E1239" i="2"/>
  <c r="F1243" i="2"/>
  <c r="E1243" i="2"/>
  <c r="F1253" i="2"/>
  <c r="E1253" i="2"/>
  <c r="F1261" i="2"/>
  <c r="E1261" i="2"/>
  <c r="F1274" i="2"/>
  <c r="E1274" i="2"/>
  <c r="F1288" i="2"/>
  <c r="E1288" i="2"/>
  <c r="F1292" i="2"/>
  <c r="E1292" i="2"/>
  <c r="F1298" i="2"/>
  <c r="E1298" i="2"/>
  <c r="F1308" i="2"/>
  <c r="E1308" i="2"/>
  <c r="F1324" i="2"/>
  <c r="E1324" i="2"/>
  <c r="F1340" i="2"/>
  <c r="E1340" i="2"/>
  <c r="F1354" i="2"/>
  <c r="E1354" i="2"/>
  <c r="F1358" i="2"/>
  <c r="E1358" i="2"/>
  <c r="F1362" i="2"/>
  <c r="E1362" i="2"/>
  <c r="F1510" i="2"/>
  <c r="E1510" i="2"/>
  <c r="F1526" i="2"/>
  <c r="E1526" i="2"/>
  <c r="E1654" i="2"/>
  <c r="F1654" i="2"/>
  <c r="E1658" i="2"/>
  <c r="F1658" i="2"/>
  <c r="F1669" i="2"/>
  <c r="E1669" i="2"/>
  <c r="F1672" i="2"/>
  <c r="E1672" i="2"/>
  <c r="F1676" i="2"/>
  <c r="E1676" i="2"/>
  <c r="F1286" i="2"/>
  <c r="E1286" i="2"/>
  <c r="F1290" i="2"/>
  <c r="E1290" i="2"/>
  <c r="E1371" i="2"/>
  <c r="F1371" i="2"/>
  <c r="F1497" i="2"/>
  <c r="E1497" i="2"/>
  <c r="F1509" i="2"/>
  <c r="E1509" i="2"/>
  <c r="F1513" i="2"/>
  <c r="C142" i="3" s="1"/>
  <c r="E1513" i="2"/>
  <c r="F1525" i="2"/>
  <c r="E1525" i="2"/>
  <c r="F1529" i="2"/>
  <c r="E1529" i="2"/>
  <c r="F1541" i="2"/>
  <c r="E1541" i="2"/>
  <c r="F1551" i="2"/>
  <c r="C146" i="3" s="1"/>
  <c r="E1551" i="2"/>
  <c r="F1555" i="2"/>
  <c r="E1555" i="2"/>
  <c r="F1559" i="2"/>
  <c r="E1559" i="2"/>
  <c r="F1573" i="2"/>
  <c r="E1573" i="2"/>
  <c r="F1275" i="2"/>
  <c r="C118" i="3" s="1"/>
  <c r="E1275" i="2"/>
  <c r="F1285" i="2"/>
  <c r="E1285" i="2"/>
  <c r="E1314" i="2"/>
  <c r="E1322" i="2"/>
  <c r="E1330" i="2"/>
  <c r="E1338" i="2"/>
  <c r="E1346" i="2"/>
  <c r="F1356" i="2"/>
  <c r="E1356" i="2"/>
  <c r="F1360" i="2"/>
  <c r="E1360" i="2"/>
  <c r="F1364" i="2"/>
  <c r="E1364" i="2"/>
  <c r="F1505" i="2"/>
  <c r="E1505" i="2"/>
  <c r="F1521" i="2"/>
  <c r="E1521" i="2"/>
  <c r="F1537" i="2"/>
  <c r="E1537" i="2"/>
  <c r="E1506" i="2"/>
  <c r="E1522" i="2"/>
  <c r="F1554" i="2"/>
  <c r="E1554" i="2"/>
  <c r="F1558" i="2"/>
  <c r="E1558" i="2"/>
  <c r="E1561" i="2"/>
  <c r="F1577" i="2"/>
  <c r="E1577" i="2"/>
  <c r="F1657" i="2"/>
  <c r="E1657" i="2"/>
  <c r="E1677" i="2"/>
  <c r="F1689" i="2"/>
  <c r="E1689" i="2"/>
  <c r="F1693" i="2"/>
  <c r="E1693" i="2"/>
  <c r="E1774" i="2"/>
  <c r="F1774" i="2"/>
  <c r="E1780" i="2"/>
  <c r="F1780" i="2"/>
  <c r="E1808" i="2"/>
  <c r="F1808" i="2"/>
  <c r="E1820" i="2"/>
  <c r="F1820" i="2"/>
  <c r="E1844" i="2"/>
  <c r="F1844" i="2"/>
  <c r="E1867" i="2"/>
  <c r="F1867" i="2"/>
  <c r="F1890" i="2"/>
  <c r="E1890" i="2"/>
  <c r="E1899" i="2"/>
  <c r="F1899" i="2"/>
  <c r="E1935" i="2"/>
  <c r="F1935" i="2"/>
  <c r="E1961" i="2"/>
  <c r="F1961" i="2"/>
  <c r="C185" i="3" s="1"/>
  <c r="E1967" i="2"/>
  <c r="F1967" i="2"/>
  <c r="E1993" i="2"/>
  <c r="F1993" i="2"/>
  <c r="C189" i="3" s="1"/>
  <c r="E1999" i="2"/>
  <c r="F1999" i="2"/>
  <c r="C190" i="3" s="1"/>
  <c r="F1539" i="2"/>
  <c r="E1539" i="2"/>
  <c r="F1557" i="2"/>
  <c r="E1557" i="2"/>
  <c r="E1563" i="2"/>
  <c r="E1565" i="2"/>
  <c r="F1569" i="2"/>
  <c r="E1569" i="2"/>
  <c r="F1653" i="2"/>
  <c r="E1653" i="2"/>
  <c r="F1656" i="2"/>
  <c r="E1656" i="2"/>
  <c r="F1660" i="2"/>
  <c r="E1660" i="2"/>
  <c r="E1670" i="2"/>
  <c r="F1670" i="2"/>
  <c r="E1674" i="2"/>
  <c r="F1674" i="2"/>
  <c r="C157" i="3" s="1"/>
  <c r="F1685" i="2"/>
  <c r="E1685" i="2"/>
  <c r="F1692" i="2"/>
  <c r="E1692" i="2"/>
  <c r="F1777" i="2"/>
  <c r="E1777" i="2"/>
  <c r="E1796" i="2"/>
  <c r="F1796" i="2"/>
  <c r="E1824" i="2"/>
  <c r="F1824" i="2"/>
  <c r="E1836" i="2"/>
  <c r="F1836" i="2"/>
  <c r="F1862" i="2"/>
  <c r="E1862" i="2"/>
  <c r="F1894" i="2"/>
  <c r="E1894" i="2"/>
  <c r="F1910" i="2"/>
  <c r="E1910" i="2"/>
  <c r="E1951" i="2"/>
  <c r="F1951" i="2"/>
  <c r="E1983" i="2"/>
  <c r="F1983" i="2"/>
  <c r="F1538" i="2"/>
  <c r="E1538" i="2"/>
  <c r="F1542" i="2"/>
  <c r="E1542" i="2"/>
  <c r="F1553" i="2"/>
  <c r="E1553" i="2"/>
  <c r="F1673" i="2"/>
  <c r="E1673" i="2"/>
  <c r="E1788" i="2"/>
  <c r="F1788" i="2"/>
  <c r="E1812" i="2"/>
  <c r="F1812" i="2"/>
  <c r="E1840" i="2"/>
  <c r="F1840" i="2"/>
  <c r="E1852" i="2"/>
  <c r="F1852" i="2"/>
  <c r="E1908" i="2"/>
  <c r="F1908" i="2"/>
  <c r="E1917" i="2"/>
  <c r="F1917" i="2"/>
  <c r="E1931" i="2"/>
  <c r="F1931" i="2"/>
  <c r="E1947" i="2"/>
  <c r="F1947" i="2"/>
  <c r="E1959" i="2"/>
  <c r="F1959" i="2"/>
  <c r="E1963" i="2"/>
  <c r="F1963" i="2"/>
  <c r="E1979" i="2"/>
  <c r="F1979" i="2"/>
  <c r="E1991" i="2"/>
  <c r="F1991" i="2"/>
  <c r="E1995" i="2"/>
  <c r="F1995" i="2"/>
  <c r="F1686" i="2"/>
  <c r="E1688" i="2"/>
  <c r="E1856" i="2"/>
  <c r="E1858" i="2"/>
  <c r="E1898" i="2"/>
  <c r="F1911" i="2"/>
  <c r="F1937" i="2"/>
  <c r="F1969" i="2"/>
  <c r="C186" i="3"/>
  <c r="C182" i="3"/>
  <c r="C158" i="3"/>
  <c r="C156" i="3"/>
  <c r="C144" i="3"/>
  <c r="C140" i="3"/>
  <c r="C138" i="3"/>
  <c r="C126" i="3"/>
  <c r="C116" i="3"/>
  <c r="C114" i="3"/>
  <c r="C112" i="3"/>
  <c r="C98" i="3"/>
  <c r="C96" i="3"/>
  <c r="C94" i="3"/>
  <c r="C92" i="3"/>
  <c r="C90" i="3"/>
  <c r="C88" i="3"/>
  <c r="C84" i="3"/>
  <c r="C78" i="3"/>
  <c r="C76" i="3"/>
  <c r="C74" i="3"/>
  <c r="C72" i="3"/>
  <c r="C70" i="3"/>
  <c r="C68" i="3"/>
  <c r="C66" i="3"/>
  <c r="C64" i="3"/>
  <c r="C62" i="3"/>
  <c r="C56" i="3"/>
  <c r="C52" i="3"/>
  <c r="C50" i="3"/>
  <c r="C187" i="3"/>
  <c r="C181" i="3"/>
  <c r="C175" i="3"/>
  <c r="C167" i="3"/>
  <c r="C165" i="3"/>
  <c r="C163" i="3"/>
  <c r="C147" i="3"/>
  <c r="C145" i="3"/>
  <c r="C143" i="3"/>
  <c r="C141" i="3"/>
  <c r="C139" i="3"/>
  <c r="C137" i="3"/>
  <c r="C135" i="3"/>
  <c r="C123" i="3"/>
  <c r="C119" i="3"/>
  <c r="C117" i="3"/>
  <c r="C115" i="3"/>
  <c r="C113" i="3"/>
  <c r="C107" i="3"/>
  <c r="C101" i="3"/>
  <c r="C97" i="3"/>
  <c r="C95" i="3"/>
  <c r="C93" i="3"/>
  <c r="C91" i="3"/>
  <c r="C89" i="3"/>
  <c r="C87" i="3"/>
  <c r="C85" i="3"/>
  <c r="C79" i="3"/>
  <c r="C77" i="3"/>
  <c r="C75" i="3"/>
  <c r="C73" i="3"/>
  <c r="C71" i="3"/>
  <c r="C69" i="3"/>
  <c r="C67" i="3"/>
  <c r="C65" i="3"/>
  <c r="C63" i="3"/>
  <c r="C61" i="3"/>
  <c r="C59" i="3"/>
  <c r="C57" i="3"/>
  <c r="C55" i="3"/>
  <c r="C49" i="3"/>
  <c r="C45" i="3"/>
  <c r="C43" i="3"/>
  <c r="C37" i="3"/>
  <c r="C35" i="3"/>
  <c r="C33" i="3"/>
  <c r="C31" i="3"/>
  <c r="C34" i="3"/>
  <c r="C29" i="3"/>
  <c r="C27" i="3"/>
  <c r="C25" i="3"/>
  <c r="C19" i="3"/>
  <c r="C9" i="3"/>
  <c r="C3" i="3"/>
  <c r="C44" i="3"/>
  <c r="C36" i="3"/>
  <c r="C38" i="3"/>
  <c r="C30" i="3"/>
  <c r="C26" i="3"/>
  <c r="C24" i="3"/>
  <c r="C20" i="3"/>
  <c r="C18" i="3"/>
  <c r="C14" i="3"/>
  <c r="C12" i="3"/>
  <c r="C8" i="3"/>
  <c r="C40" i="3"/>
  <c r="C32" i="3"/>
  <c r="F2" i="2"/>
  <c r="C2" i="3" s="1"/>
  <c r="E2" i="2"/>
  <c r="F4" i="2"/>
  <c r="E4" i="2"/>
  <c r="F6" i="2"/>
  <c r="C4" i="3" s="1"/>
  <c r="E6" i="2"/>
  <c r="F8" i="2"/>
  <c r="E8" i="2"/>
  <c r="F10" i="2"/>
  <c r="E10" i="2"/>
  <c r="F12" i="2"/>
  <c r="E12" i="2"/>
  <c r="F14" i="2"/>
  <c r="C5" i="3" s="1"/>
  <c r="E14" i="2"/>
  <c r="F16" i="2"/>
  <c r="E16" i="2"/>
  <c r="F18" i="2"/>
  <c r="E18" i="2"/>
  <c r="F20" i="2"/>
  <c r="E20" i="2"/>
  <c r="F22" i="2"/>
  <c r="C6" i="3" s="1"/>
  <c r="E22" i="2"/>
  <c r="F24" i="2"/>
  <c r="E24" i="2"/>
  <c r="F26" i="2"/>
  <c r="E26" i="2"/>
  <c r="F28" i="2"/>
  <c r="C7" i="3" s="1"/>
  <c r="E28" i="2"/>
  <c r="F30" i="2"/>
  <c r="E30" i="2"/>
  <c r="F32" i="2"/>
  <c r="E32" i="2"/>
  <c r="F34" i="2"/>
  <c r="E34" i="2"/>
  <c r="F36" i="2"/>
  <c r="E36" i="2"/>
  <c r="F38" i="2"/>
  <c r="E38" i="2"/>
  <c r="F40" i="2"/>
  <c r="E40" i="2"/>
  <c r="F42" i="2"/>
  <c r="E42" i="2"/>
  <c r="F44" i="2"/>
  <c r="E44" i="2"/>
  <c r="F46" i="2"/>
  <c r="C10" i="3" s="1"/>
  <c r="E46" i="2"/>
  <c r="F48" i="2"/>
  <c r="E48" i="2"/>
  <c r="F50" i="2"/>
  <c r="E50" i="2"/>
  <c r="F52" i="2"/>
  <c r="E52" i="2"/>
  <c r="F54" i="2"/>
  <c r="E54" i="2"/>
  <c r="F56" i="2"/>
  <c r="E56" i="2"/>
  <c r="F58" i="2"/>
  <c r="E58" i="2"/>
  <c r="F60" i="2"/>
  <c r="E60" i="2"/>
  <c r="F62" i="2"/>
  <c r="C11" i="3" s="1"/>
  <c r="E62" i="2"/>
  <c r="F64" i="2"/>
  <c r="E64" i="2"/>
  <c r="F66" i="2"/>
  <c r="E66" i="2"/>
  <c r="F68" i="2"/>
  <c r="E68" i="2"/>
  <c r="F70" i="2"/>
  <c r="E70" i="2"/>
  <c r="F72" i="2"/>
  <c r="E72" i="2"/>
  <c r="F74" i="2"/>
  <c r="E74" i="2"/>
  <c r="F76" i="2"/>
  <c r="E76" i="2"/>
  <c r="F78" i="2"/>
  <c r="E78" i="2"/>
  <c r="F80" i="2"/>
  <c r="E80" i="2"/>
  <c r="F82" i="2"/>
  <c r="E82" i="2"/>
  <c r="F84" i="2"/>
  <c r="E84" i="2"/>
  <c r="F86" i="2"/>
  <c r="C13" i="3" s="1"/>
  <c r="E86" i="2"/>
  <c r="F88" i="2"/>
  <c r="E88" i="2"/>
  <c r="F90" i="2"/>
  <c r="E90" i="2"/>
  <c r="F92" i="2"/>
  <c r="E92" i="2"/>
  <c r="F94" i="2"/>
  <c r="E94" i="2"/>
  <c r="F96" i="2"/>
  <c r="E96" i="2"/>
  <c r="F98" i="2"/>
  <c r="E98" i="2"/>
  <c r="F100" i="2"/>
  <c r="E100" i="2"/>
  <c r="F102" i="2"/>
  <c r="E102" i="2"/>
  <c r="F104" i="2"/>
  <c r="E104" i="2"/>
  <c r="F106" i="2"/>
  <c r="E106" i="2"/>
  <c r="F108" i="2"/>
  <c r="C15" i="3" s="1"/>
  <c r="E108" i="2"/>
  <c r="F110" i="2"/>
  <c r="E110" i="2"/>
  <c r="F112" i="2"/>
  <c r="E112" i="2"/>
  <c r="F114" i="2"/>
  <c r="E114" i="2"/>
  <c r="F116" i="2"/>
  <c r="E116" i="2"/>
  <c r="F118" i="2"/>
  <c r="E118" i="2"/>
  <c r="F120" i="2"/>
  <c r="C16" i="3" s="1"/>
  <c r="E120" i="2"/>
  <c r="F122" i="2"/>
  <c r="E122" i="2"/>
  <c r="F124" i="2"/>
  <c r="E124" i="2"/>
  <c r="F126" i="2"/>
  <c r="E126" i="2"/>
  <c r="F128" i="2"/>
  <c r="E128" i="2"/>
  <c r="F130" i="2"/>
  <c r="E130" i="2"/>
  <c r="F132" i="2"/>
  <c r="E132" i="2"/>
  <c r="F134" i="2"/>
  <c r="E134" i="2"/>
  <c r="F136" i="2"/>
  <c r="C17" i="3" s="1"/>
  <c r="E136" i="2"/>
  <c r="F138" i="2"/>
  <c r="E138" i="2"/>
  <c r="F140" i="2"/>
  <c r="E140" i="2"/>
  <c r="F142" i="2"/>
  <c r="E142" i="2"/>
  <c r="F144" i="2"/>
  <c r="E144" i="2"/>
  <c r="F146" i="2"/>
  <c r="E146" i="2"/>
  <c r="F148" i="2"/>
  <c r="E148" i="2"/>
  <c r="F150" i="2"/>
  <c r="E150" i="2"/>
  <c r="F152" i="2"/>
  <c r="E152" i="2"/>
  <c r="F154" i="2"/>
  <c r="E154" i="2"/>
  <c r="F156" i="2"/>
  <c r="E156" i="2"/>
  <c r="F158" i="2"/>
  <c r="E158" i="2"/>
  <c r="F160" i="2"/>
  <c r="E160" i="2"/>
  <c r="F162" i="2"/>
  <c r="E162" i="2"/>
  <c r="F164" i="2"/>
  <c r="E164" i="2"/>
  <c r="F166" i="2"/>
  <c r="E166" i="2"/>
  <c r="F168" i="2"/>
  <c r="E168" i="2"/>
  <c r="F170" i="2"/>
  <c r="E170" i="2"/>
  <c r="F172" i="2"/>
  <c r="E172" i="2"/>
  <c r="F174" i="2"/>
  <c r="E174" i="2"/>
  <c r="F176" i="2"/>
  <c r="E176" i="2"/>
  <c r="F178" i="2"/>
  <c r="E178" i="2"/>
  <c r="F180" i="2"/>
  <c r="E180" i="2"/>
  <c r="F182" i="2"/>
  <c r="E182" i="2"/>
  <c r="F184" i="2"/>
  <c r="E184" i="2"/>
  <c r="F186" i="2"/>
  <c r="C21" i="3" s="1"/>
  <c r="E186" i="2"/>
  <c r="F188" i="2"/>
  <c r="E188" i="2"/>
  <c r="F190" i="2"/>
  <c r="E190" i="2"/>
  <c r="F192" i="2"/>
  <c r="C22" i="3" s="1"/>
  <c r="E192" i="2"/>
  <c r="F194" i="2"/>
  <c r="E194" i="2"/>
  <c r="F196" i="2"/>
  <c r="E196" i="2"/>
  <c r="F198" i="2"/>
  <c r="E198" i="2"/>
  <c r="F200" i="2"/>
  <c r="E200" i="2"/>
  <c r="E346" i="2"/>
  <c r="F351" i="2"/>
  <c r="E351" i="2"/>
  <c r="F359" i="2"/>
  <c r="E359" i="2"/>
  <c r="F367" i="2"/>
  <c r="E367" i="2"/>
  <c r="F375" i="2"/>
  <c r="E375" i="2"/>
  <c r="F383" i="2"/>
  <c r="E383" i="2"/>
  <c r="F391" i="2"/>
  <c r="E391" i="2"/>
  <c r="F399" i="2"/>
  <c r="E399" i="2"/>
  <c r="F407" i="2"/>
  <c r="E407" i="2"/>
  <c r="F415" i="2"/>
  <c r="E415" i="2"/>
  <c r="F423" i="2"/>
  <c r="E423" i="2"/>
  <c r="F431" i="2"/>
  <c r="E431" i="2"/>
  <c r="F439" i="2"/>
  <c r="E439" i="2"/>
  <c r="F447" i="2"/>
  <c r="E447" i="2"/>
  <c r="F455" i="2"/>
  <c r="E455" i="2"/>
  <c r="F463" i="2"/>
  <c r="C46" i="3" s="1"/>
  <c r="E463" i="2"/>
  <c r="F471" i="2"/>
  <c r="E471" i="2"/>
  <c r="F479" i="2"/>
  <c r="E479" i="2"/>
  <c r="F487" i="2"/>
  <c r="E487" i="2"/>
  <c r="F495" i="2"/>
  <c r="E495" i="2"/>
  <c r="F503" i="2"/>
  <c r="E503" i="2"/>
  <c r="F511" i="2"/>
  <c r="C51" i="3" s="1"/>
  <c r="E511" i="2"/>
  <c r="F519" i="2"/>
  <c r="E519" i="2"/>
  <c r="F527" i="2"/>
  <c r="E527" i="2"/>
  <c r="F535" i="2"/>
  <c r="E535" i="2"/>
  <c r="F543" i="2"/>
  <c r="E543" i="2"/>
  <c r="F551" i="2"/>
  <c r="E551" i="2"/>
  <c r="F559" i="2"/>
  <c r="E559" i="2"/>
  <c r="F567" i="2"/>
  <c r="E567" i="2"/>
  <c r="F575" i="2"/>
  <c r="E575" i="2"/>
  <c r="F583" i="2"/>
  <c r="E583" i="2"/>
  <c r="F591" i="2"/>
  <c r="E591" i="2"/>
  <c r="E202" i="2"/>
  <c r="E203" i="2"/>
  <c r="E206" i="2"/>
  <c r="E207" i="2"/>
  <c r="E210" i="2"/>
  <c r="E211" i="2"/>
  <c r="E214" i="2"/>
  <c r="E215" i="2"/>
  <c r="E218" i="2"/>
  <c r="E219" i="2"/>
  <c r="E222" i="2"/>
  <c r="E223" i="2"/>
  <c r="E226" i="2"/>
  <c r="E227" i="2"/>
  <c r="E230" i="2"/>
  <c r="E231" i="2"/>
  <c r="E234" i="2"/>
  <c r="E235" i="2"/>
  <c r="E238" i="2"/>
  <c r="E239" i="2"/>
  <c r="E242" i="2"/>
  <c r="E243" i="2"/>
  <c r="E246" i="2"/>
  <c r="E247" i="2"/>
  <c r="E250" i="2"/>
  <c r="E251" i="2"/>
  <c r="E254" i="2"/>
  <c r="E255" i="2"/>
  <c r="E258" i="2"/>
  <c r="E259" i="2"/>
  <c r="E262" i="2"/>
  <c r="E263" i="2"/>
  <c r="E266" i="2"/>
  <c r="E267" i="2"/>
  <c r="E270" i="2"/>
  <c r="E271" i="2"/>
  <c r="E274" i="2"/>
  <c r="E275" i="2"/>
  <c r="E278" i="2"/>
  <c r="E279" i="2"/>
  <c r="E282" i="2"/>
  <c r="E283" i="2"/>
  <c r="E286" i="2"/>
  <c r="E287" i="2"/>
  <c r="E290" i="2"/>
  <c r="E291" i="2"/>
  <c r="E294" i="2"/>
  <c r="E295" i="2"/>
  <c r="E298" i="2"/>
  <c r="E299" i="2"/>
  <c r="E302" i="2"/>
  <c r="E303" i="2"/>
  <c r="E306" i="2"/>
  <c r="E307" i="2"/>
  <c r="E310" i="2"/>
  <c r="E311" i="2"/>
  <c r="E314" i="2"/>
  <c r="E315" i="2"/>
  <c r="E318" i="2"/>
  <c r="E319" i="2"/>
  <c r="E322" i="2"/>
  <c r="E323" i="2"/>
  <c r="E326" i="2"/>
  <c r="E327" i="2"/>
  <c r="E330" i="2"/>
  <c r="E331" i="2"/>
  <c r="E334" i="2"/>
  <c r="E335" i="2"/>
  <c r="E338" i="2"/>
  <c r="E339" i="2"/>
  <c r="E342" i="2"/>
  <c r="E343" i="2"/>
  <c r="E348" i="2"/>
  <c r="F349" i="2"/>
  <c r="F357" i="2"/>
  <c r="E357" i="2"/>
  <c r="F365" i="2"/>
  <c r="E365" i="2"/>
  <c r="F373" i="2"/>
  <c r="E373" i="2"/>
  <c r="F381" i="2"/>
  <c r="E381" i="2"/>
  <c r="F389" i="2"/>
  <c r="E389" i="2"/>
  <c r="F397" i="2"/>
  <c r="E397" i="2"/>
  <c r="F405" i="2"/>
  <c r="E405" i="2"/>
  <c r="F413" i="2"/>
  <c r="E413" i="2"/>
  <c r="F421" i="2"/>
  <c r="E421" i="2"/>
  <c r="F429" i="2"/>
  <c r="E429" i="2"/>
  <c r="F437" i="2"/>
  <c r="E437" i="2"/>
  <c r="F445" i="2"/>
  <c r="E445" i="2"/>
  <c r="F453" i="2"/>
  <c r="E453" i="2"/>
  <c r="F461" i="2"/>
  <c r="E461" i="2"/>
  <c r="F469" i="2"/>
  <c r="E469" i="2"/>
  <c r="F477" i="2"/>
  <c r="C47" i="3" s="1"/>
  <c r="E477" i="2"/>
  <c r="F485" i="2"/>
  <c r="C48" i="3" s="1"/>
  <c r="E485" i="2"/>
  <c r="F493" i="2"/>
  <c r="E493" i="2"/>
  <c r="F501" i="2"/>
  <c r="E501" i="2"/>
  <c r="F509" i="2"/>
  <c r="E509" i="2"/>
  <c r="F517" i="2"/>
  <c r="E517" i="2"/>
  <c r="F525" i="2"/>
  <c r="E525" i="2"/>
  <c r="F533" i="2"/>
  <c r="E533" i="2"/>
  <c r="F541" i="2"/>
  <c r="E541" i="2"/>
  <c r="F549" i="2"/>
  <c r="E549" i="2"/>
  <c r="F557" i="2"/>
  <c r="E557" i="2"/>
  <c r="F565" i="2"/>
  <c r="E565" i="2"/>
  <c r="F573" i="2"/>
  <c r="E573" i="2"/>
  <c r="F581" i="2"/>
  <c r="E581" i="2"/>
  <c r="F589" i="2"/>
  <c r="E589" i="2"/>
  <c r="F355" i="2"/>
  <c r="E355" i="2"/>
  <c r="F363" i="2"/>
  <c r="E363" i="2"/>
  <c r="F371" i="2"/>
  <c r="E371" i="2"/>
  <c r="F379" i="2"/>
  <c r="E379" i="2"/>
  <c r="F387" i="2"/>
  <c r="C39" i="3" s="1"/>
  <c r="E387" i="2"/>
  <c r="F395" i="2"/>
  <c r="E395" i="2"/>
  <c r="F403" i="2"/>
  <c r="C41" i="3" s="1"/>
  <c r="E403" i="2"/>
  <c r="F411" i="2"/>
  <c r="E411" i="2"/>
  <c r="F419" i="2"/>
  <c r="C42" i="3" s="1"/>
  <c r="E419" i="2"/>
  <c r="F427" i="2"/>
  <c r="E427" i="2"/>
  <c r="F435" i="2"/>
  <c r="E435" i="2"/>
  <c r="F443" i="2"/>
  <c r="E443" i="2"/>
  <c r="F451" i="2"/>
  <c r="E451" i="2"/>
  <c r="F459" i="2"/>
  <c r="E459" i="2"/>
  <c r="F467" i="2"/>
  <c r="E467" i="2"/>
  <c r="F475" i="2"/>
  <c r="E475" i="2"/>
  <c r="F483" i="2"/>
  <c r="E483" i="2"/>
  <c r="F491" i="2"/>
  <c r="E491" i="2"/>
  <c r="F499" i="2"/>
  <c r="E499" i="2"/>
  <c r="F507" i="2"/>
  <c r="E507" i="2"/>
  <c r="F515" i="2"/>
  <c r="E515" i="2"/>
  <c r="F523" i="2"/>
  <c r="E523" i="2"/>
  <c r="F531" i="2"/>
  <c r="C53" i="3" s="1"/>
  <c r="E531" i="2"/>
  <c r="F539" i="2"/>
  <c r="E539" i="2"/>
  <c r="F547" i="2"/>
  <c r="E547" i="2"/>
  <c r="F555" i="2"/>
  <c r="E555" i="2"/>
  <c r="F563" i="2"/>
  <c r="E563" i="2"/>
  <c r="F571" i="2"/>
  <c r="E571" i="2"/>
  <c r="F579" i="2"/>
  <c r="E579" i="2"/>
  <c r="F587" i="2"/>
  <c r="E587" i="2"/>
  <c r="F353" i="2"/>
  <c r="E353" i="2"/>
  <c r="F361" i="2"/>
  <c r="E361" i="2"/>
  <c r="F369" i="2"/>
  <c r="E369" i="2"/>
  <c r="F377" i="2"/>
  <c r="E377" i="2"/>
  <c r="F385" i="2"/>
  <c r="E385" i="2"/>
  <c r="F393" i="2"/>
  <c r="E393" i="2"/>
  <c r="F401" i="2"/>
  <c r="E401" i="2"/>
  <c r="F409" i="2"/>
  <c r="E409" i="2"/>
  <c r="F417" i="2"/>
  <c r="E417" i="2"/>
  <c r="F425" i="2"/>
  <c r="E425" i="2"/>
  <c r="F433" i="2"/>
  <c r="E433" i="2"/>
  <c r="F441" i="2"/>
  <c r="E441" i="2"/>
  <c r="F449" i="2"/>
  <c r="E449" i="2"/>
  <c r="F457" i="2"/>
  <c r="E457" i="2"/>
  <c r="F465" i="2"/>
  <c r="E465" i="2"/>
  <c r="F473" i="2"/>
  <c r="E473" i="2"/>
  <c r="F481" i="2"/>
  <c r="E481" i="2"/>
  <c r="F489" i="2"/>
  <c r="E489" i="2"/>
  <c r="F497" i="2"/>
  <c r="E497" i="2"/>
  <c r="F505" i="2"/>
  <c r="E505" i="2"/>
  <c r="F513" i="2"/>
  <c r="E513" i="2"/>
  <c r="F521" i="2"/>
  <c r="E521" i="2"/>
  <c r="F529" i="2"/>
  <c r="E529" i="2"/>
  <c r="F537" i="2"/>
  <c r="E537" i="2"/>
  <c r="F545" i="2"/>
  <c r="C54" i="3" s="1"/>
  <c r="E545" i="2"/>
  <c r="F553" i="2"/>
  <c r="E553" i="2"/>
  <c r="F561" i="2"/>
  <c r="E561" i="2"/>
  <c r="F569" i="2"/>
  <c r="E569" i="2"/>
  <c r="F577" i="2"/>
  <c r="E577" i="2"/>
  <c r="F585" i="2"/>
  <c r="C58" i="3" s="1"/>
  <c r="E585" i="2"/>
  <c r="E352" i="2"/>
  <c r="E354" i="2"/>
  <c r="E356" i="2"/>
  <c r="E358" i="2"/>
  <c r="E360" i="2"/>
  <c r="E362" i="2"/>
  <c r="E364" i="2"/>
  <c r="E366" i="2"/>
  <c r="E368" i="2"/>
  <c r="E370" i="2"/>
  <c r="E372" i="2"/>
  <c r="E374" i="2"/>
  <c r="E376" i="2"/>
  <c r="E378" i="2"/>
  <c r="E380" i="2"/>
  <c r="E382" i="2"/>
  <c r="E384" i="2"/>
  <c r="E386" i="2"/>
  <c r="E388" i="2"/>
  <c r="E390" i="2"/>
  <c r="E392" i="2"/>
  <c r="E394" i="2"/>
  <c r="E396" i="2"/>
  <c r="E398" i="2"/>
  <c r="E400" i="2"/>
  <c r="E402" i="2"/>
  <c r="E404" i="2"/>
  <c r="E406" i="2"/>
  <c r="E408" i="2"/>
  <c r="E410" i="2"/>
  <c r="E412" i="2"/>
  <c r="E414" i="2"/>
  <c r="E416" i="2"/>
  <c r="E418" i="2"/>
  <c r="E420" i="2"/>
  <c r="E422" i="2"/>
  <c r="E424" i="2"/>
  <c r="E426" i="2"/>
  <c r="E428" i="2"/>
  <c r="E430" i="2"/>
  <c r="E432" i="2"/>
  <c r="E434" i="2"/>
  <c r="E436" i="2"/>
  <c r="E438" i="2"/>
  <c r="E440" i="2"/>
  <c r="E442" i="2"/>
  <c r="E444" i="2"/>
  <c r="E446" i="2"/>
  <c r="E448" i="2"/>
  <c r="E450" i="2"/>
  <c r="E452" i="2"/>
  <c r="E454" i="2"/>
  <c r="E456" i="2"/>
  <c r="E458" i="2"/>
  <c r="E460" i="2"/>
  <c r="E462" i="2"/>
  <c r="E464" i="2"/>
  <c r="E466" i="2"/>
  <c r="E468" i="2"/>
  <c r="E470" i="2"/>
  <c r="E472" i="2"/>
  <c r="E474" i="2"/>
  <c r="E476" i="2"/>
  <c r="E478" i="2"/>
  <c r="E480" i="2"/>
  <c r="E482" i="2"/>
  <c r="E484" i="2"/>
  <c r="E486" i="2"/>
  <c r="E488" i="2"/>
  <c r="E490" i="2"/>
  <c r="E492" i="2"/>
  <c r="E494" i="2"/>
  <c r="E496" i="2"/>
  <c r="E498" i="2"/>
  <c r="E500" i="2"/>
  <c r="E502" i="2"/>
  <c r="E504" i="2"/>
  <c r="E506" i="2"/>
  <c r="E508" i="2"/>
  <c r="E510" i="2"/>
  <c r="E512" i="2"/>
  <c r="E514" i="2"/>
  <c r="E516" i="2"/>
  <c r="E518" i="2"/>
  <c r="E520" i="2"/>
  <c r="E522" i="2"/>
  <c r="E524" i="2"/>
  <c r="E526" i="2"/>
  <c r="E528" i="2"/>
  <c r="E530" i="2"/>
  <c r="E532" i="2"/>
  <c r="E534" i="2"/>
  <c r="E536" i="2"/>
  <c r="E538" i="2"/>
  <c r="E540" i="2"/>
  <c r="E542" i="2"/>
  <c r="E544" i="2"/>
  <c r="E546" i="2"/>
  <c r="E548" i="2"/>
  <c r="E550" i="2"/>
  <c r="E552" i="2"/>
  <c r="E554" i="2"/>
  <c r="E556" i="2"/>
  <c r="E558" i="2"/>
  <c r="E560" i="2"/>
  <c r="E562" i="2"/>
  <c r="E564" i="2"/>
  <c r="E566" i="2"/>
  <c r="E568" i="2"/>
  <c r="E570" i="2"/>
  <c r="E572" i="2"/>
  <c r="E574" i="2"/>
  <c r="E576" i="2"/>
  <c r="E578" i="2"/>
  <c r="E580" i="2"/>
  <c r="E582" i="2"/>
  <c r="E584" i="2"/>
  <c r="E586" i="2"/>
  <c r="E588" i="2"/>
  <c r="E590" i="2"/>
  <c r="E593" i="2"/>
  <c r="E594" i="2"/>
  <c r="E597" i="2"/>
  <c r="E598" i="2"/>
  <c r="E601" i="2"/>
  <c r="E602" i="2"/>
  <c r="E605" i="2"/>
  <c r="E606" i="2"/>
  <c r="E609" i="2"/>
  <c r="E610" i="2"/>
  <c r="E613" i="2"/>
  <c r="E614" i="2"/>
  <c r="E617" i="2"/>
  <c r="E618" i="2"/>
  <c r="E621" i="2"/>
  <c r="E622" i="2"/>
  <c r="E625" i="2"/>
  <c r="E626" i="2"/>
  <c r="E629" i="2"/>
  <c r="E630" i="2"/>
  <c r="E633" i="2"/>
  <c r="E634" i="2"/>
  <c r="E637" i="2"/>
  <c r="E638" i="2"/>
  <c r="E641" i="2"/>
  <c r="E642" i="2"/>
  <c r="E645" i="2"/>
  <c r="E646" i="2"/>
  <c r="E652" i="2"/>
  <c r="E660" i="2"/>
  <c r="E668" i="2"/>
  <c r="E676" i="2"/>
  <c r="E684" i="2"/>
  <c r="E692" i="2"/>
  <c r="E700" i="2"/>
  <c r="E708" i="2"/>
  <c r="E716" i="2"/>
  <c r="E724" i="2"/>
  <c r="E732" i="2"/>
  <c r="E740" i="2"/>
  <c r="E748" i="2"/>
  <c r="E756" i="2"/>
  <c r="E764" i="2"/>
  <c r="E772" i="2"/>
  <c r="E780" i="2"/>
  <c r="E788" i="2"/>
  <c r="E796" i="2"/>
  <c r="E804" i="2"/>
  <c r="E812" i="2"/>
  <c r="E820" i="2"/>
  <c r="E654" i="2"/>
  <c r="E662" i="2"/>
  <c r="E670" i="2"/>
  <c r="E678" i="2"/>
  <c r="E686" i="2"/>
  <c r="E694" i="2"/>
  <c r="E702" i="2"/>
  <c r="E710" i="2"/>
  <c r="E718" i="2"/>
  <c r="E726" i="2"/>
  <c r="E734" i="2"/>
  <c r="E742" i="2"/>
  <c r="E750" i="2"/>
  <c r="E758" i="2"/>
  <c r="E766" i="2"/>
  <c r="E774" i="2"/>
  <c r="E782" i="2"/>
  <c r="E790" i="2"/>
  <c r="E798" i="2"/>
  <c r="E806" i="2"/>
  <c r="E814" i="2"/>
  <c r="E822" i="2"/>
  <c r="F826" i="2"/>
  <c r="E826" i="2"/>
  <c r="F828" i="2"/>
  <c r="E828" i="2"/>
  <c r="F830" i="2"/>
  <c r="E830" i="2"/>
  <c r="F832" i="2"/>
  <c r="E832" i="2"/>
  <c r="F834" i="2"/>
  <c r="E834" i="2"/>
  <c r="F836" i="2"/>
  <c r="E836" i="2"/>
  <c r="F838" i="2"/>
  <c r="E838" i="2"/>
  <c r="F840" i="2"/>
  <c r="C81" i="3" s="1"/>
  <c r="E840" i="2"/>
  <c r="F842" i="2"/>
  <c r="E842" i="2"/>
  <c r="F844" i="2"/>
  <c r="E844" i="2"/>
  <c r="F846" i="2"/>
  <c r="E846" i="2"/>
  <c r="F848" i="2"/>
  <c r="E848" i="2"/>
  <c r="F850" i="2"/>
  <c r="E850" i="2"/>
  <c r="F852" i="2"/>
  <c r="E852" i="2"/>
  <c r="F854" i="2"/>
  <c r="C82" i="3" s="1"/>
  <c r="E854" i="2"/>
  <c r="F856" i="2"/>
  <c r="E856" i="2"/>
  <c r="F858" i="2"/>
  <c r="E858" i="2"/>
  <c r="F860" i="2"/>
  <c r="E860" i="2"/>
  <c r="F862" i="2"/>
  <c r="E862" i="2"/>
  <c r="F864" i="2"/>
  <c r="E864" i="2"/>
  <c r="F866" i="2"/>
  <c r="E866" i="2"/>
  <c r="F868" i="2"/>
  <c r="C83" i="3" s="1"/>
  <c r="E868" i="2"/>
  <c r="F870" i="2"/>
  <c r="E870" i="2"/>
  <c r="F872" i="2"/>
  <c r="E872" i="2"/>
  <c r="F874" i="2"/>
  <c r="E874" i="2"/>
  <c r="F876" i="2"/>
  <c r="E876" i="2"/>
  <c r="F878" i="2"/>
  <c r="E878" i="2"/>
  <c r="F880" i="2"/>
  <c r="E880" i="2"/>
  <c r="F882" i="2"/>
  <c r="E882" i="2"/>
  <c r="F884" i="2"/>
  <c r="E884" i="2"/>
  <c r="F886" i="2"/>
  <c r="E886" i="2"/>
  <c r="F888" i="2"/>
  <c r="E888" i="2"/>
  <c r="F963" i="2"/>
  <c r="E963" i="2"/>
  <c r="E964" i="2"/>
  <c r="F1064" i="2"/>
  <c r="C99" i="3" s="1"/>
  <c r="E1064" i="2"/>
  <c r="F1072" i="2"/>
  <c r="E1072" i="2"/>
  <c r="F1080" i="2"/>
  <c r="E1080" i="2"/>
  <c r="F1088" i="2"/>
  <c r="E1088" i="2"/>
  <c r="F1096" i="2"/>
  <c r="C102" i="3" s="1"/>
  <c r="E1096" i="2"/>
  <c r="F1104" i="2"/>
  <c r="C103" i="3" s="1"/>
  <c r="E1104" i="2"/>
  <c r="F1112" i="2"/>
  <c r="E1112" i="2"/>
  <c r="F1120" i="2"/>
  <c r="E1120" i="2"/>
  <c r="F1128" i="2"/>
  <c r="E1128" i="2"/>
  <c r="F1136" i="2"/>
  <c r="C106" i="3" s="1"/>
  <c r="E1136" i="2"/>
  <c r="F1144" i="2"/>
  <c r="E1144" i="2"/>
  <c r="F1152" i="2"/>
  <c r="C108" i="3" s="1"/>
  <c r="E1152" i="2"/>
  <c r="F1160" i="2"/>
  <c r="E1160" i="2"/>
  <c r="F1168" i="2"/>
  <c r="E1168" i="2"/>
  <c r="F1176" i="2"/>
  <c r="C110" i="3" s="1"/>
  <c r="E1176" i="2"/>
  <c r="F1184" i="2"/>
  <c r="E1184" i="2"/>
  <c r="F1192" i="2"/>
  <c r="E1192" i="2"/>
  <c r="F1200" i="2"/>
  <c r="E1200" i="2"/>
  <c r="E891" i="2"/>
  <c r="E895" i="2"/>
  <c r="E899" i="2"/>
  <c r="E903" i="2"/>
  <c r="E907" i="2"/>
  <c r="E911" i="2"/>
  <c r="E915" i="2"/>
  <c r="E919" i="2"/>
  <c r="E923" i="2"/>
  <c r="E927" i="2"/>
  <c r="E931" i="2"/>
  <c r="E935" i="2"/>
  <c r="E939" i="2"/>
  <c r="E943" i="2"/>
  <c r="E947" i="2"/>
  <c r="E951" i="2"/>
  <c r="E955" i="2"/>
  <c r="E959" i="2"/>
  <c r="F965" i="2"/>
  <c r="E965" i="2"/>
  <c r="F1070" i="2"/>
  <c r="C100" i="3" s="1"/>
  <c r="E1070" i="2"/>
  <c r="F1078" i="2"/>
  <c r="E1078" i="2"/>
  <c r="F1086" i="2"/>
  <c r="E1086" i="2"/>
  <c r="F1094" i="2"/>
  <c r="E1094" i="2"/>
  <c r="F1102" i="2"/>
  <c r="E1102" i="2"/>
  <c r="F1110" i="2"/>
  <c r="E1110" i="2"/>
  <c r="F1118" i="2"/>
  <c r="E1118" i="2"/>
  <c r="F1126" i="2"/>
  <c r="E1126" i="2"/>
  <c r="F1134" i="2"/>
  <c r="E1134" i="2"/>
  <c r="F1142" i="2"/>
  <c r="E1142" i="2"/>
  <c r="F1150" i="2"/>
  <c r="E1150" i="2"/>
  <c r="F1158" i="2"/>
  <c r="E1158" i="2"/>
  <c r="F1166" i="2"/>
  <c r="C109" i="3" s="1"/>
  <c r="E1166" i="2"/>
  <c r="F1174" i="2"/>
  <c r="E1174" i="2"/>
  <c r="F1182" i="2"/>
  <c r="E1182" i="2"/>
  <c r="F1190" i="2"/>
  <c r="E1190" i="2"/>
  <c r="F1198" i="2"/>
  <c r="E1198" i="2"/>
  <c r="F1068" i="2"/>
  <c r="E1068" i="2"/>
  <c r="F1076" i="2"/>
  <c r="E1076" i="2"/>
  <c r="F1084" i="2"/>
  <c r="E1084" i="2"/>
  <c r="F1092" i="2"/>
  <c r="E1092" i="2"/>
  <c r="F1100" i="2"/>
  <c r="E1100" i="2"/>
  <c r="F1108" i="2"/>
  <c r="E1108" i="2"/>
  <c r="F1116" i="2"/>
  <c r="C104" i="3" s="1"/>
  <c r="E1116" i="2"/>
  <c r="F1124" i="2"/>
  <c r="E1124" i="2"/>
  <c r="F1132" i="2"/>
  <c r="E1132" i="2"/>
  <c r="F1140" i="2"/>
  <c r="E1140" i="2"/>
  <c r="F1148" i="2"/>
  <c r="E1148" i="2"/>
  <c r="F1156" i="2"/>
  <c r="E1156" i="2"/>
  <c r="F1164" i="2"/>
  <c r="E1164" i="2"/>
  <c r="F1172" i="2"/>
  <c r="E1172" i="2"/>
  <c r="F1180" i="2"/>
  <c r="E1180" i="2"/>
  <c r="F1188" i="2"/>
  <c r="E1188" i="2"/>
  <c r="F1196" i="2"/>
  <c r="E1196" i="2"/>
  <c r="E893" i="2"/>
  <c r="E897" i="2"/>
  <c r="E901" i="2"/>
  <c r="E905" i="2"/>
  <c r="E909" i="2"/>
  <c r="E913" i="2"/>
  <c r="E917" i="2"/>
  <c r="E921" i="2"/>
  <c r="E925" i="2"/>
  <c r="E929" i="2"/>
  <c r="E933" i="2"/>
  <c r="E937" i="2"/>
  <c r="E941" i="2"/>
  <c r="E945" i="2"/>
  <c r="E949" i="2"/>
  <c r="E953" i="2"/>
  <c r="E957" i="2"/>
  <c r="E961" i="2"/>
  <c r="F1066" i="2"/>
  <c r="E1066" i="2"/>
  <c r="F1074" i="2"/>
  <c r="E1074" i="2"/>
  <c r="F1082" i="2"/>
  <c r="E1082" i="2"/>
  <c r="F1090" i="2"/>
  <c r="E1090" i="2"/>
  <c r="F1098" i="2"/>
  <c r="E1098" i="2"/>
  <c r="F1106" i="2"/>
  <c r="E1106" i="2"/>
  <c r="F1114" i="2"/>
  <c r="E1114" i="2"/>
  <c r="F1122" i="2"/>
  <c r="C105" i="3" s="1"/>
  <c r="E1122" i="2"/>
  <c r="F1130" i="2"/>
  <c r="E1130" i="2"/>
  <c r="F1138" i="2"/>
  <c r="E1138" i="2"/>
  <c r="F1146" i="2"/>
  <c r="E1146" i="2"/>
  <c r="F1154" i="2"/>
  <c r="E1154" i="2"/>
  <c r="F1162" i="2"/>
  <c r="E1162" i="2"/>
  <c r="F1170" i="2"/>
  <c r="E1170" i="2"/>
  <c r="F1178" i="2"/>
  <c r="E1178" i="2"/>
  <c r="F1186" i="2"/>
  <c r="C111" i="3" s="1"/>
  <c r="E1186" i="2"/>
  <c r="F1194" i="2"/>
  <c r="E1194" i="2"/>
  <c r="F1202" i="2"/>
  <c r="E1202" i="2"/>
  <c r="E967" i="2"/>
  <c r="E969" i="2"/>
  <c r="E971" i="2"/>
  <c r="E973" i="2"/>
  <c r="E975" i="2"/>
  <c r="E977" i="2"/>
  <c r="E979" i="2"/>
  <c r="E981" i="2"/>
  <c r="E983" i="2"/>
  <c r="E985" i="2"/>
  <c r="E987" i="2"/>
  <c r="E989" i="2"/>
  <c r="E991" i="2"/>
  <c r="E993" i="2"/>
  <c r="E995" i="2"/>
  <c r="E997" i="2"/>
  <c r="E999" i="2"/>
  <c r="E1001" i="2"/>
  <c r="E1003" i="2"/>
  <c r="E1005" i="2"/>
  <c r="E1007" i="2"/>
  <c r="E1009" i="2"/>
  <c r="E1011" i="2"/>
  <c r="E1013" i="2"/>
  <c r="E1015" i="2"/>
  <c r="E1017" i="2"/>
  <c r="E1019" i="2"/>
  <c r="E1021" i="2"/>
  <c r="E1023" i="2"/>
  <c r="E1025" i="2"/>
  <c r="E1027" i="2"/>
  <c r="E1029" i="2"/>
  <c r="E1031" i="2"/>
  <c r="E1033" i="2"/>
  <c r="E1035" i="2"/>
  <c r="E1037" i="2"/>
  <c r="E1039" i="2"/>
  <c r="E1041" i="2"/>
  <c r="E1043" i="2"/>
  <c r="E1045" i="2"/>
  <c r="E1047" i="2"/>
  <c r="E1049" i="2"/>
  <c r="E1051" i="2"/>
  <c r="E1053" i="2"/>
  <c r="E1055" i="2"/>
  <c r="E1057" i="2"/>
  <c r="E1059" i="2"/>
  <c r="E1061" i="2"/>
  <c r="E1063" i="2"/>
  <c r="E1065" i="2"/>
  <c r="E1067" i="2"/>
  <c r="E1069" i="2"/>
  <c r="E1071" i="2"/>
  <c r="E1073" i="2"/>
  <c r="E1075" i="2"/>
  <c r="E1077" i="2"/>
  <c r="E1079" i="2"/>
  <c r="E1081" i="2"/>
  <c r="E1083" i="2"/>
  <c r="E1085" i="2"/>
  <c r="E1087" i="2"/>
  <c r="E1089" i="2"/>
  <c r="E1091" i="2"/>
  <c r="E1093" i="2"/>
  <c r="E1095" i="2"/>
  <c r="E1097" i="2"/>
  <c r="E1099" i="2"/>
  <c r="E1101" i="2"/>
  <c r="E1103" i="2"/>
  <c r="E1105" i="2"/>
  <c r="E1107" i="2"/>
  <c r="E1109" i="2"/>
  <c r="E1111" i="2"/>
  <c r="E1113" i="2"/>
  <c r="E1115" i="2"/>
  <c r="E1117" i="2"/>
  <c r="E1119" i="2"/>
  <c r="E1121" i="2"/>
  <c r="E1123" i="2"/>
  <c r="E1125" i="2"/>
  <c r="E1127" i="2"/>
  <c r="E1129" i="2"/>
  <c r="E1131" i="2"/>
  <c r="E1133" i="2"/>
  <c r="E1135" i="2"/>
  <c r="E1137" i="2"/>
  <c r="E1139" i="2"/>
  <c r="E1141" i="2"/>
  <c r="E1143" i="2"/>
  <c r="E1145" i="2"/>
  <c r="E1147" i="2"/>
  <c r="E1149" i="2"/>
  <c r="E1151" i="2"/>
  <c r="E1153" i="2"/>
  <c r="E1155" i="2"/>
  <c r="E1157" i="2"/>
  <c r="E1159" i="2"/>
  <c r="E1161" i="2"/>
  <c r="E1163" i="2"/>
  <c r="E1165" i="2"/>
  <c r="E1167" i="2"/>
  <c r="E1169" i="2"/>
  <c r="E1171" i="2"/>
  <c r="E1173" i="2"/>
  <c r="E1175" i="2"/>
  <c r="E1177" i="2"/>
  <c r="E1179" i="2"/>
  <c r="E1181" i="2"/>
  <c r="E1183" i="2"/>
  <c r="E1185" i="2"/>
  <c r="E1187" i="2"/>
  <c r="E1189" i="2"/>
  <c r="E1191" i="2"/>
  <c r="E1193" i="2"/>
  <c r="E1195" i="2"/>
  <c r="E1197" i="2"/>
  <c r="E1199" i="2"/>
  <c r="E1201" i="2"/>
  <c r="E1204" i="2"/>
  <c r="E1205" i="2"/>
  <c r="E1208" i="2"/>
  <c r="E1209" i="2"/>
  <c r="E1212" i="2"/>
  <c r="E1213" i="2"/>
  <c r="E1216" i="2"/>
  <c r="E1217" i="2"/>
  <c r="E1220" i="2"/>
  <c r="E1221" i="2"/>
  <c r="E1224" i="2"/>
  <c r="E1225" i="2"/>
  <c r="E1228" i="2"/>
  <c r="E1229" i="2"/>
  <c r="E1232" i="2"/>
  <c r="E1233" i="2"/>
  <c r="E1236" i="2"/>
  <c r="E1237" i="2"/>
  <c r="E1240" i="2"/>
  <c r="E1241" i="2"/>
  <c r="E1247" i="2"/>
  <c r="E1255" i="2"/>
  <c r="E1263" i="2"/>
  <c r="E1271" i="2"/>
  <c r="E1279" i="2"/>
  <c r="E1287" i="2"/>
  <c r="E1366" i="2"/>
  <c r="F1366" i="2"/>
  <c r="E1369" i="2"/>
  <c r="F1369" i="2"/>
  <c r="C128" i="3" s="1"/>
  <c r="E1249" i="2"/>
  <c r="E1257" i="2"/>
  <c r="E1265" i="2"/>
  <c r="E1273" i="2"/>
  <c r="E1281" i="2"/>
  <c r="E1289" i="2"/>
  <c r="F1293" i="2"/>
  <c r="E1293" i="2"/>
  <c r="F1295" i="2"/>
  <c r="E1295" i="2"/>
  <c r="F1297" i="2"/>
  <c r="C121" i="3" s="1"/>
  <c r="E1297" i="2"/>
  <c r="F1299" i="2"/>
  <c r="E1299" i="2"/>
  <c r="F1301" i="2"/>
  <c r="E1301" i="2"/>
  <c r="F1303" i="2"/>
  <c r="E1303" i="2"/>
  <c r="F1305" i="2"/>
  <c r="E1305" i="2"/>
  <c r="F1307" i="2"/>
  <c r="E1307" i="2"/>
  <c r="F1309" i="2"/>
  <c r="E1309" i="2"/>
  <c r="F1311" i="2"/>
  <c r="C122" i="3" s="1"/>
  <c r="E1311" i="2"/>
  <c r="F1313" i="2"/>
  <c r="E1313" i="2"/>
  <c r="F1315" i="2"/>
  <c r="E1315" i="2"/>
  <c r="F1317" i="2"/>
  <c r="E1317" i="2"/>
  <c r="F1319" i="2"/>
  <c r="E1319" i="2"/>
  <c r="F1321" i="2"/>
  <c r="E1321" i="2"/>
  <c r="F1323" i="2"/>
  <c r="E1323" i="2"/>
  <c r="F1325" i="2"/>
  <c r="E1325" i="2"/>
  <c r="F1327" i="2"/>
  <c r="E1327" i="2"/>
  <c r="F1329" i="2"/>
  <c r="C124" i="3" s="1"/>
  <c r="E1329" i="2"/>
  <c r="F1331" i="2"/>
  <c r="E1331" i="2"/>
  <c r="F1333" i="2"/>
  <c r="E1333" i="2"/>
  <c r="F1335" i="2"/>
  <c r="E1335" i="2"/>
  <c r="F1337" i="2"/>
  <c r="C125" i="3" s="1"/>
  <c r="E1337" i="2"/>
  <c r="F1339" i="2"/>
  <c r="E1339" i="2"/>
  <c r="F1341" i="2"/>
  <c r="E1341" i="2"/>
  <c r="F1343" i="2"/>
  <c r="E1343" i="2"/>
  <c r="F1345" i="2"/>
  <c r="E1345" i="2"/>
  <c r="F1347" i="2"/>
  <c r="E1347" i="2"/>
  <c r="F1349" i="2"/>
  <c r="E1349" i="2"/>
  <c r="F1351" i="2"/>
  <c r="E1351" i="2"/>
  <c r="F1353" i="2"/>
  <c r="E1353" i="2"/>
  <c r="F1355" i="2"/>
  <c r="E1355" i="2"/>
  <c r="F1357" i="2"/>
  <c r="E1357" i="2"/>
  <c r="F1359" i="2"/>
  <c r="C127" i="3" s="1"/>
  <c r="E1359" i="2"/>
  <c r="F1361" i="2"/>
  <c r="E1361" i="2"/>
  <c r="F1363" i="2"/>
  <c r="E1363" i="2"/>
  <c r="E1365" i="2"/>
  <c r="F1365" i="2"/>
  <c r="E1370" i="2"/>
  <c r="F1370" i="2"/>
  <c r="E1373" i="2"/>
  <c r="F1373" i="2"/>
  <c r="F1368" i="2"/>
  <c r="F1372" i="2"/>
  <c r="F1434" i="2"/>
  <c r="E1434" i="2"/>
  <c r="F1442" i="2"/>
  <c r="E1442" i="2"/>
  <c r="F1450" i="2"/>
  <c r="E1450" i="2"/>
  <c r="F1458" i="2"/>
  <c r="C136" i="3" s="1"/>
  <c r="E1458" i="2"/>
  <c r="F1466" i="2"/>
  <c r="E1466" i="2"/>
  <c r="F1474" i="2"/>
  <c r="E1474" i="2"/>
  <c r="F1482" i="2"/>
  <c r="E1482" i="2"/>
  <c r="F1490" i="2"/>
  <c r="E1490" i="2"/>
  <c r="F1374" i="2"/>
  <c r="F1375" i="2"/>
  <c r="E1375" i="2"/>
  <c r="F1376" i="2"/>
  <c r="F1377" i="2"/>
  <c r="E1377" i="2"/>
  <c r="F1378" i="2"/>
  <c r="C129" i="3" s="1"/>
  <c r="F1379" i="2"/>
  <c r="E1379" i="2"/>
  <c r="F1380" i="2"/>
  <c r="F1381" i="2"/>
  <c r="E1381" i="2"/>
  <c r="F1382" i="2"/>
  <c r="F1383" i="2"/>
  <c r="E1383" i="2"/>
  <c r="F1384" i="2"/>
  <c r="F1385" i="2"/>
  <c r="E1385" i="2"/>
  <c r="F1386" i="2"/>
  <c r="F1387" i="2"/>
  <c r="E1387" i="2"/>
  <c r="F1388" i="2"/>
  <c r="F1389" i="2"/>
  <c r="E1389" i="2"/>
  <c r="F1390" i="2"/>
  <c r="F1391" i="2"/>
  <c r="C130" i="3" s="1"/>
  <c r="E1391" i="2"/>
  <c r="F1392" i="2"/>
  <c r="F1393" i="2"/>
  <c r="E1393" i="2"/>
  <c r="F1394" i="2"/>
  <c r="F1395" i="2"/>
  <c r="E1395" i="2"/>
  <c r="F1396" i="2"/>
  <c r="F1397" i="2"/>
  <c r="E1397" i="2"/>
  <c r="F1398" i="2"/>
  <c r="F1399" i="2"/>
  <c r="E1399" i="2"/>
  <c r="F1400" i="2"/>
  <c r="F1401" i="2"/>
  <c r="E1401" i="2"/>
  <c r="F1402" i="2"/>
  <c r="F1403" i="2"/>
  <c r="E1403" i="2"/>
  <c r="F1404" i="2"/>
  <c r="F1405" i="2"/>
  <c r="E1405" i="2"/>
  <c r="F1406" i="2"/>
  <c r="C131" i="3" s="1"/>
  <c r="F1407" i="2"/>
  <c r="E1407" i="2"/>
  <c r="F1408" i="2"/>
  <c r="F1409" i="2"/>
  <c r="E1409" i="2"/>
  <c r="F1410" i="2"/>
  <c r="F1411" i="2"/>
  <c r="E1411" i="2"/>
  <c r="F1412" i="2"/>
  <c r="F1413" i="2"/>
  <c r="E1413" i="2"/>
  <c r="F1414" i="2"/>
  <c r="C132" i="3" s="1"/>
  <c r="F1415" i="2"/>
  <c r="E1415" i="2"/>
  <c r="F1416" i="2"/>
  <c r="F1417" i="2"/>
  <c r="E1417" i="2"/>
  <c r="F1418" i="2"/>
  <c r="F1419" i="2"/>
  <c r="E1419" i="2"/>
  <c r="F1420" i="2"/>
  <c r="C133" i="3" s="1"/>
  <c r="F1421" i="2"/>
  <c r="E1421" i="2"/>
  <c r="F1422" i="2"/>
  <c r="F1423" i="2"/>
  <c r="E1423" i="2"/>
  <c r="F1424" i="2"/>
  <c r="F1425" i="2"/>
  <c r="E1425" i="2"/>
  <c r="F1426" i="2"/>
  <c r="F1432" i="2"/>
  <c r="E1432" i="2"/>
  <c r="F1440" i="2"/>
  <c r="E1440" i="2"/>
  <c r="F1448" i="2"/>
  <c r="E1448" i="2"/>
  <c r="F1456" i="2"/>
  <c r="E1456" i="2"/>
  <c r="F1464" i="2"/>
  <c r="E1464" i="2"/>
  <c r="F1472" i="2"/>
  <c r="E1472" i="2"/>
  <c r="F1480" i="2"/>
  <c r="E1480" i="2"/>
  <c r="F1488" i="2"/>
  <c r="E1488" i="2"/>
  <c r="F1430" i="2"/>
  <c r="E1430" i="2"/>
  <c r="F1438" i="2"/>
  <c r="E1438" i="2"/>
  <c r="F1446" i="2"/>
  <c r="E1446" i="2"/>
  <c r="F1454" i="2"/>
  <c r="E1454" i="2"/>
  <c r="F1462" i="2"/>
  <c r="E1462" i="2"/>
  <c r="F1470" i="2"/>
  <c r="E1470" i="2"/>
  <c r="F1478" i="2"/>
  <c r="E1478" i="2"/>
  <c r="F1486" i="2"/>
  <c r="E1486" i="2"/>
  <c r="F1494" i="2"/>
  <c r="E1494" i="2"/>
  <c r="F1428" i="2"/>
  <c r="C134" i="3" s="1"/>
  <c r="E1428" i="2"/>
  <c r="F1436" i="2"/>
  <c r="E1436" i="2"/>
  <c r="F1444" i="2"/>
  <c r="E1444" i="2"/>
  <c r="F1452" i="2"/>
  <c r="E1452" i="2"/>
  <c r="F1460" i="2"/>
  <c r="E1460" i="2"/>
  <c r="F1468" i="2"/>
  <c r="E1468" i="2"/>
  <c r="F1476" i="2"/>
  <c r="E1476" i="2"/>
  <c r="F1484" i="2"/>
  <c r="E1484" i="2"/>
  <c r="F1492" i="2"/>
  <c r="E1492" i="2"/>
  <c r="E1427" i="2"/>
  <c r="E1429" i="2"/>
  <c r="E1431" i="2"/>
  <c r="E1433" i="2"/>
  <c r="E1435" i="2"/>
  <c r="E1437" i="2"/>
  <c r="E1439" i="2"/>
  <c r="E1441" i="2"/>
  <c r="E1443" i="2"/>
  <c r="E1445" i="2"/>
  <c r="E1447" i="2"/>
  <c r="E1449" i="2"/>
  <c r="E1451" i="2"/>
  <c r="E1453" i="2"/>
  <c r="E1455" i="2"/>
  <c r="E1457" i="2"/>
  <c r="E1459" i="2"/>
  <c r="E1461" i="2"/>
  <c r="E1463" i="2"/>
  <c r="E1465" i="2"/>
  <c r="E1467" i="2"/>
  <c r="E1469" i="2"/>
  <c r="E1471" i="2"/>
  <c r="E1473" i="2"/>
  <c r="E1475" i="2"/>
  <c r="E1477" i="2"/>
  <c r="E1479" i="2"/>
  <c r="E1481" i="2"/>
  <c r="E1483" i="2"/>
  <c r="E1485" i="2"/>
  <c r="E1487" i="2"/>
  <c r="E1489" i="2"/>
  <c r="E1491" i="2"/>
  <c r="E1493" i="2"/>
  <c r="E1495" i="2"/>
  <c r="E1567" i="2"/>
  <c r="E1575" i="2"/>
  <c r="E1496" i="2"/>
  <c r="E1500" i="2"/>
  <c r="E1504" i="2"/>
  <c r="E1508" i="2"/>
  <c r="E1512" i="2"/>
  <c r="E1516" i="2"/>
  <c r="E1520" i="2"/>
  <c r="E1524" i="2"/>
  <c r="E1528" i="2"/>
  <c r="E1532" i="2"/>
  <c r="E1536" i="2"/>
  <c r="E1540" i="2"/>
  <c r="E1544" i="2"/>
  <c r="E1548" i="2"/>
  <c r="E1552" i="2"/>
  <c r="E1556" i="2"/>
  <c r="E1560" i="2"/>
  <c r="E1564" i="2"/>
  <c r="F1570" i="2"/>
  <c r="F1578" i="2"/>
  <c r="C148" i="3" s="1"/>
  <c r="F1579" i="2"/>
  <c r="E1579" i="2"/>
  <c r="F1580" i="2"/>
  <c r="F1581" i="2"/>
  <c r="E1581" i="2"/>
  <c r="F1582" i="2"/>
  <c r="F1583" i="2"/>
  <c r="E1583" i="2"/>
  <c r="F1584" i="2"/>
  <c r="F1585" i="2"/>
  <c r="E1585" i="2"/>
  <c r="F1586" i="2"/>
  <c r="C149" i="3" s="1"/>
  <c r="F1587" i="2"/>
  <c r="E1587" i="2"/>
  <c r="F1588" i="2"/>
  <c r="F1589" i="2"/>
  <c r="E1589" i="2"/>
  <c r="F1590" i="2"/>
  <c r="F1591" i="2"/>
  <c r="E1591" i="2"/>
  <c r="F1592" i="2"/>
  <c r="F1593" i="2"/>
  <c r="E1593" i="2"/>
  <c r="F1594" i="2"/>
  <c r="F1595" i="2"/>
  <c r="C150" i="3" s="1"/>
  <c r="E1595" i="2"/>
  <c r="F1596" i="2"/>
  <c r="F1597" i="2"/>
  <c r="E1597" i="2"/>
  <c r="F1598" i="2"/>
  <c r="F1599" i="2"/>
  <c r="E1599" i="2"/>
  <c r="F1600" i="2"/>
  <c r="F1601" i="2"/>
  <c r="E1601" i="2"/>
  <c r="F1602" i="2"/>
  <c r="F1603" i="2"/>
  <c r="E1603" i="2"/>
  <c r="F1604" i="2"/>
  <c r="F1605" i="2"/>
  <c r="E1605" i="2"/>
  <c r="F1606" i="2"/>
  <c r="F1607" i="2"/>
  <c r="E1607" i="2"/>
  <c r="F1608" i="2"/>
  <c r="F1609" i="2"/>
  <c r="E1609" i="2"/>
  <c r="F1610" i="2"/>
  <c r="C151" i="3" s="1"/>
  <c r="F1611" i="2"/>
  <c r="E1611" i="2"/>
  <c r="F1612" i="2"/>
  <c r="F1613" i="2"/>
  <c r="E1613" i="2"/>
  <c r="F1614" i="2"/>
  <c r="F1615" i="2"/>
  <c r="E1615" i="2"/>
  <c r="F1616" i="2"/>
  <c r="F1617" i="2"/>
  <c r="C152" i="3" s="1"/>
  <c r="E1617" i="2"/>
  <c r="F1618" i="2"/>
  <c r="F1619" i="2"/>
  <c r="E1619" i="2"/>
  <c r="F1620" i="2"/>
  <c r="F1621" i="2"/>
  <c r="E1621" i="2"/>
  <c r="F1622" i="2"/>
  <c r="F1623" i="2"/>
  <c r="E1623" i="2"/>
  <c r="F1624" i="2"/>
  <c r="F1625" i="2"/>
  <c r="E1625" i="2"/>
  <c r="F1626" i="2"/>
  <c r="F1627" i="2"/>
  <c r="C153" i="3" s="1"/>
  <c r="E1627" i="2"/>
  <c r="F1628" i="2"/>
  <c r="F1629" i="2"/>
  <c r="E1629" i="2"/>
  <c r="F1630" i="2"/>
  <c r="F1631" i="2"/>
  <c r="E1631" i="2"/>
  <c r="F1632" i="2"/>
  <c r="F1633" i="2"/>
  <c r="E1633" i="2"/>
  <c r="F1634" i="2"/>
  <c r="F1635" i="2"/>
  <c r="E1635" i="2"/>
  <c r="F1636" i="2"/>
  <c r="F1637" i="2"/>
  <c r="E1637" i="2"/>
  <c r="F1638" i="2"/>
  <c r="F1639" i="2"/>
  <c r="E1639" i="2"/>
  <c r="F1640" i="2"/>
  <c r="C154" i="3" s="1"/>
  <c r="F1641" i="2"/>
  <c r="E1641" i="2"/>
  <c r="F1642" i="2"/>
  <c r="F1643" i="2"/>
  <c r="E1643" i="2"/>
  <c r="F1644" i="2"/>
  <c r="F1645" i="2"/>
  <c r="E1645" i="2"/>
  <c r="F1646" i="2"/>
  <c r="F1647" i="2"/>
  <c r="E1647" i="2"/>
  <c r="F1648" i="2"/>
  <c r="C155" i="3" s="1"/>
  <c r="F1649" i="2"/>
  <c r="E1649" i="2"/>
  <c r="E1571" i="2"/>
  <c r="F1572" i="2"/>
  <c r="F1650" i="2"/>
  <c r="E1650" i="2"/>
  <c r="E1651" i="2"/>
  <c r="E1655" i="2"/>
  <c r="E1659" i="2"/>
  <c r="E1663" i="2"/>
  <c r="E1667" i="2"/>
  <c r="E1671" i="2"/>
  <c r="E1675" i="2"/>
  <c r="E1679" i="2"/>
  <c r="E1683" i="2"/>
  <c r="E1687" i="2"/>
  <c r="E1691" i="2"/>
  <c r="E1695" i="2"/>
  <c r="E1699" i="2"/>
  <c r="F1773" i="2"/>
  <c r="E1773" i="2"/>
  <c r="E1776" i="2"/>
  <c r="F1776" i="2"/>
  <c r="E1778" i="2"/>
  <c r="F1778" i="2"/>
  <c r="E1791" i="2"/>
  <c r="F1791" i="2"/>
  <c r="E1794" i="2"/>
  <c r="F1794" i="2"/>
  <c r="E1807" i="2"/>
  <c r="F1807" i="2"/>
  <c r="E1810" i="2"/>
  <c r="F1810" i="2"/>
  <c r="E1823" i="2"/>
  <c r="F1823" i="2"/>
  <c r="E1826" i="2"/>
  <c r="F1826" i="2"/>
  <c r="C172" i="3" s="1"/>
  <c r="E1839" i="2"/>
  <c r="F1839" i="2"/>
  <c r="E1842" i="2"/>
  <c r="F1842" i="2"/>
  <c r="F1771" i="2"/>
  <c r="E1771" i="2"/>
  <c r="E1787" i="2"/>
  <c r="F1787" i="2"/>
  <c r="E1790" i="2"/>
  <c r="F1790" i="2"/>
  <c r="E1803" i="2"/>
  <c r="F1803" i="2"/>
  <c r="E1806" i="2"/>
  <c r="F1806" i="2"/>
  <c r="E1819" i="2"/>
  <c r="F1819" i="2"/>
  <c r="E1822" i="2"/>
  <c r="F1822" i="2"/>
  <c r="E1835" i="2"/>
  <c r="F1835" i="2"/>
  <c r="C173" i="3" s="1"/>
  <c r="E1838" i="2"/>
  <c r="F1838" i="2"/>
  <c r="E1851" i="2"/>
  <c r="F1851" i="2"/>
  <c r="F1854" i="2"/>
  <c r="E1854" i="2"/>
  <c r="F1700" i="2"/>
  <c r="E1700" i="2"/>
  <c r="F1702" i="2"/>
  <c r="E1702" i="2"/>
  <c r="F1704" i="2"/>
  <c r="E1704" i="2"/>
  <c r="F1706" i="2"/>
  <c r="E1706" i="2"/>
  <c r="F1708" i="2"/>
  <c r="E1708" i="2"/>
  <c r="F1710" i="2"/>
  <c r="E1710" i="2"/>
  <c r="F1712" i="2"/>
  <c r="C161" i="3" s="1"/>
  <c r="E1712" i="2"/>
  <c r="F1714" i="2"/>
  <c r="E1714" i="2"/>
  <c r="F1716" i="2"/>
  <c r="E1716" i="2"/>
  <c r="F1718" i="2"/>
  <c r="E1718" i="2"/>
  <c r="F1720" i="2"/>
  <c r="E1720" i="2"/>
  <c r="F1722" i="2"/>
  <c r="E1722" i="2"/>
  <c r="F1724" i="2"/>
  <c r="E1724" i="2"/>
  <c r="F1726" i="2"/>
  <c r="E1726" i="2"/>
  <c r="F1728" i="2"/>
  <c r="E1728" i="2"/>
  <c r="F1730" i="2"/>
  <c r="E1730" i="2"/>
  <c r="F1732" i="2"/>
  <c r="E1732" i="2"/>
  <c r="F1734" i="2"/>
  <c r="E1734" i="2"/>
  <c r="F1736" i="2"/>
  <c r="E1736" i="2"/>
  <c r="F1738" i="2"/>
  <c r="E1738" i="2"/>
  <c r="F1740" i="2"/>
  <c r="E1740" i="2"/>
  <c r="F1742" i="2"/>
  <c r="E1742" i="2"/>
  <c r="F1744" i="2"/>
  <c r="E1744" i="2"/>
  <c r="F1746" i="2"/>
  <c r="E1746" i="2"/>
  <c r="F1748" i="2"/>
  <c r="E1748" i="2"/>
  <c r="F1750" i="2"/>
  <c r="E1750" i="2"/>
  <c r="F1752" i="2"/>
  <c r="E1752" i="2"/>
  <c r="F1754" i="2"/>
  <c r="E1754" i="2"/>
  <c r="F1756" i="2"/>
  <c r="E1756" i="2"/>
  <c r="F1758" i="2"/>
  <c r="E1758" i="2"/>
  <c r="F1760" i="2"/>
  <c r="C166" i="3" s="1"/>
  <c r="E1760" i="2"/>
  <c r="F1762" i="2"/>
  <c r="E1762" i="2"/>
  <c r="F1764" i="2"/>
  <c r="E1764" i="2"/>
  <c r="F1766" i="2"/>
  <c r="E1766" i="2"/>
  <c r="F1768" i="2"/>
  <c r="E1768" i="2"/>
  <c r="E1770" i="2"/>
  <c r="F1770" i="2"/>
  <c r="E1783" i="2"/>
  <c r="F1783" i="2"/>
  <c r="C168" i="3" s="1"/>
  <c r="E1786" i="2"/>
  <c r="F1786" i="2"/>
  <c r="E1799" i="2"/>
  <c r="F1799" i="2"/>
  <c r="E1802" i="2"/>
  <c r="F1802" i="2"/>
  <c r="E1815" i="2"/>
  <c r="F1815" i="2"/>
  <c r="E1818" i="2"/>
  <c r="F1818" i="2"/>
  <c r="C171" i="3" s="1"/>
  <c r="E1831" i="2"/>
  <c r="F1831" i="2"/>
  <c r="E1834" i="2"/>
  <c r="F1834" i="2"/>
  <c r="E1847" i="2"/>
  <c r="F1847" i="2"/>
  <c r="E1850" i="2"/>
  <c r="F1850" i="2"/>
  <c r="E1779" i="2"/>
  <c r="F1779" i="2"/>
  <c r="E1782" i="2"/>
  <c r="F1782" i="2"/>
  <c r="E1795" i="2"/>
  <c r="F1795" i="2"/>
  <c r="E1798" i="2"/>
  <c r="F1798" i="2"/>
  <c r="C169" i="3" s="1"/>
  <c r="E1811" i="2"/>
  <c r="F1811" i="2"/>
  <c r="C170" i="3" s="1"/>
  <c r="E1814" i="2"/>
  <c r="F1814" i="2"/>
  <c r="E1827" i="2"/>
  <c r="F1827" i="2"/>
  <c r="E1830" i="2"/>
  <c r="F1830" i="2"/>
  <c r="E1843" i="2"/>
  <c r="F1843" i="2"/>
  <c r="C174" i="3" s="1"/>
  <c r="E1846" i="2"/>
  <c r="F1846" i="2"/>
  <c r="F1775" i="2"/>
  <c r="F1880" i="2"/>
  <c r="E1880" i="2"/>
  <c r="F1896" i="2"/>
  <c r="E1896" i="2"/>
  <c r="E1900" i="2"/>
  <c r="F1900" i="2"/>
  <c r="E1940" i="2"/>
  <c r="F1940" i="2"/>
  <c r="E1958" i="2"/>
  <c r="F1958" i="2"/>
  <c r="E1972" i="2"/>
  <c r="F1972" i="2"/>
  <c r="E1990" i="2"/>
  <c r="F1990" i="2"/>
  <c r="F1882" i="2"/>
  <c r="E1882" i="2"/>
  <c r="E1888" i="2"/>
  <c r="F1888" i="2"/>
  <c r="E1892" i="2"/>
  <c r="F1892" i="2"/>
  <c r="F1928" i="2"/>
  <c r="E1928" i="2"/>
  <c r="E1932" i="2"/>
  <c r="F1932" i="2"/>
  <c r="C183" i="3" s="1"/>
  <c r="E1950" i="2"/>
  <c r="F1950" i="2"/>
  <c r="E1964" i="2"/>
  <c r="F1964" i="2"/>
  <c r="E1982" i="2"/>
  <c r="F1982" i="2"/>
  <c r="E1996" i="2"/>
  <c r="F1996" i="2"/>
  <c r="E1863" i="2"/>
  <c r="F1863" i="2"/>
  <c r="E1868" i="2"/>
  <c r="F1868" i="2"/>
  <c r="E1873" i="2"/>
  <c r="F1873" i="2"/>
  <c r="E1877" i="2"/>
  <c r="F1877" i="2"/>
  <c r="E1881" i="2"/>
  <c r="F1881" i="2"/>
  <c r="E1920" i="2"/>
  <c r="F1920" i="2"/>
  <c r="E1924" i="2"/>
  <c r="F1924" i="2"/>
  <c r="E1942" i="2"/>
  <c r="F1942" i="2"/>
  <c r="E1956" i="2"/>
  <c r="F1956" i="2"/>
  <c r="E1974" i="2"/>
  <c r="F1974" i="2"/>
  <c r="E1988" i="2"/>
  <c r="F1988" i="2"/>
  <c r="F1772" i="2"/>
  <c r="F1781" i="2"/>
  <c r="F1785" i="2"/>
  <c r="F1789" i="2"/>
  <c r="F1793" i="2"/>
  <c r="F1797" i="2"/>
  <c r="F1801" i="2"/>
  <c r="F1805" i="2"/>
  <c r="F1809" i="2"/>
  <c r="F1813" i="2"/>
  <c r="F1817" i="2"/>
  <c r="F1821" i="2"/>
  <c r="F1825" i="2"/>
  <c r="F1829" i="2"/>
  <c r="F1833" i="2"/>
  <c r="F1837" i="2"/>
  <c r="F1841" i="2"/>
  <c r="F1845" i="2"/>
  <c r="F1849" i="2"/>
  <c r="F1853" i="2"/>
  <c r="F1860" i="2"/>
  <c r="E1861" i="2"/>
  <c r="F1861" i="2"/>
  <c r="C176" i="3" s="1"/>
  <c r="F1864" i="2"/>
  <c r="E1865" i="2"/>
  <c r="F1865" i="2"/>
  <c r="F1869" i="2"/>
  <c r="F1870" i="2"/>
  <c r="C177" i="3" s="1"/>
  <c r="E1870" i="2"/>
  <c r="E1875" i="2"/>
  <c r="F1875" i="2"/>
  <c r="E1901" i="2"/>
  <c r="F1901" i="2"/>
  <c r="E1905" i="2"/>
  <c r="F1905" i="2"/>
  <c r="E1909" i="2"/>
  <c r="F1909" i="2"/>
  <c r="E1913" i="2"/>
  <c r="F1913" i="2"/>
  <c r="E1934" i="2"/>
  <c r="F1934" i="2"/>
  <c r="E1948" i="2"/>
  <c r="F1948" i="2"/>
  <c r="C184" i="3" s="1"/>
  <c r="E1966" i="2"/>
  <c r="F1966" i="2"/>
  <c r="E1980" i="2"/>
  <c r="F1980" i="2"/>
  <c r="E1998" i="2"/>
  <c r="F1998" i="2"/>
  <c r="E2000" i="2"/>
  <c r="F2000" i="2"/>
  <c r="E1857" i="2"/>
  <c r="F1857" i="2"/>
  <c r="F1884" i="2"/>
  <c r="E1889" i="2"/>
  <c r="F1889" i="2"/>
  <c r="F1893" i="2"/>
  <c r="E1902" i="2"/>
  <c r="F1907" i="2"/>
  <c r="E1912" i="2"/>
  <c r="F1916" i="2"/>
  <c r="E1921" i="2"/>
  <c r="F1921" i="2"/>
  <c r="F1925" i="2"/>
  <c r="F1938" i="2"/>
  <c r="F1946" i="2"/>
  <c r="F1954" i="2"/>
  <c r="F1962" i="2"/>
  <c r="F1970" i="2"/>
  <c r="F1978" i="2"/>
  <c r="F1986" i="2"/>
  <c r="F1994" i="2"/>
  <c r="F1895" i="2"/>
  <c r="C179" i="3" s="1"/>
  <c r="E1914" i="2"/>
  <c r="F1927" i="2"/>
  <c r="F1933" i="2"/>
  <c r="F1941" i="2"/>
  <c r="F1949" i="2"/>
  <c r="F1957" i="2"/>
  <c r="F1965" i="2"/>
  <c r="F1973" i="2"/>
  <c r="F1981" i="2"/>
  <c r="F1989" i="2"/>
  <c r="C188" i="3" s="1"/>
  <c r="F1997" i="2"/>
  <c r="F1855" i="2"/>
  <c r="F1859" i="2"/>
  <c r="E1886" i="2"/>
  <c r="F1887" i="2"/>
  <c r="C178" i="3" s="1"/>
  <c r="F1891" i="2"/>
  <c r="E1918" i="2"/>
  <c r="F1919" i="2"/>
  <c r="F1923" i="2"/>
  <c r="E1897" i="2"/>
  <c r="F1897" i="2"/>
  <c r="E1929" i="2"/>
  <c r="F1929" i="2"/>
  <c r="E1936" i="2"/>
  <c r="F1936" i="2"/>
  <c r="E1944" i="2"/>
  <c r="F1944" i="2"/>
  <c r="E1952" i="2"/>
  <c r="F1952" i="2"/>
  <c r="E1960" i="2"/>
  <c r="F1960" i="2"/>
  <c r="E1968" i="2"/>
  <c r="F1968" i="2"/>
  <c r="E1976" i="2"/>
  <c r="F1976" i="2"/>
  <c r="E1984" i="2"/>
  <c r="F1984" i="2"/>
  <c r="E1992" i="2"/>
  <c r="F1992" i="2"/>
  <c r="F2001" i="2"/>
  <c r="D6" i="5"/>
  <c r="F6" i="5" s="1"/>
  <c r="D2" i="5"/>
  <c r="F2" i="5" s="1"/>
  <c r="D5" i="5"/>
  <c r="F5" i="5" s="1"/>
  <c r="D8" i="5"/>
  <c r="F8" i="5" s="1"/>
  <c r="D4" i="5"/>
  <c r="F4" i="5" s="1"/>
  <c r="D7" i="5"/>
  <c r="F7" i="5" s="1"/>
  <c r="D3" i="5"/>
  <c r="F3" i="5" s="1"/>
  <c r="C7" i="5" l="1"/>
  <c r="E7" i="5" s="1"/>
  <c r="C3" i="5"/>
  <c r="E3" i="5" s="1"/>
  <c r="C6" i="5"/>
  <c r="E6" i="5" s="1"/>
  <c r="C2" i="5"/>
  <c r="E2" i="5" s="1"/>
  <c r="C5" i="5"/>
  <c r="E5" i="5" s="1"/>
  <c r="C8" i="5"/>
  <c r="E8" i="5" s="1"/>
  <c r="C4" i="5"/>
  <c r="E4" i="5" s="1"/>
</calcChain>
</file>

<file path=xl/sharedStrings.xml><?xml version="1.0" encoding="utf-8"?>
<sst xmlns="http://schemas.openxmlformats.org/spreadsheetml/2006/main" count="12247" uniqueCount="42">
  <si>
    <t>user_id</t>
  </si>
  <si>
    <t>timestamp</t>
  </si>
  <si>
    <t>event</t>
  </si>
  <si>
    <t>registration</t>
  </si>
  <si>
    <t>profile_completed</t>
  </si>
  <si>
    <t>view_product</t>
  </si>
  <si>
    <t>purchase</t>
  </si>
  <si>
    <t>add_to_cart</t>
  </si>
  <si>
    <t>date</t>
  </si>
  <si>
    <t>week_start</t>
  </si>
  <si>
    <t>month_start</t>
  </si>
  <si>
    <t>Date</t>
  </si>
  <si>
    <t>DAU</t>
  </si>
  <si>
    <t>Month_start</t>
  </si>
  <si>
    <t>Week</t>
  </si>
  <si>
    <t>WAU</t>
  </si>
  <si>
    <t>Month</t>
  </si>
  <si>
    <t>MAU</t>
  </si>
  <si>
    <t>Average DAU</t>
  </si>
  <si>
    <t>Average WAU</t>
  </si>
  <si>
    <t>DAU/MAU</t>
  </si>
  <si>
    <t>WAU/MAU</t>
  </si>
  <si>
    <t xml:space="preserve">Встанови числовий формат 0.00	</t>
  </si>
  <si>
    <t>Питання</t>
  </si>
  <si>
    <t>Відповідь</t>
  </si>
  <si>
    <t>У якому місяці MAU було найвищим?</t>
  </si>
  <si>
    <t>березень</t>
  </si>
  <si>
    <t>У якому місяці MAU було найнижчим?</t>
  </si>
  <si>
    <t>липень</t>
  </si>
  <si>
    <t>Який тренд має DAU ?</t>
  </si>
  <si>
    <t xml:space="preserve">стабільний </t>
  </si>
  <si>
    <t>Який тренд демонструє  WAU ?</t>
  </si>
  <si>
    <t>негативний</t>
  </si>
  <si>
    <t>У якому місяці DAU/MAU було найвищим?</t>
  </si>
  <si>
    <t>Що призвело до стрімкого зростання DAU/MAU ?</t>
  </si>
  <si>
    <t xml:space="preserve">падіння MAU </t>
  </si>
  <si>
    <t>Якщо DAU/MAU ~0.03 — це означає, що продукт…</t>
  </si>
  <si>
    <t>не викликає щоденої звички</t>
  </si>
  <si>
    <t>Якщо MAU росте, а DAU/MAU падає — це означає…</t>
  </si>
  <si>
    <t>нові користувачі малоактивні</t>
  </si>
  <si>
    <t>Якщо WAU/MAU стабільне, це означає, що користувачі…</t>
  </si>
  <si>
    <t>стабільно користуються продуктом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</si>
</sst>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&quot;-&quot;mm&quot;-&quot;dd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9"/>
      <color rgb="FF000000"/>
      <name val="Arial"/>
    </font>
    <font>
      <sz val="10"/>
      <name val="Arial"/>
    </font>
    <font>
      <b/>
      <sz val="10"/>
      <color rgb="FF000000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B8AF"/>
        <bgColor rgb="FFE6B8AF"/>
      </patternFill>
    </fill>
    <fill>
      <patternFill patternType="solid">
        <fgColor rgb="FFFAF9F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165" fontId="1" fillId="0" borderId="0" xfId="0" applyNumberFormat="1" applyFont="1"/>
    <xf numFmtId="165" fontId="2" fillId="0" borderId="0" xfId="0" applyNumberFormat="1" applyFont="1" applyAlignment="1">
      <alignment horizontal="center"/>
    </xf>
    <xf numFmtId="165" fontId="2" fillId="0" borderId="0" xfId="0" applyNumberFormat="1" applyFont="1"/>
    <xf numFmtId="165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5" fontId="1" fillId="0" borderId="3" xfId="0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65" fontId="2" fillId="0" borderId="6" xfId="0" applyNumberFormat="1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2" fontId="2" fillId="0" borderId="5" xfId="0" applyNumberFormat="1" applyFont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1" fontId="2" fillId="0" borderId="0" xfId="0" applyNumberFormat="1" applyFont="1"/>
    <xf numFmtId="2" fontId="2" fillId="0" borderId="0" xfId="0" applyNumberFormat="1" applyFont="1"/>
    <xf numFmtId="0" fontId="2" fillId="0" borderId="0" xfId="0" applyFont="1"/>
    <xf numFmtId="2" fontId="3" fillId="2" borderId="7" xfId="0" applyNumberFormat="1" applyFont="1" applyFill="1" applyBorder="1" applyAlignment="1">
      <alignment horizontal="center" vertical="center"/>
    </xf>
    <xf numFmtId="0" fontId="4" fillId="0" borderId="8" xfId="0" applyFont="1" applyBorder="1"/>
    <xf numFmtId="0" fontId="4" fillId="0" borderId="9" xfId="0" applyFont="1" applyBorder="1"/>
    <xf numFmtId="0" fontId="5" fillId="0" borderId="10" xfId="0" applyFont="1" applyBorder="1" applyAlignment="1">
      <alignment horizontal="center" wrapText="1"/>
    </xf>
    <xf numFmtId="22" fontId="6" fillId="0" borderId="10" xfId="0" applyNumberFormat="1" applyFont="1" applyBorder="1" applyAlignment="1">
      <alignment horizontal="center" wrapText="1"/>
    </xf>
    <xf numFmtId="0" fontId="6" fillId="3" borderId="10" xfId="0" applyFont="1" applyFill="1" applyBorder="1" applyAlignment="1">
      <alignment wrapText="1"/>
    </xf>
    <xf numFmtId="0" fontId="5" fillId="0" borderId="11" xfId="0" applyFont="1" applyBorder="1" applyAlignment="1">
      <alignment horizontal="center" wrapText="1"/>
    </xf>
    <xf numFmtId="14" fontId="6" fillId="0" borderId="12" xfId="0" applyNumberFormat="1" applyFont="1" applyBorder="1" applyAlignment="1">
      <alignment horizontal="center" wrapText="1"/>
    </xf>
    <xf numFmtId="0" fontId="6" fillId="0" borderId="10" xfId="0" applyFont="1" applyBorder="1" applyAlignment="1">
      <alignment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DAU timeline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dau!$B$1</c:f>
              <c:strCache>
                <c:ptCount val="1"/>
                <c:pt idx="0">
                  <c:v>DAU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spPr>
              <a:ln w="19050">
                <a:solidFill>
                  <a:srgbClr val="E06666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numRef>
              <c:f>dau!$A$2:$A$190</c:f>
              <c:numCache>
                <c:formatCode>yyyy"-"mm"-"dd</c:formatCode>
                <c:ptCount val="189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45297</c:v>
                </c:pt>
                <c:pt idx="5">
                  <c:v>45298</c:v>
                </c:pt>
                <c:pt idx="6">
                  <c:v>45299</c:v>
                </c:pt>
                <c:pt idx="7">
                  <c:v>45300</c:v>
                </c:pt>
                <c:pt idx="8">
                  <c:v>45301</c:v>
                </c:pt>
                <c:pt idx="9">
                  <c:v>45302</c:v>
                </c:pt>
                <c:pt idx="10">
                  <c:v>45303</c:v>
                </c:pt>
                <c:pt idx="11">
                  <c:v>45304</c:v>
                </c:pt>
                <c:pt idx="12">
                  <c:v>45305</c:v>
                </c:pt>
                <c:pt idx="13">
                  <c:v>45306</c:v>
                </c:pt>
                <c:pt idx="14">
                  <c:v>45307</c:v>
                </c:pt>
                <c:pt idx="15">
                  <c:v>45308</c:v>
                </c:pt>
                <c:pt idx="16">
                  <c:v>45309</c:v>
                </c:pt>
                <c:pt idx="17">
                  <c:v>45310</c:v>
                </c:pt>
                <c:pt idx="18">
                  <c:v>45311</c:v>
                </c:pt>
                <c:pt idx="19">
                  <c:v>45312</c:v>
                </c:pt>
                <c:pt idx="20">
                  <c:v>45313</c:v>
                </c:pt>
                <c:pt idx="21">
                  <c:v>45314</c:v>
                </c:pt>
                <c:pt idx="22">
                  <c:v>45315</c:v>
                </c:pt>
                <c:pt idx="23">
                  <c:v>45316</c:v>
                </c:pt>
                <c:pt idx="24">
                  <c:v>45317</c:v>
                </c:pt>
                <c:pt idx="25">
                  <c:v>45318</c:v>
                </c:pt>
                <c:pt idx="26">
                  <c:v>45319</c:v>
                </c:pt>
                <c:pt idx="27">
                  <c:v>45320</c:v>
                </c:pt>
                <c:pt idx="28">
                  <c:v>45321</c:v>
                </c:pt>
                <c:pt idx="29">
                  <c:v>45322</c:v>
                </c:pt>
                <c:pt idx="30">
                  <c:v>45323</c:v>
                </c:pt>
                <c:pt idx="31">
                  <c:v>45324</c:v>
                </c:pt>
                <c:pt idx="32">
                  <c:v>45325</c:v>
                </c:pt>
                <c:pt idx="33">
                  <c:v>45326</c:v>
                </c:pt>
                <c:pt idx="34">
                  <c:v>45327</c:v>
                </c:pt>
                <c:pt idx="35">
                  <c:v>45328</c:v>
                </c:pt>
                <c:pt idx="36">
                  <c:v>45329</c:v>
                </c:pt>
                <c:pt idx="37">
                  <c:v>45330</c:v>
                </c:pt>
                <c:pt idx="38">
                  <c:v>45331</c:v>
                </c:pt>
                <c:pt idx="39">
                  <c:v>45332</c:v>
                </c:pt>
                <c:pt idx="40">
                  <c:v>45333</c:v>
                </c:pt>
                <c:pt idx="41">
                  <c:v>45334</c:v>
                </c:pt>
                <c:pt idx="42">
                  <c:v>45335</c:v>
                </c:pt>
                <c:pt idx="43">
                  <c:v>45336</c:v>
                </c:pt>
                <c:pt idx="44">
                  <c:v>45337</c:v>
                </c:pt>
                <c:pt idx="45">
                  <c:v>45338</c:v>
                </c:pt>
                <c:pt idx="46">
                  <c:v>45339</c:v>
                </c:pt>
                <c:pt idx="47">
                  <c:v>45340</c:v>
                </c:pt>
                <c:pt idx="48">
                  <c:v>45341</c:v>
                </c:pt>
                <c:pt idx="49">
                  <c:v>45342</c:v>
                </c:pt>
                <c:pt idx="50">
                  <c:v>45343</c:v>
                </c:pt>
                <c:pt idx="51">
                  <c:v>45344</c:v>
                </c:pt>
                <c:pt idx="52">
                  <c:v>45345</c:v>
                </c:pt>
                <c:pt idx="53">
                  <c:v>45346</c:v>
                </c:pt>
                <c:pt idx="54">
                  <c:v>45347</c:v>
                </c:pt>
                <c:pt idx="55">
                  <c:v>45348</c:v>
                </c:pt>
                <c:pt idx="56">
                  <c:v>45349</c:v>
                </c:pt>
                <c:pt idx="57">
                  <c:v>45350</c:v>
                </c:pt>
                <c:pt idx="58">
                  <c:v>45351</c:v>
                </c:pt>
                <c:pt idx="59">
                  <c:v>45352</c:v>
                </c:pt>
                <c:pt idx="60">
                  <c:v>45353</c:v>
                </c:pt>
                <c:pt idx="61">
                  <c:v>45354</c:v>
                </c:pt>
                <c:pt idx="62">
                  <c:v>45355</c:v>
                </c:pt>
                <c:pt idx="63">
                  <c:v>45356</c:v>
                </c:pt>
                <c:pt idx="64">
                  <c:v>45357</c:v>
                </c:pt>
                <c:pt idx="65">
                  <c:v>45358</c:v>
                </c:pt>
                <c:pt idx="66">
                  <c:v>45359</c:v>
                </c:pt>
                <c:pt idx="67">
                  <c:v>45360</c:v>
                </c:pt>
                <c:pt idx="68">
                  <c:v>45361</c:v>
                </c:pt>
                <c:pt idx="69">
                  <c:v>45362</c:v>
                </c:pt>
                <c:pt idx="70">
                  <c:v>45363</c:v>
                </c:pt>
                <c:pt idx="71">
                  <c:v>45364</c:v>
                </c:pt>
                <c:pt idx="72">
                  <c:v>45365</c:v>
                </c:pt>
                <c:pt idx="73">
                  <c:v>45366</c:v>
                </c:pt>
                <c:pt idx="74">
                  <c:v>45367</c:v>
                </c:pt>
                <c:pt idx="75">
                  <c:v>45368</c:v>
                </c:pt>
                <c:pt idx="76">
                  <c:v>45369</c:v>
                </c:pt>
                <c:pt idx="77">
                  <c:v>45370</c:v>
                </c:pt>
                <c:pt idx="78">
                  <c:v>45371</c:v>
                </c:pt>
                <c:pt idx="79">
                  <c:v>45372</c:v>
                </c:pt>
                <c:pt idx="80">
                  <c:v>45373</c:v>
                </c:pt>
                <c:pt idx="81">
                  <c:v>45374</c:v>
                </c:pt>
                <c:pt idx="82">
                  <c:v>45375</c:v>
                </c:pt>
                <c:pt idx="83">
                  <c:v>45376</c:v>
                </c:pt>
                <c:pt idx="84">
                  <c:v>45377</c:v>
                </c:pt>
                <c:pt idx="85">
                  <c:v>45378</c:v>
                </c:pt>
                <c:pt idx="86">
                  <c:v>45379</c:v>
                </c:pt>
                <c:pt idx="87">
                  <c:v>45380</c:v>
                </c:pt>
                <c:pt idx="88">
                  <c:v>45381</c:v>
                </c:pt>
                <c:pt idx="89">
                  <c:v>45382</c:v>
                </c:pt>
                <c:pt idx="90">
                  <c:v>45383</c:v>
                </c:pt>
                <c:pt idx="91">
                  <c:v>45384</c:v>
                </c:pt>
                <c:pt idx="92">
                  <c:v>45385</c:v>
                </c:pt>
                <c:pt idx="93">
                  <c:v>45386</c:v>
                </c:pt>
                <c:pt idx="94">
                  <c:v>45387</c:v>
                </c:pt>
                <c:pt idx="95">
                  <c:v>45388</c:v>
                </c:pt>
                <c:pt idx="96">
                  <c:v>45389</c:v>
                </c:pt>
                <c:pt idx="97">
                  <c:v>45390</c:v>
                </c:pt>
                <c:pt idx="98">
                  <c:v>45391</c:v>
                </c:pt>
                <c:pt idx="99">
                  <c:v>45392</c:v>
                </c:pt>
                <c:pt idx="100">
                  <c:v>45393</c:v>
                </c:pt>
                <c:pt idx="101">
                  <c:v>45394</c:v>
                </c:pt>
                <c:pt idx="102">
                  <c:v>45395</c:v>
                </c:pt>
                <c:pt idx="103">
                  <c:v>45396</c:v>
                </c:pt>
                <c:pt idx="104">
                  <c:v>45397</c:v>
                </c:pt>
                <c:pt idx="105">
                  <c:v>45398</c:v>
                </c:pt>
                <c:pt idx="106">
                  <c:v>45399</c:v>
                </c:pt>
                <c:pt idx="107">
                  <c:v>45400</c:v>
                </c:pt>
                <c:pt idx="108">
                  <c:v>45401</c:v>
                </c:pt>
                <c:pt idx="109">
                  <c:v>45402</c:v>
                </c:pt>
                <c:pt idx="110">
                  <c:v>45403</c:v>
                </c:pt>
                <c:pt idx="111">
                  <c:v>45404</c:v>
                </c:pt>
                <c:pt idx="112">
                  <c:v>45405</c:v>
                </c:pt>
                <c:pt idx="113">
                  <c:v>45406</c:v>
                </c:pt>
                <c:pt idx="114">
                  <c:v>45407</c:v>
                </c:pt>
                <c:pt idx="115">
                  <c:v>45408</c:v>
                </c:pt>
                <c:pt idx="116">
                  <c:v>45409</c:v>
                </c:pt>
                <c:pt idx="117">
                  <c:v>45410</c:v>
                </c:pt>
                <c:pt idx="118">
                  <c:v>45411</c:v>
                </c:pt>
                <c:pt idx="119">
                  <c:v>45412</c:v>
                </c:pt>
                <c:pt idx="120">
                  <c:v>45413</c:v>
                </c:pt>
                <c:pt idx="121">
                  <c:v>45414</c:v>
                </c:pt>
                <c:pt idx="122">
                  <c:v>45415</c:v>
                </c:pt>
                <c:pt idx="123">
                  <c:v>45416</c:v>
                </c:pt>
                <c:pt idx="124">
                  <c:v>45417</c:v>
                </c:pt>
                <c:pt idx="125">
                  <c:v>45418</c:v>
                </c:pt>
                <c:pt idx="126">
                  <c:v>45419</c:v>
                </c:pt>
                <c:pt idx="127">
                  <c:v>45420</c:v>
                </c:pt>
                <c:pt idx="128">
                  <c:v>45421</c:v>
                </c:pt>
                <c:pt idx="129">
                  <c:v>45422</c:v>
                </c:pt>
                <c:pt idx="130">
                  <c:v>45423</c:v>
                </c:pt>
                <c:pt idx="131">
                  <c:v>45424</c:v>
                </c:pt>
                <c:pt idx="132">
                  <c:v>45425</c:v>
                </c:pt>
                <c:pt idx="133">
                  <c:v>45426</c:v>
                </c:pt>
                <c:pt idx="134">
                  <c:v>45427</c:v>
                </c:pt>
                <c:pt idx="135">
                  <c:v>45428</c:v>
                </c:pt>
                <c:pt idx="136">
                  <c:v>45429</c:v>
                </c:pt>
                <c:pt idx="137">
                  <c:v>45430</c:v>
                </c:pt>
                <c:pt idx="138">
                  <c:v>45431</c:v>
                </c:pt>
                <c:pt idx="139">
                  <c:v>45432</c:v>
                </c:pt>
                <c:pt idx="140">
                  <c:v>45433</c:v>
                </c:pt>
                <c:pt idx="141">
                  <c:v>45434</c:v>
                </c:pt>
                <c:pt idx="142">
                  <c:v>45435</c:v>
                </c:pt>
                <c:pt idx="143">
                  <c:v>45436</c:v>
                </c:pt>
                <c:pt idx="144">
                  <c:v>45437</c:v>
                </c:pt>
                <c:pt idx="145">
                  <c:v>45438</c:v>
                </c:pt>
                <c:pt idx="146">
                  <c:v>45439</c:v>
                </c:pt>
                <c:pt idx="147">
                  <c:v>45440</c:v>
                </c:pt>
                <c:pt idx="148">
                  <c:v>45441</c:v>
                </c:pt>
                <c:pt idx="149">
                  <c:v>45442</c:v>
                </c:pt>
                <c:pt idx="150">
                  <c:v>45443</c:v>
                </c:pt>
                <c:pt idx="151">
                  <c:v>45444</c:v>
                </c:pt>
                <c:pt idx="152">
                  <c:v>45445</c:v>
                </c:pt>
                <c:pt idx="153">
                  <c:v>45446</c:v>
                </c:pt>
                <c:pt idx="154">
                  <c:v>45447</c:v>
                </c:pt>
                <c:pt idx="155">
                  <c:v>45448</c:v>
                </c:pt>
                <c:pt idx="156">
                  <c:v>45449</c:v>
                </c:pt>
                <c:pt idx="157">
                  <c:v>45450</c:v>
                </c:pt>
                <c:pt idx="158">
                  <c:v>45451</c:v>
                </c:pt>
                <c:pt idx="159">
                  <c:v>45452</c:v>
                </c:pt>
                <c:pt idx="160">
                  <c:v>45453</c:v>
                </c:pt>
                <c:pt idx="161">
                  <c:v>45454</c:v>
                </c:pt>
                <c:pt idx="162">
                  <c:v>45455</c:v>
                </c:pt>
                <c:pt idx="163">
                  <c:v>45456</c:v>
                </c:pt>
                <c:pt idx="164">
                  <c:v>45457</c:v>
                </c:pt>
                <c:pt idx="165">
                  <c:v>45458</c:v>
                </c:pt>
                <c:pt idx="166">
                  <c:v>45459</c:v>
                </c:pt>
                <c:pt idx="167">
                  <c:v>45460</c:v>
                </c:pt>
                <c:pt idx="168">
                  <c:v>45461</c:v>
                </c:pt>
                <c:pt idx="169">
                  <c:v>45462</c:v>
                </c:pt>
                <c:pt idx="170">
                  <c:v>45463</c:v>
                </c:pt>
                <c:pt idx="171">
                  <c:v>45464</c:v>
                </c:pt>
                <c:pt idx="172">
                  <c:v>45465</c:v>
                </c:pt>
                <c:pt idx="173">
                  <c:v>45466</c:v>
                </c:pt>
                <c:pt idx="174">
                  <c:v>45467</c:v>
                </c:pt>
                <c:pt idx="175">
                  <c:v>45468</c:v>
                </c:pt>
                <c:pt idx="176">
                  <c:v>45469</c:v>
                </c:pt>
                <c:pt idx="177">
                  <c:v>45470</c:v>
                </c:pt>
                <c:pt idx="178">
                  <c:v>45471</c:v>
                </c:pt>
                <c:pt idx="179">
                  <c:v>45472</c:v>
                </c:pt>
                <c:pt idx="180">
                  <c:v>45473</c:v>
                </c:pt>
                <c:pt idx="181">
                  <c:v>45474</c:v>
                </c:pt>
                <c:pt idx="182">
                  <c:v>45475</c:v>
                </c:pt>
                <c:pt idx="183">
                  <c:v>45476</c:v>
                </c:pt>
                <c:pt idx="184">
                  <c:v>45477</c:v>
                </c:pt>
                <c:pt idx="185">
                  <c:v>45478</c:v>
                </c:pt>
                <c:pt idx="186">
                  <c:v>45479</c:v>
                </c:pt>
                <c:pt idx="187">
                  <c:v>45480</c:v>
                </c:pt>
                <c:pt idx="188">
                  <c:v>45482</c:v>
                </c:pt>
              </c:numCache>
            </c:numRef>
          </c:cat>
          <c:val>
            <c:numRef>
              <c:f>dau!$B$2:$B$190</c:f>
              <c:numCache>
                <c:formatCode>General</c:formatCode>
                <c:ptCount val="189"/>
                <c:pt idx="0">
                  <c:v>1</c:v>
                </c:pt>
                <c:pt idx="1">
                  <c:v>3</c:v>
                </c:pt>
                <c:pt idx="2">
                  <c:v>8</c:v>
                </c:pt>
                <c:pt idx="3">
                  <c:v>8</c:v>
                </c:pt>
                <c:pt idx="4">
                  <c:v>6</c:v>
                </c:pt>
                <c:pt idx="5">
                  <c:v>5</c:v>
                </c:pt>
                <c:pt idx="6">
                  <c:v>8</c:v>
                </c:pt>
                <c:pt idx="7">
                  <c:v>5</c:v>
                </c:pt>
                <c:pt idx="8">
                  <c:v>16</c:v>
                </c:pt>
                <c:pt idx="9">
                  <c:v>13</c:v>
                </c:pt>
                <c:pt idx="10">
                  <c:v>11</c:v>
                </c:pt>
                <c:pt idx="11">
                  <c:v>13</c:v>
                </c:pt>
                <c:pt idx="12">
                  <c:v>9</c:v>
                </c:pt>
                <c:pt idx="13">
                  <c:v>12</c:v>
                </c:pt>
                <c:pt idx="14">
                  <c:v>16</c:v>
                </c:pt>
                <c:pt idx="15">
                  <c:v>15</c:v>
                </c:pt>
                <c:pt idx="16">
                  <c:v>10</c:v>
                </c:pt>
                <c:pt idx="17">
                  <c:v>12</c:v>
                </c:pt>
                <c:pt idx="18">
                  <c:v>13</c:v>
                </c:pt>
                <c:pt idx="19">
                  <c:v>6</c:v>
                </c:pt>
                <c:pt idx="20">
                  <c:v>13</c:v>
                </c:pt>
                <c:pt idx="21">
                  <c:v>8</c:v>
                </c:pt>
                <c:pt idx="22">
                  <c:v>12</c:v>
                </c:pt>
                <c:pt idx="23">
                  <c:v>12</c:v>
                </c:pt>
                <c:pt idx="24">
                  <c:v>14</c:v>
                </c:pt>
                <c:pt idx="25">
                  <c:v>10</c:v>
                </c:pt>
                <c:pt idx="26">
                  <c:v>4</c:v>
                </c:pt>
                <c:pt idx="27">
                  <c:v>21</c:v>
                </c:pt>
                <c:pt idx="28">
                  <c:v>7</c:v>
                </c:pt>
                <c:pt idx="29">
                  <c:v>4</c:v>
                </c:pt>
                <c:pt idx="30">
                  <c:v>11</c:v>
                </c:pt>
                <c:pt idx="31">
                  <c:v>11</c:v>
                </c:pt>
                <c:pt idx="32">
                  <c:v>12</c:v>
                </c:pt>
                <c:pt idx="33">
                  <c:v>13</c:v>
                </c:pt>
                <c:pt idx="34">
                  <c:v>14</c:v>
                </c:pt>
                <c:pt idx="35">
                  <c:v>10</c:v>
                </c:pt>
                <c:pt idx="36">
                  <c:v>19</c:v>
                </c:pt>
                <c:pt idx="37">
                  <c:v>7</c:v>
                </c:pt>
                <c:pt idx="38">
                  <c:v>9</c:v>
                </c:pt>
                <c:pt idx="39">
                  <c:v>16</c:v>
                </c:pt>
                <c:pt idx="40">
                  <c:v>7</c:v>
                </c:pt>
                <c:pt idx="41">
                  <c:v>10</c:v>
                </c:pt>
                <c:pt idx="42">
                  <c:v>14</c:v>
                </c:pt>
                <c:pt idx="43">
                  <c:v>13</c:v>
                </c:pt>
                <c:pt idx="44">
                  <c:v>14</c:v>
                </c:pt>
                <c:pt idx="45">
                  <c:v>8</c:v>
                </c:pt>
                <c:pt idx="46">
                  <c:v>9</c:v>
                </c:pt>
                <c:pt idx="47">
                  <c:v>4</c:v>
                </c:pt>
                <c:pt idx="48">
                  <c:v>13</c:v>
                </c:pt>
                <c:pt idx="49">
                  <c:v>11</c:v>
                </c:pt>
                <c:pt idx="50">
                  <c:v>9</c:v>
                </c:pt>
                <c:pt idx="51">
                  <c:v>14</c:v>
                </c:pt>
                <c:pt idx="52">
                  <c:v>11</c:v>
                </c:pt>
                <c:pt idx="53">
                  <c:v>8</c:v>
                </c:pt>
                <c:pt idx="54">
                  <c:v>6</c:v>
                </c:pt>
                <c:pt idx="55">
                  <c:v>15</c:v>
                </c:pt>
                <c:pt idx="56">
                  <c:v>13</c:v>
                </c:pt>
                <c:pt idx="57">
                  <c:v>5</c:v>
                </c:pt>
                <c:pt idx="58">
                  <c:v>13</c:v>
                </c:pt>
                <c:pt idx="59">
                  <c:v>14</c:v>
                </c:pt>
                <c:pt idx="60">
                  <c:v>8</c:v>
                </c:pt>
                <c:pt idx="61">
                  <c:v>9</c:v>
                </c:pt>
                <c:pt idx="62">
                  <c:v>9</c:v>
                </c:pt>
                <c:pt idx="63">
                  <c:v>7</c:v>
                </c:pt>
                <c:pt idx="64">
                  <c:v>13</c:v>
                </c:pt>
                <c:pt idx="65">
                  <c:v>7</c:v>
                </c:pt>
                <c:pt idx="66">
                  <c:v>14</c:v>
                </c:pt>
                <c:pt idx="67">
                  <c:v>12</c:v>
                </c:pt>
                <c:pt idx="68">
                  <c:v>18</c:v>
                </c:pt>
                <c:pt idx="69">
                  <c:v>12</c:v>
                </c:pt>
                <c:pt idx="70">
                  <c:v>7</c:v>
                </c:pt>
                <c:pt idx="71">
                  <c:v>16</c:v>
                </c:pt>
                <c:pt idx="72">
                  <c:v>17</c:v>
                </c:pt>
                <c:pt idx="73">
                  <c:v>10</c:v>
                </c:pt>
                <c:pt idx="74">
                  <c:v>9</c:v>
                </c:pt>
                <c:pt idx="75">
                  <c:v>11</c:v>
                </c:pt>
                <c:pt idx="76">
                  <c:v>11</c:v>
                </c:pt>
                <c:pt idx="77">
                  <c:v>11</c:v>
                </c:pt>
                <c:pt idx="78">
                  <c:v>9</c:v>
                </c:pt>
                <c:pt idx="79">
                  <c:v>14</c:v>
                </c:pt>
                <c:pt idx="80">
                  <c:v>14</c:v>
                </c:pt>
                <c:pt idx="81">
                  <c:v>23</c:v>
                </c:pt>
                <c:pt idx="82">
                  <c:v>12</c:v>
                </c:pt>
                <c:pt idx="83">
                  <c:v>9</c:v>
                </c:pt>
                <c:pt idx="84">
                  <c:v>15</c:v>
                </c:pt>
                <c:pt idx="85">
                  <c:v>10</c:v>
                </c:pt>
                <c:pt idx="86">
                  <c:v>17</c:v>
                </c:pt>
                <c:pt idx="87">
                  <c:v>14</c:v>
                </c:pt>
                <c:pt idx="88">
                  <c:v>10</c:v>
                </c:pt>
                <c:pt idx="89">
                  <c:v>15</c:v>
                </c:pt>
                <c:pt idx="90">
                  <c:v>13</c:v>
                </c:pt>
                <c:pt idx="91">
                  <c:v>7</c:v>
                </c:pt>
                <c:pt idx="92">
                  <c:v>10</c:v>
                </c:pt>
                <c:pt idx="93">
                  <c:v>14</c:v>
                </c:pt>
                <c:pt idx="94">
                  <c:v>8</c:v>
                </c:pt>
                <c:pt idx="95">
                  <c:v>10</c:v>
                </c:pt>
                <c:pt idx="96">
                  <c:v>9</c:v>
                </c:pt>
                <c:pt idx="97">
                  <c:v>6</c:v>
                </c:pt>
                <c:pt idx="98">
                  <c:v>9</c:v>
                </c:pt>
                <c:pt idx="99">
                  <c:v>17</c:v>
                </c:pt>
                <c:pt idx="100">
                  <c:v>8</c:v>
                </c:pt>
                <c:pt idx="101">
                  <c:v>12</c:v>
                </c:pt>
                <c:pt idx="102">
                  <c:v>6</c:v>
                </c:pt>
                <c:pt idx="103">
                  <c:v>14</c:v>
                </c:pt>
                <c:pt idx="104">
                  <c:v>9</c:v>
                </c:pt>
                <c:pt idx="105">
                  <c:v>7</c:v>
                </c:pt>
                <c:pt idx="106">
                  <c:v>14</c:v>
                </c:pt>
                <c:pt idx="107">
                  <c:v>10</c:v>
                </c:pt>
                <c:pt idx="108">
                  <c:v>10</c:v>
                </c:pt>
                <c:pt idx="109">
                  <c:v>13</c:v>
                </c:pt>
                <c:pt idx="110">
                  <c:v>18</c:v>
                </c:pt>
                <c:pt idx="111">
                  <c:v>9</c:v>
                </c:pt>
                <c:pt idx="112">
                  <c:v>16</c:v>
                </c:pt>
                <c:pt idx="113">
                  <c:v>13</c:v>
                </c:pt>
                <c:pt idx="114">
                  <c:v>12</c:v>
                </c:pt>
                <c:pt idx="115">
                  <c:v>8</c:v>
                </c:pt>
                <c:pt idx="116">
                  <c:v>7</c:v>
                </c:pt>
                <c:pt idx="117">
                  <c:v>9</c:v>
                </c:pt>
                <c:pt idx="118">
                  <c:v>6</c:v>
                </c:pt>
                <c:pt idx="119">
                  <c:v>14</c:v>
                </c:pt>
                <c:pt idx="120">
                  <c:v>9</c:v>
                </c:pt>
                <c:pt idx="121">
                  <c:v>9</c:v>
                </c:pt>
                <c:pt idx="122">
                  <c:v>8</c:v>
                </c:pt>
                <c:pt idx="123">
                  <c:v>9</c:v>
                </c:pt>
                <c:pt idx="124">
                  <c:v>13</c:v>
                </c:pt>
                <c:pt idx="125">
                  <c:v>10</c:v>
                </c:pt>
                <c:pt idx="126">
                  <c:v>9</c:v>
                </c:pt>
                <c:pt idx="127">
                  <c:v>13</c:v>
                </c:pt>
                <c:pt idx="128">
                  <c:v>15</c:v>
                </c:pt>
                <c:pt idx="129">
                  <c:v>8</c:v>
                </c:pt>
                <c:pt idx="130">
                  <c:v>6</c:v>
                </c:pt>
                <c:pt idx="131">
                  <c:v>8</c:v>
                </c:pt>
                <c:pt idx="132">
                  <c:v>17</c:v>
                </c:pt>
                <c:pt idx="133">
                  <c:v>13</c:v>
                </c:pt>
                <c:pt idx="134">
                  <c:v>7</c:v>
                </c:pt>
                <c:pt idx="135">
                  <c:v>8</c:v>
                </c:pt>
                <c:pt idx="136">
                  <c:v>6</c:v>
                </c:pt>
                <c:pt idx="137">
                  <c:v>10</c:v>
                </c:pt>
                <c:pt idx="138">
                  <c:v>13</c:v>
                </c:pt>
                <c:pt idx="139">
                  <c:v>11</c:v>
                </c:pt>
                <c:pt idx="140">
                  <c:v>8</c:v>
                </c:pt>
                <c:pt idx="141">
                  <c:v>5</c:v>
                </c:pt>
                <c:pt idx="142">
                  <c:v>14</c:v>
                </c:pt>
                <c:pt idx="143">
                  <c:v>11</c:v>
                </c:pt>
                <c:pt idx="144">
                  <c:v>16</c:v>
                </c:pt>
                <c:pt idx="145">
                  <c:v>11</c:v>
                </c:pt>
                <c:pt idx="146">
                  <c:v>8</c:v>
                </c:pt>
                <c:pt idx="147">
                  <c:v>9</c:v>
                </c:pt>
                <c:pt idx="148">
                  <c:v>15</c:v>
                </c:pt>
                <c:pt idx="149">
                  <c:v>7</c:v>
                </c:pt>
                <c:pt idx="150">
                  <c:v>10</c:v>
                </c:pt>
                <c:pt idx="151">
                  <c:v>13</c:v>
                </c:pt>
                <c:pt idx="152">
                  <c:v>8</c:v>
                </c:pt>
                <c:pt idx="153">
                  <c:v>8</c:v>
                </c:pt>
                <c:pt idx="154">
                  <c:v>18</c:v>
                </c:pt>
                <c:pt idx="155">
                  <c:v>12</c:v>
                </c:pt>
                <c:pt idx="156">
                  <c:v>8</c:v>
                </c:pt>
                <c:pt idx="157">
                  <c:v>7</c:v>
                </c:pt>
                <c:pt idx="158">
                  <c:v>11</c:v>
                </c:pt>
                <c:pt idx="159">
                  <c:v>7</c:v>
                </c:pt>
                <c:pt idx="160">
                  <c:v>10</c:v>
                </c:pt>
                <c:pt idx="161">
                  <c:v>12</c:v>
                </c:pt>
                <c:pt idx="162">
                  <c:v>12</c:v>
                </c:pt>
                <c:pt idx="163">
                  <c:v>7</c:v>
                </c:pt>
                <c:pt idx="164">
                  <c:v>14</c:v>
                </c:pt>
                <c:pt idx="165">
                  <c:v>9</c:v>
                </c:pt>
                <c:pt idx="166">
                  <c:v>15</c:v>
                </c:pt>
                <c:pt idx="167">
                  <c:v>13</c:v>
                </c:pt>
                <c:pt idx="168">
                  <c:v>7</c:v>
                </c:pt>
                <c:pt idx="169">
                  <c:v>8</c:v>
                </c:pt>
                <c:pt idx="170">
                  <c:v>9</c:v>
                </c:pt>
                <c:pt idx="171">
                  <c:v>8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17</c:v>
                </c:pt>
                <c:pt idx="176">
                  <c:v>8</c:v>
                </c:pt>
                <c:pt idx="177">
                  <c:v>8</c:v>
                </c:pt>
                <c:pt idx="178">
                  <c:v>11</c:v>
                </c:pt>
                <c:pt idx="179">
                  <c:v>12</c:v>
                </c:pt>
                <c:pt idx="180">
                  <c:v>6</c:v>
                </c:pt>
                <c:pt idx="181">
                  <c:v>16</c:v>
                </c:pt>
                <c:pt idx="182">
                  <c:v>13</c:v>
                </c:pt>
                <c:pt idx="183">
                  <c:v>10</c:v>
                </c:pt>
                <c:pt idx="184">
                  <c:v>6</c:v>
                </c:pt>
                <c:pt idx="185">
                  <c:v>12</c:v>
                </c:pt>
                <c:pt idx="186">
                  <c:v>4</c:v>
                </c:pt>
                <c:pt idx="187">
                  <c:v>6</c:v>
                </c:pt>
                <c:pt idx="18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74-4A6E-A291-45FC456DB3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966620"/>
        <c:axId val="692270012"/>
      </c:lineChart>
      <c:dateAx>
        <c:axId val="20759666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uk-UA"/>
              </a:p>
            </c:rich>
          </c:tx>
          <c:overlay val="0"/>
        </c:title>
        <c:numFmt formatCode="yyyy&quot;-&quot;mm&quot;-&quot;dd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uk-UA"/>
          </a:p>
        </c:txPr>
        <c:crossAx val="692270012"/>
        <c:crosses val="autoZero"/>
        <c:auto val="1"/>
        <c:lblOffset val="100"/>
        <c:baseTimeUnit val="days"/>
      </c:dateAx>
      <c:valAx>
        <c:axId val="6922700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uk-U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uk-UA"/>
          </a:p>
        </c:txPr>
        <c:crossAx val="207596662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uk-UA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WAU timeline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wau!$B$1</c:f>
              <c:strCache>
                <c:ptCount val="1"/>
                <c:pt idx="0">
                  <c:v>WAU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spPr>
              <a:ln w="19050">
                <a:solidFill>
                  <a:srgbClr val="E06666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numRef>
              <c:f>wau!$A$2:$A$29</c:f>
              <c:numCache>
                <c:formatCode>yyyy"-"mm"-"dd</c:formatCode>
                <c:ptCount val="28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</c:numCache>
            </c:numRef>
          </c:cat>
          <c:val>
            <c:numRef>
              <c:f>wau!$B$2:$B$29</c:f>
              <c:numCache>
                <c:formatCode>General</c:formatCode>
                <c:ptCount val="28"/>
                <c:pt idx="0">
                  <c:v>31</c:v>
                </c:pt>
                <c:pt idx="1">
                  <c:v>75</c:v>
                </c:pt>
                <c:pt idx="2">
                  <c:v>84</c:v>
                </c:pt>
                <c:pt idx="3">
                  <c:v>73</c:v>
                </c:pt>
                <c:pt idx="4">
                  <c:v>79</c:v>
                </c:pt>
                <c:pt idx="5">
                  <c:v>82</c:v>
                </c:pt>
                <c:pt idx="6">
                  <c:v>72</c:v>
                </c:pt>
                <c:pt idx="7">
                  <c:v>72</c:v>
                </c:pt>
                <c:pt idx="8">
                  <c:v>77</c:v>
                </c:pt>
                <c:pt idx="9">
                  <c:v>80</c:v>
                </c:pt>
                <c:pt idx="10">
                  <c:v>82</c:v>
                </c:pt>
                <c:pt idx="11">
                  <c:v>94</c:v>
                </c:pt>
                <c:pt idx="12">
                  <c:v>90</c:v>
                </c:pt>
                <c:pt idx="13">
                  <c:v>71</c:v>
                </c:pt>
                <c:pt idx="14">
                  <c:v>72</c:v>
                </c:pt>
                <c:pt idx="15">
                  <c:v>81</c:v>
                </c:pt>
                <c:pt idx="16">
                  <c:v>74</c:v>
                </c:pt>
                <c:pt idx="17">
                  <c:v>68</c:v>
                </c:pt>
                <c:pt idx="18">
                  <c:v>69</c:v>
                </c:pt>
                <c:pt idx="19">
                  <c:v>74</c:v>
                </c:pt>
                <c:pt idx="20">
                  <c:v>76</c:v>
                </c:pt>
                <c:pt idx="21">
                  <c:v>70</c:v>
                </c:pt>
                <c:pt idx="22">
                  <c:v>71</c:v>
                </c:pt>
                <c:pt idx="23">
                  <c:v>79</c:v>
                </c:pt>
                <c:pt idx="24">
                  <c:v>63</c:v>
                </c:pt>
                <c:pt idx="25">
                  <c:v>71</c:v>
                </c:pt>
                <c:pt idx="26">
                  <c:v>67</c:v>
                </c:pt>
                <c:pt idx="2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5B-4966-9B73-23FBB4E9E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0742964"/>
        <c:axId val="977671434"/>
      </c:lineChart>
      <c:dateAx>
        <c:axId val="8207429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uk-UA"/>
              </a:p>
            </c:rich>
          </c:tx>
          <c:overlay val="0"/>
        </c:title>
        <c:numFmt formatCode="yyyy&quot;-&quot;mm&quot;-&quot;dd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uk-UA"/>
          </a:p>
        </c:txPr>
        <c:crossAx val="977671434"/>
        <c:crosses val="autoZero"/>
        <c:auto val="1"/>
        <c:lblOffset val="100"/>
        <c:baseTimeUnit val="days"/>
      </c:dateAx>
      <c:valAx>
        <c:axId val="9776714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uk-U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uk-UA"/>
          </a:p>
        </c:txPr>
        <c:crossAx val="82074296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uk-UA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MAU timeline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mau!$B$1</c:f>
              <c:strCache>
                <c:ptCount val="1"/>
                <c:pt idx="0">
                  <c:v>MAU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spPr>
              <a:ln w="19050">
                <a:solidFill>
                  <a:srgbClr val="E06666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numRef>
              <c:f>mau!$A$2:$A$8</c:f>
              <c:numCache>
                <c:formatCode>yyyy"-"mm"-"dd</c:formatCode>
                <c:ptCount val="7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</c:numCache>
            </c:numRef>
          </c:cat>
          <c:val>
            <c:numRef>
              <c:f>mau!$B$2:$B$8</c:f>
              <c:numCache>
                <c:formatCode>0</c:formatCode>
                <c:ptCount val="7"/>
                <c:pt idx="0">
                  <c:v>295</c:v>
                </c:pt>
                <c:pt idx="1">
                  <c:v>319</c:v>
                </c:pt>
                <c:pt idx="2">
                  <c:v>377</c:v>
                </c:pt>
                <c:pt idx="3">
                  <c:v>318</c:v>
                </c:pt>
                <c:pt idx="4">
                  <c:v>316</c:v>
                </c:pt>
                <c:pt idx="5">
                  <c:v>305</c:v>
                </c:pt>
                <c:pt idx="6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13-4160-8015-DA59752F2A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2881258"/>
        <c:axId val="543379685"/>
      </c:lineChart>
      <c:dateAx>
        <c:axId val="12928812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uk-UA"/>
              </a:p>
            </c:rich>
          </c:tx>
          <c:overlay val="0"/>
        </c:title>
        <c:numFmt formatCode="yyyy&quot;-&quot;mm&quot;-&quot;dd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uk-UA"/>
          </a:p>
        </c:txPr>
        <c:crossAx val="543379685"/>
        <c:crosses val="autoZero"/>
        <c:auto val="1"/>
        <c:lblOffset val="100"/>
        <c:baseTimeUnit val="months"/>
      </c:dateAx>
      <c:valAx>
        <c:axId val="5433796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uk-UA"/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uk-UA"/>
          </a:p>
        </c:txPr>
        <c:crossAx val="129288125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uk-UA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Stickiness timeline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mau!$E$1</c:f>
              <c:strCache>
                <c:ptCount val="1"/>
                <c:pt idx="0">
                  <c:v>DAU/MAU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mau!$A$2:$A$9</c:f>
              <c:numCache>
                <c:formatCode>yyyy"-"mm"-"dd</c:formatCode>
                <c:ptCount val="8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</c:numCache>
            </c:numRef>
          </c:cat>
          <c:val>
            <c:numRef>
              <c:f>mau!$E$2:$E$9</c:f>
              <c:numCache>
                <c:formatCode>0.00</c:formatCode>
                <c:ptCount val="8"/>
                <c:pt idx="0">
                  <c:v>3.3333333333333333E-2</c:v>
                </c:pt>
                <c:pt idx="1">
                  <c:v>3.4482758620689655E-2</c:v>
                </c:pt>
                <c:pt idx="2">
                  <c:v>3.2258064516129031E-2</c:v>
                </c:pt>
                <c:pt idx="3">
                  <c:v>3.3333333333333333E-2</c:v>
                </c:pt>
                <c:pt idx="4">
                  <c:v>3.2258064516129031E-2</c:v>
                </c:pt>
                <c:pt idx="5">
                  <c:v>3.3333333333333333E-2</c:v>
                </c:pt>
                <c:pt idx="6">
                  <c:v>0.125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D8-4AF2-9DE8-7A690DC30258}"/>
            </c:ext>
          </c:extLst>
        </c:ser>
        <c:ser>
          <c:idx val="1"/>
          <c:order val="1"/>
          <c:tx>
            <c:strRef>
              <c:f>mau!$F$1</c:f>
              <c:strCache>
                <c:ptCount val="1"/>
                <c:pt idx="0">
                  <c:v>WAU/MAU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mau!$A$2:$A$9</c:f>
              <c:numCache>
                <c:formatCode>yyyy"-"mm"-"dd</c:formatCode>
                <c:ptCount val="8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</c:numCache>
            </c:numRef>
          </c:cat>
          <c:val>
            <c:numRef>
              <c:f>mau!$F$2:$F$9</c:f>
              <c:numCache>
                <c:formatCode>0.00</c:formatCode>
                <c:ptCount val="8"/>
                <c:pt idx="0">
                  <c:v>0.23186440677966103</c:v>
                </c:pt>
                <c:pt idx="1">
                  <c:v>0.23746081504702193</c:v>
                </c:pt>
                <c:pt idx="2">
                  <c:v>0.22944297082228116</c:v>
                </c:pt>
                <c:pt idx="3">
                  <c:v>0.23018867924528302</c:v>
                </c:pt>
                <c:pt idx="4">
                  <c:v>0.22863924050632911</c:v>
                </c:pt>
                <c:pt idx="5">
                  <c:v>0.23278688524590163</c:v>
                </c:pt>
                <c:pt idx="6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D8-4AF2-9DE8-7A690DC30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4475071"/>
        <c:axId val="1016798658"/>
      </c:lineChart>
      <c:dateAx>
        <c:axId val="7044750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yyyy&quot;-&quot;mm&quot;-&quot;dd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uk-UA"/>
          </a:p>
        </c:txPr>
        <c:crossAx val="1016798658"/>
        <c:crosses val="autoZero"/>
        <c:auto val="1"/>
        <c:lblOffset val="100"/>
        <c:baseTimeUnit val="months"/>
      </c:dateAx>
      <c:valAx>
        <c:axId val="10167986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uk-UA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uk-UA"/>
          </a:p>
        </c:txPr>
        <c:crossAx val="70447507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uk-UA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4705350" cy="29241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942975</xdr:colOff>
      <xdr:row>0</xdr:row>
      <xdr:rowOff>190500</xdr:rowOff>
    </xdr:from>
    <xdr:ext cx="3829050" cy="2362200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9525</xdr:rowOff>
    </xdr:from>
    <xdr:ext cx="3876675" cy="2390775"/>
    <xdr:graphicFrame macro="">
      <xdr:nvGraphicFramePr>
        <xdr:cNvPr id="3" name="Chart 3" title="Char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952500</xdr:colOff>
      <xdr:row>9</xdr:row>
      <xdr:rowOff>171450</xdr:rowOff>
    </xdr:from>
    <xdr:ext cx="3981450" cy="2466975"/>
    <xdr:graphicFrame macro="">
      <xdr:nvGraphicFramePr>
        <xdr:cNvPr id="4" name="Chart 4" title="Chart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2208"/>
  <sheetViews>
    <sheetView tabSelected="1" workbookViewId="0">
      <selection activeCell="B1" sqref="B1:B12208"/>
    </sheetView>
  </sheetViews>
  <sheetFormatPr defaultColWidth="12.5703125" defaultRowHeight="15.75" customHeight="1" x14ac:dyDescent="0.2"/>
  <cols>
    <col min="1" max="1" width="6.85546875" customWidth="1"/>
    <col min="2" max="2" width="16.42578125" customWidth="1"/>
    <col min="3" max="3" width="14.140625" customWidth="1"/>
  </cols>
  <sheetData>
    <row r="1" spans="1:5" ht="13.5" thickBot="1" x14ac:dyDescent="0.25">
      <c r="A1" s="1" t="s">
        <v>0</v>
      </c>
      <c r="B1" s="26" t="s">
        <v>1</v>
      </c>
      <c r="C1" s="1" t="s">
        <v>2</v>
      </c>
      <c r="D1" s="2"/>
      <c r="E1" s="2"/>
    </row>
    <row r="2" spans="1:5" ht="13.5" thickBot="1" x14ac:dyDescent="0.25">
      <c r="A2" s="3">
        <v>5186</v>
      </c>
      <c r="B2" s="27">
        <v>45292.053877314815</v>
      </c>
      <c r="C2" s="3" t="s">
        <v>3</v>
      </c>
    </row>
    <row r="3" spans="1:5" ht="13.5" thickBot="1" x14ac:dyDescent="0.25">
      <c r="A3" s="3">
        <v>1087</v>
      </c>
      <c r="B3" s="27">
        <v>45292.110925925925</v>
      </c>
      <c r="C3" s="3" t="s">
        <v>3</v>
      </c>
    </row>
    <row r="4" spans="1:5" ht="13.5" thickBot="1" x14ac:dyDescent="0.25">
      <c r="A4" s="3">
        <v>6536</v>
      </c>
      <c r="B4" s="27">
        <v>45292.147187499999</v>
      </c>
      <c r="C4" s="3" t="s">
        <v>3</v>
      </c>
    </row>
    <row r="5" spans="1:5" ht="13.5" thickBot="1" x14ac:dyDescent="0.25">
      <c r="A5" s="3">
        <v>3273</v>
      </c>
      <c r="B5" s="27">
        <v>45292.152268518519</v>
      </c>
      <c r="C5" s="3" t="s">
        <v>3</v>
      </c>
    </row>
    <row r="6" spans="1:5" ht="13.5" thickBot="1" x14ac:dyDescent="0.25">
      <c r="A6" s="3">
        <v>7437</v>
      </c>
      <c r="B6" s="27">
        <v>45292.158055555556</v>
      </c>
      <c r="C6" s="3" t="s">
        <v>3</v>
      </c>
    </row>
    <row r="7" spans="1:5" ht="13.5" thickBot="1" x14ac:dyDescent="0.25">
      <c r="A7" s="3">
        <v>467</v>
      </c>
      <c r="B7" s="27">
        <v>45292.17701388889</v>
      </c>
      <c r="C7" s="3" t="s">
        <v>3</v>
      </c>
    </row>
    <row r="8" spans="1:5" ht="13.5" thickBot="1" x14ac:dyDescent="0.25">
      <c r="A8" s="3">
        <v>4490</v>
      </c>
      <c r="B8" s="27">
        <v>45292.203020833331</v>
      </c>
      <c r="C8" s="3" t="s">
        <v>3</v>
      </c>
    </row>
    <row r="9" spans="1:5" ht="13.5" thickBot="1" x14ac:dyDescent="0.25">
      <c r="A9" s="3">
        <v>1967</v>
      </c>
      <c r="B9" s="27">
        <v>45292.243125000001</v>
      </c>
      <c r="C9" s="3" t="s">
        <v>3</v>
      </c>
    </row>
    <row r="10" spans="1:5" ht="13.5" thickBot="1" x14ac:dyDescent="0.25">
      <c r="A10" s="3">
        <v>3419</v>
      </c>
      <c r="B10" s="27">
        <v>45292.267893518518</v>
      </c>
      <c r="C10" s="3" t="s">
        <v>3</v>
      </c>
    </row>
    <row r="11" spans="1:5" ht="13.5" thickBot="1" x14ac:dyDescent="0.25">
      <c r="A11" s="3">
        <v>7246</v>
      </c>
      <c r="B11" s="27">
        <v>45292.287986111114</v>
      </c>
      <c r="C11" s="3" t="s">
        <v>4</v>
      </c>
    </row>
    <row r="12" spans="1:5" ht="13.5" thickBot="1" x14ac:dyDescent="0.25">
      <c r="A12" s="3">
        <v>2169</v>
      </c>
      <c r="B12" s="27">
        <v>45292.302002314813</v>
      </c>
      <c r="C12" s="3" t="s">
        <v>3</v>
      </c>
    </row>
    <row r="13" spans="1:5" ht="13.5" thickBot="1" x14ac:dyDescent="0.25">
      <c r="A13" s="3">
        <v>6275</v>
      </c>
      <c r="B13" s="27">
        <v>45292.307349537034</v>
      </c>
      <c r="C13" s="3" t="s">
        <v>3</v>
      </c>
    </row>
    <row r="14" spans="1:5" ht="13.5" thickBot="1" x14ac:dyDescent="0.25">
      <c r="A14" s="3">
        <v>5888</v>
      </c>
      <c r="B14" s="27">
        <v>45292.310694444444</v>
      </c>
      <c r="C14" s="3" t="s">
        <v>3</v>
      </c>
    </row>
    <row r="15" spans="1:5" ht="13.5" thickBot="1" x14ac:dyDescent="0.25">
      <c r="A15" s="3">
        <v>4152</v>
      </c>
      <c r="B15" s="27">
        <v>45292.365937499999</v>
      </c>
      <c r="C15" s="3" t="s">
        <v>3</v>
      </c>
    </row>
    <row r="16" spans="1:5" ht="13.5" thickBot="1" x14ac:dyDescent="0.25">
      <c r="A16" s="3">
        <v>510</v>
      </c>
      <c r="B16" s="27">
        <v>45292.373773148145</v>
      </c>
      <c r="C16" s="3" t="s">
        <v>5</v>
      </c>
    </row>
    <row r="17" spans="1:3" ht="13.5" thickBot="1" x14ac:dyDescent="0.25">
      <c r="A17" s="3">
        <v>5646</v>
      </c>
      <c r="B17" s="27">
        <v>45292.437071759261</v>
      </c>
      <c r="C17" s="3" t="s">
        <v>3</v>
      </c>
    </row>
    <row r="18" spans="1:3" ht="13.5" thickBot="1" x14ac:dyDescent="0.25">
      <c r="A18" s="3">
        <v>7937</v>
      </c>
      <c r="B18" s="27">
        <v>45292.454444444447</v>
      </c>
      <c r="C18" s="3" t="s">
        <v>3</v>
      </c>
    </row>
    <row r="19" spans="1:3" ht="13.5" thickBot="1" x14ac:dyDescent="0.25">
      <c r="A19" s="3">
        <v>7602</v>
      </c>
      <c r="B19" s="27">
        <v>45292.457037037035</v>
      </c>
      <c r="C19" s="3" t="s">
        <v>3</v>
      </c>
    </row>
    <row r="20" spans="1:3" ht="13.5" thickBot="1" x14ac:dyDescent="0.25">
      <c r="A20" s="3">
        <v>1374</v>
      </c>
      <c r="B20" s="27">
        <v>45292.465277777781</v>
      </c>
      <c r="C20" s="3" t="s">
        <v>3</v>
      </c>
    </row>
    <row r="21" spans="1:3" ht="13.5" thickBot="1" x14ac:dyDescent="0.25">
      <c r="A21" s="3">
        <v>4070</v>
      </c>
      <c r="B21" s="27">
        <v>45292.49015046296</v>
      </c>
      <c r="C21" s="3" t="s">
        <v>3</v>
      </c>
    </row>
    <row r="22" spans="1:3" ht="13.5" thickBot="1" x14ac:dyDescent="0.25">
      <c r="A22" s="3">
        <v>2405</v>
      </c>
      <c r="B22" s="27">
        <v>45292.553680555553</v>
      </c>
      <c r="C22" s="3" t="s">
        <v>3</v>
      </c>
    </row>
    <row r="23" spans="1:3" ht="13.5" thickBot="1" x14ac:dyDescent="0.25">
      <c r="A23" s="3">
        <v>7536</v>
      </c>
      <c r="B23" s="27">
        <v>45292.637199074074</v>
      </c>
      <c r="C23" s="3" t="s">
        <v>3</v>
      </c>
    </row>
    <row r="24" spans="1:3" ht="13.5" thickBot="1" x14ac:dyDescent="0.25">
      <c r="A24" s="3">
        <v>7254</v>
      </c>
      <c r="B24" s="27">
        <v>45292.642824074072</v>
      </c>
      <c r="C24" s="3" t="s">
        <v>3</v>
      </c>
    </row>
    <row r="25" spans="1:3" ht="13.5" thickBot="1" x14ac:dyDescent="0.25">
      <c r="A25" s="3">
        <v>3619</v>
      </c>
      <c r="B25" s="27">
        <v>45292.643680555557</v>
      </c>
      <c r="C25" s="3" t="s">
        <v>3</v>
      </c>
    </row>
    <row r="26" spans="1:3" ht="13.5" thickBot="1" x14ac:dyDescent="0.25">
      <c r="A26" s="3">
        <v>7602</v>
      </c>
      <c r="B26" s="27">
        <v>45292.699849537035</v>
      </c>
      <c r="C26" s="3" t="s">
        <v>4</v>
      </c>
    </row>
    <row r="27" spans="1:3" ht="13.5" thickBot="1" x14ac:dyDescent="0.25">
      <c r="A27" s="3">
        <v>7246</v>
      </c>
      <c r="B27" s="27">
        <v>45292.707442129627</v>
      </c>
      <c r="C27" s="3" t="s">
        <v>3</v>
      </c>
    </row>
    <row r="28" spans="1:3" ht="13.5" thickBot="1" x14ac:dyDescent="0.25">
      <c r="A28" s="3">
        <v>1967</v>
      </c>
      <c r="B28" s="27">
        <v>45292.724965277775</v>
      </c>
      <c r="C28" s="3" t="s">
        <v>4</v>
      </c>
    </row>
    <row r="29" spans="1:3" ht="13.5" thickBot="1" x14ac:dyDescent="0.25">
      <c r="A29" s="3">
        <v>510</v>
      </c>
      <c r="B29" s="27">
        <v>45292.754571759258</v>
      </c>
      <c r="C29" s="3" t="s">
        <v>3</v>
      </c>
    </row>
    <row r="30" spans="1:3" ht="13.5" thickBot="1" x14ac:dyDescent="0.25">
      <c r="A30" s="3">
        <v>4490</v>
      </c>
      <c r="B30" s="27">
        <v>45292.807175925926</v>
      </c>
      <c r="C30" s="3" t="s">
        <v>4</v>
      </c>
    </row>
    <row r="31" spans="1:3" ht="13.5" thickBot="1" x14ac:dyDescent="0.25">
      <c r="A31" s="3">
        <v>2387</v>
      </c>
      <c r="B31" s="27">
        <v>45292.863599537035</v>
      </c>
      <c r="C31" s="3" t="s">
        <v>3</v>
      </c>
    </row>
    <row r="32" spans="1:3" ht="13.5" thickBot="1" x14ac:dyDescent="0.25">
      <c r="A32" s="3">
        <v>211</v>
      </c>
      <c r="B32" s="27">
        <v>45292.863726851851</v>
      </c>
      <c r="C32" s="3" t="s">
        <v>3</v>
      </c>
    </row>
    <row r="33" spans="1:3" ht="13.5" thickBot="1" x14ac:dyDescent="0.25">
      <c r="A33" s="3">
        <v>2871</v>
      </c>
      <c r="B33" s="27">
        <v>45292.942384259259</v>
      </c>
      <c r="C33" s="3" t="s">
        <v>3</v>
      </c>
    </row>
    <row r="34" spans="1:3" ht="13.5" thickBot="1" x14ac:dyDescent="0.25">
      <c r="A34" s="3">
        <v>4807</v>
      </c>
      <c r="B34" s="27">
        <v>45292.995729166665</v>
      </c>
      <c r="C34" s="3" t="s">
        <v>3</v>
      </c>
    </row>
    <row r="35" spans="1:3" ht="13.5" thickBot="1" x14ac:dyDescent="0.25">
      <c r="A35" s="3">
        <v>6882</v>
      </c>
      <c r="B35" s="27">
        <v>45292.998865740738</v>
      </c>
      <c r="C35" s="3" t="s">
        <v>3</v>
      </c>
    </row>
    <row r="36" spans="1:3" ht="13.5" thickBot="1" x14ac:dyDescent="0.25">
      <c r="A36" s="3">
        <v>3533</v>
      </c>
      <c r="B36" s="27">
        <v>45293.032569444447</v>
      </c>
      <c r="C36" s="3" t="s">
        <v>3</v>
      </c>
    </row>
    <row r="37" spans="1:3" ht="13.5" thickBot="1" x14ac:dyDescent="0.25">
      <c r="A37" s="3">
        <v>5872</v>
      </c>
      <c r="B37" s="27">
        <v>45293.088865740741</v>
      </c>
      <c r="C37" s="3" t="s">
        <v>4</v>
      </c>
    </row>
    <row r="38" spans="1:3" ht="13.5" thickBot="1" x14ac:dyDescent="0.25">
      <c r="A38" s="3">
        <v>6868</v>
      </c>
      <c r="B38" s="27">
        <v>45293.092546296299</v>
      </c>
      <c r="C38" s="3" t="s">
        <v>3</v>
      </c>
    </row>
    <row r="39" spans="1:3" ht="13.5" thickBot="1" x14ac:dyDescent="0.25">
      <c r="A39" s="3">
        <v>2993</v>
      </c>
      <c r="B39" s="27">
        <v>45293.102233796293</v>
      </c>
      <c r="C39" s="3" t="s">
        <v>3</v>
      </c>
    </row>
    <row r="40" spans="1:3" ht="13.5" thickBot="1" x14ac:dyDescent="0.25">
      <c r="A40" s="3">
        <v>6156</v>
      </c>
      <c r="B40" s="27">
        <v>45293.112569444442</v>
      </c>
      <c r="C40" s="3" t="s">
        <v>3</v>
      </c>
    </row>
    <row r="41" spans="1:3" ht="13.5" thickBot="1" x14ac:dyDescent="0.25">
      <c r="A41" s="3">
        <v>3632</v>
      </c>
      <c r="B41" s="27">
        <v>45293.114918981482</v>
      </c>
      <c r="C41" s="3" t="s">
        <v>3</v>
      </c>
    </row>
    <row r="42" spans="1:3" ht="13.5" thickBot="1" x14ac:dyDescent="0.25">
      <c r="A42" s="3">
        <v>6275</v>
      </c>
      <c r="B42" s="27">
        <v>45293.130266203705</v>
      </c>
      <c r="C42" s="3" t="s">
        <v>4</v>
      </c>
    </row>
    <row r="43" spans="1:3" ht="13.5" thickBot="1" x14ac:dyDescent="0.25">
      <c r="A43" s="3">
        <v>5186</v>
      </c>
      <c r="B43" s="27">
        <v>45293.135451388887</v>
      </c>
      <c r="C43" s="3" t="s">
        <v>4</v>
      </c>
    </row>
    <row r="44" spans="1:3" ht="13.5" thickBot="1" x14ac:dyDescent="0.25">
      <c r="A44" s="3">
        <v>5060</v>
      </c>
      <c r="B44" s="27">
        <v>45293.140543981484</v>
      </c>
      <c r="C44" s="3" t="s">
        <v>3</v>
      </c>
    </row>
    <row r="45" spans="1:3" ht="13.5" thickBot="1" x14ac:dyDescent="0.25">
      <c r="A45" s="3">
        <v>3432</v>
      </c>
      <c r="B45" s="27">
        <v>45293.216597222221</v>
      </c>
      <c r="C45" s="3" t="s">
        <v>3</v>
      </c>
    </row>
    <row r="46" spans="1:3" ht="13.5" thickBot="1" x14ac:dyDescent="0.25">
      <c r="A46" s="3">
        <v>6920</v>
      </c>
      <c r="B46" s="27">
        <v>45293.228541666664</v>
      </c>
      <c r="C46" s="3" t="s">
        <v>3</v>
      </c>
    </row>
    <row r="47" spans="1:3" ht="13.5" thickBot="1" x14ac:dyDescent="0.25">
      <c r="A47" s="3">
        <v>2570</v>
      </c>
      <c r="B47" s="27">
        <v>45293.23605324074</v>
      </c>
      <c r="C47" s="3" t="s">
        <v>3</v>
      </c>
    </row>
    <row r="48" spans="1:3" ht="13.5" thickBot="1" x14ac:dyDescent="0.25">
      <c r="A48" s="3">
        <v>6536</v>
      </c>
      <c r="B48" s="27">
        <v>45293.240613425929</v>
      </c>
      <c r="C48" s="3" t="s">
        <v>6</v>
      </c>
    </row>
    <row r="49" spans="1:3" ht="13.5" thickBot="1" x14ac:dyDescent="0.25">
      <c r="A49" s="3">
        <v>7263</v>
      </c>
      <c r="B49" s="27">
        <v>45293.247395833336</v>
      </c>
      <c r="C49" s="3" t="s">
        <v>3</v>
      </c>
    </row>
    <row r="50" spans="1:3" ht="13.5" thickBot="1" x14ac:dyDescent="0.25">
      <c r="A50" s="3">
        <v>6920</v>
      </c>
      <c r="B50" s="27">
        <v>45293.330891203703</v>
      </c>
      <c r="C50" s="3" t="s">
        <v>4</v>
      </c>
    </row>
    <row r="51" spans="1:3" ht="13.5" thickBot="1" x14ac:dyDescent="0.25">
      <c r="A51" s="3">
        <v>5781</v>
      </c>
      <c r="B51" s="27">
        <v>45293.346261574072</v>
      </c>
      <c r="C51" s="3" t="s">
        <v>3</v>
      </c>
    </row>
    <row r="52" spans="1:3" ht="13.5" thickBot="1" x14ac:dyDescent="0.25">
      <c r="A52" s="3">
        <v>6666</v>
      </c>
      <c r="B52" s="27">
        <v>45293.395532407405</v>
      </c>
      <c r="C52" s="3" t="s">
        <v>3</v>
      </c>
    </row>
    <row r="53" spans="1:3" ht="13.5" thickBot="1" x14ac:dyDescent="0.25">
      <c r="A53" s="3">
        <v>2011</v>
      </c>
      <c r="B53" s="27">
        <v>45293.445891203701</v>
      </c>
      <c r="C53" s="3" t="s">
        <v>3</v>
      </c>
    </row>
    <row r="54" spans="1:3" ht="13.5" thickBot="1" x14ac:dyDescent="0.25">
      <c r="A54" s="3">
        <v>4428</v>
      </c>
      <c r="B54" s="27">
        <v>45293.488055555557</v>
      </c>
      <c r="C54" s="3" t="s">
        <v>3</v>
      </c>
    </row>
    <row r="55" spans="1:3" ht="13.5" thickBot="1" x14ac:dyDescent="0.25">
      <c r="A55" s="3">
        <v>6130</v>
      </c>
      <c r="B55" s="27">
        <v>45293.500613425924</v>
      </c>
      <c r="C55" s="3" t="s">
        <v>4</v>
      </c>
    </row>
    <row r="56" spans="1:3" ht="13.5" thickBot="1" x14ac:dyDescent="0.25">
      <c r="A56" s="3">
        <v>7437</v>
      </c>
      <c r="B56" s="27">
        <v>45293.572766203702</v>
      </c>
      <c r="C56" s="3" t="s">
        <v>4</v>
      </c>
    </row>
    <row r="57" spans="1:3" ht="13.5" thickBot="1" x14ac:dyDescent="0.25">
      <c r="A57" s="3">
        <v>6536</v>
      </c>
      <c r="B57" s="27">
        <v>45293.594571759262</v>
      </c>
      <c r="C57" s="3" t="s">
        <v>4</v>
      </c>
    </row>
    <row r="58" spans="1:3" ht="13.5" thickBot="1" x14ac:dyDescent="0.25">
      <c r="A58" s="3">
        <v>1664</v>
      </c>
      <c r="B58" s="27">
        <v>45293.604386574072</v>
      </c>
      <c r="C58" s="3" t="s">
        <v>3</v>
      </c>
    </row>
    <row r="59" spans="1:3" ht="13.5" thickBot="1" x14ac:dyDescent="0.25">
      <c r="A59" s="3">
        <v>2871</v>
      </c>
      <c r="B59" s="27">
        <v>45293.699606481481</v>
      </c>
      <c r="C59" s="3" t="s">
        <v>4</v>
      </c>
    </row>
    <row r="60" spans="1:3" ht="13.5" thickBot="1" x14ac:dyDescent="0.25">
      <c r="A60" s="3">
        <v>7649</v>
      </c>
      <c r="B60" s="27">
        <v>45293.732037037036</v>
      </c>
      <c r="C60" s="3" t="s">
        <v>3</v>
      </c>
    </row>
    <row r="61" spans="1:3" ht="13.5" thickBot="1" x14ac:dyDescent="0.25">
      <c r="A61" s="3">
        <v>2570</v>
      </c>
      <c r="B61" s="27">
        <v>45293.762199074074</v>
      </c>
      <c r="C61" s="3" t="s">
        <v>4</v>
      </c>
    </row>
    <row r="62" spans="1:3" ht="13.5" thickBot="1" x14ac:dyDescent="0.25">
      <c r="A62" s="3">
        <v>7602</v>
      </c>
      <c r="B62" s="27">
        <v>45293.769143518519</v>
      </c>
      <c r="C62" s="3" t="s">
        <v>5</v>
      </c>
    </row>
    <row r="63" spans="1:3" ht="13.5" thickBot="1" x14ac:dyDescent="0.25">
      <c r="A63" s="3">
        <v>7602</v>
      </c>
      <c r="B63" s="27">
        <v>45293.782881944448</v>
      </c>
      <c r="C63" s="3" t="s">
        <v>7</v>
      </c>
    </row>
    <row r="64" spans="1:3" ht="13.5" thickBot="1" x14ac:dyDescent="0.25">
      <c r="A64" s="3">
        <v>5888</v>
      </c>
      <c r="B64" s="27">
        <v>45293.800810185188</v>
      </c>
      <c r="C64" s="3" t="s">
        <v>4</v>
      </c>
    </row>
    <row r="65" spans="1:3" ht="13.5" thickBot="1" x14ac:dyDescent="0.25">
      <c r="A65" s="3">
        <v>2405</v>
      </c>
      <c r="B65" s="27">
        <v>45293.827835648146</v>
      </c>
      <c r="C65" s="3" t="s">
        <v>4</v>
      </c>
    </row>
    <row r="66" spans="1:3" ht="13.5" thickBot="1" x14ac:dyDescent="0.25">
      <c r="A66" s="3">
        <v>5872</v>
      </c>
      <c r="B66" s="27">
        <v>45293.831921296296</v>
      </c>
      <c r="C66" s="3" t="s">
        <v>3</v>
      </c>
    </row>
    <row r="67" spans="1:3" ht="13.5" thickBot="1" x14ac:dyDescent="0.25">
      <c r="A67" s="3">
        <v>4251</v>
      </c>
      <c r="B67" s="27">
        <v>45293.856516203705</v>
      </c>
      <c r="C67" s="3" t="s">
        <v>3</v>
      </c>
    </row>
    <row r="68" spans="1:3" ht="13.5" thickBot="1" x14ac:dyDescent="0.25">
      <c r="A68" s="3">
        <v>6571</v>
      </c>
      <c r="B68" s="27">
        <v>45293.879965277774</v>
      </c>
      <c r="C68" s="3" t="s">
        <v>3</v>
      </c>
    </row>
    <row r="69" spans="1:3" ht="13.5" thickBot="1" x14ac:dyDescent="0.25">
      <c r="A69" s="3">
        <v>5565</v>
      </c>
      <c r="B69" s="27">
        <v>45293.886041666665</v>
      </c>
      <c r="C69" s="3" t="s">
        <v>3</v>
      </c>
    </row>
    <row r="70" spans="1:3" ht="13.5" thickBot="1" x14ac:dyDescent="0.25">
      <c r="A70" s="3">
        <v>5828</v>
      </c>
      <c r="B70" s="27">
        <v>45293.931296296294</v>
      </c>
      <c r="C70" s="3" t="s">
        <v>3</v>
      </c>
    </row>
    <row r="71" spans="1:3" ht="13.5" thickBot="1" x14ac:dyDescent="0.25">
      <c r="A71" s="3">
        <v>6130</v>
      </c>
      <c r="B71" s="27">
        <v>45293.937534722223</v>
      </c>
      <c r="C71" s="3" t="s">
        <v>3</v>
      </c>
    </row>
    <row r="72" spans="1:3" ht="13.5" thickBot="1" x14ac:dyDescent="0.25">
      <c r="A72" s="3">
        <v>5828</v>
      </c>
      <c r="B72" s="27">
        <v>45293.94327546296</v>
      </c>
      <c r="C72" s="3" t="s">
        <v>5</v>
      </c>
    </row>
    <row r="73" spans="1:3" ht="13.5" thickBot="1" x14ac:dyDescent="0.25">
      <c r="A73" s="3">
        <v>7337</v>
      </c>
      <c r="B73" s="27">
        <v>45294.004212962966</v>
      </c>
      <c r="C73" s="3" t="s">
        <v>3</v>
      </c>
    </row>
    <row r="74" spans="1:3" ht="13.5" thickBot="1" x14ac:dyDescent="0.25">
      <c r="A74" s="3">
        <v>7967</v>
      </c>
      <c r="B74" s="27">
        <v>45294.016539351855</v>
      </c>
      <c r="C74" s="3" t="s">
        <v>3</v>
      </c>
    </row>
    <row r="75" spans="1:3" ht="13.5" thickBot="1" x14ac:dyDescent="0.25">
      <c r="A75" s="3">
        <v>6019</v>
      </c>
      <c r="B75" s="27">
        <v>45294.039050925923</v>
      </c>
      <c r="C75" s="3" t="s">
        <v>4</v>
      </c>
    </row>
    <row r="76" spans="1:3" ht="13.5" thickBot="1" x14ac:dyDescent="0.25">
      <c r="A76" s="3">
        <v>7489</v>
      </c>
      <c r="B76" s="27">
        <v>45294.043923611112</v>
      </c>
      <c r="C76" s="3" t="s">
        <v>3</v>
      </c>
    </row>
    <row r="77" spans="1:3" ht="13.5" thickBot="1" x14ac:dyDescent="0.25">
      <c r="A77" s="3">
        <v>4797</v>
      </c>
      <c r="B77" s="27">
        <v>45294.049131944441</v>
      </c>
      <c r="C77" s="3" t="s">
        <v>5</v>
      </c>
    </row>
    <row r="78" spans="1:3" ht="13.5" thickBot="1" x14ac:dyDescent="0.25">
      <c r="A78" s="3">
        <v>7058</v>
      </c>
      <c r="B78" s="27">
        <v>45294.05064814815</v>
      </c>
      <c r="C78" s="3" t="s">
        <v>3</v>
      </c>
    </row>
    <row r="79" spans="1:3" ht="13.5" thickBot="1" x14ac:dyDescent="0.25">
      <c r="A79" s="3">
        <v>6829</v>
      </c>
      <c r="B79" s="27">
        <v>45294.056863425925</v>
      </c>
      <c r="C79" s="3" t="s">
        <v>3</v>
      </c>
    </row>
    <row r="80" spans="1:3" ht="13.5" thickBot="1" x14ac:dyDescent="0.25">
      <c r="A80" s="3">
        <v>965</v>
      </c>
      <c r="B80" s="27">
        <v>45294.066053240742</v>
      </c>
      <c r="C80" s="3" t="s">
        <v>3</v>
      </c>
    </row>
    <row r="81" spans="1:3" ht="13.5" thickBot="1" x14ac:dyDescent="0.25">
      <c r="A81" s="3">
        <v>7643</v>
      </c>
      <c r="B81" s="27">
        <v>45294.068518518521</v>
      </c>
      <c r="C81" s="3" t="s">
        <v>3</v>
      </c>
    </row>
    <row r="82" spans="1:3" ht="13.5" thickBot="1" x14ac:dyDescent="0.25">
      <c r="A82" s="3">
        <v>3255</v>
      </c>
      <c r="B82" s="27">
        <v>45294.077928240738</v>
      </c>
      <c r="C82" s="3" t="s">
        <v>3</v>
      </c>
    </row>
    <row r="83" spans="1:3" ht="13.5" thickBot="1" x14ac:dyDescent="0.25">
      <c r="A83" s="3">
        <v>4772</v>
      </c>
      <c r="B83" s="27">
        <v>45294.085752314815</v>
      </c>
      <c r="C83" s="3" t="s">
        <v>4</v>
      </c>
    </row>
    <row r="84" spans="1:3" ht="13.5" thickBot="1" x14ac:dyDescent="0.25">
      <c r="A84" s="3">
        <v>209</v>
      </c>
      <c r="B84" s="27">
        <v>45294.129305555558</v>
      </c>
      <c r="C84" s="3" t="s">
        <v>3</v>
      </c>
    </row>
    <row r="85" spans="1:3" ht="13.5" thickBot="1" x14ac:dyDescent="0.25">
      <c r="A85" s="3">
        <v>510</v>
      </c>
      <c r="B85" s="27">
        <v>45294.138368055559</v>
      </c>
      <c r="C85" s="3" t="s">
        <v>6</v>
      </c>
    </row>
    <row r="86" spans="1:3" ht="13.5" thickBot="1" x14ac:dyDescent="0.25">
      <c r="A86" s="3">
        <v>3273</v>
      </c>
      <c r="B86" s="27">
        <v>45294.138368055559</v>
      </c>
      <c r="C86" s="3" t="s">
        <v>4</v>
      </c>
    </row>
    <row r="87" spans="1:3" ht="13.5" thickBot="1" x14ac:dyDescent="0.25">
      <c r="A87" s="3">
        <v>4772</v>
      </c>
      <c r="B87" s="27">
        <v>45294.164456018516</v>
      </c>
      <c r="C87" s="3" t="s">
        <v>3</v>
      </c>
    </row>
    <row r="88" spans="1:3" ht="13.5" thickBot="1" x14ac:dyDescent="0.25">
      <c r="A88" s="3">
        <v>5872</v>
      </c>
      <c r="B88" s="27">
        <v>45294.180185185185</v>
      </c>
      <c r="C88" s="3" t="s">
        <v>6</v>
      </c>
    </row>
    <row r="89" spans="1:3" ht="13.5" thickBot="1" x14ac:dyDescent="0.25">
      <c r="A89" s="3">
        <v>6921</v>
      </c>
      <c r="B89" s="27">
        <v>45294.187418981484</v>
      </c>
      <c r="C89" s="3" t="s">
        <v>3</v>
      </c>
    </row>
    <row r="90" spans="1:3" ht="13.5" thickBot="1" x14ac:dyDescent="0.25">
      <c r="A90" s="3">
        <v>5489</v>
      </c>
      <c r="B90" s="27">
        <v>45294.191701388889</v>
      </c>
      <c r="C90" s="3" t="s">
        <v>4</v>
      </c>
    </row>
    <row r="91" spans="1:3" ht="13.5" thickBot="1" x14ac:dyDescent="0.25">
      <c r="A91" s="3">
        <v>504</v>
      </c>
      <c r="B91" s="27">
        <v>45294.217141203706</v>
      </c>
      <c r="C91" s="3" t="s">
        <v>3</v>
      </c>
    </row>
    <row r="92" spans="1:3" ht="13.5" thickBot="1" x14ac:dyDescent="0.25">
      <c r="A92" s="3">
        <v>577</v>
      </c>
      <c r="B92" s="27">
        <v>45294.217893518522</v>
      </c>
      <c r="C92" s="3" t="s">
        <v>3</v>
      </c>
    </row>
    <row r="93" spans="1:3" ht="13.5" thickBot="1" x14ac:dyDescent="0.25">
      <c r="A93" s="3">
        <v>7811</v>
      </c>
      <c r="B93" s="27">
        <v>45294.227442129632</v>
      </c>
      <c r="C93" s="3" t="s">
        <v>4</v>
      </c>
    </row>
    <row r="94" spans="1:3" ht="13.5" thickBot="1" x14ac:dyDescent="0.25">
      <c r="A94" s="3">
        <v>1374</v>
      </c>
      <c r="B94" s="27">
        <v>45294.250856481478</v>
      </c>
      <c r="C94" s="3" t="s">
        <v>4</v>
      </c>
    </row>
    <row r="95" spans="1:3" ht="13.5" thickBot="1" x14ac:dyDescent="0.25">
      <c r="A95" s="3">
        <v>510</v>
      </c>
      <c r="B95" s="27">
        <v>45294.264780092592</v>
      </c>
      <c r="C95" s="3" t="s">
        <v>7</v>
      </c>
    </row>
    <row r="96" spans="1:3" ht="13.5" thickBot="1" x14ac:dyDescent="0.25">
      <c r="A96" s="3">
        <v>4032</v>
      </c>
      <c r="B96" s="27">
        <v>45294.294756944444</v>
      </c>
      <c r="C96" s="3" t="s">
        <v>3</v>
      </c>
    </row>
    <row r="97" spans="1:3" ht="13.5" thickBot="1" x14ac:dyDescent="0.25">
      <c r="A97" s="3">
        <v>2993</v>
      </c>
      <c r="B97" s="27">
        <v>45294.304085648146</v>
      </c>
      <c r="C97" s="3" t="s">
        <v>4</v>
      </c>
    </row>
    <row r="98" spans="1:3" ht="13.5" thickBot="1" x14ac:dyDescent="0.25">
      <c r="A98" s="3">
        <v>1704</v>
      </c>
      <c r="B98" s="27">
        <v>45294.310393518521</v>
      </c>
      <c r="C98" s="3" t="s">
        <v>3</v>
      </c>
    </row>
    <row r="99" spans="1:3" ht="13.5" thickBot="1" x14ac:dyDescent="0.25">
      <c r="A99" s="3">
        <v>7489</v>
      </c>
      <c r="B99" s="27">
        <v>45294.31795138889</v>
      </c>
      <c r="C99" s="3" t="s">
        <v>4</v>
      </c>
    </row>
    <row r="100" spans="1:3" ht="13.5" thickBot="1" x14ac:dyDescent="0.25">
      <c r="A100" s="3">
        <v>6019</v>
      </c>
      <c r="B100" s="27">
        <v>45294.377233796295</v>
      </c>
      <c r="C100" s="3" t="s">
        <v>3</v>
      </c>
    </row>
    <row r="101" spans="1:3" ht="13.5" thickBot="1" x14ac:dyDescent="0.25">
      <c r="A101" s="3">
        <v>4499</v>
      </c>
      <c r="B101" s="27">
        <v>45294.379467592589</v>
      </c>
      <c r="C101" s="3" t="s">
        <v>3</v>
      </c>
    </row>
    <row r="102" spans="1:3" ht="13.5" thickBot="1" x14ac:dyDescent="0.25">
      <c r="A102" s="3">
        <v>5781</v>
      </c>
      <c r="B102" s="27">
        <v>45294.381805555553</v>
      </c>
      <c r="C102" s="3" t="s">
        <v>5</v>
      </c>
    </row>
    <row r="103" spans="1:3" ht="13.5" thickBot="1" x14ac:dyDescent="0.25">
      <c r="A103" s="3">
        <v>1664</v>
      </c>
      <c r="B103" s="27">
        <v>45294.402222222219</v>
      </c>
      <c r="C103" s="3" t="s">
        <v>4</v>
      </c>
    </row>
    <row r="104" spans="1:3" ht="13.5" thickBot="1" x14ac:dyDescent="0.25">
      <c r="A104" s="3">
        <v>141</v>
      </c>
      <c r="B104" s="27">
        <v>45294.434814814813</v>
      </c>
      <c r="C104" s="3" t="s">
        <v>3</v>
      </c>
    </row>
    <row r="105" spans="1:3" ht="13.5" thickBot="1" x14ac:dyDescent="0.25">
      <c r="A105" s="3">
        <v>4321</v>
      </c>
      <c r="B105" s="27">
        <v>45294.4684837963</v>
      </c>
      <c r="C105" s="3" t="s">
        <v>4</v>
      </c>
    </row>
    <row r="106" spans="1:3" ht="13.5" thickBot="1" x14ac:dyDescent="0.25">
      <c r="A106" s="3">
        <v>4338</v>
      </c>
      <c r="B106" s="27">
        <v>45294.524768518517</v>
      </c>
      <c r="C106" s="3" t="s">
        <v>3</v>
      </c>
    </row>
    <row r="107" spans="1:3" ht="13.5" thickBot="1" x14ac:dyDescent="0.25">
      <c r="A107" s="3">
        <v>4797</v>
      </c>
      <c r="B107" s="27">
        <v>45294.542719907404</v>
      </c>
      <c r="C107" s="3" t="s">
        <v>3</v>
      </c>
    </row>
    <row r="108" spans="1:3" ht="13.5" thickBot="1" x14ac:dyDescent="0.25">
      <c r="A108" s="3">
        <v>4797</v>
      </c>
      <c r="B108" s="27">
        <v>45294.570196759261</v>
      </c>
      <c r="C108" s="3" t="s">
        <v>4</v>
      </c>
    </row>
    <row r="109" spans="1:3" ht="13.5" thickBot="1" x14ac:dyDescent="0.25">
      <c r="A109" s="3">
        <v>1314</v>
      </c>
      <c r="B109" s="27">
        <v>45294.578182870369</v>
      </c>
      <c r="C109" s="3" t="s">
        <v>3</v>
      </c>
    </row>
    <row r="110" spans="1:3" ht="13.5" thickBot="1" x14ac:dyDescent="0.25">
      <c r="A110" s="3">
        <v>7811</v>
      </c>
      <c r="B110" s="27">
        <v>45294.578750000001</v>
      </c>
      <c r="C110" s="3" t="s">
        <v>3</v>
      </c>
    </row>
    <row r="111" spans="1:3" ht="13.5" thickBot="1" x14ac:dyDescent="0.25">
      <c r="A111" s="3">
        <v>1058</v>
      </c>
      <c r="B111" s="27">
        <v>45294.597534722219</v>
      </c>
      <c r="C111" s="3" t="s">
        <v>5</v>
      </c>
    </row>
    <row r="112" spans="1:3" ht="13.5" thickBot="1" x14ac:dyDescent="0.25">
      <c r="A112" s="3">
        <v>2217</v>
      </c>
      <c r="B112" s="27">
        <v>45294.622824074075</v>
      </c>
      <c r="C112" s="3" t="s">
        <v>3</v>
      </c>
    </row>
    <row r="113" spans="1:3" ht="13.5" thickBot="1" x14ac:dyDescent="0.25">
      <c r="A113" s="3">
        <v>209</v>
      </c>
      <c r="B113" s="27">
        <v>45294.623715277776</v>
      </c>
      <c r="C113" s="3" t="s">
        <v>4</v>
      </c>
    </row>
    <row r="114" spans="1:3" ht="13.5" thickBot="1" x14ac:dyDescent="0.25">
      <c r="A114" s="3">
        <v>7807</v>
      </c>
      <c r="B114" s="27">
        <v>45294.627337962964</v>
      </c>
      <c r="C114" s="3" t="s">
        <v>3</v>
      </c>
    </row>
    <row r="115" spans="1:3" ht="13.5" thickBot="1" x14ac:dyDescent="0.25">
      <c r="A115" s="3">
        <v>577</v>
      </c>
      <c r="B115" s="27">
        <v>45294.660578703704</v>
      </c>
      <c r="C115" s="3" t="s">
        <v>5</v>
      </c>
    </row>
    <row r="116" spans="1:3" ht="13.5" thickBot="1" x14ac:dyDescent="0.25">
      <c r="A116" s="3">
        <v>6275</v>
      </c>
      <c r="B116" s="27">
        <v>45294.662708333337</v>
      </c>
      <c r="C116" s="3" t="s">
        <v>6</v>
      </c>
    </row>
    <row r="117" spans="1:3" ht="13.5" thickBot="1" x14ac:dyDescent="0.25">
      <c r="A117" s="3">
        <v>7937</v>
      </c>
      <c r="B117" s="27">
        <v>45294.727013888885</v>
      </c>
      <c r="C117" s="3" t="s">
        <v>4</v>
      </c>
    </row>
    <row r="118" spans="1:3" ht="13.5" thickBot="1" x14ac:dyDescent="0.25">
      <c r="A118" s="3">
        <v>510</v>
      </c>
      <c r="B118" s="27">
        <v>45294.736319444448</v>
      </c>
      <c r="C118" s="3" t="s">
        <v>4</v>
      </c>
    </row>
    <row r="119" spans="1:3" ht="13.5" thickBot="1" x14ac:dyDescent="0.25">
      <c r="A119" s="3">
        <v>6560</v>
      </c>
      <c r="B119" s="27">
        <v>45294.743738425925</v>
      </c>
      <c r="C119" s="3" t="s">
        <v>3</v>
      </c>
    </row>
    <row r="120" spans="1:3" ht="13.5" thickBot="1" x14ac:dyDescent="0.25">
      <c r="A120" s="3">
        <v>3533</v>
      </c>
      <c r="B120" s="27">
        <v>45294.753622685188</v>
      </c>
      <c r="C120" s="3" t="s">
        <v>7</v>
      </c>
    </row>
    <row r="121" spans="1:3" ht="13.5" thickBot="1" x14ac:dyDescent="0.25">
      <c r="A121" s="3">
        <v>211</v>
      </c>
      <c r="B121" s="27">
        <v>45294.761574074073</v>
      </c>
      <c r="C121" s="3" t="s">
        <v>4</v>
      </c>
    </row>
    <row r="122" spans="1:3" ht="13.5" thickBot="1" x14ac:dyDescent="0.25">
      <c r="A122" s="3">
        <v>3575</v>
      </c>
      <c r="B122" s="27">
        <v>45294.764618055553</v>
      </c>
      <c r="C122" s="3" t="s">
        <v>3</v>
      </c>
    </row>
    <row r="123" spans="1:3" ht="13.5" thickBot="1" x14ac:dyDescent="0.25">
      <c r="A123" s="3">
        <v>5828</v>
      </c>
      <c r="B123" s="27">
        <v>45294.805694444447</v>
      </c>
      <c r="C123" s="3" t="s">
        <v>4</v>
      </c>
    </row>
    <row r="124" spans="1:3" ht="13.5" thickBot="1" x14ac:dyDescent="0.25">
      <c r="A124" s="3">
        <v>5147</v>
      </c>
      <c r="B124" s="27">
        <v>45294.848703703705</v>
      </c>
      <c r="C124" s="3" t="s">
        <v>3</v>
      </c>
    </row>
    <row r="125" spans="1:3" ht="13.5" thickBot="1" x14ac:dyDescent="0.25">
      <c r="A125" s="3">
        <v>4321</v>
      </c>
      <c r="B125" s="27">
        <v>45294.90552083333</v>
      </c>
      <c r="C125" s="3" t="s">
        <v>3</v>
      </c>
    </row>
    <row r="126" spans="1:3" ht="13.5" thickBot="1" x14ac:dyDescent="0.25">
      <c r="A126" s="3">
        <v>3255</v>
      </c>
      <c r="B126" s="27">
        <v>45294.906967592593</v>
      </c>
      <c r="C126" s="3" t="s">
        <v>4</v>
      </c>
    </row>
    <row r="127" spans="1:3" ht="13.5" thickBot="1" x14ac:dyDescent="0.25">
      <c r="A127" s="3">
        <v>6536</v>
      </c>
      <c r="B127" s="27">
        <v>45294.918622685182</v>
      </c>
      <c r="C127" s="3" t="s">
        <v>5</v>
      </c>
    </row>
    <row r="128" spans="1:3" ht="13.5" thickBot="1" x14ac:dyDescent="0.25">
      <c r="A128" s="3">
        <v>3419</v>
      </c>
      <c r="B128" s="27">
        <v>45294.925833333335</v>
      </c>
      <c r="C128" s="3" t="s">
        <v>5</v>
      </c>
    </row>
    <row r="129" spans="1:3" ht="13.5" thickBot="1" x14ac:dyDescent="0.25">
      <c r="A129" s="3">
        <v>5489</v>
      </c>
      <c r="B129" s="27">
        <v>45294.937326388892</v>
      </c>
      <c r="C129" s="3" t="s">
        <v>3</v>
      </c>
    </row>
    <row r="130" spans="1:3" ht="13.5" thickBot="1" x14ac:dyDescent="0.25">
      <c r="A130" s="3">
        <v>5147</v>
      </c>
      <c r="B130" s="27">
        <v>45294.948506944442</v>
      </c>
      <c r="C130" s="3" t="s">
        <v>4</v>
      </c>
    </row>
    <row r="131" spans="1:3" ht="13.5" thickBot="1" x14ac:dyDescent="0.25">
      <c r="A131" s="3">
        <v>3221</v>
      </c>
      <c r="B131" s="27">
        <v>45294.948981481481</v>
      </c>
      <c r="C131" s="3" t="s">
        <v>3</v>
      </c>
    </row>
    <row r="132" spans="1:3" ht="13.5" thickBot="1" x14ac:dyDescent="0.25">
      <c r="A132" s="3">
        <v>1058</v>
      </c>
      <c r="B132" s="27">
        <v>45294.958391203705</v>
      </c>
      <c r="C132" s="3" t="s">
        <v>3</v>
      </c>
    </row>
    <row r="133" spans="1:3" ht="13.5" thickBot="1" x14ac:dyDescent="0.25">
      <c r="A133" s="3">
        <v>7950</v>
      </c>
      <c r="B133" s="27">
        <v>45294.962256944447</v>
      </c>
      <c r="C133" s="3" t="s">
        <v>3</v>
      </c>
    </row>
    <row r="134" spans="1:3" ht="13.5" thickBot="1" x14ac:dyDescent="0.25">
      <c r="A134" s="3">
        <v>2970</v>
      </c>
      <c r="B134" s="27">
        <v>45294.969259259262</v>
      </c>
      <c r="C134" s="3" t="s">
        <v>3</v>
      </c>
    </row>
    <row r="135" spans="1:3" ht="13.5" thickBot="1" x14ac:dyDescent="0.25">
      <c r="A135" s="3">
        <v>7003</v>
      </c>
      <c r="B135" s="27">
        <v>45295.004131944443</v>
      </c>
      <c r="C135" s="3" t="s">
        <v>3</v>
      </c>
    </row>
    <row r="136" spans="1:3" ht="13.5" thickBot="1" x14ac:dyDescent="0.25">
      <c r="A136" s="3">
        <v>5307</v>
      </c>
      <c r="B136" s="27">
        <v>45295.013344907406</v>
      </c>
      <c r="C136" s="3" t="s">
        <v>4</v>
      </c>
    </row>
    <row r="137" spans="1:3" ht="13.5" thickBot="1" x14ac:dyDescent="0.25">
      <c r="A137" s="3">
        <v>6612</v>
      </c>
      <c r="B137" s="27">
        <v>45295.023425925923</v>
      </c>
      <c r="C137" s="3" t="s">
        <v>3</v>
      </c>
    </row>
    <row r="138" spans="1:3" ht="13.5" thickBot="1" x14ac:dyDescent="0.25">
      <c r="A138" s="3">
        <v>5781</v>
      </c>
      <c r="B138" s="27">
        <v>45295.030081018522</v>
      </c>
      <c r="C138" s="3" t="s">
        <v>7</v>
      </c>
    </row>
    <row r="139" spans="1:3" ht="13.5" thickBot="1" x14ac:dyDescent="0.25">
      <c r="A139" s="3">
        <v>4512</v>
      </c>
      <c r="B139" s="27">
        <v>45295.03733796296</v>
      </c>
      <c r="C139" s="3" t="s">
        <v>3</v>
      </c>
    </row>
    <row r="140" spans="1:3" ht="13.5" thickBot="1" x14ac:dyDescent="0.25">
      <c r="A140" s="3">
        <v>3533</v>
      </c>
      <c r="B140" s="27">
        <v>45295.043946759259</v>
      </c>
      <c r="C140" s="3" t="s">
        <v>4</v>
      </c>
    </row>
    <row r="141" spans="1:3" ht="13.5" thickBot="1" x14ac:dyDescent="0.25">
      <c r="A141" s="3">
        <v>504</v>
      </c>
      <c r="B141" s="27">
        <v>45295.071782407409</v>
      </c>
      <c r="C141" s="3" t="s">
        <v>5</v>
      </c>
    </row>
    <row r="142" spans="1:3" ht="13.5" thickBot="1" x14ac:dyDescent="0.25">
      <c r="A142" s="3">
        <v>2229</v>
      </c>
      <c r="B142" s="27">
        <v>45295.083460648151</v>
      </c>
      <c r="C142" s="3" t="s">
        <v>3</v>
      </c>
    </row>
    <row r="143" spans="1:3" ht="13.5" thickBot="1" x14ac:dyDescent="0.25">
      <c r="A143" s="3">
        <v>504</v>
      </c>
      <c r="B143" s="27">
        <v>45295.09957175926</v>
      </c>
      <c r="C143" s="3" t="s">
        <v>4</v>
      </c>
    </row>
    <row r="144" spans="1:3" ht="13.5" thickBot="1" x14ac:dyDescent="0.25">
      <c r="A144" s="3">
        <v>1374</v>
      </c>
      <c r="B144" s="27">
        <v>45295.119270833333</v>
      </c>
      <c r="C144" s="3" t="s">
        <v>6</v>
      </c>
    </row>
    <row r="145" spans="1:3" ht="13.5" thickBot="1" x14ac:dyDescent="0.25">
      <c r="A145" s="3">
        <v>3155</v>
      </c>
      <c r="B145" s="27">
        <v>45295.147280092591</v>
      </c>
      <c r="C145" s="3" t="s">
        <v>3</v>
      </c>
    </row>
    <row r="146" spans="1:3" ht="13.5" thickBot="1" x14ac:dyDescent="0.25">
      <c r="A146" s="3">
        <v>7990</v>
      </c>
      <c r="B146" s="27">
        <v>45295.169039351851</v>
      </c>
      <c r="C146" s="3" t="s">
        <v>4</v>
      </c>
    </row>
    <row r="147" spans="1:3" ht="13.5" thickBot="1" x14ac:dyDescent="0.25">
      <c r="A147" s="3">
        <v>7649</v>
      </c>
      <c r="B147" s="27">
        <v>45295.188657407409</v>
      </c>
      <c r="C147" s="3" t="s">
        <v>4</v>
      </c>
    </row>
    <row r="148" spans="1:3" ht="13.5" thickBot="1" x14ac:dyDescent="0.25">
      <c r="A148" s="3">
        <v>5668</v>
      </c>
      <c r="B148" s="27">
        <v>45295.19222222222</v>
      </c>
      <c r="C148" s="3" t="s">
        <v>3</v>
      </c>
    </row>
    <row r="149" spans="1:3" ht="13.5" thickBot="1" x14ac:dyDescent="0.25">
      <c r="A149" s="3">
        <v>5565</v>
      </c>
      <c r="B149" s="27">
        <v>45295.206226851849</v>
      </c>
      <c r="C149" s="3" t="s">
        <v>5</v>
      </c>
    </row>
    <row r="150" spans="1:3" ht="13.5" thickBot="1" x14ac:dyDescent="0.25">
      <c r="A150" s="3">
        <v>7987</v>
      </c>
      <c r="B150" s="27">
        <v>45295.238877314812</v>
      </c>
      <c r="C150" s="3" t="s">
        <v>3</v>
      </c>
    </row>
    <row r="151" spans="1:3" ht="13.5" thickBot="1" x14ac:dyDescent="0.25">
      <c r="A151" s="3">
        <v>5565</v>
      </c>
      <c r="B151" s="27">
        <v>45295.23946759259</v>
      </c>
      <c r="C151" s="3" t="s">
        <v>4</v>
      </c>
    </row>
    <row r="152" spans="1:3" ht="13.5" thickBot="1" x14ac:dyDescent="0.25">
      <c r="A152" s="3">
        <v>1639</v>
      </c>
      <c r="B152" s="27">
        <v>45295.253391203703</v>
      </c>
      <c r="C152" s="3" t="s">
        <v>4</v>
      </c>
    </row>
    <row r="153" spans="1:3" ht="13.5" thickBot="1" x14ac:dyDescent="0.25">
      <c r="A153" s="3">
        <v>4032</v>
      </c>
      <c r="B153" s="27">
        <v>45295.257025462961</v>
      </c>
      <c r="C153" s="3" t="s">
        <v>4</v>
      </c>
    </row>
    <row r="154" spans="1:3" ht="13.5" thickBot="1" x14ac:dyDescent="0.25">
      <c r="A154" s="3">
        <v>504</v>
      </c>
      <c r="B154" s="27">
        <v>45295.270046296297</v>
      </c>
      <c r="C154" s="3" t="s">
        <v>6</v>
      </c>
    </row>
    <row r="155" spans="1:3" ht="13.5" thickBot="1" x14ac:dyDescent="0.25">
      <c r="A155" s="3">
        <v>6013</v>
      </c>
      <c r="B155" s="27">
        <v>45295.294942129629</v>
      </c>
      <c r="C155" s="3" t="s">
        <v>3</v>
      </c>
    </row>
    <row r="156" spans="1:3" ht="13.5" thickBot="1" x14ac:dyDescent="0.25">
      <c r="A156" s="3">
        <v>4490</v>
      </c>
      <c r="B156" s="27">
        <v>45295.297789351855</v>
      </c>
      <c r="C156" s="3" t="s">
        <v>5</v>
      </c>
    </row>
    <row r="157" spans="1:3" ht="13.5" thickBot="1" x14ac:dyDescent="0.25">
      <c r="A157" s="3">
        <v>1314</v>
      </c>
      <c r="B157" s="27">
        <v>45295.321851851855</v>
      </c>
      <c r="C157" s="3" t="s">
        <v>6</v>
      </c>
    </row>
    <row r="158" spans="1:3" ht="13.5" thickBot="1" x14ac:dyDescent="0.25">
      <c r="A158" s="3">
        <v>5888</v>
      </c>
      <c r="B158" s="27">
        <v>45295.342951388891</v>
      </c>
      <c r="C158" s="3" t="s">
        <v>6</v>
      </c>
    </row>
    <row r="159" spans="1:3" ht="13.5" thickBot="1" x14ac:dyDescent="0.25">
      <c r="A159" s="3">
        <v>6794</v>
      </c>
      <c r="B159" s="27">
        <v>45295.34747685185</v>
      </c>
      <c r="C159" s="3" t="s">
        <v>3</v>
      </c>
    </row>
    <row r="160" spans="1:3" ht="13.5" thickBot="1" x14ac:dyDescent="0.25">
      <c r="A160" s="3">
        <v>3419</v>
      </c>
      <c r="B160" s="27">
        <v>45295.361655092594</v>
      </c>
      <c r="C160" s="3" t="s">
        <v>7</v>
      </c>
    </row>
    <row r="161" spans="1:3" ht="13.5" thickBot="1" x14ac:dyDescent="0.25">
      <c r="A161" s="3">
        <v>7990</v>
      </c>
      <c r="B161" s="27">
        <v>45295.361666666664</v>
      </c>
      <c r="C161" s="3" t="s">
        <v>3</v>
      </c>
    </row>
    <row r="162" spans="1:3" ht="13.5" thickBot="1" x14ac:dyDescent="0.25">
      <c r="A162" s="3">
        <v>7800</v>
      </c>
      <c r="B162" s="27">
        <v>45295.364050925928</v>
      </c>
      <c r="C162" s="3" t="s">
        <v>3</v>
      </c>
    </row>
    <row r="163" spans="1:3" ht="13.5" thickBot="1" x14ac:dyDescent="0.25">
      <c r="A163" s="3">
        <v>5307</v>
      </c>
      <c r="B163" s="27">
        <v>45295.381006944444</v>
      </c>
      <c r="C163" s="3" t="s">
        <v>3</v>
      </c>
    </row>
    <row r="164" spans="1:3" ht="13.5" thickBot="1" x14ac:dyDescent="0.25">
      <c r="A164" s="3">
        <v>7987</v>
      </c>
      <c r="B164" s="27">
        <v>45295.396585648145</v>
      </c>
      <c r="C164" s="3" t="s">
        <v>4</v>
      </c>
    </row>
    <row r="165" spans="1:3" ht="13.5" thickBot="1" x14ac:dyDescent="0.25">
      <c r="A165" s="3">
        <v>3805</v>
      </c>
      <c r="B165" s="27">
        <v>45295.403182870374</v>
      </c>
      <c r="C165" s="3" t="s">
        <v>3</v>
      </c>
    </row>
    <row r="166" spans="1:3" ht="13.5" thickBot="1" x14ac:dyDescent="0.25">
      <c r="A166" s="3">
        <v>3910</v>
      </c>
      <c r="B166" s="27">
        <v>45295.404849537037</v>
      </c>
      <c r="C166" s="3" t="s">
        <v>3</v>
      </c>
    </row>
    <row r="167" spans="1:3" ht="13.5" thickBot="1" x14ac:dyDescent="0.25">
      <c r="A167" s="3">
        <v>418</v>
      </c>
      <c r="B167" s="27">
        <v>45295.450601851851</v>
      </c>
      <c r="C167" s="3" t="s">
        <v>3</v>
      </c>
    </row>
    <row r="168" spans="1:3" ht="13.5" thickBot="1" x14ac:dyDescent="0.25">
      <c r="A168" s="3">
        <v>1704</v>
      </c>
      <c r="B168" s="27">
        <v>45295.468344907407</v>
      </c>
      <c r="C168" s="3" t="s">
        <v>6</v>
      </c>
    </row>
    <row r="169" spans="1:3" ht="13.5" thickBot="1" x14ac:dyDescent="0.25">
      <c r="A169" s="3">
        <v>1943</v>
      </c>
      <c r="B169" s="27">
        <v>45295.478877314818</v>
      </c>
      <c r="C169" s="3" t="s">
        <v>3</v>
      </c>
    </row>
    <row r="170" spans="1:3" ht="13.5" thickBot="1" x14ac:dyDescent="0.25">
      <c r="A170" s="3">
        <v>7767</v>
      </c>
      <c r="B170" s="27">
        <v>45295.482685185183</v>
      </c>
      <c r="C170" s="3" t="s">
        <v>3</v>
      </c>
    </row>
    <row r="171" spans="1:3" ht="13.5" thickBot="1" x14ac:dyDescent="0.25">
      <c r="A171" s="3">
        <v>6575</v>
      </c>
      <c r="B171" s="27">
        <v>45295.522002314814</v>
      </c>
      <c r="C171" s="3" t="s">
        <v>3</v>
      </c>
    </row>
    <row r="172" spans="1:3" ht="13.5" thickBot="1" x14ac:dyDescent="0.25">
      <c r="A172" s="3">
        <v>2881</v>
      </c>
      <c r="B172" s="27">
        <v>45295.538865740738</v>
      </c>
      <c r="C172" s="3" t="s">
        <v>3</v>
      </c>
    </row>
    <row r="173" spans="1:3" ht="13.5" thickBot="1" x14ac:dyDescent="0.25">
      <c r="A173" s="3">
        <v>3575</v>
      </c>
      <c r="B173" s="27">
        <v>45295.588645833333</v>
      </c>
      <c r="C173" s="3" t="s">
        <v>6</v>
      </c>
    </row>
    <row r="174" spans="1:3" ht="13.5" thickBot="1" x14ac:dyDescent="0.25">
      <c r="A174" s="3">
        <v>1704</v>
      </c>
      <c r="B174" s="27">
        <v>45295.592430555553</v>
      </c>
      <c r="C174" s="3" t="s">
        <v>4</v>
      </c>
    </row>
    <row r="175" spans="1:3" ht="13.5" thickBot="1" x14ac:dyDescent="0.25">
      <c r="A175" s="3">
        <v>6522</v>
      </c>
      <c r="B175" s="27">
        <v>45295.594942129632</v>
      </c>
      <c r="C175" s="3" t="s">
        <v>3</v>
      </c>
    </row>
    <row r="176" spans="1:3" ht="13.5" thickBot="1" x14ac:dyDescent="0.25">
      <c r="A176" s="3">
        <v>1374</v>
      </c>
      <c r="B176" s="27">
        <v>45295.601145833331</v>
      </c>
      <c r="C176" s="3" t="s">
        <v>5</v>
      </c>
    </row>
    <row r="177" spans="1:3" ht="13.5" thickBot="1" x14ac:dyDescent="0.25">
      <c r="A177" s="3">
        <v>1639</v>
      </c>
      <c r="B177" s="27">
        <v>45295.615613425929</v>
      </c>
      <c r="C177" s="3" t="s">
        <v>3</v>
      </c>
    </row>
    <row r="178" spans="1:3" ht="13.5" thickBot="1" x14ac:dyDescent="0.25">
      <c r="A178" s="3">
        <v>4499</v>
      </c>
      <c r="B178" s="27">
        <v>45295.621435185189</v>
      </c>
      <c r="C178" s="3" t="s">
        <v>4</v>
      </c>
    </row>
    <row r="179" spans="1:3" ht="13.5" thickBot="1" x14ac:dyDescent="0.25">
      <c r="A179" s="3">
        <v>4694</v>
      </c>
      <c r="B179" s="27">
        <v>45295.629849537036</v>
      </c>
      <c r="C179" s="3" t="s">
        <v>3</v>
      </c>
    </row>
    <row r="180" spans="1:3" ht="13.5" thickBot="1" x14ac:dyDescent="0.25">
      <c r="A180" s="3">
        <v>3575</v>
      </c>
      <c r="B180" s="27">
        <v>45295.647060185183</v>
      </c>
      <c r="C180" s="3" t="s">
        <v>4</v>
      </c>
    </row>
    <row r="181" spans="1:3" ht="13.5" thickBot="1" x14ac:dyDescent="0.25">
      <c r="A181" s="3">
        <v>4772</v>
      </c>
      <c r="B181" s="27">
        <v>45295.661168981482</v>
      </c>
      <c r="C181" s="3" t="s">
        <v>5</v>
      </c>
    </row>
    <row r="182" spans="1:3" ht="13.5" thickBot="1" x14ac:dyDescent="0.25">
      <c r="A182" s="3">
        <v>6339</v>
      </c>
      <c r="B182" s="27">
        <v>45295.666446759256</v>
      </c>
      <c r="C182" s="3" t="s">
        <v>3</v>
      </c>
    </row>
    <row r="183" spans="1:3" ht="13.5" thickBot="1" x14ac:dyDescent="0.25">
      <c r="A183" s="3">
        <v>2852</v>
      </c>
      <c r="B183" s="27">
        <v>45295.696875000001</v>
      </c>
      <c r="C183" s="3" t="s">
        <v>3</v>
      </c>
    </row>
    <row r="184" spans="1:3" ht="13.5" thickBot="1" x14ac:dyDescent="0.25">
      <c r="A184" s="3">
        <v>6266</v>
      </c>
      <c r="B184" s="27">
        <v>45295.700208333335</v>
      </c>
      <c r="C184" s="3" t="s">
        <v>3</v>
      </c>
    </row>
    <row r="185" spans="1:3" ht="13.5" thickBot="1" x14ac:dyDescent="0.25">
      <c r="A185" s="3">
        <v>5397</v>
      </c>
      <c r="B185" s="27">
        <v>45295.70653935185</v>
      </c>
      <c r="C185" s="3" t="s">
        <v>3</v>
      </c>
    </row>
    <row r="186" spans="1:3" ht="13.5" thickBot="1" x14ac:dyDescent="0.25">
      <c r="A186" s="3">
        <v>4598</v>
      </c>
      <c r="B186" s="27">
        <v>45295.711226851854</v>
      </c>
      <c r="C186" s="3" t="s">
        <v>3</v>
      </c>
    </row>
    <row r="187" spans="1:3" ht="13.5" thickBot="1" x14ac:dyDescent="0.25">
      <c r="A187" s="3">
        <v>2833</v>
      </c>
      <c r="B187" s="27">
        <v>45295.716365740744</v>
      </c>
      <c r="C187" s="3" t="s">
        <v>3</v>
      </c>
    </row>
    <row r="188" spans="1:3" ht="13.5" thickBot="1" x14ac:dyDescent="0.25">
      <c r="A188" s="3">
        <v>5415</v>
      </c>
      <c r="B188" s="27">
        <v>45295.716377314813</v>
      </c>
      <c r="C188" s="3" t="s">
        <v>3</v>
      </c>
    </row>
    <row r="189" spans="1:3" ht="13.5" thickBot="1" x14ac:dyDescent="0.25">
      <c r="A189" s="3">
        <v>7489</v>
      </c>
      <c r="B189" s="27">
        <v>45295.724097222221</v>
      </c>
      <c r="C189" s="3" t="s">
        <v>7</v>
      </c>
    </row>
    <row r="190" spans="1:3" ht="13.5" thickBot="1" x14ac:dyDescent="0.25">
      <c r="A190" s="3">
        <v>4592</v>
      </c>
      <c r="B190" s="27">
        <v>45295.807002314818</v>
      </c>
      <c r="C190" s="3" t="s">
        <v>3</v>
      </c>
    </row>
    <row r="191" spans="1:3" ht="13.5" thickBot="1" x14ac:dyDescent="0.25">
      <c r="A191" s="3">
        <v>3906</v>
      </c>
      <c r="B191" s="27">
        <v>45295.846921296295</v>
      </c>
      <c r="C191" s="3" t="s">
        <v>3</v>
      </c>
    </row>
    <row r="192" spans="1:3" ht="13.5" thickBot="1" x14ac:dyDescent="0.25">
      <c r="A192" s="3">
        <v>5702</v>
      </c>
      <c r="B192" s="27">
        <v>45295.861620370371</v>
      </c>
      <c r="C192" s="3" t="s">
        <v>3</v>
      </c>
    </row>
    <row r="193" spans="1:3" ht="13.5" thickBot="1" x14ac:dyDescent="0.25">
      <c r="A193" s="3">
        <v>5565</v>
      </c>
      <c r="B193" s="27">
        <v>45295.871458333335</v>
      </c>
      <c r="C193" s="3" t="s">
        <v>6</v>
      </c>
    </row>
    <row r="194" spans="1:3" ht="13.5" thickBot="1" x14ac:dyDescent="0.25">
      <c r="A194" s="3">
        <v>7990</v>
      </c>
      <c r="B194" s="27">
        <v>45295.87400462963</v>
      </c>
      <c r="C194" s="3" t="s">
        <v>5</v>
      </c>
    </row>
    <row r="195" spans="1:3" ht="13.5" thickBot="1" x14ac:dyDescent="0.25">
      <c r="A195" s="3">
        <v>765</v>
      </c>
      <c r="B195" s="27">
        <v>45295.887256944443</v>
      </c>
      <c r="C195" s="3" t="s">
        <v>4</v>
      </c>
    </row>
    <row r="196" spans="1:3" ht="13.5" thickBot="1" x14ac:dyDescent="0.25">
      <c r="A196" s="3">
        <v>2562</v>
      </c>
      <c r="B196" s="27">
        <v>45295.921701388892</v>
      </c>
      <c r="C196" s="3" t="s">
        <v>3</v>
      </c>
    </row>
    <row r="197" spans="1:3" ht="13.5" thickBot="1" x14ac:dyDescent="0.25">
      <c r="A197" s="3">
        <v>211</v>
      </c>
      <c r="B197" s="27">
        <v>45295.939085648148</v>
      </c>
      <c r="C197" s="3" t="s">
        <v>6</v>
      </c>
    </row>
    <row r="198" spans="1:3" ht="13.5" thickBot="1" x14ac:dyDescent="0.25">
      <c r="A198" s="3">
        <v>254</v>
      </c>
      <c r="B198" s="27">
        <v>45295.95275462963</v>
      </c>
      <c r="C198" s="3" t="s">
        <v>3</v>
      </c>
    </row>
    <row r="199" spans="1:3" ht="13.5" thickBot="1" x14ac:dyDescent="0.25">
      <c r="A199" s="3">
        <v>4756</v>
      </c>
      <c r="B199" s="27">
        <v>45295.959027777775</v>
      </c>
      <c r="C199" s="3" t="s">
        <v>3</v>
      </c>
    </row>
    <row r="200" spans="1:3" ht="13.5" thickBot="1" x14ac:dyDescent="0.25">
      <c r="A200" s="3">
        <v>765</v>
      </c>
      <c r="B200" s="27">
        <v>45295.960289351853</v>
      </c>
      <c r="C200" s="3" t="s">
        <v>3</v>
      </c>
    </row>
    <row r="201" spans="1:3" ht="13.5" thickBot="1" x14ac:dyDescent="0.25">
      <c r="A201" s="3">
        <v>1214</v>
      </c>
      <c r="B201" s="27">
        <v>45295.968865740739</v>
      </c>
      <c r="C201" s="3" t="s">
        <v>3</v>
      </c>
    </row>
    <row r="202" spans="1:3" ht="13.5" thickBot="1" x14ac:dyDescent="0.25">
      <c r="A202" s="3">
        <v>6612</v>
      </c>
      <c r="B202" s="27">
        <v>45295.972858796296</v>
      </c>
      <c r="C202" s="3" t="s">
        <v>5</v>
      </c>
    </row>
    <row r="203" spans="1:3" ht="13.5" thickBot="1" x14ac:dyDescent="0.25">
      <c r="A203" s="3">
        <v>1738</v>
      </c>
      <c r="B203" s="27">
        <v>45295.973935185182</v>
      </c>
      <c r="C203" s="3" t="s">
        <v>3</v>
      </c>
    </row>
    <row r="204" spans="1:3" ht="13.5" thickBot="1" x14ac:dyDescent="0.25">
      <c r="A204" s="3">
        <v>2993</v>
      </c>
      <c r="B204" s="27">
        <v>45296.005648148152</v>
      </c>
      <c r="C204" s="3" t="s">
        <v>5</v>
      </c>
    </row>
    <row r="205" spans="1:3" ht="13.5" thickBot="1" x14ac:dyDescent="0.25">
      <c r="A205" s="3">
        <v>7074</v>
      </c>
      <c r="B205" s="27">
        <v>45296.04010416667</v>
      </c>
      <c r="C205" s="3" t="s">
        <v>3</v>
      </c>
    </row>
    <row r="206" spans="1:3" ht="13.5" thickBot="1" x14ac:dyDescent="0.25">
      <c r="A206" s="3">
        <v>211</v>
      </c>
      <c r="B206" s="27">
        <v>45296.042847222219</v>
      </c>
      <c r="C206" s="3" t="s">
        <v>5</v>
      </c>
    </row>
    <row r="207" spans="1:3" ht="13.5" thickBot="1" x14ac:dyDescent="0.25">
      <c r="A207" s="3">
        <v>7822</v>
      </c>
      <c r="B207" s="27">
        <v>45296.04483796296</v>
      </c>
      <c r="C207" s="3" t="s">
        <v>3</v>
      </c>
    </row>
    <row r="208" spans="1:3" ht="13.5" thickBot="1" x14ac:dyDescent="0.25">
      <c r="A208" s="3">
        <v>2538</v>
      </c>
      <c r="B208" s="27">
        <v>45296.051388888889</v>
      </c>
      <c r="C208" s="3" t="s">
        <v>3</v>
      </c>
    </row>
    <row r="209" spans="1:3" ht="13.5" thickBot="1" x14ac:dyDescent="0.25">
      <c r="A209" s="3">
        <v>1738</v>
      </c>
      <c r="B209" s="27">
        <v>45296.053368055553</v>
      </c>
      <c r="C209" s="3" t="s">
        <v>6</v>
      </c>
    </row>
    <row r="210" spans="1:3" ht="13.5" thickBot="1" x14ac:dyDescent="0.25">
      <c r="A210" s="3">
        <v>6522</v>
      </c>
      <c r="B210" s="27">
        <v>45296.085138888891</v>
      </c>
      <c r="C210" s="3" t="s">
        <v>6</v>
      </c>
    </row>
    <row r="211" spans="1:3" ht="13.5" thickBot="1" x14ac:dyDescent="0.25">
      <c r="A211" s="3">
        <v>639</v>
      </c>
      <c r="B211" s="27">
        <v>45296.085682870369</v>
      </c>
      <c r="C211" s="3" t="s">
        <v>3</v>
      </c>
    </row>
    <row r="212" spans="1:3" ht="13.5" thickBot="1" x14ac:dyDescent="0.25">
      <c r="A212" s="3">
        <v>4694</v>
      </c>
      <c r="B212" s="27">
        <v>45296.089467592596</v>
      </c>
      <c r="C212" s="3" t="s">
        <v>4</v>
      </c>
    </row>
    <row r="213" spans="1:3" ht="13.5" thickBot="1" x14ac:dyDescent="0.25">
      <c r="A213" s="3">
        <v>639</v>
      </c>
      <c r="B213" s="27">
        <v>45296.112013888887</v>
      </c>
      <c r="C213" s="3" t="s">
        <v>4</v>
      </c>
    </row>
    <row r="214" spans="1:3" ht="13.5" thickBot="1" x14ac:dyDescent="0.25">
      <c r="A214" s="3">
        <v>6536</v>
      </c>
      <c r="B214" s="27">
        <v>45296.113819444443</v>
      </c>
      <c r="C214" s="3" t="s">
        <v>7</v>
      </c>
    </row>
    <row r="215" spans="1:3" ht="13.5" thickBot="1" x14ac:dyDescent="0.25">
      <c r="A215" s="3">
        <v>4593</v>
      </c>
      <c r="B215" s="27">
        <v>45296.137835648151</v>
      </c>
      <c r="C215" s="3" t="s">
        <v>3</v>
      </c>
    </row>
    <row r="216" spans="1:3" ht="13.5" thickBot="1" x14ac:dyDescent="0.25">
      <c r="A216" s="3">
        <v>1943</v>
      </c>
      <c r="B216" s="27">
        <v>45296.140393518515</v>
      </c>
      <c r="C216" s="3" t="s">
        <v>4</v>
      </c>
    </row>
    <row r="217" spans="1:3" ht="13.5" thickBot="1" x14ac:dyDescent="0.25">
      <c r="A217" s="3">
        <v>4776</v>
      </c>
      <c r="B217" s="27">
        <v>45296.159884259258</v>
      </c>
      <c r="C217" s="3" t="s">
        <v>3</v>
      </c>
    </row>
    <row r="218" spans="1:3" ht="13.5" thickBot="1" x14ac:dyDescent="0.25">
      <c r="A218" s="3">
        <v>2970</v>
      </c>
      <c r="B218" s="27">
        <v>45296.165555555555</v>
      </c>
      <c r="C218" s="3" t="s">
        <v>4</v>
      </c>
    </row>
    <row r="219" spans="1:3" ht="13.5" thickBot="1" x14ac:dyDescent="0.25">
      <c r="A219" s="3">
        <v>1906</v>
      </c>
      <c r="B219" s="27">
        <v>45296.175995370373</v>
      </c>
      <c r="C219" s="3" t="s">
        <v>3</v>
      </c>
    </row>
    <row r="220" spans="1:3" ht="13.5" thickBot="1" x14ac:dyDescent="0.25">
      <c r="A220" s="3">
        <v>2357</v>
      </c>
      <c r="B220" s="27">
        <v>45296.211724537039</v>
      </c>
      <c r="C220" s="3" t="s">
        <v>3</v>
      </c>
    </row>
    <row r="221" spans="1:3" ht="13.5" thickBot="1" x14ac:dyDescent="0.25">
      <c r="A221" s="3">
        <v>2852</v>
      </c>
      <c r="B221" s="27">
        <v>45296.253842592596</v>
      </c>
      <c r="C221" s="3" t="s">
        <v>4</v>
      </c>
    </row>
    <row r="222" spans="1:3" ht="13.5" thickBot="1" x14ac:dyDescent="0.25">
      <c r="A222" s="3">
        <v>6460</v>
      </c>
      <c r="B222" s="27">
        <v>45296.255624999998</v>
      </c>
      <c r="C222" s="3" t="s">
        <v>3</v>
      </c>
    </row>
    <row r="223" spans="1:3" ht="13.5" thickBot="1" x14ac:dyDescent="0.25">
      <c r="A223" s="3">
        <v>5147</v>
      </c>
      <c r="B223" s="27">
        <v>45296.27443287037</v>
      </c>
      <c r="C223" s="3" t="s">
        <v>5</v>
      </c>
    </row>
    <row r="224" spans="1:3" ht="13.5" thickBot="1" x14ac:dyDescent="0.25">
      <c r="A224" s="3">
        <v>7254</v>
      </c>
      <c r="B224" s="27">
        <v>45296.288888888892</v>
      </c>
      <c r="C224" s="3" t="s">
        <v>4</v>
      </c>
    </row>
    <row r="225" spans="1:3" ht="13.5" thickBot="1" x14ac:dyDescent="0.25">
      <c r="A225" s="3">
        <v>5202</v>
      </c>
      <c r="B225" s="27">
        <v>45296.310543981483</v>
      </c>
      <c r="C225" s="3" t="s">
        <v>3</v>
      </c>
    </row>
    <row r="226" spans="1:3" ht="13.5" thickBot="1" x14ac:dyDescent="0.25">
      <c r="A226" s="3">
        <v>1738</v>
      </c>
      <c r="B226" s="27">
        <v>45296.321805555555</v>
      </c>
      <c r="C226" s="3" t="s">
        <v>5</v>
      </c>
    </row>
    <row r="227" spans="1:3" ht="13.5" thickBot="1" x14ac:dyDescent="0.25">
      <c r="A227" s="3">
        <v>5997</v>
      </c>
      <c r="B227" s="27">
        <v>45296.321863425925</v>
      </c>
      <c r="C227" s="3" t="s">
        <v>4</v>
      </c>
    </row>
    <row r="228" spans="1:3" ht="13.5" thickBot="1" x14ac:dyDescent="0.25">
      <c r="A228" s="3">
        <v>2405</v>
      </c>
      <c r="B228" s="27">
        <v>45296.328946759262</v>
      </c>
      <c r="C228" s="3" t="s">
        <v>5</v>
      </c>
    </row>
    <row r="229" spans="1:3" ht="13.5" thickBot="1" x14ac:dyDescent="0.25">
      <c r="A229" s="3">
        <v>7602</v>
      </c>
      <c r="B229" s="27">
        <v>45296.332638888889</v>
      </c>
      <c r="C229" s="3" t="s">
        <v>6</v>
      </c>
    </row>
    <row r="230" spans="1:3" ht="13.5" thickBot="1" x14ac:dyDescent="0.25">
      <c r="A230" s="3">
        <v>904</v>
      </c>
      <c r="B230" s="27">
        <v>45296.336712962962</v>
      </c>
      <c r="C230" s="3" t="s">
        <v>3</v>
      </c>
    </row>
    <row r="231" spans="1:3" ht="13.5" thickBot="1" x14ac:dyDescent="0.25">
      <c r="A231" s="3">
        <v>577</v>
      </c>
      <c r="B231" s="27">
        <v>45296.359560185185</v>
      </c>
      <c r="C231" s="3" t="s">
        <v>4</v>
      </c>
    </row>
    <row r="232" spans="1:3" ht="13.5" thickBot="1" x14ac:dyDescent="0.25">
      <c r="A232" s="3">
        <v>987</v>
      </c>
      <c r="B232" s="27">
        <v>45296.360277777778</v>
      </c>
      <c r="C232" s="3" t="s">
        <v>3</v>
      </c>
    </row>
    <row r="233" spans="1:3" ht="13.5" thickBot="1" x14ac:dyDescent="0.25">
      <c r="A233" s="3">
        <v>7811</v>
      </c>
      <c r="B233" s="27">
        <v>45296.378553240742</v>
      </c>
      <c r="C233" s="3" t="s">
        <v>6</v>
      </c>
    </row>
    <row r="234" spans="1:3" ht="13.5" thickBot="1" x14ac:dyDescent="0.25">
      <c r="A234" s="3">
        <v>2309</v>
      </c>
      <c r="B234" s="27">
        <v>45296.396111111113</v>
      </c>
      <c r="C234" s="3" t="s">
        <v>3</v>
      </c>
    </row>
    <row r="235" spans="1:3" ht="13.5" thickBot="1" x14ac:dyDescent="0.25">
      <c r="A235" s="3">
        <v>6612</v>
      </c>
      <c r="B235" s="27">
        <v>45296.409525462965</v>
      </c>
      <c r="C235" s="3" t="s">
        <v>4</v>
      </c>
    </row>
    <row r="236" spans="1:3" ht="13.5" thickBot="1" x14ac:dyDescent="0.25">
      <c r="A236" s="3">
        <v>4490</v>
      </c>
      <c r="B236" s="27">
        <v>45296.433275462965</v>
      </c>
      <c r="C236" s="3" t="s">
        <v>6</v>
      </c>
    </row>
    <row r="237" spans="1:3" ht="13.5" thickBot="1" x14ac:dyDescent="0.25">
      <c r="A237" s="3">
        <v>2901</v>
      </c>
      <c r="B237" s="27">
        <v>45296.447152777779</v>
      </c>
      <c r="C237" s="3" t="s">
        <v>3</v>
      </c>
    </row>
    <row r="238" spans="1:3" ht="13.5" thickBot="1" x14ac:dyDescent="0.25">
      <c r="A238" s="3">
        <v>1058</v>
      </c>
      <c r="B238" s="27">
        <v>45296.457025462965</v>
      </c>
      <c r="C238" s="3" t="s">
        <v>4</v>
      </c>
    </row>
    <row r="239" spans="1:3" ht="13.5" thickBot="1" x14ac:dyDescent="0.25">
      <c r="A239" s="3">
        <v>992</v>
      </c>
      <c r="B239" s="27">
        <v>45296.476423611108</v>
      </c>
      <c r="C239" s="3" t="s">
        <v>3</v>
      </c>
    </row>
    <row r="240" spans="1:3" ht="13.5" thickBot="1" x14ac:dyDescent="0.25">
      <c r="A240" s="3">
        <v>5888</v>
      </c>
      <c r="B240" s="27">
        <v>45296.504594907405</v>
      </c>
      <c r="C240" s="3" t="s">
        <v>7</v>
      </c>
    </row>
    <row r="241" spans="1:3" ht="13.5" thickBot="1" x14ac:dyDescent="0.25">
      <c r="A241" s="3">
        <v>3218</v>
      </c>
      <c r="B241" s="27">
        <v>45296.512824074074</v>
      </c>
      <c r="C241" s="3" t="s">
        <v>3</v>
      </c>
    </row>
    <row r="242" spans="1:3" ht="13.5" thickBot="1" x14ac:dyDescent="0.25">
      <c r="A242" s="3">
        <v>4427</v>
      </c>
      <c r="B242" s="27">
        <v>45296.514490740738</v>
      </c>
      <c r="C242" s="3" t="s">
        <v>3</v>
      </c>
    </row>
    <row r="243" spans="1:3" ht="13.5" thickBot="1" x14ac:dyDescent="0.25">
      <c r="A243" s="3">
        <v>6575</v>
      </c>
      <c r="B243" s="27">
        <v>45296.515266203707</v>
      </c>
      <c r="C243" s="3" t="s">
        <v>4</v>
      </c>
    </row>
    <row r="244" spans="1:3" ht="13.5" thickBot="1" x14ac:dyDescent="0.25">
      <c r="A244" s="3">
        <v>3326</v>
      </c>
      <c r="B244" s="27">
        <v>45296.525625000002</v>
      </c>
      <c r="C244" s="3" t="s">
        <v>3</v>
      </c>
    </row>
    <row r="245" spans="1:3" ht="13.5" thickBot="1" x14ac:dyDescent="0.25">
      <c r="A245" s="3">
        <v>2217</v>
      </c>
      <c r="B245" s="27">
        <v>45296.543981481482</v>
      </c>
      <c r="C245" s="3" t="s">
        <v>4</v>
      </c>
    </row>
    <row r="246" spans="1:3" ht="13.5" thickBot="1" x14ac:dyDescent="0.25">
      <c r="A246" s="3">
        <v>5565</v>
      </c>
      <c r="B246" s="27">
        <v>45296.557546296295</v>
      </c>
      <c r="C246" s="3" t="s">
        <v>7</v>
      </c>
    </row>
    <row r="247" spans="1:3" ht="13.5" thickBot="1" x14ac:dyDescent="0.25">
      <c r="A247" s="3">
        <v>3772</v>
      </c>
      <c r="B247" s="27">
        <v>45296.610474537039</v>
      </c>
      <c r="C247" s="3" t="s">
        <v>3</v>
      </c>
    </row>
    <row r="248" spans="1:3" ht="13.5" thickBot="1" x14ac:dyDescent="0.25">
      <c r="A248" s="3">
        <v>1186</v>
      </c>
      <c r="B248" s="27">
        <v>45296.625787037039</v>
      </c>
      <c r="C248" s="3" t="s">
        <v>3</v>
      </c>
    </row>
    <row r="249" spans="1:3" ht="13.5" thickBot="1" x14ac:dyDescent="0.25">
      <c r="A249" s="3">
        <v>4776</v>
      </c>
      <c r="B249" s="27">
        <v>45296.657141203701</v>
      </c>
      <c r="C249" s="3" t="s">
        <v>5</v>
      </c>
    </row>
    <row r="250" spans="1:3" ht="13.5" thickBot="1" x14ac:dyDescent="0.25">
      <c r="A250" s="3">
        <v>211</v>
      </c>
      <c r="B250" s="27">
        <v>45296.658622685187</v>
      </c>
      <c r="C250" s="3" t="s">
        <v>7</v>
      </c>
    </row>
    <row r="251" spans="1:3" ht="13.5" thickBot="1" x14ac:dyDescent="0.25">
      <c r="A251" s="3">
        <v>5997</v>
      </c>
      <c r="B251" s="27">
        <v>45296.691666666666</v>
      </c>
      <c r="C251" s="3" t="s">
        <v>3</v>
      </c>
    </row>
    <row r="252" spans="1:3" ht="13.5" thickBot="1" x14ac:dyDescent="0.25">
      <c r="A252" s="3">
        <v>7216</v>
      </c>
      <c r="B252" s="27">
        <v>45296.701053240744</v>
      </c>
      <c r="C252" s="3" t="s">
        <v>3</v>
      </c>
    </row>
    <row r="253" spans="1:3" ht="13.5" thickBot="1" x14ac:dyDescent="0.25">
      <c r="A253" s="3">
        <v>3980</v>
      </c>
      <c r="B253" s="27">
        <v>45296.702997685185</v>
      </c>
      <c r="C253" s="3" t="s">
        <v>3</v>
      </c>
    </row>
    <row r="254" spans="1:3" ht="13.5" thickBot="1" x14ac:dyDescent="0.25">
      <c r="A254" s="3">
        <v>394</v>
      </c>
      <c r="B254" s="27">
        <v>45296.703831018516</v>
      </c>
      <c r="C254" s="3" t="s">
        <v>3</v>
      </c>
    </row>
    <row r="255" spans="1:3" ht="13.5" thickBot="1" x14ac:dyDescent="0.25">
      <c r="A255" s="3">
        <v>2707</v>
      </c>
      <c r="B255" s="27">
        <v>45296.706863425927</v>
      </c>
      <c r="C255" s="3" t="s">
        <v>4</v>
      </c>
    </row>
    <row r="256" spans="1:3" ht="13.5" thickBot="1" x14ac:dyDescent="0.25">
      <c r="A256" s="3">
        <v>4939</v>
      </c>
      <c r="B256" s="27">
        <v>45296.713333333333</v>
      </c>
      <c r="C256" s="3" t="s">
        <v>3</v>
      </c>
    </row>
    <row r="257" spans="1:3" ht="13.5" thickBot="1" x14ac:dyDescent="0.25">
      <c r="A257" s="3">
        <v>5612</v>
      </c>
      <c r="B257" s="27">
        <v>45296.722881944443</v>
      </c>
      <c r="C257" s="3" t="s">
        <v>3</v>
      </c>
    </row>
    <row r="258" spans="1:3" ht="13.5" thickBot="1" x14ac:dyDescent="0.25">
      <c r="A258" s="3">
        <v>3255</v>
      </c>
      <c r="B258" s="27">
        <v>45296.73064814815</v>
      </c>
      <c r="C258" s="3" t="s">
        <v>6</v>
      </c>
    </row>
    <row r="259" spans="1:3" ht="13.5" thickBot="1" x14ac:dyDescent="0.25">
      <c r="A259" s="3">
        <v>3770</v>
      </c>
      <c r="B259" s="27">
        <v>45296.751388888886</v>
      </c>
      <c r="C259" s="3" t="s">
        <v>3</v>
      </c>
    </row>
    <row r="260" spans="1:3" ht="13.5" thickBot="1" x14ac:dyDescent="0.25">
      <c r="A260" s="3">
        <v>3758</v>
      </c>
      <c r="B260" s="27">
        <v>45296.754999999997</v>
      </c>
      <c r="C260" s="3" t="s">
        <v>3</v>
      </c>
    </row>
    <row r="261" spans="1:3" ht="13.5" thickBot="1" x14ac:dyDescent="0.25">
      <c r="A261" s="3">
        <v>4224</v>
      </c>
      <c r="B261" s="27">
        <v>45296.778217592589</v>
      </c>
      <c r="C261" s="3" t="s">
        <v>3</v>
      </c>
    </row>
    <row r="262" spans="1:3" ht="13.5" thickBot="1" x14ac:dyDescent="0.25">
      <c r="A262" s="3">
        <v>7916</v>
      </c>
      <c r="B262" s="27">
        <v>45296.787453703706</v>
      </c>
      <c r="C262" s="3" t="s">
        <v>3</v>
      </c>
    </row>
    <row r="263" spans="1:3" ht="13.5" thickBot="1" x14ac:dyDescent="0.25">
      <c r="A263" s="3">
        <v>1796</v>
      </c>
      <c r="B263" s="27">
        <v>45296.788252314815</v>
      </c>
      <c r="C263" s="3" t="s">
        <v>3</v>
      </c>
    </row>
    <row r="264" spans="1:3" ht="13.5" thickBot="1" x14ac:dyDescent="0.25">
      <c r="A264" s="3">
        <v>1738</v>
      </c>
      <c r="B264" s="27">
        <v>45296.802106481482</v>
      </c>
      <c r="C264" s="3" t="s">
        <v>4</v>
      </c>
    </row>
    <row r="265" spans="1:3" ht="13.5" thickBot="1" x14ac:dyDescent="0.25">
      <c r="A265" s="3">
        <v>1310</v>
      </c>
      <c r="B265" s="27">
        <v>45296.817106481481</v>
      </c>
      <c r="C265" s="3" t="s">
        <v>3</v>
      </c>
    </row>
    <row r="266" spans="1:3" ht="13.5" thickBot="1" x14ac:dyDescent="0.25">
      <c r="A266" s="3">
        <v>5147</v>
      </c>
      <c r="B266" s="27">
        <v>45296.819143518522</v>
      </c>
      <c r="C266" s="3" t="s">
        <v>6</v>
      </c>
    </row>
    <row r="267" spans="1:3" ht="13.5" thickBot="1" x14ac:dyDescent="0.25">
      <c r="A267" s="3">
        <v>3723</v>
      </c>
      <c r="B267" s="27">
        <v>45296.847175925926</v>
      </c>
      <c r="C267" s="3" t="s">
        <v>3</v>
      </c>
    </row>
    <row r="268" spans="1:3" ht="13.5" thickBot="1" x14ac:dyDescent="0.25">
      <c r="A268" s="3">
        <v>7990</v>
      </c>
      <c r="B268" s="27">
        <v>45296.849340277775</v>
      </c>
      <c r="C268" s="3" t="s">
        <v>7</v>
      </c>
    </row>
    <row r="269" spans="1:3" ht="13.5" thickBot="1" x14ac:dyDescent="0.25">
      <c r="A269" s="3">
        <v>2901</v>
      </c>
      <c r="B269" s="27">
        <v>45296.867361111108</v>
      </c>
      <c r="C269" s="3" t="s">
        <v>4</v>
      </c>
    </row>
    <row r="270" spans="1:3" ht="13.5" thickBot="1" x14ac:dyDescent="0.25">
      <c r="A270" s="3">
        <v>234</v>
      </c>
      <c r="B270" s="27">
        <v>45296.872997685183</v>
      </c>
      <c r="C270" s="3" t="s">
        <v>3</v>
      </c>
    </row>
    <row r="271" spans="1:3" ht="13.5" thickBot="1" x14ac:dyDescent="0.25">
      <c r="A271" s="3">
        <v>2707</v>
      </c>
      <c r="B271" s="27">
        <v>45296.883067129631</v>
      </c>
      <c r="C271" s="3" t="s">
        <v>3</v>
      </c>
    </row>
    <row r="272" spans="1:3" ht="13.5" thickBot="1" x14ac:dyDescent="0.25">
      <c r="A272" s="3">
        <v>6047</v>
      </c>
      <c r="B272" s="27">
        <v>45296.93068287037</v>
      </c>
      <c r="C272" s="3" t="s">
        <v>3</v>
      </c>
    </row>
    <row r="273" spans="1:3" ht="13.5" thickBot="1" x14ac:dyDescent="0.25">
      <c r="A273" s="3">
        <v>1455</v>
      </c>
      <c r="B273" s="27">
        <v>45296.933287037034</v>
      </c>
      <c r="C273" s="3" t="s">
        <v>3</v>
      </c>
    </row>
    <row r="274" spans="1:3" ht="13.5" thickBot="1" x14ac:dyDescent="0.25">
      <c r="A274" s="3">
        <v>3924</v>
      </c>
      <c r="B274" s="27">
        <v>45296.955312500002</v>
      </c>
      <c r="C274" s="3" t="s">
        <v>3</v>
      </c>
    </row>
    <row r="275" spans="1:3" ht="13.5" thickBot="1" x14ac:dyDescent="0.25">
      <c r="A275" s="3">
        <v>3432</v>
      </c>
      <c r="B275" s="27">
        <v>45296.957731481481</v>
      </c>
      <c r="C275" s="3" t="s">
        <v>4</v>
      </c>
    </row>
    <row r="276" spans="1:3" ht="13.5" thickBot="1" x14ac:dyDescent="0.25">
      <c r="A276" s="3">
        <v>4032</v>
      </c>
      <c r="B276" s="27">
        <v>45296.962465277778</v>
      </c>
      <c r="C276" s="3" t="s">
        <v>6</v>
      </c>
    </row>
    <row r="277" spans="1:3" ht="13.5" thickBot="1" x14ac:dyDescent="0.25">
      <c r="A277" s="3">
        <v>394</v>
      </c>
      <c r="B277" s="27">
        <v>45296.969548611109</v>
      </c>
      <c r="C277" s="3" t="s">
        <v>5</v>
      </c>
    </row>
    <row r="278" spans="1:3" ht="13.5" thickBot="1" x14ac:dyDescent="0.25">
      <c r="A278" s="3">
        <v>4592</v>
      </c>
      <c r="B278" s="27">
        <v>45296.982928240737</v>
      </c>
      <c r="C278" s="3" t="s">
        <v>4</v>
      </c>
    </row>
    <row r="279" spans="1:3" ht="13.5" thickBot="1" x14ac:dyDescent="0.25">
      <c r="A279" s="3">
        <v>3772</v>
      </c>
      <c r="B279" s="27">
        <v>45296.98704861111</v>
      </c>
      <c r="C279" s="3" t="s">
        <v>4</v>
      </c>
    </row>
    <row r="280" spans="1:3" ht="13.5" thickBot="1" x14ac:dyDescent="0.25">
      <c r="A280" s="3">
        <v>5194</v>
      </c>
      <c r="B280" s="27">
        <v>45297.016967592594</v>
      </c>
      <c r="C280" s="3" t="s">
        <v>3</v>
      </c>
    </row>
    <row r="281" spans="1:3" ht="13.5" thickBot="1" x14ac:dyDescent="0.25">
      <c r="A281" s="3">
        <v>2833</v>
      </c>
      <c r="B281" s="27">
        <v>45297.086435185185</v>
      </c>
      <c r="C281" s="3" t="s">
        <v>4</v>
      </c>
    </row>
    <row r="282" spans="1:3" ht="13.5" thickBot="1" x14ac:dyDescent="0.25">
      <c r="A282" s="3">
        <v>665</v>
      </c>
      <c r="B282" s="27">
        <v>45297.08971064815</v>
      </c>
      <c r="C282" s="3" t="s">
        <v>3</v>
      </c>
    </row>
    <row r="283" spans="1:3" ht="13.5" thickBot="1" x14ac:dyDescent="0.25">
      <c r="A283" s="3">
        <v>577</v>
      </c>
      <c r="B283" s="27">
        <v>45297.108518518522</v>
      </c>
      <c r="C283" s="3" t="s">
        <v>7</v>
      </c>
    </row>
    <row r="284" spans="1:3" ht="13.5" thickBot="1" x14ac:dyDescent="0.25">
      <c r="A284" s="3">
        <v>7489</v>
      </c>
      <c r="B284" s="27">
        <v>45297.126550925925</v>
      </c>
      <c r="C284" s="3" t="s">
        <v>5</v>
      </c>
    </row>
    <row r="285" spans="1:3" ht="13.5" thickBot="1" x14ac:dyDescent="0.25">
      <c r="A285" s="3">
        <v>4499</v>
      </c>
      <c r="B285" s="27">
        <v>45297.145624999997</v>
      </c>
      <c r="C285" s="3" t="s">
        <v>5</v>
      </c>
    </row>
    <row r="286" spans="1:3" ht="13.5" thickBot="1" x14ac:dyDescent="0.25">
      <c r="A286" s="3">
        <v>6460</v>
      </c>
      <c r="B286" s="27">
        <v>45297.150960648149</v>
      </c>
      <c r="C286" s="3" t="s">
        <v>5</v>
      </c>
    </row>
    <row r="287" spans="1:3" ht="13.5" thickBot="1" x14ac:dyDescent="0.25">
      <c r="A287" s="3">
        <v>6315</v>
      </c>
      <c r="B287" s="27">
        <v>45297.166747685187</v>
      </c>
      <c r="C287" s="3" t="s">
        <v>4</v>
      </c>
    </row>
    <row r="288" spans="1:3" ht="13.5" thickBot="1" x14ac:dyDescent="0.25">
      <c r="A288" s="3">
        <v>3218</v>
      </c>
      <c r="B288" s="27">
        <v>45297.188622685186</v>
      </c>
      <c r="C288" s="3" t="s">
        <v>4</v>
      </c>
    </row>
    <row r="289" spans="1:3" ht="13.5" thickBot="1" x14ac:dyDescent="0.25">
      <c r="A289" s="3">
        <v>5015</v>
      </c>
      <c r="B289" s="27">
        <v>45297.191192129627</v>
      </c>
      <c r="C289" s="3" t="s">
        <v>3</v>
      </c>
    </row>
    <row r="290" spans="1:3" ht="13.5" thickBot="1" x14ac:dyDescent="0.25">
      <c r="A290" s="3">
        <v>4512</v>
      </c>
      <c r="B290" s="27">
        <v>45297.191319444442</v>
      </c>
      <c r="C290" s="3" t="s">
        <v>4</v>
      </c>
    </row>
    <row r="291" spans="1:3" ht="13.5" thickBot="1" x14ac:dyDescent="0.25">
      <c r="A291" s="3">
        <v>5244</v>
      </c>
      <c r="B291" s="27">
        <v>45297.201689814814</v>
      </c>
      <c r="C291" s="3" t="s">
        <v>3</v>
      </c>
    </row>
    <row r="292" spans="1:3" ht="13.5" thickBot="1" x14ac:dyDescent="0.25">
      <c r="A292" s="3">
        <v>7003</v>
      </c>
      <c r="B292" s="27">
        <v>45297.203518518516</v>
      </c>
      <c r="C292" s="3" t="s">
        <v>5</v>
      </c>
    </row>
    <row r="293" spans="1:3" ht="13.5" thickBot="1" x14ac:dyDescent="0.25">
      <c r="A293" s="3">
        <v>3218</v>
      </c>
      <c r="B293" s="27">
        <v>45297.223101851851</v>
      </c>
      <c r="C293" s="3" t="s">
        <v>6</v>
      </c>
    </row>
    <row r="294" spans="1:3" ht="13.5" thickBot="1" x14ac:dyDescent="0.25">
      <c r="A294" s="3">
        <v>6486</v>
      </c>
      <c r="B294" s="27">
        <v>45297.226400462961</v>
      </c>
      <c r="C294" s="3" t="s">
        <v>3</v>
      </c>
    </row>
    <row r="295" spans="1:3" ht="13.5" thickBot="1" x14ac:dyDescent="0.25">
      <c r="A295" s="3">
        <v>21</v>
      </c>
      <c r="B295" s="27">
        <v>45297.244409722225</v>
      </c>
      <c r="C295" s="3" t="s">
        <v>3</v>
      </c>
    </row>
    <row r="296" spans="1:3" ht="13.5" thickBot="1" x14ac:dyDescent="0.25">
      <c r="A296" s="3">
        <v>7234</v>
      </c>
      <c r="B296" s="27">
        <v>45297.245740740742</v>
      </c>
      <c r="C296" s="3" t="s">
        <v>3</v>
      </c>
    </row>
    <row r="297" spans="1:3" ht="13.5" thickBot="1" x14ac:dyDescent="0.25">
      <c r="A297" s="3">
        <v>1849</v>
      </c>
      <c r="B297" s="27">
        <v>45297.24931712963</v>
      </c>
      <c r="C297" s="3" t="s">
        <v>3</v>
      </c>
    </row>
    <row r="298" spans="1:3" ht="13.5" thickBot="1" x14ac:dyDescent="0.25">
      <c r="A298" s="3">
        <v>1854</v>
      </c>
      <c r="B298" s="27">
        <v>45297.253136574072</v>
      </c>
      <c r="C298" s="3" t="s">
        <v>3</v>
      </c>
    </row>
    <row r="299" spans="1:3" ht="13.5" thickBot="1" x14ac:dyDescent="0.25">
      <c r="A299" s="3">
        <v>5009</v>
      </c>
      <c r="B299" s="27">
        <v>45297.258888888886</v>
      </c>
      <c r="C299" s="3" t="s">
        <v>3</v>
      </c>
    </row>
    <row r="300" spans="1:3" ht="13.5" thickBot="1" x14ac:dyDescent="0.25">
      <c r="A300" s="3">
        <v>3906</v>
      </c>
      <c r="B300" s="27">
        <v>45297.271666666667</v>
      </c>
      <c r="C300" s="3" t="s">
        <v>7</v>
      </c>
    </row>
    <row r="301" spans="1:3" ht="13.5" thickBot="1" x14ac:dyDescent="0.25">
      <c r="A301" s="3">
        <v>4776</v>
      </c>
      <c r="B301" s="27">
        <v>45297.273020833331</v>
      </c>
      <c r="C301" s="3" t="s">
        <v>6</v>
      </c>
    </row>
    <row r="302" spans="1:3" ht="13.5" thickBot="1" x14ac:dyDescent="0.25">
      <c r="A302" s="3">
        <v>3161</v>
      </c>
      <c r="B302" s="27">
        <v>45297.284756944442</v>
      </c>
      <c r="C302" s="3" t="s">
        <v>3</v>
      </c>
    </row>
    <row r="303" spans="1:3" ht="13.5" thickBot="1" x14ac:dyDescent="0.25">
      <c r="A303" s="3">
        <v>2521</v>
      </c>
      <c r="B303" s="27">
        <v>45297.314247685186</v>
      </c>
      <c r="C303" s="3" t="s">
        <v>3</v>
      </c>
    </row>
    <row r="304" spans="1:3" ht="13.5" thickBot="1" x14ac:dyDescent="0.25">
      <c r="A304" s="3">
        <v>6612</v>
      </c>
      <c r="B304" s="27">
        <v>45297.354108796295</v>
      </c>
      <c r="C304" s="3" t="s">
        <v>7</v>
      </c>
    </row>
    <row r="305" spans="1:3" ht="13.5" thickBot="1" x14ac:dyDescent="0.25">
      <c r="A305" s="3">
        <v>5781</v>
      </c>
      <c r="B305" s="27">
        <v>45297.375173611108</v>
      </c>
      <c r="C305" s="3" t="s">
        <v>6</v>
      </c>
    </row>
    <row r="306" spans="1:3" ht="13.5" thickBot="1" x14ac:dyDescent="0.25">
      <c r="A306" s="3">
        <v>3533</v>
      </c>
      <c r="B306" s="27">
        <v>45297.389340277776</v>
      </c>
      <c r="C306" s="3" t="s">
        <v>5</v>
      </c>
    </row>
    <row r="307" spans="1:3" ht="13.5" thickBot="1" x14ac:dyDescent="0.25">
      <c r="A307" s="3">
        <v>7767</v>
      </c>
      <c r="B307" s="27">
        <v>45297.406412037039</v>
      </c>
      <c r="C307" s="3" t="s">
        <v>4</v>
      </c>
    </row>
    <row r="308" spans="1:3" ht="13.5" thickBot="1" x14ac:dyDescent="0.25">
      <c r="A308" s="3">
        <v>6522</v>
      </c>
      <c r="B308" s="27">
        <v>45297.413449074076</v>
      </c>
      <c r="C308" s="3" t="s">
        <v>4</v>
      </c>
    </row>
    <row r="309" spans="1:3" ht="13.5" thickBot="1" x14ac:dyDescent="0.25">
      <c r="A309" s="3">
        <v>1314</v>
      </c>
      <c r="B309" s="27">
        <v>45297.487800925926</v>
      </c>
      <c r="C309" s="3" t="s">
        <v>7</v>
      </c>
    </row>
    <row r="310" spans="1:3" ht="13.5" thickBot="1" x14ac:dyDescent="0.25">
      <c r="A310" s="3">
        <v>7489</v>
      </c>
      <c r="B310" s="27">
        <v>45297.511678240742</v>
      </c>
      <c r="C310" s="3" t="s">
        <v>6</v>
      </c>
    </row>
    <row r="311" spans="1:3" ht="13.5" thickBot="1" x14ac:dyDescent="0.25">
      <c r="A311" s="3">
        <v>5603</v>
      </c>
      <c r="B311" s="27">
        <v>45297.51425925926</v>
      </c>
      <c r="C311" s="3" t="s">
        <v>3</v>
      </c>
    </row>
    <row r="312" spans="1:3" ht="13.5" thickBot="1" x14ac:dyDescent="0.25">
      <c r="A312" s="3">
        <v>7265</v>
      </c>
      <c r="B312" s="27">
        <v>45297.517777777779</v>
      </c>
      <c r="C312" s="3" t="s">
        <v>3</v>
      </c>
    </row>
    <row r="313" spans="1:3" ht="13.5" thickBot="1" x14ac:dyDescent="0.25">
      <c r="A313" s="3">
        <v>1695</v>
      </c>
      <c r="B313" s="27">
        <v>45297.519571759258</v>
      </c>
      <c r="C313" s="3" t="s">
        <v>3</v>
      </c>
    </row>
    <row r="314" spans="1:3" ht="13.5" thickBot="1" x14ac:dyDescent="0.25">
      <c r="A314" s="3">
        <v>1815</v>
      </c>
      <c r="B314" s="27">
        <v>45297.530671296299</v>
      </c>
      <c r="C314" s="3" t="s">
        <v>3</v>
      </c>
    </row>
    <row r="315" spans="1:3" ht="13.5" thickBot="1" x14ac:dyDescent="0.25">
      <c r="A315" s="3">
        <v>6339</v>
      </c>
      <c r="B315" s="27">
        <v>45297.538634259261</v>
      </c>
      <c r="C315" s="3" t="s">
        <v>5</v>
      </c>
    </row>
    <row r="316" spans="1:3" ht="13.5" thickBot="1" x14ac:dyDescent="0.25">
      <c r="A316" s="3">
        <v>925</v>
      </c>
      <c r="B316" s="27">
        <v>45297.551504629628</v>
      </c>
      <c r="C316" s="3" t="s">
        <v>3</v>
      </c>
    </row>
    <row r="317" spans="1:3" ht="13.5" thickBot="1" x14ac:dyDescent="0.25">
      <c r="A317" s="3">
        <v>734</v>
      </c>
      <c r="B317" s="27">
        <v>45297.552106481482</v>
      </c>
      <c r="C317" s="3" t="s">
        <v>3</v>
      </c>
    </row>
    <row r="318" spans="1:3" ht="13.5" thickBot="1" x14ac:dyDescent="0.25">
      <c r="A318" s="3">
        <v>4032</v>
      </c>
      <c r="B318" s="27">
        <v>45297.596377314818</v>
      </c>
      <c r="C318" s="3" t="s">
        <v>5</v>
      </c>
    </row>
    <row r="319" spans="1:3" ht="13.5" thickBot="1" x14ac:dyDescent="0.25">
      <c r="A319" s="3">
        <v>630</v>
      </c>
      <c r="B319" s="27">
        <v>45297.616793981484</v>
      </c>
      <c r="C319" s="3" t="s">
        <v>3</v>
      </c>
    </row>
    <row r="320" spans="1:3" ht="13.5" thickBot="1" x14ac:dyDescent="0.25">
      <c r="A320" s="3">
        <v>5828</v>
      </c>
      <c r="B320" s="27">
        <v>45297.681076388886</v>
      </c>
      <c r="C320" s="3" t="s">
        <v>7</v>
      </c>
    </row>
    <row r="321" spans="1:3" ht="13.5" thickBot="1" x14ac:dyDescent="0.25">
      <c r="A321" s="3">
        <v>1314</v>
      </c>
      <c r="B321" s="27">
        <v>45297.692476851851</v>
      </c>
      <c r="C321" s="3" t="s">
        <v>5</v>
      </c>
    </row>
    <row r="322" spans="1:3" ht="13.5" thickBot="1" x14ac:dyDescent="0.25">
      <c r="A322" s="3">
        <v>6460</v>
      </c>
      <c r="B322" s="27">
        <v>45297.697488425925</v>
      </c>
      <c r="C322" s="3" t="s">
        <v>6</v>
      </c>
    </row>
    <row r="323" spans="1:3" ht="13.5" thickBot="1" x14ac:dyDescent="0.25">
      <c r="A323" s="3">
        <v>6612</v>
      </c>
      <c r="B323" s="27">
        <v>45297.716365740744</v>
      </c>
      <c r="C323" s="3" t="s">
        <v>6</v>
      </c>
    </row>
    <row r="324" spans="1:3" ht="13.5" thickBot="1" x14ac:dyDescent="0.25">
      <c r="A324" s="3">
        <v>734</v>
      </c>
      <c r="B324" s="27">
        <v>45297.728807870371</v>
      </c>
      <c r="C324" s="3" t="s">
        <v>4</v>
      </c>
    </row>
    <row r="325" spans="1:3" ht="13.5" thickBot="1" x14ac:dyDescent="0.25">
      <c r="A325" s="3">
        <v>394</v>
      </c>
      <c r="B325" s="27">
        <v>45297.743252314816</v>
      </c>
      <c r="C325" s="3" t="s">
        <v>7</v>
      </c>
    </row>
    <row r="326" spans="1:3" ht="13.5" thickBot="1" x14ac:dyDescent="0.25">
      <c r="A326" s="3">
        <v>3575</v>
      </c>
      <c r="B326" s="27">
        <v>45297.752905092595</v>
      </c>
      <c r="C326" s="3" t="s">
        <v>5</v>
      </c>
    </row>
    <row r="327" spans="1:3" ht="13.5" thickBot="1" x14ac:dyDescent="0.25">
      <c r="A327" s="3">
        <v>10</v>
      </c>
      <c r="B327" s="27">
        <v>45297.759571759256</v>
      </c>
      <c r="C327" s="3" t="s">
        <v>3</v>
      </c>
    </row>
    <row r="328" spans="1:3" ht="13.5" thickBot="1" x14ac:dyDescent="0.25">
      <c r="A328" s="3">
        <v>6315</v>
      </c>
      <c r="B328" s="27">
        <v>45297.786238425928</v>
      </c>
      <c r="C328" s="3" t="s">
        <v>3</v>
      </c>
    </row>
    <row r="329" spans="1:3" ht="13.5" thickBot="1" x14ac:dyDescent="0.25">
      <c r="A329" s="3">
        <v>5156</v>
      </c>
      <c r="B329" s="27">
        <v>45297.786585648151</v>
      </c>
      <c r="C329" s="3" t="s">
        <v>3</v>
      </c>
    </row>
    <row r="330" spans="1:3" ht="13.5" thickBot="1" x14ac:dyDescent="0.25">
      <c r="A330" s="3">
        <v>5310</v>
      </c>
      <c r="B330" s="27">
        <v>45297.793043981481</v>
      </c>
      <c r="C330" s="3" t="s">
        <v>3</v>
      </c>
    </row>
    <row r="331" spans="1:3" ht="13.5" thickBot="1" x14ac:dyDescent="0.25">
      <c r="A331" s="3">
        <v>6495</v>
      </c>
      <c r="B331" s="27">
        <v>45297.798020833332</v>
      </c>
      <c r="C331" s="3" t="s">
        <v>3</v>
      </c>
    </row>
    <row r="332" spans="1:3" ht="13.5" thickBot="1" x14ac:dyDescent="0.25">
      <c r="A332" s="3">
        <v>4598</v>
      </c>
      <c r="B332" s="27">
        <v>45297.798726851855</v>
      </c>
      <c r="C332" s="3" t="s">
        <v>4</v>
      </c>
    </row>
    <row r="333" spans="1:3" ht="13.5" thickBot="1" x14ac:dyDescent="0.25">
      <c r="A333" s="3">
        <v>5367</v>
      </c>
      <c r="B333" s="27">
        <v>45297.856909722221</v>
      </c>
      <c r="C333" s="3" t="s">
        <v>3</v>
      </c>
    </row>
    <row r="334" spans="1:3" ht="13.5" thickBot="1" x14ac:dyDescent="0.25">
      <c r="A334" s="3">
        <v>3161</v>
      </c>
      <c r="B334" s="27">
        <v>45297.862546296295</v>
      </c>
      <c r="C334" s="3" t="s">
        <v>4</v>
      </c>
    </row>
    <row r="335" spans="1:3" ht="13.5" thickBot="1" x14ac:dyDescent="0.25">
      <c r="A335" s="3">
        <v>3906</v>
      </c>
      <c r="B335" s="27">
        <v>45297.864039351851</v>
      </c>
      <c r="C335" s="3" t="s">
        <v>4</v>
      </c>
    </row>
    <row r="336" spans="1:3" ht="13.5" thickBot="1" x14ac:dyDescent="0.25">
      <c r="A336" s="3">
        <v>6522</v>
      </c>
      <c r="B336" s="27">
        <v>45297.873263888891</v>
      </c>
      <c r="C336" s="3" t="s">
        <v>5</v>
      </c>
    </row>
    <row r="337" spans="1:3" ht="13.5" thickBot="1" x14ac:dyDescent="0.25">
      <c r="A337" s="3">
        <v>2852</v>
      </c>
      <c r="B337" s="27">
        <v>45297.902349537035</v>
      </c>
      <c r="C337" s="3" t="s">
        <v>7</v>
      </c>
    </row>
    <row r="338" spans="1:3" ht="13.5" thickBot="1" x14ac:dyDescent="0.25">
      <c r="A338" s="3">
        <v>4776</v>
      </c>
      <c r="B338" s="27">
        <v>45297.943379629629</v>
      </c>
      <c r="C338" s="3" t="s">
        <v>4</v>
      </c>
    </row>
    <row r="339" spans="1:3" ht="13.5" thickBot="1" x14ac:dyDescent="0.25">
      <c r="A339" s="3">
        <v>6920</v>
      </c>
      <c r="B339" s="27">
        <v>45297.97184027778</v>
      </c>
      <c r="C339" s="3" t="s">
        <v>5</v>
      </c>
    </row>
    <row r="340" spans="1:3" ht="13.5" thickBot="1" x14ac:dyDescent="0.25">
      <c r="A340" s="3">
        <v>1455</v>
      </c>
      <c r="B340" s="27">
        <v>45297.985902777778</v>
      </c>
      <c r="C340" s="3" t="s">
        <v>4</v>
      </c>
    </row>
    <row r="341" spans="1:3" ht="13.5" thickBot="1" x14ac:dyDescent="0.25">
      <c r="A341" s="3">
        <v>3616</v>
      </c>
      <c r="B341" s="27">
        <v>45298.009456018517</v>
      </c>
      <c r="C341" s="3" t="s">
        <v>4</v>
      </c>
    </row>
    <row r="342" spans="1:3" ht="13.5" thickBot="1" x14ac:dyDescent="0.25">
      <c r="A342" s="3">
        <v>1738</v>
      </c>
      <c r="B342" s="27">
        <v>45298.02238425926</v>
      </c>
      <c r="C342" s="3" t="s">
        <v>7</v>
      </c>
    </row>
    <row r="343" spans="1:3" ht="13.5" thickBot="1" x14ac:dyDescent="0.25">
      <c r="A343" s="3">
        <v>6665</v>
      </c>
      <c r="B343" s="27">
        <v>45298.0391087963</v>
      </c>
      <c r="C343" s="3" t="s">
        <v>5</v>
      </c>
    </row>
    <row r="344" spans="1:3" ht="13.5" thickBot="1" x14ac:dyDescent="0.25">
      <c r="A344" s="3">
        <v>2136</v>
      </c>
      <c r="B344" s="27">
        <v>45298.04614583333</v>
      </c>
      <c r="C344" s="3" t="s">
        <v>3</v>
      </c>
    </row>
    <row r="345" spans="1:3" ht="13.5" thickBot="1" x14ac:dyDescent="0.25">
      <c r="A345" s="3">
        <v>5367</v>
      </c>
      <c r="B345" s="27">
        <v>45298.092210648145</v>
      </c>
      <c r="C345" s="3" t="s">
        <v>4</v>
      </c>
    </row>
    <row r="346" spans="1:3" ht="13.5" thickBot="1" x14ac:dyDescent="0.25">
      <c r="A346" s="3">
        <v>6197</v>
      </c>
      <c r="B346" s="27">
        <v>45298.098090277781</v>
      </c>
      <c r="C346" s="3" t="s">
        <v>3</v>
      </c>
    </row>
    <row r="347" spans="1:3" ht="13.5" thickBot="1" x14ac:dyDescent="0.25">
      <c r="A347" s="3">
        <v>7822</v>
      </c>
      <c r="B347" s="27">
        <v>45298.140798611108</v>
      </c>
      <c r="C347" s="3" t="s">
        <v>5</v>
      </c>
    </row>
    <row r="348" spans="1:3" ht="13.5" thickBot="1" x14ac:dyDescent="0.25">
      <c r="A348" s="3">
        <v>2229</v>
      </c>
      <c r="B348" s="27">
        <v>45298.158020833333</v>
      </c>
      <c r="C348" s="3" t="s">
        <v>4</v>
      </c>
    </row>
    <row r="349" spans="1:3" ht="13.5" thickBot="1" x14ac:dyDescent="0.25">
      <c r="A349" s="3">
        <v>4775</v>
      </c>
      <c r="B349" s="27">
        <v>45298.178310185183</v>
      </c>
      <c r="C349" s="3" t="s">
        <v>4</v>
      </c>
    </row>
    <row r="350" spans="1:3" ht="13.5" thickBot="1" x14ac:dyDescent="0.25">
      <c r="A350" s="3">
        <v>4736</v>
      </c>
      <c r="B350" s="27">
        <v>45298.188506944447</v>
      </c>
      <c r="C350" s="3" t="s">
        <v>3</v>
      </c>
    </row>
    <row r="351" spans="1:3" ht="13.5" thickBot="1" x14ac:dyDescent="0.25">
      <c r="A351" s="3">
        <v>4775</v>
      </c>
      <c r="B351" s="27">
        <v>45298.19159722222</v>
      </c>
      <c r="C351" s="3" t="s">
        <v>3</v>
      </c>
    </row>
    <row r="352" spans="1:3" ht="13.5" thickBot="1" x14ac:dyDescent="0.25">
      <c r="A352" s="3">
        <v>2608</v>
      </c>
      <c r="B352" s="27">
        <v>45298.193761574075</v>
      </c>
      <c r="C352" s="3" t="s">
        <v>3</v>
      </c>
    </row>
    <row r="353" spans="1:3" ht="13.5" thickBot="1" x14ac:dyDescent="0.25">
      <c r="A353" s="3">
        <v>6421</v>
      </c>
      <c r="B353" s="27">
        <v>45298.204884259256</v>
      </c>
      <c r="C353" s="3" t="s">
        <v>3</v>
      </c>
    </row>
    <row r="354" spans="1:3" ht="13.5" thickBot="1" x14ac:dyDescent="0.25">
      <c r="A354" s="3">
        <v>4321</v>
      </c>
      <c r="B354" s="27">
        <v>45298.205775462964</v>
      </c>
      <c r="C354" s="3" t="s">
        <v>5</v>
      </c>
    </row>
    <row r="355" spans="1:3" ht="13.5" thickBot="1" x14ac:dyDescent="0.25">
      <c r="A355" s="3">
        <v>7807</v>
      </c>
      <c r="B355" s="27">
        <v>45298.215208333335</v>
      </c>
      <c r="C355" s="3" t="s">
        <v>4</v>
      </c>
    </row>
    <row r="356" spans="1:3" ht="13.5" thickBot="1" x14ac:dyDescent="0.25">
      <c r="A356" s="3">
        <v>2984</v>
      </c>
      <c r="B356" s="27">
        <v>45298.216354166667</v>
      </c>
      <c r="C356" s="3" t="s">
        <v>3</v>
      </c>
    </row>
    <row r="357" spans="1:3" ht="13.5" thickBot="1" x14ac:dyDescent="0.25">
      <c r="A357" s="3">
        <v>2922</v>
      </c>
      <c r="B357" s="27">
        <v>45298.227129629631</v>
      </c>
      <c r="C357" s="3" t="s">
        <v>3</v>
      </c>
    </row>
    <row r="358" spans="1:3" ht="13.5" thickBot="1" x14ac:dyDescent="0.25">
      <c r="A358" s="3">
        <v>4499</v>
      </c>
      <c r="B358" s="27">
        <v>45298.233032407406</v>
      </c>
      <c r="C358" s="3" t="s">
        <v>7</v>
      </c>
    </row>
    <row r="359" spans="1:3" ht="13.5" thickBot="1" x14ac:dyDescent="0.25">
      <c r="A359" s="3">
        <v>1855</v>
      </c>
      <c r="B359" s="27">
        <v>45298.27039351852</v>
      </c>
      <c r="C359" s="3" t="s">
        <v>3</v>
      </c>
    </row>
    <row r="360" spans="1:3" ht="13.5" thickBot="1" x14ac:dyDescent="0.25">
      <c r="A360" s="3">
        <v>7822</v>
      </c>
      <c r="B360" s="27">
        <v>45298.272060185183</v>
      </c>
      <c r="C360" s="3" t="s">
        <v>6</v>
      </c>
    </row>
    <row r="361" spans="1:3" ht="13.5" thickBot="1" x14ac:dyDescent="0.25">
      <c r="A361" s="3">
        <v>4032</v>
      </c>
      <c r="B361" s="27">
        <v>45298.27715277778</v>
      </c>
      <c r="C361" s="3" t="s">
        <v>7</v>
      </c>
    </row>
    <row r="362" spans="1:3" ht="13.5" thickBot="1" x14ac:dyDescent="0.25">
      <c r="A362" s="3">
        <v>4187</v>
      </c>
      <c r="B362" s="27">
        <v>45298.28052083333</v>
      </c>
      <c r="C362" s="3" t="s">
        <v>3</v>
      </c>
    </row>
    <row r="363" spans="1:3" ht="13.5" thickBot="1" x14ac:dyDescent="0.25">
      <c r="A363" s="3">
        <v>7467</v>
      </c>
      <c r="B363" s="27">
        <v>45298.295775462961</v>
      </c>
      <c r="C363" s="3" t="s">
        <v>3</v>
      </c>
    </row>
    <row r="364" spans="1:3" ht="13.5" thickBot="1" x14ac:dyDescent="0.25">
      <c r="A364" s="3">
        <v>3533</v>
      </c>
      <c r="B364" s="27">
        <v>45298.31894675926</v>
      </c>
      <c r="C364" s="3" t="s">
        <v>6</v>
      </c>
    </row>
    <row r="365" spans="1:3" ht="13.5" thickBot="1" x14ac:dyDescent="0.25">
      <c r="A365" s="3">
        <v>4363</v>
      </c>
      <c r="B365" s="27">
        <v>45298.323495370372</v>
      </c>
      <c r="C365" s="3" t="s">
        <v>3</v>
      </c>
    </row>
    <row r="366" spans="1:3" ht="13.5" thickBot="1" x14ac:dyDescent="0.25">
      <c r="A366" s="3">
        <v>5633</v>
      </c>
      <c r="B366" s="27">
        <v>45298.328356481485</v>
      </c>
      <c r="C366" s="3" t="s">
        <v>3</v>
      </c>
    </row>
    <row r="367" spans="1:3" ht="13.5" thickBot="1" x14ac:dyDescent="0.25">
      <c r="A367" s="3">
        <v>5633</v>
      </c>
      <c r="B367" s="27">
        <v>45298.330833333333</v>
      </c>
      <c r="C367" s="3" t="s">
        <v>4</v>
      </c>
    </row>
    <row r="368" spans="1:3" ht="13.5" thickBot="1" x14ac:dyDescent="0.25">
      <c r="A368" s="3">
        <v>3756</v>
      </c>
      <c r="B368" s="27">
        <v>45298.332627314812</v>
      </c>
      <c r="C368" s="3" t="s">
        <v>3</v>
      </c>
    </row>
    <row r="369" spans="1:3" ht="13.5" thickBot="1" x14ac:dyDescent="0.25">
      <c r="A369" s="3">
        <v>4445</v>
      </c>
      <c r="B369" s="27">
        <v>45298.333379629628</v>
      </c>
      <c r="C369" s="3" t="s">
        <v>3</v>
      </c>
    </row>
    <row r="370" spans="1:3" ht="13.5" thickBot="1" x14ac:dyDescent="0.25">
      <c r="A370" s="3">
        <v>317</v>
      </c>
      <c r="B370" s="27">
        <v>45298.351388888892</v>
      </c>
      <c r="C370" s="3" t="s">
        <v>3</v>
      </c>
    </row>
    <row r="371" spans="1:3" ht="13.5" thickBot="1" x14ac:dyDescent="0.25">
      <c r="A371" s="3">
        <v>159</v>
      </c>
      <c r="B371" s="27">
        <v>45298.36209490741</v>
      </c>
      <c r="C371" s="3" t="s">
        <v>3</v>
      </c>
    </row>
    <row r="372" spans="1:3" ht="13.5" thickBot="1" x14ac:dyDescent="0.25">
      <c r="A372" s="3">
        <v>1906</v>
      </c>
      <c r="B372" s="27">
        <v>45298.369583333333</v>
      </c>
      <c r="C372" s="3" t="s">
        <v>5</v>
      </c>
    </row>
    <row r="373" spans="1:3" ht="13.5" thickBot="1" x14ac:dyDescent="0.25">
      <c r="A373" s="3">
        <v>4120</v>
      </c>
      <c r="B373" s="27">
        <v>45298.381284722222</v>
      </c>
      <c r="C373" s="3" t="s">
        <v>3</v>
      </c>
    </row>
    <row r="374" spans="1:3" ht="13.5" thickBot="1" x14ac:dyDescent="0.25">
      <c r="A374" s="3">
        <v>5195</v>
      </c>
      <c r="B374" s="27">
        <v>45298.395243055558</v>
      </c>
      <c r="C374" s="3" t="s">
        <v>3</v>
      </c>
    </row>
    <row r="375" spans="1:3" ht="13.5" thickBot="1" x14ac:dyDescent="0.25">
      <c r="A375" s="3">
        <v>6047</v>
      </c>
      <c r="B375" s="27">
        <v>45298.402685185189</v>
      </c>
      <c r="C375" s="3" t="s">
        <v>4</v>
      </c>
    </row>
    <row r="376" spans="1:3" ht="13.5" thickBot="1" x14ac:dyDescent="0.25">
      <c r="A376" s="3">
        <v>1704</v>
      </c>
      <c r="B376" s="27">
        <v>45298.411990740744</v>
      </c>
      <c r="C376" s="3" t="s">
        <v>5</v>
      </c>
    </row>
    <row r="377" spans="1:3" ht="13.5" thickBot="1" x14ac:dyDescent="0.25">
      <c r="A377" s="3">
        <v>7059</v>
      </c>
      <c r="B377" s="27">
        <v>45298.422199074077</v>
      </c>
      <c r="C377" s="3" t="s">
        <v>3</v>
      </c>
    </row>
    <row r="378" spans="1:3" ht="13.5" thickBot="1" x14ac:dyDescent="0.25">
      <c r="A378" s="3">
        <v>2620</v>
      </c>
      <c r="B378" s="27">
        <v>45298.447893518518</v>
      </c>
      <c r="C378" s="3" t="s">
        <v>3</v>
      </c>
    </row>
    <row r="379" spans="1:3" ht="13.5" thickBot="1" x14ac:dyDescent="0.25">
      <c r="A379" s="3">
        <v>904</v>
      </c>
      <c r="B379" s="27">
        <v>45298.452581018515</v>
      </c>
      <c r="C379" s="3" t="s">
        <v>4</v>
      </c>
    </row>
    <row r="380" spans="1:3" ht="13.5" thickBot="1" x14ac:dyDescent="0.25">
      <c r="A380" s="3">
        <v>7811</v>
      </c>
      <c r="B380" s="27">
        <v>45298.453726851854</v>
      </c>
      <c r="C380" s="3" t="s">
        <v>7</v>
      </c>
    </row>
    <row r="381" spans="1:3" ht="13.5" thickBot="1" x14ac:dyDescent="0.25">
      <c r="A381" s="3">
        <v>6742</v>
      </c>
      <c r="B381" s="27">
        <v>45298.464907407404</v>
      </c>
      <c r="C381" s="3" t="s">
        <v>3</v>
      </c>
    </row>
    <row r="382" spans="1:3" ht="13.5" thickBot="1" x14ac:dyDescent="0.25">
      <c r="A382" s="3">
        <v>6275</v>
      </c>
      <c r="B382" s="27">
        <v>45298.465231481481</v>
      </c>
      <c r="C382" s="3" t="s">
        <v>7</v>
      </c>
    </row>
    <row r="383" spans="1:3" ht="13.5" thickBot="1" x14ac:dyDescent="0.25">
      <c r="A383" s="3">
        <v>334</v>
      </c>
      <c r="B383" s="27">
        <v>45298.487013888887</v>
      </c>
      <c r="C383" s="3" t="s">
        <v>4</v>
      </c>
    </row>
    <row r="384" spans="1:3" ht="13.5" thickBot="1" x14ac:dyDescent="0.25">
      <c r="A384" s="3">
        <v>2639</v>
      </c>
      <c r="B384" s="27">
        <v>45298.493101851855</v>
      </c>
      <c r="C384" s="3" t="s">
        <v>4</v>
      </c>
    </row>
    <row r="385" spans="1:3" ht="13.5" thickBot="1" x14ac:dyDescent="0.25">
      <c r="A385" s="3">
        <v>7892</v>
      </c>
      <c r="B385" s="27">
        <v>45298.5002662037</v>
      </c>
      <c r="C385" s="3" t="s">
        <v>3</v>
      </c>
    </row>
    <row r="386" spans="1:3" ht="13.5" thickBot="1" x14ac:dyDescent="0.25">
      <c r="A386" s="3">
        <v>7585</v>
      </c>
      <c r="B386" s="27">
        <v>45298.502754629626</v>
      </c>
      <c r="C386" s="3" t="s">
        <v>3</v>
      </c>
    </row>
    <row r="387" spans="1:3" ht="13.5" thickBot="1" x14ac:dyDescent="0.25">
      <c r="A387" s="3">
        <v>2852</v>
      </c>
      <c r="B387" s="27">
        <v>45298.504953703705</v>
      </c>
      <c r="C387" s="3" t="s">
        <v>5</v>
      </c>
    </row>
    <row r="388" spans="1:3" ht="13.5" thickBot="1" x14ac:dyDescent="0.25">
      <c r="A388" s="3">
        <v>5603</v>
      </c>
      <c r="B388" s="27">
        <v>45298.592569444445</v>
      </c>
      <c r="C388" s="3" t="s">
        <v>5</v>
      </c>
    </row>
    <row r="389" spans="1:3" ht="13.5" thickBot="1" x14ac:dyDescent="0.25">
      <c r="A389" s="3">
        <v>84</v>
      </c>
      <c r="B389" s="27">
        <v>45298.614895833336</v>
      </c>
      <c r="C389" s="3" t="s">
        <v>3</v>
      </c>
    </row>
    <row r="390" spans="1:3" ht="13.5" thickBot="1" x14ac:dyDescent="0.25">
      <c r="A390" s="3">
        <v>334</v>
      </c>
      <c r="B390" s="27">
        <v>45298.618784722225</v>
      </c>
      <c r="C390" s="3" t="s">
        <v>3</v>
      </c>
    </row>
    <row r="391" spans="1:3" ht="13.5" thickBot="1" x14ac:dyDescent="0.25">
      <c r="A391" s="3">
        <v>665</v>
      </c>
      <c r="B391" s="27">
        <v>45298.63621527778</v>
      </c>
      <c r="C391" s="3" t="s">
        <v>4</v>
      </c>
    </row>
    <row r="392" spans="1:3" ht="13.5" thickBot="1" x14ac:dyDescent="0.25">
      <c r="A392" s="3">
        <v>3906</v>
      </c>
      <c r="B392" s="27">
        <v>45298.645462962966</v>
      </c>
      <c r="C392" s="3" t="s">
        <v>5</v>
      </c>
    </row>
    <row r="393" spans="1:3" ht="13.5" thickBot="1" x14ac:dyDescent="0.25">
      <c r="A393" s="3">
        <v>5409</v>
      </c>
      <c r="B393" s="27">
        <v>45298.665231481478</v>
      </c>
      <c r="C393" s="3" t="s">
        <v>3</v>
      </c>
    </row>
    <row r="394" spans="1:3" ht="13.5" thickBot="1" x14ac:dyDescent="0.25">
      <c r="A394" s="3">
        <v>7643</v>
      </c>
      <c r="B394" s="27">
        <v>45298.66814814815</v>
      </c>
      <c r="C394" s="3" t="s">
        <v>4</v>
      </c>
    </row>
    <row r="395" spans="1:3" ht="13.5" thickBot="1" x14ac:dyDescent="0.25">
      <c r="A395" s="3">
        <v>6920</v>
      </c>
      <c r="B395" s="27">
        <v>45298.675173611111</v>
      </c>
      <c r="C395" s="3" t="s">
        <v>7</v>
      </c>
    </row>
    <row r="396" spans="1:3" ht="13.5" thickBot="1" x14ac:dyDescent="0.25">
      <c r="A396" s="3">
        <v>1056</v>
      </c>
      <c r="B396" s="27">
        <v>45298.677268518521</v>
      </c>
      <c r="C396" s="3" t="s">
        <v>3</v>
      </c>
    </row>
    <row r="397" spans="1:3" ht="13.5" thickBot="1" x14ac:dyDescent="0.25">
      <c r="A397" s="3">
        <v>3419</v>
      </c>
      <c r="B397" s="27">
        <v>45298.731921296298</v>
      </c>
      <c r="C397" s="3" t="s">
        <v>6</v>
      </c>
    </row>
    <row r="398" spans="1:3" ht="13.5" thickBot="1" x14ac:dyDescent="0.25">
      <c r="A398" s="3">
        <v>6665</v>
      </c>
      <c r="B398" s="27">
        <v>45298.739942129629</v>
      </c>
      <c r="C398" s="3" t="s">
        <v>3</v>
      </c>
    </row>
    <row r="399" spans="1:3" ht="13.5" thickBot="1" x14ac:dyDescent="0.25">
      <c r="A399" s="3">
        <v>3375</v>
      </c>
      <c r="B399" s="27">
        <v>45298.74428240741</v>
      </c>
      <c r="C399" s="3" t="s">
        <v>3</v>
      </c>
    </row>
    <row r="400" spans="1:3" ht="13.5" thickBot="1" x14ac:dyDescent="0.25">
      <c r="A400" s="3">
        <v>6197</v>
      </c>
      <c r="B400" s="27">
        <v>45298.768622685187</v>
      </c>
      <c r="C400" s="3" t="s">
        <v>4</v>
      </c>
    </row>
    <row r="401" spans="1:3" ht="13.5" thickBot="1" x14ac:dyDescent="0.25">
      <c r="A401" s="3">
        <v>7108</v>
      </c>
      <c r="B401" s="27">
        <v>45298.77275462963</v>
      </c>
      <c r="C401" s="3" t="s">
        <v>3</v>
      </c>
    </row>
    <row r="402" spans="1:3" ht="13.5" thickBot="1" x14ac:dyDescent="0.25">
      <c r="A402" s="3">
        <v>1906</v>
      </c>
      <c r="B402" s="27">
        <v>45298.804699074077</v>
      </c>
      <c r="C402" s="3" t="s">
        <v>4</v>
      </c>
    </row>
    <row r="403" spans="1:3" ht="13.5" thickBot="1" x14ac:dyDescent="0.25">
      <c r="A403" s="3">
        <v>2707</v>
      </c>
      <c r="B403" s="27">
        <v>45298.810601851852</v>
      </c>
      <c r="C403" s="3" t="s">
        <v>7</v>
      </c>
    </row>
    <row r="404" spans="1:3" ht="13.5" thickBot="1" x14ac:dyDescent="0.25">
      <c r="A404" s="3">
        <v>1796</v>
      </c>
      <c r="B404" s="27">
        <v>45298.837604166663</v>
      </c>
      <c r="C404" s="3" t="s">
        <v>4</v>
      </c>
    </row>
    <row r="405" spans="1:3" ht="13.5" thickBot="1" x14ac:dyDescent="0.25">
      <c r="A405" s="3">
        <v>4772</v>
      </c>
      <c r="B405" s="27">
        <v>45298.838599537034</v>
      </c>
      <c r="C405" s="3" t="s">
        <v>7</v>
      </c>
    </row>
    <row r="406" spans="1:3" ht="13.5" thickBot="1" x14ac:dyDescent="0.25">
      <c r="A406" s="3">
        <v>5194</v>
      </c>
      <c r="B406" s="27">
        <v>45298.848449074074</v>
      </c>
      <c r="C406" s="3" t="s">
        <v>6</v>
      </c>
    </row>
    <row r="407" spans="1:3" ht="13.5" thickBot="1" x14ac:dyDescent="0.25">
      <c r="A407" s="3">
        <v>4120</v>
      </c>
      <c r="B407" s="27">
        <v>45298.856006944443</v>
      </c>
      <c r="C407" s="3" t="s">
        <v>4</v>
      </c>
    </row>
    <row r="408" spans="1:3" ht="13.5" thickBot="1" x14ac:dyDescent="0.25">
      <c r="A408" s="3">
        <v>702</v>
      </c>
      <c r="B408" s="27">
        <v>45298.876030092593</v>
      </c>
      <c r="C408" s="3" t="s">
        <v>3</v>
      </c>
    </row>
    <row r="409" spans="1:3" ht="13.5" thickBot="1" x14ac:dyDescent="0.25">
      <c r="A409" s="3">
        <v>7467</v>
      </c>
      <c r="B409" s="27">
        <v>45298.88863425926</v>
      </c>
      <c r="C409" s="3" t="s">
        <v>5</v>
      </c>
    </row>
    <row r="410" spans="1:3" ht="13.5" thickBot="1" x14ac:dyDescent="0.25">
      <c r="A410" s="3">
        <v>394</v>
      </c>
      <c r="B410" s="27">
        <v>45298.898553240739</v>
      </c>
      <c r="C410" s="3" t="s">
        <v>4</v>
      </c>
    </row>
    <row r="411" spans="1:3" ht="13.5" thickBot="1" x14ac:dyDescent="0.25">
      <c r="A411" s="3">
        <v>460</v>
      </c>
      <c r="B411" s="27">
        <v>45298.914814814816</v>
      </c>
      <c r="C411" s="3" t="s">
        <v>3</v>
      </c>
    </row>
    <row r="412" spans="1:3" ht="13.5" thickBot="1" x14ac:dyDescent="0.25">
      <c r="A412" s="3">
        <v>6338</v>
      </c>
      <c r="B412" s="27">
        <v>45298.922627314816</v>
      </c>
      <c r="C412" s="3" t="s">
        <v>3</v>
      </c>
    </row>
    <row r="413" spans="1:3" ht="13.5" thickBot="1" x14ac:dyDescent="0.25">
      <c r="A413" s="3">
        <v>2639</v>
      </c>
      <c r="B413" s="27">
        <v>45298.93041666667</v>
      </c>
      <c r="C413" s="3" t="s">
        <v>3</v>
      </c>
    </row>
    <row r="414" spans="1:3" ht="13.5" thickBot="1" x14ac:dyDescent="0.25">
      <c r="A414" s="3">
        <v>7003</v>
      </c>
      <c r="B414" s="27">
        <v>45298.952916666669</v>
      </c>
      <c r="C414" s="3" t="s">
        <v>6</v>
      </c>
    </row>
    <row r="415" spans="1:3" ht="13.5" thickBot="1" x14ac:dyDescent="0.25">
      <c r="A415" s="3">
        <v>3616</v>
      </c>
      <c r="B415" s="27">
        <v>45298.971273148149</v>
      </c>
      <c r="C415" s="3" t="s">
        <v>3</v>
      </c>
    </row>
    <row r="416" spans="1:3" ht="13.5" thickBot="1" x14ac:dyDescent="0.25">
      <c r="A416" s="3">
        <v>5307</v>
      </c>
      <c r="B416" s="27">
        <v>45298.97855324074</v>
      </c>
      <c r="C416" s="3" t="s">
        <v>7</v>
      </c>
    </row>
    <row r="417" spans="1:3" ht="13.5" thickBot="1" x14ac:dyDescent="0.25">
      <c r="A417" s="3">
        <v>321</v>
      </c>
      <c r="B417" s="27">
        <v>45298.979710648149</v>
      </c>
      <c r="C417" s="3" t="s">
        <v>3</v>
      </c>
    </row>
    <row r="418" spans="1:3" ht="13.5" thickBot="1" x14ac:dyDescent="0.25">
      <c r="A418" s="3">
        <v>5603</v>
      </c>
      <c r="B418" s="27">
        <v>45299.019097222219</v>
      </c>
      <c r="C418" s="3" t="s">
        <v>4</v>
      </c>
    </row>
    <row r="419" spans="1:3" ht="13.5" thickBot="1" x14ac:dyDescent="0.25">
      <c r="A419" s="3">
        <v>6242</v>
      </c>
      <c r="B419" s="27">
        <v>45299.031354166669</v>
      </c>
      <c r="C419" s="3" t="s">
        <v>3</v>
      </c>
    </row>
    <row r="420" spans="1:3" ht="13.5" thickBot="1" x14ac:dyDescent="0.25">
      <c r="A420" s="3">
        <v>5702</v>
      </c>
      <c r="B420" s="27">
        <v>45299.043564814812</v>
      </c>
      <c r="C420" s="3" t="s">
        <v>4</v>
      </c>
    </row>
    <row r="421" spans="1:3" ht="13.5" thickBot="1" x14ac:dyDescent="0.25">
      <c r="A421" s="3">
        <v>6689</v>
      </c>
      <c r="B421" s="27">
        <v>45299.05190972222</v>
      </c>
      <c r="C421" s="3" t="s">
        <v>4</v>
      </c>
    </row>
    <row r="422" spans="1:3" ht="13.5" thickBot="1" x14ac:dyDescent="0.25">
      <c r="A422" s="3">
        <v>2407</v>
      </c>
      <c r="B422" s="27">
        <v>45299.068611111114</v>
      </c>
      <c r="C422" s="3" t="s">
        <v>3</v>
      </c>
    </row>
    <row r="423" spans="1:3" ht="13.5" thickBot="1" x14ac:dyDescent="0.25">
      <c r="A423" s="3">
        <v>7081</v>
      </c>
      <c r="B423" s="27">
        <v>45299.104641203703</v>
      </c>
      <c r="C423" s="3" t="s">
        <v>3</v>
      </c>
    </row>
    <row r="424" spans="1:3" ht="13.5" thickBot="1" x14ac:dyDescent="0.25">
      <c r="A424" s="3">
        <v>2954</v>
      </c>
      <c r="B424" s="27">
        <v>45299.107939814814</v>
      </c>
      <c r="C424" s="3" t="s">
        <v>3</v>
      </c>
    </row>
    <row r="425" spans="1:3" ht="13.5" thickBot="1" x14ac:dyDescent="0.25">
      <c r="A425" s="3">
        <v>2405</v>
      </c>
      <c r="B425" s="27">
        <v>45299.128530092596</v>
      </c>
      <c r="C425" s="3" t="s">
        <v>6</v>
      </c>
    </row>
    <row r="426" spans="1:3" ht="13.5" thickBot="1" x14ac:dyDescent="0.25">
      <c r="A426" s="3">
        <v>765</v>
      </c>
      <c r="B426" s="27">
        <v>45299.14980324074</v>
      </c>
      <c r="C426" s="3" t="s">
        <v>6</v>
      </c>
    </row>
    <row r="427" spans="1:3" ht="13.5" thickBot="1" x14ac:dyDescent="0.25">
      <c r="A427" s="3">
        <v>4415</v>
      </c>
      <c r="B427" s="27">
        <v>45299.157870370371</v>
      </c>
      <c r="C427" s="3" t="s">
        <v>3</v>
      </c>
    </row>
    <row r="428" spans="1:3" ht="13.5" thickBot="1" x14ac:dyDescent="0.25">
      <c r="A428" s="3">
        <v>4593</v>
      </c>
      <c r="B428" s="27">
        <v>45299.164375</v>
      </c>
      <c r="C428" s="3" t="s">
        <v>4</v>
      </c>
    </row>
    <row r="429" spans="1:3" ht="13.5" thickBot="1" x14ac:dyDescent="0.25">
      <c r="A429" s="3">
        <v>5156</v>
      </c>
      <c r="B429" s="27">
        <v>45299.183449074073</v>
      </c>
      <c r="C429" s="3" t="s">
        <v>5</v>
      </c>
    </row>
    <row r="430" spans="1:3" ht="13.5" thickBot="1" x14ac:dyDescent="0.25">
      <c r="A430" s="3">
        <v>2310</v>
      </c>
      <c r="B430" s="27">
        <v>45299.192314814813</v>
      </c>
      <c r="C430" s="3" t="s">
        <v>3</v>
      </c>
    </row>
    <row r="431" spans="1:3" ht="13.5" thickBot="1" x14ac:dyDescent="0.25">
      <c r="A431" s="3">
        <v>6544</v>
      </c>
      <c r="B431" s="27">
        <v>45299.258472222224</v>
      </c>
      <c r="C431" s="3" t="s">
        <v>3</v>
      </c>
    </row>
    <row r="432" spans="1:3" ht="13.5" thickBot="1" x14ac:dyDescent="0.25">
      <c r="A432" s="3">
        <v>2993</v>
      </c>
      <c r="B432" s="27">
        <v>45299.269606481481</v>
      </c>
      <c r="C432" s="3" t="s">
        <v>6</v>
      </c>
    </row>
    <row r="433" spans="1:3" ht="13.5" thickBot="1" x14ac:dyDescent="0.25">
      <c r="A433" s="3">
        <v>4363</v>
      </c>
      <c r="B433" s="27">
        <v>45299.28465277778</v>
      </c>
      <c r="C433" s="3" t="s">
        <v>6</v>
      </c>
    </row>
    <row r="434" spans="1:3" ht="13.5" thickBot="1" x14ac:dyDescent="0.25">
      <c r="A434" s="3">
        <v>6242</v>
      </c>
      <c r="B434" s="27">
        <v>45299.292708333334</v>
      </c>
      <c r="C434" s="3" t="s">
        <v>4</v>
      </c>
    </row>
    <row r="435" spans="1:3" ht="13.5" thickBot="1" x14ac:dyDescent="0.25">
      <c r="A435" s="3">
        <v>6791</v>
      </c>
      <c r="B435" s="27">
        <v>45299.304525462961</v>
      </c>
      <c r="C435" s="3" t="s">
        <v>3</v>
      </c>
    </row>
    <row r="436" spans="1:3" ht="13.5" thickBot="1" x14ac:dyDescent="0.25">
      <c r="A436" s="3">
        <v>3004</v>
      </c>
      <c r="B436" s="27">
        <v>45299.315486111111</v>
      </c>
      <c r="C436" s="3" t="s">
        <v>3</v>
      </c>
    </row>
    <row r="437" spans="1:3" ht="13.5" thickBot="1" x14ac:dyDescent="0.25">
      <c r="A437" s="3">
        <v>541</v>
      </c>
      <c r="B437" s="27">
        <v>45299.319120370368</v>
      </c>
      <c r="C437" s="3" t="s">
        <v>3</v>
      </c>
    </row>
    <row r="438" spans="1:3" ht="13.5" thickBot="1" x14ac:dyDescent="0.25">
      <c r="A438" s="3">
        <v>6205</v>
      </c>
      <c r="B438" s="27">
        <v>45299.320011574076</v>
      </c>
      <c r="C438" s="3" t="s">
        <v>3</v>
      </c>
    </row>
    <row r="439" spans="1:3" ht="13.5" thickBot="1" x14ac:dyDescent="0.25">
      <c r="A439" s="3">
        <v>2845</v>
      </c>
      <c r="B439" s="27">
        <v>45299.322754629633</v>
      </c>
      <c r="C439" s="3" t="s">
        <v>4</v>
      </c>
    </row>
    <row r="440" spans="1:3" ht="13.5" thickBot="1" x14ac:dyDescent="0.25">
      <c r="A440" s="3">
        <v>4101</v>
      </c>
      <c r="B440" s="27">
        <v>45299.371712962966</v>
      </c>
      <c r="C440" s="3" t="s">
        <v>3</v>
      </c>
    </row>
    <row r="441" spans="1:3" ht="13.5" thickBot="1" x14ac:dyDescent="0.25">
      <c r="A441" s="3">
        <v>4976</v>
      </c>
      <c r="B441" s="27">
        <v>45299.390601851854</v>
      </c>
      <c r="C441" s="3" t="s">
        <v>3</v>
      </c>
    </row>
    <row r="442" spans="1:3" ht="13.5" thickBot="1" x14ac:dyDescent="0.25">
      <c r="A442" s="3">
        <v>2562</v>
      </c>
      <c r="B442" s="27">
        <v>45299.398113425923</v>
      </c>
      <c r="C442" s="3" t="s">
        <v>4</v>
      </c>
    </row>
    <row r="443" spans="1:3" ht="13.5" thickBot="1" x14ac:dyDescent="0.25">
      <c r="A443" s="3">
        <v>1796</v>
      </c>
      <c r="B443" s="27">
        <v>45299.41065972222</v>
      </c>
      <c r="C443" s="3" t="s">
        <v>5</v>
      </c>
    </row>
    <row r="444" spans="1:3" ht="13.5" thickBot="1" x14ac:dyDescent="0.25">
      <c r="A444" s="3">
        <v>6689</v>
      </c>
      <c r="B444" s="27">
        <v>45299.421296296299</v>
      </c>
      <c r="C444" s="3" t="s">
        <v>3</v>
      </c>
    </row>
    <row r="445" spans="1:3" ht="13.5" thickBot="1" x14ac:dyDescent="0.25">
      <c r="A445" s="3">
        <v>6791</v>
      </c>
      <c r="B445" s="27">
        <v>45299.44736111111</v>
      </c>
      <c r="C445" s="3" t="s">
        <v>4</v>
      </c>
    </row>
    <row r="446" spans="1:3" ht="13.5" thickBot="1" x14ac:dyDescent="0.25">
      <c r="A446" s="3">
        <v>7003</v>
      </c>
      <c r="B446" s="27">
        <v>45299.46266203704</v>
      </c>
      <c r="C446" s="3" t="s">
        <v>7</v>
      </c>
    </row>
    <row r="447" spans="1:3" ht="13.5" thickBot="1" x14ac:dyDescent="0.25">
      <c r="A447" s="3">
        <v>4233</v>
      </c>
      <c r="B447" s="27">
        <v>45299.481956018521</v>
      </c>
      <c r="C447" s="3" t="s">
        <v>3</v>
      </c>
    </row>
    <row r="448" spans="1:3" ht="13.5" thickBot="1" x14ac:dyDescent="0.25">
      <c r="A448" s="3">
        <v>4363</v>
      </c>
      <c r="B448" s="27">
        <v>45299.496134259258</v>
      </c>
      <c r="C448" s="3" t="s">
        <v>4</v>
      </c>
    </row>
    <row r="449" spans="1:3" ht="13.5" thickBot="1" x14ac:dyDescent="0.25">
      <c r="A449" s="3">
        <v>1729</v>
      </c>
      <c r="B449" s="27">
        <v>45299.498368055552</v>
      </c>
      <c r="C449" s="3" t="s">
        <v>3</v>
      </c>
    </row>
    <row r="450" spans="1:3" ht="13.5" thickBot="1" x14ac:dyDescent="0.25">
      <c r="A450" s="3">
        <v>3657</v>
      </c>
      <c r="B450" s="27">
        <v>45299.502326388887</v>
      </c>
      <c r="C450" s="3" t="s">
        <v>4</v>
      </c>
    </row>
    <row r="451" spans="1:3" ht="13.5" thickBot="1" x14ac:dyDescent="0.25">
      <c r="A451" s="3">
        <v>2150</v>
      </c>
      <c r="B451" s="27">
        <v>45299.522268518522</v>
      </c>
      <c r="C451" s="3" t="s">
        <v>5</v>
      </c>
    </row>
    <row r="452" spans="1:3" ht="13.5" thickBot="1" x14ac:dyDescent="0.25">
      <c r="A452" s="3">
        <v>1771</v>
      </c>
      <c r="B452" s="27">
        <v>45299.54010416667</v>
      </c>
      <c r="C452" s="3" t="s">
        <v>3</v>
      </c>
    </row>
    <row r="453" spans="1:3" ht="13.5" thickBot="1" x14ac:dyDescent="0.25">
      <c r="A453" s="3">
        <v>6665</v>
      </c>
      <c r="B453" s="27">
        <v>45299.547650462962</v>
      </c>
      <c r="C453" s="3" t="s">
        <v>4</v>
      </c>
    </row>
    <row r="454" spans="1:3" ht="13.5" thickBot="1" x14ac:dyDescent="0.25">
      <c r="A454" s="3">
        <v>1796</v>
      </c>
      <c r="B454" s="27">
        <v>45299.562997685185</v>
      </c>
      <c r="C454" s="3" t="s">
        <v>7</v>
      </c>
    </row>
    <row r="455" spans="1:3" ht="13.5" thickBot="1" x14ac:dyDescent="0.25">
      <c r="A455" s="3">
        <v>3157</v>
      </c>
      <c r="B455" s="27">
        <v>45299.574525462966</v>
      </c>
      <c r="C455" s="3" t="s">
        <v>3</v>
      </c>
    </row>
    <row r="456" spans="1:3" ht="13.5" thickBot="1" x14ac:dyDescent="0.25">
      <c r="A456" s="3">
        <v>799</v>
      </c>
      <c r="B456" s="27">
        <v>45299.582141203704</v>
      </c>
      <c r="C456" s="3" t="s">
        <v>3</v>
      </c>
    </row>
    <row r="457" spans="1:3" ht="13.5" thickBot="1" x14ac:dyDescent="0.25">
      <c r="A457" s="3">
        <v>7467</v>
      </c>
      <c r="B457" s="27">
        <v>45299.600717592592</v>
      </c>
      <c r="C457" s="3" t="s">
        <v>6</v>
      </c>
    </row>
    <row r="458" spans="1:3" ht="13.5" thickBot="1" x14ac:dyDescent="0.25">
      <c r="A458" s="3">
        <v>2707</v>
      </c>
      <c r="B458" s="27">
        <v>45299.604375000003</v>
      </c>
      <c r="C458" s="3" t="s">
        <v>5</v>
      </c>
    </row>
    <row r="459" spans="1:3" ht="13.5" thickBot="1" x14ac:dyDescent="0.25">
      <c r="A459" s="3">
        <v>3218</v>
      </c>
      <c r="B459" s="27">
        <v>45299.607025462959</v>
      </c>
      <c r="C459" s="3" t="s">
        <v>7</v>
      </c>
    </row>
    <row r="460" spans="1:3" ht="13.5" thickBot="1" x14ac:dyDescent="0.25">
      <c r="A460" s="3">
        <v>321</v>
      </c>
      <c r="B460" s="27">
        <v>45299.607743055552</v>
      </c>
      <c r="C460" s="3" t="s">
        <v>4</v>
      </c>
    </row>
    <row r="461" spans="1:3" ht="13.5" thickBot="1" x14ac:dyDescent="0.25">
      <c r="A461" s="3">
        <v>5194</v>
      </c>
      <c r="B461" s="27">
        <v>45299.667719907404</v>
      </c>
      <c r="C461" s="3" t="s">
        <v>5</v>
      </c>
    </row>
    <row r="462" spans="1:3" ht="13.5" thickBot="1" x14ac:dyDescent="0.25">
      <c r="A462" s="3">
        <v>2524</v>
      </c>
      <c r="B462" s="27">
        <v>45299.67454861111</v>
      </c>
      <c r="C462" s="3" t="s">
        <v>3</v>
      </c>
    </row>
    <row r="463" spans="1:3" ht="13.5" thickBot="1" x14ac:dyDescent="0.25">
      <c r="A463" s="3">
        <v>7082</v>
      </c>
      <c r="B463" s="27">
        <v>45299.676018518519</v>
      </c>
      <c r="C463" s="3" t="s">
        <v>3</v>
      </c>
    </row>
    <row r="464" spans="1:3" ht="13.5" thickBot="1" x14ac:dyDescent="0.25">
      <c r="A464" s="3">
        <v>5326</v>
      </c>
      <c r="B464" s="27">
        <v>45299.683078703703</v>
      </c>
      <c r="C464" s="3" t="s">
        <v>3</v>
      </c>
    </row>
    <row r="465" spans="1:3" ht="13.5" thickBot="1" x14ac:dyDescent="0.25">
      <c r="A465" s="3">
        <v>3657</v>
      </c>
      <c r="B465" s="27">
        <v>45299.687916666669</v>
      </c>
      <c r="C465" s="3" t="s">
        <v>3</v>
      </c>
    </row>
    <row r="466" spans="1:3" ht="13.5" thickBot="1" x14ac:dyDescent="0.25">
      <c r="A466" s="3">
        <v>2845</v>
      </c>
      <c r="B466" s="27">
        <v>45299.694155092591</v>
      </c>
      <c r="C466" s="3" t="s">
        <v>3</v>
      </c>
    </row>
    <row r="467" spans="1:3" ht="13.5" thickBot="1" x14ac:dyDescent="0.25">
      <c r="A467" s="3">
        <v>4592</v>
      </c>
      <c r="B467" s="27">
        <v>45299.701412037037</v>
      </c>
      <c r="C467" s="3" t="s">
        <v>6</v>
      </c>
    </row>
    <row r="468" spans="1:3" ht="13.5" thickBot="1" x14ac:dyDescent="0.25">
      <c r="A468" s="3">
        <v>3772</v>
      </c>
      <c r="B468" s="27">
        <v>45299.70989583333</v>
      </c>
      <c r="C468" s="3" t="s">
        <v>5</v>
      </c>
    </row>
    <row r="469" spans="1:3" ht="13.5" thickBot="1" x14ac:dyDescent="0.25">
      <c r="A469" s="3">
        <v>4851</v>
      </c>
      <c r="B469" s="27">
        <v>45299.713125000002</v>
      </c>
      <c r="C469" s="3" t="s">
        <v>3</v>
      </c>
    </row>
    <row r="470" spans="1:3" ht="13.5" thickBot="1" x14ac:dyDescent="0.25">
      <c r="A470" s="3">
        <v>2199</v>
      </c>
      <c r="B470" s="27">
        <v>45299.735532407409</v>
      </c>
      <c r="C470" s="3" t="s">
        <v>3</v>
      </c>
    </row>
    <row r="471" spans="1:3" ht="13.5" thickBot="1" x14ac:dyDescent="0.25">
      <c r="A471" s="3">
        <v>3352</v>
      </c>
      <c r="B471" s="27">
        <v>45299.752546296295</v>
      </c>
      <c r="C471" s="3" t="s">
        <v>3</v>
      </c>
    </row>
    <row r="472" spans="1:3" ht="13.5" thickBot="1" x14ac:dyDescent="0.25">
      <c r="A472" s="3">
        <v>1730</v>
      </c>
      <c r="B472" s="27">
        <v>45299.755868055552</v>
      </c>
      <c r="C472" s="3" t="s">
        <v>3</v>
      </c>
    </row>
    <row r="473" spans="1:3" ht="13.5" thickBot="1" x14ac:dyDescent="0.25">
      <c r="A473" s="3">
        <v>2616</v>
      </c>
      <c r="B473" s="27">
        <v>45299.786932870367</v>
      </c>
      <c r="C473" s="3" t="s">
        <v>3</v>
      </c>
    </row>
    <row r="474" spans="1:3" ht="13.5" thickBot="1" x14ac:dyDescent="0.25">
      <c r="A474" s="3">
        <v>1771</v>
      </c>
      <c r="B474" s="27">
        <v>45299.788414351853</v>
      </c>
      <c r="C474" s="3" t="s">
        <v>4</v>
      </c>
    </row>
    <row r="475" spans="1:3" ht="13.5" thickBot="1" x14ac:dyDescent="0.25">
      <c r="A475" s="3">
        <v>4321</v>
      </c>
      <c r="B475" s="27">
        <v>45299.791550925926</v>
      </c>
      <c r="C475" s="3" t="s">
        <v>6</v>
      </c>
    </row>
    <row r="476" spans="1:3" ht="13.5" thickBot="1" x14ac:dyDescent="0.25">
      <c r="A476" s="3">
        <v>3008</v>
      </c>
      <c r="B476" s="27">
        <v>45299.826365740744</v>
      </c>
      <c r="C476" s="3" t="s">
        <v>3</v>
      </c>
    </row>
    <row r="477" spans="1:3" ht="13.5" thickBot="1" x14ac:dyDescent="0.25">
      <c r="A477" s="3">
        <v>4976</v>
      </c>
      <c r="B477" s="27">
        <v>45299.826516203706</v>
      </c>
      <c r="C477" s="3" t="s">
        <v>4</v>
      </c>
    </row>
    <row r="478" spans="1:3" ht="13.5" thickBot="1" x14ac:dyDescent="0.25">
      <c r="A478" s="3">
        <v>7375</v>
      </c>
      <c r="B478" s="27">
        <v>45299.829629629632</v>
      </c>
      <c r="C478" s="3" t="s">
        <v>3</v>
      </c>
    </row>
    <row r="479" spans="1:3" ht="13.5" thickBot="1" x14ac:dyDescent="0.25">
      <c r="A479" s="3">
        <v>5186</v>
      </c>
      <c r="B479" s="27">
        <v>45299.833240740743</v>
      </c>
      <c r="C479" s="3" t="s">
        <v>6</v>
      </c>
    </row>
    <row r="480" spans="1:3" ht="13.5" thickBot="1" x14ac:dyDescent="0.25">
      <c r="A480" s="3">
        <v>6737</v>
      </c>
      <c r="B480" s="27">
        <v>45299.870081018518</v>
      </c>
      <c r="C480" s="3" t="s">
        <v>3</v>
      </c>
    </row>
    <row r="481" spans="1:3" ht="13.5" thickBot="1" x14ac:dyDescent="0.25">
      <c r="A481" s="3">
        <v>3639</v>
      </c>
      <c r="B481" s="27">
        <v>45299.878437500003</v>
      </c>
      <c r="C481" s="3" t="s">
        <v>3</v>
      </c>
    </row>
    <row r="482" spans="1:3" ht="13.5" thickBot="1" x14ac:dyDescent="0.25">
      <c r="A482" s="3">
        <v>1056</v>
      </c>
      <c r="B482" s="27">
        <v>45299.914965277778</v>
      </c>
      <c r="C482" s="3" t="s">
        <v>7</v>
      </c>
    </row>
    <row r="483" spans="1:3" ht="13.5" thickBot="1" x14ac:dyDescent="0.25">
      <c r="A483" s="3">
        <v>504</v>
      </c>
      <c r="B483" s="27">
        <v>45299.955254629633</v>
      </c>
      <c r="C483" s="3" t="s">
        <v>7</v>
      </c>
    </row>
    <row r="484" spans="1:3" ht="13.5" thickBot="1" x14ac:dyDescent="0.25">
      <c r="A484" s="3">
        <v>7892</v>
      </c>
      <c r="B484" s="27">
        <v>45299.957696759258</v>
      </c>
      <c r="C484" s="3" t="s">
        <v>4</v>
      </c>
    </row>
    <row r="485" spans="1:3" ht="13.5" thickBot="1" x14ac:dyDescent="0.25">
      <c r="A485" s="3">
        <v>5195</v>
      </c>
      <c r="B485" s="27">
        <v>45299.959479166668</v>
      </c>
      <c r="C485" s="3" t="s">
        <v>4</v>
      </c>
    </row>
    <row r="486" spans="1:3" ht="13.5" thickBot="1" x14ac:dyDescent="0.25">
      <c r="A486" s="3">
        <v>2150</v>
      </c>
      <c r="B486" s="27">
        <v>45299.96</v>
      </c>
      <c r="C486" s="3" t="s">
        <v>3</v>
      </c>
    </row>
    <row r="487" spans="1:3" ht="13.5" thickBot="1" x14ac:dyDescent="0.25">
      <c r="A487" s="3">
        <v>3910</v>
      </c>
      <c r="B487" s="27">
        <v>45299.972511574073</v>
      </c>
      <c r="C487" s="3" t="s">
        <v>4</v>
      </c>
    </row>
    <row r="488" spans="1:3" ht="13.5" thickBot="1" x14ac:dyDescent="0.25">
      <c r="A488" s="3">
        <v>7036</v>
      </c>
      <c r="B488" s="27">
        <v>45299.998263888891</v>
      </c>
      <c r="C488" s="3" t="s">
        <v>3</v>
      </c>
    </row>
    <row r="489" spans="1:3" ht="13.5" thickBot="1" x14ac:dyDescent="0.25">
      <c r="A489" s="3">
        <v>2610</v>
      </c>
      <c r="B489" s="27">
        <v>45300.000902777778</v>
      </c>
      <c r="C489" s="3" t="s">
        <v>3</v>
      </c>
    </row>
    <row r="490" spans="1:3" ht="13.5" thickBot="1" x14ac:dyDescent="0.25">
      <c r="A490" s="3">
        <v>734</v>
      </c>
      <c r="B490" s="27">
        <v>45300.00203703704</v>
      </c>
      <c r="C490" s="3" t="s">
        <v>7</v>
      </c>
    </row>
    <row r="491" spans="1:3" ht="13.5" thickBot="1" x14ac:dyDescent="0.25">
      <c r="A491" s="3">
        <v>2570</v>
      </c>
      <c r="B491" s="27">
        <v>45300.015520833331</v>
      </c>
      <c r="C491" s="3" t="s">
        <v>6</v>
      </c>
    </row>
    <row r="492" spans="1:3" ht="13.5" thickBot="1" x14ac:dyDescent="0.25">
      <c r="A492" s="3">
        <v>3617</v>
      </c>
      <c r="B492" s="27">
        <v>45300.032696759263</v>
      </c>
      <c r="C492" s="3" t="s">
        <v>4</v>
      </c>
    </row>
    <row r="493" spans="1:3" ht="13.5" thickBot="1" x14ac:dyDescent="0.25">
      <c r="A493" s="3">
        <v>1056</v>
      </c>
      <c r="B493" s="27">
        <v>45300.048993055556</v>
      </c>
      <c r="C493" s="3" t="s">
        <v>4</v>
      </c>
    </row>
    <row r="494" spans="1:3" ht="13.5" thickBot="1" x14ac:dyDescent="0.25">
      <c r="A494" s="3">
        <v>7274</v>
      </c>
      <c r="B494" s="27">
        <v>45300.051469907405</v>
      </c>
      <c r="C494" s="3" t="s">
        <v>5</v>
      </c>
    </row>
    <row r="495" spans="1:3" ht="13.5" thickBot="1" x14ac:dyDescent="0.25">
      <c r="A495" s="3">
        <v>4120</v>
      </c>
      <c r="B495" s="27">
        <v>45300.055486111109</v>
      </c>
      <c r="C495" s="3" t="s">
        <v>7</v>
      </c>
    </row>
    <row r="496" spans="1:3" ht="13.5" thickBot="1" x14ac:dyDescent="0.25">
      <c r="A496" s="3">
        <v>5147</v>
      </c>
      <c r="B496" s="27">
        <v>45300.064201388886</v>
      </c>
      <c r="C496" s="3" t="s">
        <v>7</v>
      </c>
    </row>
    <row r="497" spans="1:3" ht="13.5" thickBot="1" x14ac:dyDescent="0.25">
      <c r="A497" s="3">
        <v>3617</v>
      </c>
      <c r="B497" s="27">
        <v>45300.072118055556</v>
      </c>
      <c r="C497" s="3" t="s">
        <v>3</v>
      </c>
    </row>
    <row r="498" spans="1:3" ht="13.5" thickBot="1" x14ac:dyDescent="0.25">
      <c r="A498" s="3">
        <v>2639</v>
      </c>
      <c r="B498" s="27">
        <v>45300.128831018519</v>
      </c>
      <c r="C498" s="3" t="s">
        <v>7</v>
      </c>
    </row>
    <row r="499" spans="1:3" ht="13.5" thickBot="1" x14ac:dyDescent="0.25">
      <c r="A499" s="3">
        <v>2898</v>
      </c>
      <c r="B499" s="27">
        <v>45300.135300925926</v>
      </c>
      <c r="C499" s="3" t="s">
        <v>4</v>
      </c>
    </row>
    <row r="500" spans="1:3" ht="13.5" thickBot="1" x14ac:dyDescent="0.25">
      <c r="A500" s="3">
        <v>687</v>
      </c>
      <c r="B500" s="27">
        <v>45300.147523148145</v>
      </c>
      <c r="C500" s="3" t="s">
        <v>3</v>
      </c>
    </row>
    <row r="501" spans="1:3" ht="13.5" thickBot="1" x14ac:dyDescent="0.25">
      <c r="A501" s="3">
        <v>4775</v>
      </c>
      <c r="B501" s="27">
        <v>45300.153495370374</v>
      </c>
      <c r="C501" s="3" t="s">
        <v>6</v>
      </c>
    </row>
    <row r="502" spans="1:3" ht="13.5" thickBot="1" x14ac:dyDescent="0.25">
      <c r="A502" s="3">
        <v>4227</v>
      </c>
      <c r="B502" s="27">
        <v>45300.160381944443</v>
      </c>
      <c r="C502" s="3" t="s">
        <v>3</v>
      </c>
    </row>
    <row r="503" spans="1:3" ht="13.5" thickBot="1" x14ac:dyDescent="0.25">
      <c r="A503" s="3">
        <v>6046</v>
      </c>
      <c r="B503" s="27">
        <v>45300.166261574072</v>
      </c>
      <c r="C503" s="3" t="s">
        <v>3</v>
      </c>
    </row>
    <row r="504" spans="1:3" ht="13.5" thickBot="1" x14ac:dyDescent="0.25">
      <c r="A504" s="3">
        <v>6065</v>
      </c>
      <c r="B504" s="27">
        <v>45300.185439814813</v>
      </c>
      <c r="C504" s="3" t="s">
        <v>3</v>
      </c>
    </row>
    <row r="505" spans="1:3" ht="13.5" thickBot="1" x14ac:dyDescent="0.25">
      <c r="A505" s="3">
        <v>7990</v>
      </c>
      <c r="B505" s="27">
        <v>45300.254421296297</v>
      </c>
      <c r="C505" s="3" t="s">
        <v>6</v>
      </c>
    </row>
    <row r="506" spans="1:3" ht="13.5" thickBot="1" x14ac:dyDescent="0.25">
      <c r="A506" s="3">
        <v>375</v>
      </c>
      <c r="B506" s="27">
        <v>45300.260474537034</v>
      </c>
      <c r="C506" s="3" t="s">
        <v>3</v>
      </c>
    </row>
    <row r="507" spans="1:3" ht="13.5" thickBot="1" x14ac:dyDescent="0.25">
      <c r="A507" s="3">
        <v>4629</v>
      </c>
      <c r="B507" s="27">
        <v>45300.301307870373</v>
      </c>
      <c r="C507" s="3" t="s">
        <v>3</v>
      </c>
    </row>
    <row r="508" spans="1:3" ht="13.5" thickBot="1" x14ac:dyDescent="0.25">
      <c r="A508" s="3">
        <v>3535</v>
      </c>
      <c r="B508" s="27">
        <v>45300.30228009259</v>
      </c>
      <c r="C508" s="3" t="s">
        <v>4</v>
      </c>
    </row>
    <row r="509" spans="1:3" ht="13.5" thickBot="1" x14ac:dyDescent="0.25">
      <c r="A509" s="3">
        <v>6544</v>
      </c>
      <c r="B509" s="27">
        <v>45300.315011574072</v>
      </c>
      <c r="C509" s="3" t="s">
        <v>6</v>
      </c>
    </row>
    <row r="510" spans="1:3" ht="13.5" thickBot="1" x14ac:dyDescent="0.25">
      <c r="A510" s="3">
        <v>4775</v>
      </c>
      <c r="B510" s="27">
        <v>45300.318611111114</v>
      </c>
      <c r="C510" s="3" t="s">
        <v>5</v>
      </c>
    </row>
    <row r="511" spans="1:3" ht="13.5" thickBot="1" x14ac:dyDescent="0.25">
      <c r="A511" s="3">
        <v>7307</v>
      </c>
      <c r="B511" s="27">
        <v>45300.319143518522</v>
      </c>
      <c r="C511" s="3" t="s">
        <v>3</v>
      </c>
    </row>
    <row r="512" spans="1:3" ht="13.5" thickBot="1" x14ac:dyDescent="0.25">
      <c r="A512" s="3">
        <v>1502</v>
      </c>
      <c r="B512" s="27">
        <v>45300.337442129632</v>
      </c>
      <c r="C512" s="3" t="s">
        <v>3</v>
      </c>
    </row>
    <row r="513" spans="1:3" ht="13.5" thickBot="1" x14ac:dyDescent="0.25">
      <c r="A513" s="3">
        <v>3535</v>
      </c>
      <c r="B513" s="27">
        <v>45300.351574074077</v>
      </c>
      <c r="C513" s="3" t="s">
        <v>3</v>
      </c>
    </row>
    <row r="514" spans="1:3" ht="13.5" thickBot="1" x14ac:dyDescent="0.25">
      <c r="A514" s="3">
        <v>3758</v>
      </c>
      <c r="B514" s="27">
        <v>45300.362881944442</v>
      </c>
      <c r="C514" s="3" t="s">
        <v>4</v>
      </c>
    </row>
    <row r="515" spans="1:3" ht="13.5" thickBot="1" x14ac:dyDescent="0.25">
      <c r="A515" s="3">
        <v>1115</v>
      </c>
      <c r="B515" s="27">
        <v>45300.368101851855</v>
      </c>
      <c r="C515" s="3" t="s">
        <v>3</v>
      </c>
    </row>
    <row r="516" spans="1:3" ht="13.5" thickBot="1" x14ac:dyDescent="0.25">
      <c r="A516" s="3">
        <v>2002</v>
      </c>
      <c r="B516" s="27">
        <v>45300.375439814816</v>
      </c>
      <c r="C516" s="3" t="s">
        <v>3</v>
      </c>
    </row>
    <row r="517" spans="1:3" ht="13.5" thickBot="1" x14ac:dyDescent="0.25">
      <c r="A517" s="3">
        <v>3756</v>
      </c>
      <c r="B517" s="27">
        <v>45300.405347222222</v>
      </c>
      <c r="C517" s="3" t="s">
        <v>4</v>
      </c>
    </row>
    <row r="518" spans="1:3" ht="13.5" thickBot="1" x14ac:dyDescent="0.25">
      <c r="A518" s="3">
        <v>1939</v>
      </c>
      <c r="B518" s="27">
        <v>45300.415694444448</v>
      </c>
      <c r="C518" s="3" t="s">
        <v>3</v>
      </c>
    </row>
    <row r="519" spans="1:3" ht="13.5" thickBot="1" x14ac:dyDescent="0.25">
      <c r="A519" s="3">
        <v>4609</v>
      </c>
      <c r="B519" s="27">
        <v>45300.431631944448</v>
      </c>
      <c r="C519" s="3" t="s">
        <v>3</v>
      </c>
    </row>
    <row r="520" spans="1:3" ht="13.5" thickBot="1" x14ac:dyDescent="0.25">
      <c r="A520" s="3">
        <v>3617</v>
      </c>
      <c r="B520" s="27">
        <v>45300.439479166664</v>
      </c>
      <c r="C520" s="3" t="s">
        <v>5</v>
      </c>
    </row>
    <row r="521" spans="1:3" ht="13.5" thickBot="1" x14ac:dyDescent="0.25">
      <c r="A521" s="3">
        <v>6665</v>
      </c>
      <c r="B521" s="27">
        <v>45300.459780092591</v>
      </c>
      <c r="C521" s="3" t="s">
        <v>7</v>
      </c>
    </row>
    <row r="522" spans="1:3" ht="13.5" thickBot="1" x14ac:dyDescent="0.25">
      <c r="A522" s="3">
        <v>6370</v>
      </c>
      <c r="B522" s="27">
        <v>45300.462118055555</v>
      </c>
      <c r="C522" s="3" t="s">
        <v>3</v>
      </c>
    </row>
    <row r="523" spans="1:3" ht="13.5" thickBot="1" x14ac:dyDescent="0.25">
      <c r="A523" s="3">
        <v>2072</v>
      </c>
      <c r="B523" s="27">
        <v>45300.469618055555</v>
      </c>
      <c r="C523" s="3" t="s">
        <v>3</v>
      </c>
    </row>
    <row r="524" spans="1:3" ht="13.5" thickBot="1" x14ac:dyDescent="0.25">
      <c r="A524" s="3">
        <v>1796</v>
      </c>
      <c r="B524" s="27">
        <v>45300.515196759261</v>
      </c>
      <c r="C524" s="3" t="s">
        <v>6</v>
      </c>
    </row>
    <row r="525" spans="1:3" ht="13.5" thickBot="1" x14ac:dyDescent="0.25">
      <c r="A525" s="3">
        <v>6544</v>
      </c>
      <c r="B525" s="27">
        <v>45300.515555555554</v>
      </c>
      <c r="C525" s="3" t="s">
        <v>5</v>
      </c>
    </row>
    <row r="526" spans="1:3" ht="13.5" thickBot="1" x14ac:dyDescent="0.25">
      <c r="A526" s="3">
        <v>248</v>
      </c>
      <c r="B526" s="27">
        <v>45300.524722222224</v>
      </c>
      <c r="C526" s="3" t="s">
        <v>3</v>
      </c>
    </row>
    <row r="527" spans="1:3" ht="13.5" thickBot="1" x14ac:dyDescent="0.25">
      <c r="A527" s="3">
        <v>882</v>
      </c>
      <c r="B527" s="27">
        <v>45300.533321759256</v>
      </c>
      <c r="C527" s="3" t="s">
        <v>3</v>
      </c>
    </row>
    <row r="528" spans="1:3" ht="13.5" thickBot="1" x14ac:dyDescent="0.25">
      <c r="A528" s="3">
        <v>6799</v>
      </c>
      <c r="B528" s="27">
        <v>45300.542592592596</v>
      </c>
      <c r="C528" s="3" t="s">
        <v>3</v>
      </c>
    </row>
    <row r="529" spans="1:3" ht="13.5" thickBot="1" x14ac:dyDescent="0.25">
      <c r="A529" s="3">
        <v>2620</v>
      </c>
      <c r="B529" s="27">
        <v>45300.542685185188</v>
      </c>
      <c r="C529" s="3" t="s">
        <v>4</v>
      </c>
    </row>
    <row r="530" spans="1:3" ht="13.5" thickBot="1" x14ac:dyDescent="0.25">
      <c r="A530" s="3">
        <v>858</v>
      </c>
      <c r="B530" s="27">
        <v>45300.554247685184</v>
      </c>
      <c r="C530" s="3" t="s">
        <v>3</v>
      </c>
    </row>
    <row r="531" spans="1:3" ht="13.5" thickBot="1" x14ac:dyDescent="0.25">
      <c r="A531" s="3">
        <v>1729</v>
      </c>
      <c r="B531" s="27">
        <v>45300.56181712963</v>
      </c>
      <c r="C531" s="3" t="s">
        <v>5</v>
      </c>
    </row>
    <row r="532" spans="1:3" ht="13.5" thickBot="1" x14ac:dyDescent="0.25">
      <c r="A532" s="3">
        <v>1906</v>
      </c>
      <c r="B532" s="27">
        <v>45300.578576388885</v>
      </c>
      <c r="C532" s="3" t="s">
        <v>7</v>
      </c>
    </row>
    <row r="533" spans="1:3" ht="13.5" thickBot="1" x14ac:dyDescent="0.25">
      <c r="A533" s="3">
        <v>4694</v>
      </c>
      <c r="B533" s="27">
        <v>45300.59584490741</v>
      </c>
      <c r="C533" s="3" t="s">
        <v>7</v>
      </c>
    </row>
    <row r="534" spans="1:3" ht="13.5" thickBot="1" x14ac:dyDescent="0.25">
      <c r="A534" s="3">
        <v>2150</v>
      </c>
      <c r="B534" s="27">
        <v>45300.598599537036</v>
      </c>
      <c r="C534" s="3" t="s">
        <v>4</v>
      </c>
    </row>
    <row r="535" spans="1:3" ht="13.5" thickBot="1" x14ac:dyDescent="0.25">
      <c r="A535" s="3">
        <v>3218</v>
      </c>
      <c r="B535" s="27">
        <v>45300.606134259258</v>
      </c>
      <c r="C535" s="3" t="s">
        <v>5</v>
      </c>
    </row>
    <row r="536" spans="1:3" ht="13.5" thickBot="1" x14ac:dyDescent="0.25">
      <c r="A536" s="3">
        <v>2922</v>
      </c>
      <c r="B536" s="27">
        <v>45300.61246527778</v>
      </c>
      <c r="C536" s="3" t="s">
        <v>4</v>
      </c>
    </row>
    <row r="537" spans="1:3" ht="13.5" thickBot="1" x14ac:dyDescent="0.25">
      <c r="A537" s="3">
        <v>799</v>
      </c>
      <c r="B537" s="27">
        <v>45300.628020833334</v>
      </c>
      <c r="C537" s="3" t="s">
        <v>5</v>
      </c>
    </row>
    <row r="538" spans="1:3" ht="13.5" thickBot="1" x14ac:dyDescent="0.25">
      <c r="A538" s="3">
        <v>3008</v>
      </c>
      <c r="B538" s="27">
        <v>45300.640335648146</v>
      </c>
      <c r="C538" s="3" t="s">
        <v>7</v>
      </c>
    </row>
    <row r="539" spans="1:3" ht="13.5" thickBot="1" x14ac:dyDescent="0.25">
      <c r="A539" s="3">
        <v>7704</v>
      </c>
      <c r="B539" s="27">
        <v>45300.714432870373</v>
      </c>
      <c r="C539" s="3" t="s">
        <v>3</v>
      </c>
    </row>
    <row r="540" spans="1:3" ht="13.5" thickBot="1" x14ac:dyDescent="0.25">
      <c r="A540" s="3">
        <v>1407</v>
      </c>
      <c r="B540" s="27">
        <v>45300.732731481483</v>
      </c>
      <c r="C540" s="3" t="s">
        <v>3</v>
      </c>
    </row>
    <row r="541" spans="1:3" ht="13.5" thickBot="1" x14ac:dyDescent="0.25">
      <c r="A541" s="3">
        <v>7748</v>
      </c>
      <c r="B541" s="27">
        <v>45300.747395833336</v>
      </c>
      <c r="C541" s="3" t="s">
        <v>3</v>
      </c>
    </row>
    <row r="542" spans="1:3" ht="13.5" thickBot="1" x14ac:dyDescent="0.25">
      <c r="A542" s="3">
        <v>6544</v>
      </c>
      <c r="B542" s="27">
        <v>45300.747430555559</v>
      </c>
      <c r="C542" s="3" t="s">
        <v>4</v>
      </c>
    </row>
    <row r="543" spans="1:3" ht="13.5" thickBot="1" x14ac:dyDescent="0.25">
      <c r="A543" s="3">
        <v>2524</v>
      </c>
      <c r="B543" s="27">
        <v>45300.753668981481</v>
      </c>
      <c r="C543" s="3" t="s">
        <v>4</v>
      </c>
    </row>
    <row r="544" spans="1:3" ht="13.5" thickBot="1" x14ac:dyDescent="0.25">
      <c r="A544" s="3">
        <v>6799</v>
      </c>
      <c r="B544" s="27">
        <v>45300.777349537035</v>
      </c>
      <c r="C544" s="3" t="s">
        <v>5</v>
      </c>
    </row>
    <row r="545" spans="1:3" ht="13.5" thickBot="1" x14ac:dyDescent="0.25">
      <c r="A545" s="3">
        <v>7530</v>
      </c>
      <c r="B545" s="27">
        <v>45300.780590277776</v>
      </c>
      <c r="C545" s="3" t="s">
        <v>3</v>
      </c>
    </row>
    <row r="546" spans="1:3" ht="13.5" thickBot="1" x14ac:dyDescent="0.25">
      <c r="A546" s="3">
        <v>5195</v>
      </c>
      <c r="B546" s="27">
        <v>45300.781504629631</v>
      </c>
      <c r="C546" s="3" t="s">
        <v>7</v>
      </c>
    </row>
    <row r="547" spans="1:3" ht="13.5" thickBot="1" x14ac:dyDescent="0.25">
      <c r="A547" s="3">
        <v>799</v>
      </c>
      <c r="B547" s="27">
        <v>45300.806990740741</v>
      </c>
      <c r="C547" s="3" t="s">
        <v>4</v>
      </c>
    </row>
    <row r="548" spans="1:3" ht="13.5" thickBot="1" x14ac:dyDescent="0.25">
      <c r="A548" s="3">
        <v>2407</v>
      </c>
      <c r="B548" s="27">
        <v>45300.813784722224</v>
      </c>
      <c r="C548" s="3" t="s">
        <v>5</v>
      </c>
    </row>
    <row r="549" spans="1:3" ht="13.5" thickBot="1" x14ac:dyDescent="0.25">
      <c r="A549" s="3">
        <v>307</v>
      </c>
      <c r="B549" s="27">
        <v>45300.814074074071</v>
      </c>
      <c r="C549" s="3" t="s">
        <v>3</v>
      </c>
    </row>
    <row r="550" spans="1:3" ht="13.5" thickBot="1" x14ac:dyDescent="0.25">
      <c r="A550" s="3">
        <v>209</v>
      </c>
      <c r="B550" s="27">
        <v>45300.83965277778</v>
      </c>
      <c r="C550" s="3" t="s">
        <v>7</v>
      </c>
    </row>
    <row r="551" spans="1:3" ht="13.5" thickBot="1" x14ac:dyDescent="0.25">
      <c r="A551" s="3">
        <v>2898</v>
      </c>
      <c r="B551" s="27">
        <v>45300.870555555557</v>
      </c>
      <c r="C551" s="3" t="s">
        <v>3</v>
      </c>
    </row>
    <row r="552" spans="1:3" ht="13.5" thickBot="1" x14ac:dyDescent="0.25">
      <c r="A552" s="3">
        <v>7274</v>
      </c>
      <c r="B552" s="27">
        <v>45300.877222222225</v>
      </c>
      <c r="C552" s="3" t="s">
        <v>3</v>
      </c>
    </row>
    <row r="553" spans="1:3" ht="13.5" thickBot="1" x14ac:dyDescent="0.25">
      <c r="A553" s="3">
        <v>5326</v>
      </c>
      <c r="B553" s="27">
        <v>45300.924004629633</v>
      </c>
      <c r="C553" s="3" t="s">
        <v>5</v>
      </c>
    </row>
    <row r="554" spans="1:3" ht="13.5" thickBot="1" x14ac:dyDescent="0.25">
      <c r="A554" s="3">
        <v>7530</v>
      </c>
      <c r="B554" s="27">
        <v>45300.92732638889</v>
      </c>
      <c r="C554" s="3" t="s">
        <v>4</v>
      </c>
    </row>
    <row r="555" spans="1:3" ht="13.5" thickBot="1" x14ac:dyDescent="0.25">
      <c r="A555" s="3">
        <v>3663</v>
      </c>
      <c r="B555" s="27">
        <v>45300.954467592594</v>
      </c>
      <c r="C555" s="3" t="s">
        <v>3</v>
      </c>
    </row>
    <row r="556" spans="1:3" ht="13.5" thickBot="1" x14ac:dyDescent="0.25">
      <c r="A556" s="3">
        <v>7274</v>
      </c>
      <c r="B556" s="27">
        <v>45300.977372685185</v>
      </c>
      <c r="C556" s="3" t="s">
        <v>4</v>
      </c>
    </row>
    <row r="557" spans="1:3" ht="13.5" thickBot="1" x14ac:dyDescent="0.25">
      <c r="A557" s="3">
        <v>7314</v>
      </c>
      <c r="B557" s="27">
        <v>45300.989710648151</v>
      </c>
      <c r="C557" s="3" t="s">
        <v>3</v>
      </c>
    </row>
    <row r="558" spans="1:3" ht="13.5" thickBot="1" x14ac:dyDescent="0.25">
      <c r="A558" s="3">
        <v>6618</v>
      </c>
      <c r="B558" s="27">
        <v>45301.002951388888</v>
      </c>
      <c r="C558" s="3" t="s">
        <v>3</v>
      </c>
    </row>
    <row r="559" spans="1:3" ht="13.5" thickBot="1" x14ac:dyDescent="0.25">
      <c r="A559" s="3">
        <v>3008</v>
      </c>
      <c r="B559" s="27">
        <v>45301.013842592591</v>
      </c>
      <c r="C559" s="3" t="s">
        <v>5</v>
      </c>
    </row>
    <row r="560" spans="1:3" ht="13.5" thickBot="1" x14ac:dyDescent="0.25">
      <c r="A560" s="3">
        <v>7679</v>
      </c>
      <c r="B560" s="27">
        <v>45301.019490740742</v>
      </c>
      <c r="C560" s="3" t="s">
        <v>3</v>
      </c>
    </row>
    <row r="561" spans="1:3" ht="13.5" thickBot="1" x14ac:dyDescent="0.25">
      <c r="A561" s="3">
        <v>1636</v>
      </c>
      <c r="B561" s="27">
        <v>45301.057384259257</v>
      </c>
      <c r="C561" s="3" t="s">
        <v>3</v>
      </c>
    </row>
    <row r="562" spans="1:3" ht="13.5" thickBot="1" x14ac:dyDescent="0.25">
      <c r="A562" s="3">
        <v>7020</v>
      </c>
      <c r="B562" s="27">
        <v>45301.059861111113</v>
      </c>
      <c r="C562" s="3" t="s">
        <v>3</v>
      </c>
    </row>
    <row r="563" spans="1:3" ht="13.5" thickBot="1" x14ac:dyDescent="0.25">
      <c r="A563" s="3">
        <v>882</v>
      </c>
      <c r="B563" s="27">
        <v>45301.06318287037</v>
      </c>
      <c r="C563" s="3" t="s">
        <v>4</v>
      </c>
    </row>
    <row r="564" spans="1:3" ht="13.5" thickBot="1" x14ac:dyDescent="0.25">
      <c r="A564" s="3">
        <v>1729</v>
      </c>
      <c r="B564" s="27">
        <v>45301.063750000001</v>
      </c>
      <c r="C564" s="3" t="s">
        <v>4</v>
      </c>
    </row>
    <row r="565" spans="1:3" ht="13.5" thickBot="1" x14ac:dyDescent="0.25">
      <c r="A565" s="3">
        <v>5603</v>
      </c>
      <c r="B565" s="27">
        <v>45301.067650462966</v>
      </c>
      <c r="C565" s="3" t="s">
        <v>6</v>
      </c>
    </row>
    <row r="566" spans="1:3" ht="13.5" thickBot="1" x14ac:dyDescent="0.25">
      <c r="A566" s="3">
        <v>209</v>
      </c>
      <c r="B566" s="27">
        <v>45301.087592592594</v>
      </c>
      <c r="C566" s="3" t="s">
        <v>6</v>
      </c>
    </row>
    <row r="567" spans="1:3" ht="13.5" thickBot="1" x14ac:dyDescent="0.25">
      <c r="A567" s="3">
        <v>3121</v>
      </c>
      <c r="B567" s="27">
        <v>45301.093807870369</v>
      </c>
      <c r="C567" s="3" t="s">
        <v>3</v>
      </c>
    </row>
    <row r="568" spans="1:3" ht="13.5" thickBot="1" x14ac:dyDescent="0.25">
      <c r="A568" s="3">
        <v>5315</v>
      </c>
      <c r="B568" s="27">
        <v>45301.126377314817</v>
      </c>
      <c r="C568" s="3" t="s">
        <v>3</v>
      </c>
    </row>
    <row r="569" spans="1:3" ht="13.5" thickBot="1" x14ac:dyDescent="0.25">
      <c r="A569" s="3">
        <v>2796</v>
      </c>
      <c r="B569" s="27">
        <v>45301.135578703703</v>
      </c>
      <c r="C569" s="3" t="s">
        <v>4</v>
      </c>
    </row>
    <row r="570" spans="1:3" ht="13.5" thickBot="1" x14ac:dyDescent="0.25">
      <c r="A570" s="3">
        <v>5485</v>
      </c>
      <c r="B570" s="27">
        <v>45301.138657407406</v>
      </c>
      <c r="C570" s="3" t="s">
        <v>3</v>
      </c>
    </row>
    <row r="571" spans="1:3" ht="13.5" thickBot="1" x14ac:dyDescent="0.25">
      <c r="A571" s="3">
        <v>5633</v>
      </c>
      <c r="B571" s="27">
        <v>45301.142256944448</v>
      </c>
      <c r="C571" s="3" t="s">
        <v>5</v>
      </c>
    </row>
    <row r="572" spans="1:3" ht="13.5" thickBot="1" x14ac:dyDescent="0.25">
      <c r="A572" s="3">
        <v>541</v>
      </c>
      <c r="B572" s="27">
        <v>45301.166620370372</v>
      </c>
      <c r="C572" s="3" t="s">
        <v>4</v>
      </c>
    </row>
    <row r="573" spans="1:3" ht="13.5" thickBot="1" x14ac:dyDescent="0.25">
      <c r="A573" s="3">
        <v>4609</v>
      </c>
      <c r="B573" s="27">
        <v>45301.178599537037</v>
      </c>
      <c r="C573" s="3" t="s">
        <v>5</v>
      </c>
    </row>
    <row r="574" spans="1:3" ht="13.5" thickBot="1" x14ac:dyDescent="0.25">
      <c r="A574" s="3">
        <v>3657</v>
      </c>
      <c r="B574" s="27">
        <v>45301.188263888886</v>
      </c>
      <c r="C574" s="3" t="s">
        <v>5</v>
      </c>
    </row>
    <row r="575" spans="1:3" ht="13.5" thickBot="1" x14ac:dyDescent="0.25">
      <c r="A575" s="3">
        <v>6031</v>
      </c>
      <c r="B575" s="27">
        <v>45301.194409722222</v>
      </c>
      <c r="C575" s="3" t="s">
        <v>3</v>
      </c>
    </row>
    <row r="576" spans="1:3" ht="13.5" thickBot="1" x14ac:dyDescent="0.25">
      <c r="A576" s="3">
        <v>2407</v>
      </c>
      <c r="B576" s="27">
        <v>45301.20212962963</v>
      </c>
      <c r="C576" s="3" t="s">
        <v>7</v>
      </c>
    </row>
    <row r="577" spans="1:3" ht="13.5" thickBot="1" x14ac:dyDescent="0.25">
      <c r="A577" s="3">
        <v>1346</v>
      </c>
      <c r="B577" s="27">
        <v>45301.228819444441</v>
      </c>
      <c r="C577" s="3" t="s">
        <v>4</v>
      </c>
    </row>
    <row r="578" spans="1:3" ht="13.5" thickBot="1" x14ac:dyDescent="0.25">
      <c r="A578" s="3">
        <v>3718</v>
      </c>
      <c r="B578" s="27">
        <v>45301.236076388886</v>
      </c>
      <c r="C578" s="3" t="s">
        <v>4</v>
      </c>
    </row>
    <row r="579" spans="1:3" ht="13.5" thickBot="1" x14ac:dyDescent="0.25">
      <c r="A579" s="3">
        <v>6210</v>
      </c>
      <c r="B579" s="27">
        <v>45301.245462962965</v>
      </c>
      <c r="C579" s="3" t="s">
        <v>3</v>
      </c>
    </row>
    <row r="580" spans="1:3" ht="13.5" thickBot="1" x14ac:dyDescent="0.25">
      <c r="A580" s="3">
        <v>7117</v>
      </c>
      <c r="B580" s="27">
        <v>45301.246076388888</v>
      </c>
      <c r="C580" s="3" t="s">
        <v>3</v>
      </c>
    </row>
    <row r="581" spans="1:3" ht="13.5" thickBot="1" x14ac:dyDescent="0.25">
      <c r="A581" s="3">
        <v>4499</v>
      </c>
      <c r="B581" s="27">
        <v>45301.260428240741</v>
      </c>
      <c r="C581" s="3" t="s">
        <v>6</v>
      </c>
    </row>
    <row r="582" spans="1:3" ht="13.5" thickBot="1" x14ac:dyDescent="0.25">
      <c r="A582" s="3">
        <v>4433</v>
      </c>
      <c r="B582" s="27">
        <v>45301.268391203703</v>
      </c>
      <c r="C582" s="3" t="s">
        <v>3</v>
      </c>
    </row>
    <row r="583" spans="1:3" ht="13.5" thickBot="1" x14ac:dyDescent="0.25">
      <c r="A583" s="3">
        <v>4439</v>
      </c>
      <c r="B583" s="27">
        <v>45301.29991898148</v>
      </c>
      <c r="C583" s="3" t="s">
        <v>3</v>
      </c>
    </row>
    <row r="584" spans="1:3" ht="13.5" thickBot="1" x14ac:dyDescent="0.25">
      <c r="A584" s="3">
        <v>7108</v>
      </c>
      <c r="B584" s="27">
        <v>45301.302060185182</v>
      </c>
      <c r="C584" s="3" t="s">
        <v>4</v>
      </c>
    </row>
    <row r="585" spans="1:3" ht="13.5" thickBot="1" x14ac:dyDescent="0.25">
      <c r="A585" s="3">
        <v>1346</v>
      </c>
      <c r="B585" s="27">
        <v>45301.305694444447</v>
      </c>
      <c r="C585" s="3" t="s">
        <v>3</v>
      </c>
    </row>
    <row r="586" spans="1:3" ht="13.5" thickBot="1" x14ac:dyDescent="0.25">
      <c r="A586" s="3">
        <v>1587</v>
      </c>
      <c r="B586" s="27">
        <v>45301.307430555556</v>
      </c>
      <c r="C586" s="3" t="s">
        <v>3</v>
      </c>
    </row>
    <row r="587" spans="1:3" ht="13.5" thickBot="1" x14ac:dyDescent="0.25">
      <c r="A587" s="3">
        <v>4598</v>
      </c>
      <c r="B587" s="27">
        <v>45301.315034722225</v>
      </c>
      <c r="C587" s="3" t="s">
        <v>6</v>
      </c>
    </row>
    <row r="588" spans="1:3" ht="13.5" thickBot="1" x14ac:dyDescent="0.25">
      <c r="A588" s="3">
        <v>707</v>
      </c>
      <c r="B588" s="27">
        <v>45301.328981481478</v>
      </c>
      <c r="C588" s="3" t="s">
        <v>3</v>
      </c>
    </row>
    <row r="589" spans="1:3" ht="13.5" thickBot="1" x14ac:dyDescent="0.25">
      <c r="A589" s="3">
        <v>2610</v>
      </c>
      <c r="B589" s="27">
        <v>45301.362129629626</v>
      </c>
      <c r="C589" s="3" t="s">
        <v>4</v>
      </c>
    </row>
    <row r="590" spans="1:3" ht="13.5" thickBot="1" x14ac:dyDescent="0.25">
      <c r="A590" s="3">
        <v>5307</v>
      </c>
      <c r="B590" s="27">
        <v>45301.40865740741</v>
      </c>
      <c r="C590" s="3" t="s">
        <v>6</v>
      </c>
    </row>
    <row r="591" spans="1:3" ht="13.5" thickBot="1" x14ac:dyDescent="0.25">
      <c r="A591" s="3">
        <v>2407</v>
      </c>
      <c r="B591" s="27">
        <v>45301.448888888888</v>
      </c>
      <c r="C591" s="3" t="s">
        <v>4</v>
      </c>
    </row>
    <row r="592" spans="1:3" ht="13.5" thickBot="1" x14ac:dyDescent="0.25">
      <c r="A592" s="3">
        <v>6610</v>
      </c>
      <c r="B592" s="27">
        <v>45301.451111111113</v>
      </c>
      <c r="C592" s="3" t="s">
        <v>3</v>
      </c>
    </row>
    <row r="593" spans="1:3" ht="13.5" thickBot="1" x14ac:dyDescent="0.25">
      <c r="A593" s="3">
        <v>7987</v>
      </c>
      <c r="B593" s="27">
        <v>45301.46329861111</v>
      </c>
      <c r="C593" s="3" t="s">
        <v>6</v>
      </c>
    </row>
    <row r="594" spans="1:3" ht="13.5" thickBot="1" x14ac:dyDescent="0.25">
      <c r="A594" s="3">
        <v>6790</v>
      </c>
      <c r="B594" s="27">
        <v>45301.475219907406</v>
      </c>
      <c r="C594" s="3" t="s">
        <v>3</v>
      </c>
    </row>
    <row r="595" spans="1:3" ht="13.5" thickBot="1" x14ac:dyDescent="0.25">
      <c r="A595" s="3">
        <v>6315</v>
      </c>
      <c r="B595" s="27">
        <v>45301.477777777778</v>
      </c>
      <c r="C595" s="3" t="s">
        <v>6</v>
      </c>
    </row>
    <row r="596" spans="1:3" ht="13.5" thickBot="1" x14ac:dyDescent="0.25">
      <c r="A596" s="3">
        <v>492</v>
      </c>
      <c r="B596" s="27">
        <v>45301.483217592591</v>
      </c>
      <c r="C596" s="3" t="s">
        <v>4</v>
      </c>
    </row>
    <row r="597" spans="1:3" ht="13.5" thickBot="1" x14ac:dyDescent="0.25">
      <c r="A597" s="3">
        <v>545</v>
      </c>
      <c r="B597" s="27">
        <v>45301.518217592595</v>
      </c>
      <c r="C597" s="3" t="s">
        <v>4</v>
      </c>
    </row>
    <row r="598" spans="1:3" ht="13.5" thickBot="1" x14ac:dyDescent="0.25">
      <c r="A598" s="3">
        <v>5409</v>
      </c>
      <c r="B598" s="27">
        <v>45301.530717592592</v>
      </c>
      <c r="C598" s="3" t="s">
        <v>4</v>
      </c>
    </row>
    <row r="599" spans="1:3" ht="13.5" thickBot="1" x14ac:dyDescent="0.25">
      <c r="A599" s="3">
        <v>2325</v>
      </c>
      <c r="B599" s="27">
        <v>45301.559699074074</v>
      </c>
      <c r="C599" s="3" t="s">
        <v>3</v>
      </c>
    </row>
    <row r="600" spans="1:3" ht="13.5" thickBot="1" x14ac:dyDescent="0.25">
      <c r="A600" s="3">
        <v>3616</v>
      </c>
      <c r="B600" s="27">
        <v>45301.566400462965</v>
      </c>
      <c r="C600" s="3" t="s">
        <v>5</v>
      </c>
    </row>
    <row r="601" spans="1:3" ht="13.5" thickBot="1" x14ac:dyDescent="0.25">
      <c r="A601" s="3">
        <v>4797</v>
      </c>
      <c r="B601" s="27">
        <v>45301.582488425927</v>
      </c>
      <c r="C601" s="3" t="s">
        <v>6</v>
      </c>
    </row>
    <row r="602" spans="1:3" ht="13.5" thickBot="1" x14ac:dyDescent="0.25">
      <c r="A602" s="3">
        <v>6920</v>
      </c>
      <c r="B602" s="27">
        <v>45301.590405092589</v>
      </c>
      <c r="C602" s="3" t="s">
        <v>6</v>
      </c>
    </row>
    <row r="603" spans="1:3" ht="13.5" thickBot="1" x14ac:dyDescent="0.25">
      <c r="A603" s="3">
        <v>5315</v>
      </c>
      <c r="B603" s="27">
        <v>45301.604907407411</v>
      </c>
      <c r="C603" s="3" t="s">
        <v>4</v>
      </c>
    </row>
    <row r="604" spans="1:3" ht="13.5" thickBot="1" x14ac:dyDescent="0.25">
      <c r="A604" s="3">
        <v>5252</v>
      </c>
      <c r="B604" s="27">
        <v>45301.631689814814</v>
      </c>
      <c r="C604" s="3" t="s">
        <v>3</v>
      </c>
    </row>
    <row r="605" spans="1:3" ht="13.5" thickBot="1" x14ac:dyDescent="0.25">
      <c r="A605" s="3">
        <v>234</v>
      </c>
      <c r="B605" s="27">
        <v>45301.634768518517</v>
      </c>
      <c r="C605" s="3" t="s">
        <v>6</v>
      </c>
    </row>
    <row r="606" spans="1:3" ht="13.5" thickBot="1" x14ac:dyDescent="0.25">
      <c r="A606" s="3">
        <v>719</v>
      </c>
      <c r="B606" s="27">
        <v>45301.639837962961</v>
      </c>
      <c r="C606" s="3" t="s">
        <v>3</v>
      </c>
    </row>
    <row r="607" spans="1:3" ht="13.5" thickBot="1" x14ac:dyDescent="0.25">
      <c r="A607" s="3">
        <v>3044</v>
      </c>
      <c r="B607" s="27">
        <v>45301.645821759259</v>
      </c>
      <c r="C607" s="3" t="s">
        <v>3</v>
      </c>
    </row>
    <row r="608" spans="1:3" ht="13.5" thickBot="1" x14ac:dyDescent="0.25">
      <c r="A608" s="3">
        <v>1587</v>
      </c>
      <c r="B608" s="27">
        <v>45301.655833333331</v>
      </c>
      <c r="C608" s="3" t="s">
        <v>4</v>
      </c>
    </row>
    <row r="609" spans="1:3" ht="13.5" thickBot="1" x14ac:dyDescent="0.25">
      <c r="A609" s="3">
        <v>2524</v>
      </c>
      <c r="B609" s="27">
        <v>45301.660416666666</v>
      </c>
      <c r="C609" s="3" t="s">
        <v>6</v>
      </c>
    </row>
    <row r="610" spans="1:3" ht="13.5" thickBot="1" x14ac:dyDescent="0.25">
      <c r="A610" s="3">
        <v>6001</v>
      </c>
      <c r="B610" s="27">
        <v>45301.673946759256</v>
      </c>
      <c r="C610" s="3" t="s">
        <v>3</v>
      </c>
    </row>
    <row r="611" spans="1:3" ht="13.5" thickBot="1" x14ac:dyDescent="0.25">
      <c r="A611" s="3">
        <v>1967</v>
      </c>
      <c r="B611" s="27">
        <v>45301.689259259256</v>
      </c>
      <c r="C611" s="3" t="s">
        <v>6</v>
      </c>
    </row>
    <row r="612" spans="1:3" ht="13.5" thickBot="1" x14ac:dyDescent="0.25">
      <c r="A612" s="3">
        <v>577</v>
      </c>
      <c r="B612" s="27">
        <v>45301.702511574076</v>
      </c>
      <c r="C612" s="3" t="s">
        <v>6</v>
      </c>
    </row>
    <row r="613" spans="1:3" ht="13.5" thickBot="1" x14ac:dyDescent="0.25">
      <c r="A613" s="3">
        <v>3641</v>
      </c>
      <c r="B613" s="27">
        <v>45301.714432870373</v>
      </c>
      <c r="C613" s="3" t="s">
        <v>3</v>
      </c>
    </row>
    <row r="614" spans="1:3" ht="13.5" thickBot="1" x14ac:dyDescent="0.25">
      <c r="A614" s="3">
        <v>1730</v>
      </c>
      <c r="B614" s="27">
        <v>45301.737268518518</v>
      </c>
      <c r="C614" s="3" t="s">
        <v>4</v>
      </c>
    </row>
    <row r="615" spans="1:3" ht="13.5" thickBot="1" x14ac:dyDescent="0.25">
      <c r="A615" s="3">
        <v>5367</v>
      </c>
      <c r="B615" s="27">
        <v>45301.744340277779</v>
      </c>
      <c r="C615" s="3" t="s">
        <v>7</v>
      </c>
    </row>
    <row r="616" spans="1:3" ht="13.5" thickBot="1" x14ac:dyDescent="0.25">
      <c r="A616" s="3">
        <v>492</v>
      </c>
      <c r="B616" s="27">
        <v>45301.773900462962</v>
      </c>
      <c r="C616" s="3" t="s">
        <v>3</v>
      </c>
    </row>
    <row r="617" spans="1:3" ht="13.5" thickBot="1" x14ac:dyDescent="0.25">
      <c r="A617" s="3">
        <v>7235</v>
      </c>
      <c r="B617" s="27">
        <v>45301.777175925927</v>
      </c>
      <c r="C617" s="3" t="s">
        <v>3</v>
      </c>
    </row>
    <row r="618" spans="1:3" ht="13.5" thickBot="1" x14ac:dyDescent="0.25">
      <c r="A618" s="3">
        <v>7614</v>
      </c>
      <c r="B618" s="27">
        <v>45301.808020833334</v>
      </c>
      <c r="C618" s="3" t="s">
        <v>3</v>
      </c>
    </row>
    <row r="619" spans="1:3" ht="13.5" thickBot="1" x14ac:dyDescent="0.25">
      <c r="A619" s="3">
        <v>5828</v>
      </c>
      <c r="B619" s="27">
        <v>45301.811423611114</v>
      </c>
      <c r="C619" s="3" t="s">
        <v>6</v>
      </c>
    </row>
    <row r="620" spans="1:3" ht="13.5" thickBot="1" x14ac:dyDescent="0.25">
      <c r="A620" s="3">
        <v>2796</v>
      </c>
      <c r="B620" s="27">
        <v>45301.82607638889</v>
      </c>
      <c r="C620" s="3" t="s">
        <v>3</v>
      </c>
    </row>
    <row r="621" spans="1:3" ht="13.5" thickBot="1" x14ac:dyDescent="0.25">
      <c r="A621" s="3">
        <v>5156</v>
      </c>
      <c r="B621" s="27">
        <v>45301.845821759256</v>
      </c>
      <c r="C621" s="3" t="s">
        <v>6</v>
      </c>
    </row>
    <row r="622" spans="1:3" ht="13.5" thickBot="1" x14ac:dyDescent="0.25">
      <c r="A622" s="3">
        <v>269</v>
      </c>
      <c r="B622" s="27">
        <v>45301.845868055556</v>
      </c>
      <c r="C622" s="3" t="s">
        <v>3</v>
      </c>
    </row>
    <row r="623" spans="1:3" ht="13.5" thickBot="1" x14ac:dyDescent="0.25">
      <c r="A623" s="3">
        <v>6791</v>
      </c>
      <c r="B623" s="27">
        <v>45301.868472222224</v>
      </c>
      <c r="C623" s="3" t="s">
        <v>5</v>
      </c>
    </row>
    <row r="624" spans="1:3" ht="13.5" thickBot="1" x14ac:dyDescent="0.25">
      <c r="A624" s="3">
        <v>6809</v>
      </c>
      <c r="B624" s="27">
        <v>45301.886608796296</v>
      </c>
      <c r="C624" s="3" t="s">
        <v>3</v>
      </c>
    </row>
    <row r="625" spans="1:3" ht="13.5" thickBot="1" x14ac:dyDescent="0.25">
      <c r="A625" s="3">
        <v>1956</v>
      </c>
      <c r="B625" s="27">
        <v>45301.898877314816</v>
      </c>
      <c r="C625" s="3" t="s">
        <v>3</v>
      </c>
    </row>
    <row r="626" spans="1:3" ht="13.5" thickBot="1" x14ac:dyDescent="0.25">
      <c r="A626" s="3">
        <v>2608</v>
      </c>
      <c r="B626" s="27">
        <v>45301.900671296295</v>
      </c>
      <c r="C626" s="3" t="s">
        <v>4</v>
      </c>
    </row>
    <row r="627" spans="1:3" ht="13.5" thickBot="1" x14ac:dyDescent="0.25">
      <c r="A627" s="3">
        <v>545</v>
      </c>
      <c r="B627" s="27">
        <v>45301.901342592595</v>
      </c>
      <c r="C627" s="3" t="s">
        <v>3</v>
      </c>
    </row>
    <row r="628" spans="1:3" ht="13.5" thickBot="1" x14ac:dyDescent="0.25">
      <c r="A628" s="3">
        <v>1502</v>
      </c>
      <c r="B628" s="27">
        <v>45301.930081018516</v>
      </c>
      <c r="C628" s="3" t="s">
        <v>4</v>
      </c>
    </row>
    <row r="629" spans="1:3" ht="13.5" thickBot="1" x14ac:dyDescent="0.25">
      <c r="A629" s="3">
        <v>1906</v>
      </c>
      <c r="B629" s="27">
        <v>45301.93478009259</v>
      </c>
      <c r="C629" s="3" t="s">
        <v>6</v>
      </c>
    </row>
    <row r="630" spans="1:3" ht="13.5" thickBot="1" x14ac:dyDescent="0.25">
      <c r="A630" s="3">
        <v>7530</v>
      </c>
      <c r="B630" s="27">
        <v>45301.958067129628</v>
      </c>
      <c r="C630" s="3" t="s">
        <v>7</v>
      </c>
    </row>
    <row r="631" spans="1:3" ht="13.5" thickBot="1" x14ac:dyDescent="0.25">
      <c r="A631" s="3">
        <v>3718</v>
      </c>
      <c r="B631" s="27">
        <v>45301.98978009259</v>
      </c>
      <c r="C631" s="3" t="s">
        <v>3</v>
      </c>
    </row>
    <row r="632" spans="1:3" ht="13.5" thickBot="1" x14ac:dyDescent="0.25">
      <c r="A632" s="3">
        <v>6544</v>
      </c>
      <c r="B632" s="27">
        <v>45302.015983796293</v>
      </c>
      <c r="C632" s="3" t="s">
        <v>7</v>
      </c>
    </row>
    <row r="633" spans="1:3" ht="13.5" thickBot="1" x14ac:dyDescent="0.25">
      <c r="A633" s="3">
        <v>5215</v>
      </c>
      <c r="B633" s="27">
        <v>45302.030289351853</v>
      </c>
      <c r="C633" s="3" t="s">
        <v>3</v>
      </c>
    </row>
    <row r="634" spans="1:3" ht="13.5" thickBot="1" x14ac:dyDescent="0.25">
      <c r="A634" s="3">
        <v>1407</v>
      </c>
      <c r="B634" s="27">
        <v>45302.037847222222</v>
      </c>
      <c r="C634" s="3" t="s">
        <v>4</v>
      </c>
    </row>
    <row r="635" spans="1:3" ht="13.5" thickBot="1" x14ac:dyDescent="0.25">
      <c r="A635" s="3">
        <v>5727</v>
      </c>
      <c r="B635" s="27">
        <v>45302.062928240739</v>
      </c>
      <c r="C635" s="3" t="s">
        <v>3</v>
      </c>
    </row>
    <row r="636" spans="1:3" ht="13.5" thickBot="1" x14ac:dyDescent="0.25">
      <c r="A636" s="3">
        <v>1898</v>
      </c>
      <c r="B636" s="27">
        <v>45302.098692129628</v>
      </c>
      <c r="C636" s="3" t="s">
        <v>3</v>
      </c>
    </row>
    <row r="637" spans="1:3" ht="13.5" thickBot="1" x14ac:dyDescent="0.25">
      <c r="A637" s="3">
        <v>2786</v>
      </c>
      <c r="B637" s="27">
        <v>45302.100763888891</v>
      </c>
      <c r="C637" s="3" t="s">
        <v>3</v>
      </c>
    </row>
    <row r="638" spans="1:3" ht="13.5" thickBot="1" x14ac:dyDescent="0.25">
      <c r="A638" s="3">
        <v>5124</v>
      </c>
      <c r="B638" s="27">
        <v>45302.149259259262</v>
      </c>
      <c r="C638" s="3" t="s">
        <v>3</v>
      </c>
    </row>
    <row r="639" spans="1:3" ht="13.5" thickBot="1" x14ac:dyDescent="0.25">
      <c r="A639" s="3">
        <v>4204</v>
      </c>
      <c r="B639" s="27">
        <v>45302.164212962962</v>
      </c>
      <c r="C639" s="3" t="s">
        <v>3</v>
      </c>
    </row>
    <row r="640" spans="1:3" ht="13.5" thickBot="1" x14ac:dyDescent="0.25">
      <c r="A640" s="3">
        <v>6791</v>
      </c>
      <c r="B640" s="27">
        <v>45302.171678240738</v>
      </c>
      <c r="C640" s="3" t="s">
        <v>6</v>
      </c>
    </row>
    <row r="641" spans="1:3" ht="13.5" thickBot="1" x14ac:dyDescent="0.25">
      <c r="A641" s="3">
        <v>810</v>
      </c>
      <c r="B641" s="27">
        <v>45302.172939814816</v>
      </c>
      <c r="C641" s="3" t="s">
        <v>3</v>
      </c>
    </row>
    <row r="642" spans="1:3" ht="13.5" thickBot="1" x14ac:dyDescent="0.25">
      <c r="A642" s="3">
        <v>5145</v>
      </c>
      <c r="B642" s="27">
        <v>45302.186388888891</v>
      </c>
      <c r="C642" s="3" t="s">
        <v>3</v>
      </c>
    </row>
    <row r="643" spans="1:3" ht="13.5" thickBot="1" x14ac:dyDescent="0.25">
      <c r="A643" s="3">
        <v>4298</v>
      </c>
      <c r="B643" s="27">
        <v>45302.190833333334</v>
      </c>
      <c r="C643" s="3" t="s">
        <v>3</v>
      </c>
    </row>
    <row r="644" spans="1:3" ht="13.5" thickBot="1" x14ac:dyDescent="0.25">
      <c r="A644" s="3">
        <v>2710</v>
      </c>
      <c r="B644" s="27">
        <v>45302.197326388887</v>
      </c>
      <c r="C644" s="3" t="s">
        <v>3</v>
      </c>
    </row>
    <row r="645" spans="1:3" ht="13.5" thickBot="1" x14ac:dyDescent="0.25">
      <c r="A645" s="3">
        <v>6223</v>
      </c>
      <c r="B645" s="27">
        <v>45302.211851851855</v>
      </c>
      <c r="C645" s="3" t="s">
        <v>3</v>
      </c>
    </row>
    <row r="646" spans="1:3" ht="13.5" thickBot="1" x14ac:dyDescent="0.25">
      <c r="A646" s="3">
        <v>6370</v>
      </c>
      <c r="B646" s="27">
        <v>45302.226817129631</v>
      </c>
      <c r="C646" s="3" t="s">
        <v>4</v>
      </c>
    </row>
    <row r="647" spans="1:3" ht="13.5" thickBot="1" x14ac:dyDescent="0.25">
      <c r="A647" s="3">
        <v>4693</v>
      </c>
      <c r="B647" s="27">
        <v>45302.230023148149</v>
      </c>
      <c r="C647" s="3" t="s">
        <v>3</v>
      </c>
    </row>
    <row r="648" spans="1:3" ht="13.5" thickBot="1" x14ac:dyDescent="0.25">
      <c r="A648" s="3">
        <v>734</v>
      </c>
      <c r="B648" s="27">
        <v>45302.251793981479</v>
      </c>
      <c r="C648" s="3" t="s">
        <v>6</v>
      </c>
    </row>
    <row r="649" spans="1:3" ht="13.5" thickBot="1" x14ac:dyDescent="0.25">
      <c r="A649" s="3">
        <v>4120</v>
      </c>
      <c r="B649" s="27">
        <v>45302.267384259256</v>
      </c>
      <c r="C649" s="3" t="s">
        <v>5</v>
      </c>
    </row>
    <row r="650" spans="1:3" ht="13.5" thickBot="1" x14ac:dyDescent="0.25">
      <c r="A650" s="3">
        <v>5390</v>
      </c>
      <c r="B650" s="27">
        <v>45302.289918981478</v>
      </c>
      <c r="C650" s="3" t="s">
        <v>3</v>
      </c>
    </row>
    <row r="651" spans="1:3" ht="13.5" thickBot="1" x14ac:dyDescent="0.25">
      <c r="A651" s="3">
        <v>7117</v>
      </c>
      <c r="B651" s="27">
        <v>45302.332372685189</v>
      </c>
      <c r="C651" s="3" t="s">
        <v>4</v>
      </c>
    </row>
    <row r="652" spans="1:3" ht="13.5" thickBot="1" x14ac:dyDescent="0.25">
      <c r="A652" s="3">
        <v>7017</v>
      </c>
      <c r="B652" s="27">
        <v>45302.343900462962</v>
      </c>
      <c r="C652" s="3" t="s">
        <v>3</v>
      </c>
    </row>
    <row r="653" spans="1:3" ht="13.5" thickBot="1" x14ac:dyDescent="0.25">
      <c r="A653" s="3">
        <v>4120</v>
      </c>
      <c r="B653" s="27">
        <v>45302.345567129632</v>
      </c>
      <c r="C653" s="3" t="s">
        <v>6</v>
      </c>
    </row>
    <row r="654" spans="1:3" ht="13.5" thickBot="1" x14ac:dyDescent="0.25">
      <c r="A654" s="3">
        <v>7541</v>
      </c>
      <c r="B654" s="27">
        <v>45302.376030092593</v>
      </c>
      <c r="C654" s="3" t="s">
        <v>3</v>
      </c>
    </row>
    <row r="655" spans="1:3" ht="13.5" thickBot="1" x14ac:dyDescent="0.25">
      <c r="A655" s="3">
        <v>2540</v>
      </c>
      <c r="B655" s="27">
        <v>45302.386678240742</v>
      </c>
      <c r="C655" s="3" t="s">
        <v>4</v>
      </c>
    </row>
    <row r="656" spans="1:3" ht="13.5" thickBot="1" x14ac:dyDescent="0.25">
      <c r="A656" s="3">
        <v>1587</v>
      </c>
      <c r="B656" s="27">
        <v>45302.3981712963</v>
      </c>
      <c r="C656" s="3" t="s">
        <v>6</v>
      </c>
    </row>
    <row r="657" spans="1:3" ht="13.5" thickBot="1" x14ac:dyDescent="0.25">
      <c r="A657" s="3">
        <v>5850</v>
      </c>
      <c r="B657" s="27">
        <v>45302.409884259258</v>
      </c>
      <c r="C657" s="3" t="s">
        <v>4</v>
      </c>
    </row>
    <row r="658" spans="1:3" ht="13.5" thickBot="1" x14ac:dyDescent="0.25">
      <c r="A658" s="3">
        <v>3756</v>
      </c>
      <c r="B658" s="27">
        <v>45302.417997685188</v>
      </c>
      <c r="C658" s="3" t="s">
        <v>5</v>
      </c>
    </row>
    <row r="659" spans="1:3" ht="13.5" thickBot="1" x14ac:dyDescent="0.25">
      <c r="A659" s="3">
        <v>882</v>
      </c>
      <c r="B659" s="27">
        <v>45302.429849537039</v>
      </c>
      <c r="C659" s="3" t="s">
        <v>5</v>
      </c>
    </row>
    <row r="660" spans="1:3" ht="13.5" thickBot="1" x14ac:dyDescent="0.25">
      <c r="A660" s="3">
        <v>2820</v>
      </c>
      <c r="B660" s="27">
        <v>45302.441122685188</v>
      </c>
      <c r="C660" s="3" t="s">
        <v>4</v>
      </c>
    </row>
    <row r="661" spans="1:3" ht="13.5" thickBot="1" x14ac:dyDescent="0.25">
      <c r="A661" s="3">
        <v>702</v>
      </c>
      <c r="B661" s="27">
        <v>45302.462094907409</v>
      </c>
      <c r="C661" s="3" t="s">
        <v>7</v>
      </c>
    </row>
    <row r="662" spans="1:3" ht="13.5" thickBot="1" x14ac:dyDescent="0.25">
      <c r="A662" s="3">
        <v>1128</v>
      </c>
      <c r="B662" s="27">
        <v>45302.473379629628</v>
      </c>
      <c r="C662" s="3" t="s">
        <v>3</v>
      </c>
    </row>
    <row r="663" spans="1:3" ht="13.5" thickBot="1" x14ac:dyDescent="0.25">
      <c r="A663" s="3">
        <v>3055</v>
      </c>
      <c r="B663" s="27">
        <v>45302.503344907411</v>
      </c>
      <c r="C663" s="3" t="s">
        <v>3</v>
      </c>
    </row>
    <row r="664" spans="1:3" ht="13.5" thickBot="1" x14ac:dyDescent="0.25">
      <c r="A664" s="3">
        <v>2620</v>
      </c>
      <c r="B664" s="27">
        <v>45302.516608796293</v>
      </c>
      <c r="C664" s="3" t="s">
        <v>5</v>
      </c>
    </row>
    <row r="665" spans="1:3" ht="13.5" thickBot="1" x14ac:dyDescent="0.25">
      <c r="A665" s="3">
        <v>1455</v>
      </c>
      <c r="B665" s="27">
        <v>45302.539583333331</v>
      </c>
      <c r="C665" s="3" t="s">
        <v>6</v>
      </c>
    </row>
    <row r="666" spans="1:3" ht="13.5" thickBot="1" x14ac:dyDescent="0.25">
      <c r="A666" s="3">
        <v>2820</v>
      </c>
      <c r="B666" s="27">
        <v>45302.541631944441</v>
      </c>
      <c r="C666" s="3" t="s">
        <v>3</v>
      </c>
    </row>
    <row r="667" spans="1:3" ht="13.5" thickBot="1" x14ac:dyDescent="0.25">
      <c r="A667" s="3">
        <v>7036</v>
      </c>
      <c r="B667" s="27">
        <v>45302.544629629629</v>
      </c>
      <c r="C667" s="3" t="s">
        <v>4</v>
      </c>
    </row>
    <row r="668" spans="1:3" ht="13.5" thickBot="1" x14ac:dyDescent="0.25">
      <c r="A668" s="3">
        <v>7020</v>
      </c>
      <c r="B668" s="27">
        <v>45302.553356481483</v>
      </c>
      <c r="C668" s="3" t="s">
        <v>4</v>
      </c>
    </row>
    <row r="669" spans="1:3" ht="13.5" thickBot="1" x14ac:dyDescent="0.25">
      <c r="A669" s="3">
        <v>2150</v>
      </c>
      <c r="B669" s="27">
        <v>45302.557662037034</v>
      </c>
      <c r="C669" s="3" t="s">
        <v>7</v>
      </c>
    </row>
    <row r="670" spans="1:3" ht="13.5" thickBot="1" x14ac:dyDescent="0.25">
      <c r="A670" s="3">
        <v>6938</v>
      </c>
      <c r="B670" s="27">
        <v>45302.571122685185</v>
      </c>
      <c r="C670" s="3" t="s">
        <v>3</v>
      </c>
    </row>
    <row r="671" spans="1:3" ht="13.5" thickBot="1" x14ac:dyDescent="0.25">
      <c r="A671" s="3">
        <v>5850</v>
      </c>
      <c r="B671" s="27">
        <v>45302.575173611112</v>
      </c>
      <c r="C671" s="3" t="s">
        <v>3</v>
      </c>
    </row>
    <row r="672" spans="1:3" ht="13.5" thickBot="1" x14ac:dyDescent="0.25">
      <c r="A672" s="3">
        <v>2540</v>
      </c>
      <c r="B672" s="27">
        <v>45302.621203703704</v>
      </c>
      <c r="C672" s="3" t="s">
        <v>3</v>
      </c>
    </row>
    <row r="673" spans="1:3" ht="13.5" thickBot="1" x14ac:dyDescent="0.25">
      <c r="A673" s="3">
        <v>799</v>
      </c>
      <c r="B673" s="27">
        <v>45302.636250000003</v>
      </c>
      <c r="C673" s="3" t="s">
        <v>6</v>
      </c>
    </row>
    <row r="674" spans="1:3" ht="13.5" thickBot="1" x14ac:dyDescent="0.25">
      <c r="A674" s="3">
        <v>6339</v>
      </c>
      <c r="B674" s="27">
        <v>45302.642048611109</v>
      </c>
      <c r="C674" s="3" t="s">
        <v>6</v>
      </c>
    </row>
    <row r="675" spans="1:3" ht="13.5" thickBot="1" x14ac:dyDescent="0.25">
      <c r="A675" s="3">
        <v>4415</v>
      </c>
      <c r="B675" s="27">
        <v>45302.660173611112</v>
      </c>
      <c r="C675" s="3" t="s">
        <v>5</v>
      </c>
    </row>
    <row r="676" spans="1:3" ht="13.5" thickBot="1" x14ac:dyDescent="0.25">
      <c r="A676" s="3">
        <v>6809</v>
      </c>
      <c r="B676" s="27">
        <v>45302.684317129628</v>
      </c>
      <c r="C676" s="3" t="s">
        <v>4</v>
      </c>
    </row>
    <row r="677" spans="1:3" ht="13.5" thickBot="1" x14ac:dyDescent="0.25">
      <c r="A677" s="3">
        <v>2150</v>
      </c>
      <c r="B677" s="27">
        <v>45302.687199074076</v>
      </c>
      <c r="C677" s="3" t="s">
        <v>6</v>
      </c>
    </row>
    <row r="678" spans="1:3" ht="13.5" thickBot="1" x14ac:dyDescent="0.25">
      <c r="A678" s="3">
        <v>3368</v>
      </c>
      <c r="B678" s="27">
        <v>45302.714317129627</v>
      </c>
      <c r="C678" s="3" t="s">
        <v>3</v>
      </c>
    </row>
    <row r="679" spans="1:3" ht="13.5" thickBot="1" x14ac:dyDescent="0.25">
      <c r="A679" s="3">
        <v>5953</v>
      </c>
      <c r="B679" s="27">
        <v>45302.748530092591</v>
      </c>
      <c r="C679" s="3" t="s">
        <v>3</v>
      </c>
    </row>
    <row r="680" spans="1:3" ht="13.5" thickBot="1" x14ac:dyDescent="0.25">
      <c r="A680" s="3">
        <v>6799</v>
      </c>
      <c r="B680" s="27">
        <v>45302.766446759262</v>
      </c>
      <c r="C680" s="3" t="s">
        <v>6</v>
      </c>
    </row>
    <row r="681" spans="1:3" ht="13.5" thickBot="1" x14ac:dyDescent="0.25">
      <c r="A681" s="3">
        <v>492</v>
      </c>
      <c r="B681" s="27">
        <v>45302.77447916667</v>
      </c>
      <c r="C681" s="3" t="s">
        <v>7</v>
      </c>
    </row>
    <row r="682" spans="1:3" ht="13.5" thickBot="1" x14ac:dyDescent="0.25">
      <c r="A682" s="3">
        <v>886</v>
      </c>
      <c r="B682" s="27">
        <v>45302.77579861111</v>
      </c>
      <c r="C682" s="3" t="s">
        <v>3</v>
      </c>
    </row>
    <row r="683" spans="1:3" ht="13.5" thickBot="1" x14ac:dyDescent="0.25">
      <c r="A683" s="3">
        <v>4903</v>
      </c>
      <c r="B683" s="27">
        <v>45302.796840277777</v>
      </c>
      <c r="C683" s="3" t="s">
        <v>3</v>
      </c>
    </row>
    <row r="684" spans="1:3" ht="13.5" thickBot="1" x14ac:dyDescent="0.25">
      <c r="A684" s="3">
        <v>206</v>
      </c>
      <c r="B684" s="27">
        <v>45302.809548611112</v>
      </c>
      <c r="C684" s="3" t="s">
        <v>3</v>
      </c>
    </row>
    <row r="685" spans="1:3" ht="13.5" thickBot="1" x14ac:dyDescent="0.25">
      <c r="A685" s="3">
        <v>4775</v>
      </c>
      <c r="B685" s="27">
        <v>45302.810694444444</v>
      </c>
      <c r="C685" s="3" t="s">
        <v>7</v>
      </c>
    </row>
    <row r="686" spans="1:3" ht="13.5" thickBot="1" x14ac:dyDescent="0.25">
      <c r="A686" s="3">
        <v>5124</v>
      </c>
      <c r="B686" s="27">
        <v>45302.816307870373</v>
      </c>
      <c r="C686" s="3" t="s">
        <v>5</v>
      </c>
    </row>
    <row r="687" spans="1:3" ht="13.5" thickBot="1" x14ac:dyDescent="0.25">
      <c r="A687" s="3">
        <v>586</v>
      </c>
      <c r="B687" s="27">
        <v>45302.821377314816</v>
      </c>
      <c r="C687" s="3" t="s">
        <v>3</v>
      </c>
    </row>
    <row r="688" spans="1:3" ht="13.5" thickBot="1" x14ac:dyDescent="0.25">
      <c r="A688" s="3">
        <v>1502</v>
      </c>
      <c r="B688" s="27">
        <v>45302.832013888888</v>
      </c>
      <c r="C688" s="3" t="s">
        <v>5</v>
      </c>
    </row>
    <row r="689" spans="1:3" ht="13.5" thickBot="1" x14ac:dyDescent="0.25">
      <c r="A689" s="3">
        <v>5195</v>
      </c>
      <c r="B689" s="27">
        <v>45302.845185185186</v>
      </c>
      <c r="C689" s="3" t="s">
        <v>5</v>
      </c>
    </row>
    <row r="690" spans="1:3" ht="13.5" thickBot="1" x14ac:dyDescent="0.25">
      <c r="A690" s="3">
        <v>4512</v>
      </c>
      <c r="B690" s="27">
        <v>45302.865613425929</v>
      </c>
      <c r="C690" s="3" t="s">
        <v>6</v>
      </c>
    </row>
    <row r="691" spans="1:3" ht="13.5" thickBot="1" x14ac:dyDescent="0.25">
      <c r="A691" s="3">
        <v>6799</v>
      </c>
      <c r="B691" s="27">
        <v>45302.866215277776</v>
      </c>
      <c r="C691" s="3" t="s">
        <v>4</v>
      </c>
    </row>
    <row r="692" spans="1:3" ht="13.5" thickBot="1" x14ac:dyDescent="0.25">
      <c r="A692" s="3">
        <v>1729</v>
      </c>
      <c r="B692" s="27">
        <v>45302.868935185186</v>
      </c>
      <c r="C692" s="3" t="s">
        <v>7</v>
      </c>
    </row>
    <row r="693" spans="1:3" ht="13.5" thickBot="1" x14ac:dyDescent="0.25">
      <c r="A693" s="3">
        <v>6689</v>
      </c>
      <c r="B693" s="27">
        <v>45302.87773148148</v>
      </c>
      <c r="C693" s="3" t="s">
        <v>5</v>
      </c>
    </row>
    <row r="694" spans="1:3" ht="13.5" thickBot="1" x14ac:dyDescent="0.25">
      <c r="A694" s="3">
        <v>2199</v>
      </c>
      <c r="B694" s="27">
        <v>45302.881307870368</v>
      </c>
      <c r="C694" s="3" t="s">
        <v>4</v>
      </c>
    </row>
    <row r="695" spans="1:3" ht="13.5" thickBot="1" x14ac:dyDescent="0.25">
      <c r="A695" s="3">
        <v>799</v>
      </c>
      <c r="B695" s="27">
        <v>45302.890208333331</v>
      </c>
      <c r="C695" s="3" t="s">
        <v>7</v>
      </c>
    </row>
    <row r="696" spans="1:3" ht="13.5" thickBot="1" x14ac:dyDescent="0.25">
      <c r="A696" s="3">
        <v>702</v>
      </c>
      <c r="B696" s="27">
        <v>45302.891805555555</v>
      </c>
      <c r="C696" s="3" t="s">
        <v>5</v>
      </c>
    </row>
    <row r="697" spans="1:3" ht="13.5" thickBot="1" x14ac:dyDescent="0.25">
      <c r="A697" s="3">
        <v>7614</v>
      </c>
      <c r="B697" s="27">
        <v>45302.905706018515</v>
      </c>
      <c r="C697" s="3" t="s">
        <v>4</v>
      </c>
    </row>
    <row r="698" spans="1:3" ht="13.5" thickBot="1" x14ac:dyDescent="0.25">
      <c r="A698" s="3">
        <v>4693</v>
      </c>
      <c r="B698" s="27">
        <v>45302.946770833332</v>
      </c>
      <c r="C698" s="3" t="s">
        <v>4</v>
      </c>
    </row>
    <row r="699" spans="1:3" ht="13.5" thickBot="1" x14ac:dyDescent="0.25">
      <c r="A699" s="3">
        <v>248</v>
      </c>
      <c r="B699" s="27">
        <v>45302.951006944444</v>
      </c>
      <c r="C699" s="3" t="s">
        <v>4</v>
      </c>
    </row>
    <row r="700" spans="1:3" ht="13.5" thickBot="1" x14ac:dyDescent="0.25">
      <c r="A700" s="3">
        <v>2620</v>
      </c>
      <c r="B700" s="27">
        <v>45302.953576388885</v>
      </c>
      <c r="C700" s="3" t="s">
        <v>6</v>
      </c>
    </row>
    <row r="701" spans="1:3" ht="13.5" thickBot="1" x14ac:dyDescent="0.25">
      <c r="A701" s="3">
        <v>2746</v>
      </c>
      <c r="B701" s="27">
        <v>45302.954456018517</v>
      </c>
      <c r="C701" s="3" t="s">
        <v>3</v>
      </c>
    </row>
    <row r="702" spans="1:3" ht="13.5" thickBot="1" x14ac:dyDescent="0.25">
      <c r="A702" s="3">
        <v>2292</v>
      </c>
      <c r="B702" s="27">
        <v>45302.958622685182</v>
      </c>
      <c r="C702" s="3" t="s">
        <v>3</v>
      </c>
    </row>
    <row r="703" spans="1:3" ht="13.5" thickBot="1" x14ac:dyDescent="0.25">
      <c r="A703" s="3">
        <v>1058</v>
      </c>
      <c r="B703" s="27">
        <v>45302.963784722226</v>
      </c>
      <c r="C703" s="3" t="s">
        <v>6</v>
      </c>
    </row>
    <row r="704" spans="1:3" ht="13.5" thickBot="1" x14ac:dyDescent="0.25">
      <c r="A704" s="3">
        <v>5489</v>
      </c>
      <c r="B704" s="27">
        <v>45302.994988425926</v>
      </c>
      <c r="C704" s="3" t="s">
        <v>6</v>
      </c>
    </row>
    <row r="705" spans="1:3" ht="13.5" thickBot="1" x14ac:dyDescent="0.25">
      <c r="A705" s="3">
        <v>3616</v>
      </c>
      <c r="B705" s="27">
        <v>45303.003935185188</v>
      </c>
      <c r="C705" s="3" t="s">
        <v>6</v>
      </c>
    </row>
    <row r="706" spans="1:3" ht="13.5" thickBot="1" x14ac:dyDescent="0.25">
      <c r="A706" s="3">
        <v>1730</v>
      </c>
      <c r="B706" s="27">
        <v>45303.014270833337</v>
      </c>
      <c r="C706" s="3" t="s">
        <v>7</v>
      </c>
    </row>
    <row r="707" spans="1:3" ht="13.5" thickBot="1" x14ac:dyDescent="0.25">
      <c r="A707" s="3">
        <v>5200</v>
      </c>
      <c r="B707" s="27">
        <v>45303.022002314814</v>
      </c>
      <c r="C707" s="3" t="s">
        <v>4</v>
      </c>
    </row>
    <row r="708" spans="1:3" ht="13.5" thickBot="1" x14ac:dyDescent="0.25">
      <c r="A708" s="3">
        <v>2599</v>
      </c>
      <c r="B708" s="27">
        <v>45303.035983796297</v>
      </c>
      <c r="C708" s="3" t="s">
        <v>3</v>
      </c>
    </row>
    <row r="709" spans="1:3" ht="13.5" thickBot="1" x14ac:dyDescent="0.25">
      <c r="A709" s="3">
        <v>1128</v>
      </c>
      <c r="B709" s="27">
        <v>45303.047361111108</v>
      </c>
      <c r="C709" s="3" t="s">
        <v>6</v>
      </c>
    </row>
    <row r="710" spans="1:3" ht="13.5" thickBot="1" x14ac:dyDescent="0.25">
      <c r="A710" s="3">
        <v>3617</v>
      </c>
      <c r="B710" s="27">
        <v>45303.073368055557</v>
      </c>
      <c r="C710" s="3" t="s">
        <v>7</v>
      </c>
    </row>
    <row r="711" spans="1:3" ht="13.5" thickBot="1" x14ac:dyDescent="0.25">
      <c r="A711" s="3">
        <v>3947</v>
      </c>
      <c r="B711" s="27">
        <v>45303.087442129632</v>
      </c>
      <c r="C711" s="3" t="s">
        <v>3</v>
      </c>
    </row>
    <row r="712" spans="1:3" ht="13.5" thickBot="1" x14ac:dyDescent="0.25">
      <c r="A712" s="3">
        <v>4272</v>
      </c>
      <c r="B712" s="27">
        <v>45303.110243055555</v>
      </c>
      <c r="C712" s="3" t="s">
        <v>3</v>
      </c>
    </row>
    <row r="713" spans="1:3" ht="13.5" thickBot="1" x14ac:dyDescent="0.25">
      <c r="A713" s="3">
        <v>3143</v>
      </c>
      <c r="B713" s="27">
        <v>45303.11178240741</v>
      </c>
      <c r="C713" s="3" t="s">
        <v>3</v>
      </c>
    </row>
    <row r="714" spans="1:3" ht="13.5" thickBot="1" x14ac:dyDescent="0.25">
      <c r="A714" s="3">
        <v>5367</v>
      </c>
      <c r="B714" s="27">
        <v>45303.182430555556</v>
      </c>
      <c r="C714" s="3" t="s">
        <v>6</v>
      </c>
    </row>
    <row r="715" spans="1:3" ht="13.5" thickBot="1" x14ac:dyDescent="0.25">
      <c r="A715" s="3">
        <v>5200</v>
      </c>
      <c r="B715" s="27">
        <v>45303.182696759257</v>
      </c>
      <c r="C715" s="3" t="s">
        <v>3</v>
      </c>
    </row>
    <row r="716" spans="1:3" ht="13.5" thickBot="1" x14ac:dyDescent="0.25">
      <c r="A716" s="3">
        <v>5390</v>
      </c>
      <c r="B716" s="27">
        <v>45303.188530092593</v>
      </c>
      <c r="C716" s="3" t="s">
        <v>6</v>
      </c>
    </row>
    <row r="717" spans="1:3" ht="13.5" thickBot="1" x14ac:dyDescent="0.25">
      <c r="A717" s="3">
        <v>4341</v>
      </c>
      <c r="B717" s="27">
        <v>45303.189432870371</v>
      </c>
      <c r="C717" s="3" t="s">
        <v>4</v>
      </c>
    </row>
    <row r="718" spans="1:3" ht="13.5" thickBot="1" x14ac:dyDescent="0.25">
      <c r="A718" s="3">
        <v>2610</v>
      </c>
      <c r="B718" s="27">
        <v>45303.210752314815</v>
      </c>
      <c r="C718" s="3" t="s">
        <v>5</v>
      </c>
    </row>
    <row r="719" spans="1:3" ht="13.5" thickBot="1" x14ac:dyDescent="0.25">
      <c r="A719" s="3">
        <v>2524</v>
      </c>
      <c r="B719" s="27">
        <v>45303.2184837963</v>
      </c>
      <c r="C719" s="3" t="s">
        <v>5</v>
      </c>
    </row>
    <row r="720" spans="1:3" ht="13.5" thickBot="1" x14ac:dyDescent="0.25">
      <c r="A720" s="3">
        <v>455</v>
      </c>
      <c r="B720" s="27">
        <v>45303.222129629627</v>
      </c>
      <c r="C720" s="3" t="s">
        <v>3</v>
      </c>
    </row>
    <row r="721" spans="1:3" ht="13.5" thickBot="1" x14ac:dyDescent="0.25">
      <c r="A721" s="3">
        <v>1593</v>
      </c>
      <c r="B721" s="27">
        <v>45303.229004629633</v>
      </c>
      <c r="C721" s="3" t="s">
        <v>3</v>
      </c>
    </row>
    <row r="722" spans="1:3" ht="13.5" thickBot="1" x14ac:dyDescent="0.25">
      <c r="A722" s="3">
        <v>1636</v>
      </c>
      <c r="B722" s="27">
        <v>45303.240497685183</v>
      </c>
      <c r="C722" s="3" t="s">
        <v>4</v>
      </c>
    </row>
    <row r="723" spans="1:3" ht="13.5" thickBot="1" x14ac:dyDescent="0.25">
      <c r="A723" s="3">
        <v>5633</v>
      </c>
      <c r="B723" s="27">
        <v>45303.24318287037</v>
      </c>
      <c r="C723" s="3" t="s">
        <v>6</v>
      </c>
    </row>
    <row r="724" spans="1:3" ht="13.5" thickBot="1" x14ac:dyDescent="0.25">
      <c r="A724" s="3">
        <v>492</v>
      </c>
      <c r="B724" s="27">
        <v>45303.255023148151</v>
      </c>
      <c r="C724" s="3" t="s">
        <v>5</v>
      </c>
    </row>
    <row r="725" spans="1:3" ht="13.5" thickBot="1" x14ac:dyDescent="0.25">
      <c r="A725" s="3">
        <v>4363</v>
      </c>
      <c r="B725" s="27">
        <v>45303.257048611114</v>
      </c>
      <c r="C725" s="3" t="s">
        <v>7</v>
      </c>
    </row>
    <row r="726" spans="1:3" ht="13.5" thickBot="1" x14ac:dyDescent="0.25">
      <c r="A726" s="3">
        <v>7981</v>
      </c>
      <c r="B726" s="27">
        <v>45303.290277777778</v>
      </c>
      <c r="C726" s="3" t="s">
        <v>3</v>
      </c>
    </row>
    <row r="727" spans="1:3" ht="13.5" thickBot="1" x14ac:dyDescent="0.25">
      <c r="A727" s="3">
        <v>3143</v>
      </c>
      <c r="B727" s="27">
        <v>45303.292314814818</v>
      </c>
      <c r="C727" s="3" t="s">
        <v>5</v>
      </c>
    </row>
    <row r="728" spans="1:3" ht="13.5" thickBot="1" x14ac:dyDescent="0.25">
      <c r="A728" s="3">
        <v>7679</v>
      </c>
      <c r="B728" s="27">
        <v>45303.293078703704</v>
      </c>
      <c r="C728" s="3" t="s">
        <v>4</v>
      </c>
    </row>
    <row r="729" spans="1:3" ht="13.5" thickBot="1" x14ac:dyDescent="0.25">
      <c r="A729" s="3">
        <v>707</v>
      </c>
      <c r="B729" s="27">
        <v>45303.295868055553</v>
      </c>
      <c r="C729" s="3" t="s">
        <v>5</v>
      </c>
    </row>
    <row r="730" spans="1:3" ht="13.5" thickBot="1" x14ac:dyDescent="0.25">
      <c r="A730" s="3">
        <v>4772</v>
      </c>
      <c r="B730" s="27">
        <v>45303.306134259263</v>
      </c>
      <c r="C730" s="3" t="s">
        <v>6</v>
      </c>
    </row>
    <row r="731" spans="1:3" ht="13.5" thickBot="1" x14ac:dyDescent="0.25">
      <c r="A731" s="3">
        <v>545</v>
      </c>
      <c r="B731" s="27">
        <v>45303.317048611112</v>
      </c>
      <c r="C731" s="3" t="s">
        <v>5</v>
      </c>
    </row>
    <row r="732" spans="1:3" ht="13.5" thickBot="1" x14ac:dyDescent="0.25">
      <c r="A732" s="3">
        <v>6315</v>
      </c>
      <c r="B732" s="27">
        <v>45303.336736111109</v>
      </c>
      <c r="C732" s="3" t="s">
        <v>7</v>
      </c>
    </row>
    <row r="733" spans="1:3" ht="13.5" thickBot="1" x14ac:dyDescent="0.25">
      <c r="A733" s="3">
        <v>1730</v>
      </c>
      <c r="B733" s="27">
        <v>45303.391805555555</v>
      </c>
      <c r="C733" s="3" t="s">
        <v>5</v>
      </c>
    </row>
    <row r="734" spans="1:3" ht="13.5" thickBot="1" x14ac:dyDescent="0.25">
      <c r="A734" s="3">
        <v>6001</v>
      </c>
      <c r="B734" s="27">
        <v>45303.399629629632</v>
      </c>
      <c r="C734" s="3" t="s">
        <v>4</v>
      </c>
    </row>
    <row r="735" spans="1:3" ht="13.5" thickBot="1" x14ac:dyDescent="0.25">
      <c r="A735" s="3">
        <v>4903</v>
      </c>
      <c r="B735" s="27">
        <v>45303.403564814813</v>
      </c>
      <c r="C735" s="3" t="s">
        <v>4</v>
      </c>
    </row>
    <row r="736" spans="1:3" ht="13.5" thickBot="1" x14ac:dyDescent="0.25">
      <c r="A736" s="3">
        <v>3244</v>
      </c>
      <c r="B736" s="27">
        <v>45303.431574074071</v>
      </c>
      <c r="C736" s="3" t="s">
        <v>3</v>
      </c>
    </row>
    <row r="737" spans="1:3" ht="13.5" thickBot="1" x14ac:dyDescent="0.25">
      <c r="A737" s="3">
        <v>3643</v>
      </c>
      <c r="B737" s="27">
        <v>45303.438969907409</v>
      </c>
      <c r="C737" s="3" t="s">
        <v>4</v>
      </c>
    </row>
    <row r="738" spans="1:3" ht="13.5" thickBot="1" x14ac:dyDescent="0.25">
      <c r="A738" s="3">
        <v>7679</v>
      </c>
      <c r="B738" s="27">
        <v>45303.446388888886</v>
      </c>
      <c r="C738" s="3" t="s">
        <v>7</v>
      </c>
    </row>
    <row r="739" spans="1:3" ht="13.5" thickBot="1" x14ac:dyDescent="0.25">
      <c r="A739" s="3">
        <v>5485</v>
      </c>
      <c r="B739" s="27">
        <v>45303.47047453704</v>
      </c>
      <c r="C739" s="3" t="s">
        <v>4</v>
      </c>
    </row>
    <row r="740" spans="1:3" ht="13.5" thickBot="1" x14ac:dyDescent="0.25">
      <c r="A740" s="3">
        <v>707</v>
      </c>
      <c r="B740" s="27">
        <v>45303.491030092591</v>
      </c>
      <c r="C740" s="3" t="s">
        <v>4</v>
      </c>
    </row>
    <row r="741" spans="1:3" ht="13.5" thickBot="1" x14ac:dyDescent="0.25">
      <c r="A741" s="3">
        <v>2852</v>
      </c>
      <c r="B741" s="27">
        <v>45303.491099537037</v>
      </c>
      <c r="C741" s="3" t="s">
        <v>6</v>
      </c>
    </row>
    <row r="742" spans="1:3" ht="13.5" thickBot="1" x14ac:dyDescent="0.25">
      <c r="A742" s="3">
        <v>3643</v>
      </c>
      <c r="B742" s="27">
        <v>45303.497361111113</v>
      </c>
      <c r="C742" s="3" t="s">
        <v>3</v>
      </c>
    </row>
    <row r="743" spans="1:3" ht="13.5" thickBot="1" x14ac:dyDescent="0.25">
      <c r="A743" s="3">
        <v>436</v>
      </c>
      <c r="B743" s="27">
        <v>45303.506226851852</v>
      </c>
      <c r="C743" s="3" t="s">
        <v>3</v>
      </c>
    </row>
    <row r="744" spans="1:3" ht="13.5" thickBot="1" x14ac:dyDescent="0.25">
      <c r="A744" s="3">
        <v>1171</v>
      </c>
      <c r="B744" s="27">
        <v>45303.512465277781</v>
      </c>
      <c r="C744" s="3" t="s">
        <v>3</v>
      </c>
    </row>
    <row r="745" spans="1:3" ht="13.5" thickBot="1" x14ac:dyDescent="0.25">
      <c r="A745" s="3">
        <v>2620</v>
      </c>
      <c r="B745" s="27">
        <v>45303.521724537037</v>
      </c>
      <c r="C745" s="3" t="s">
        <v>7</v>
      </c>
    </row>
    <row r="746" spans="1:3" ht="13.5" thickBot="1" x14ac:dyDescent="0.25">
      <c r="A746" s="3">
        <v>7824</v>
      </c>
      <c r="B746" s="27">
        <v>45303.604583333334</v>
      </c>
      <c r="C746" s="3" t="s">
        <v>3</v>
      </c>
    </row>
    <row r="747" spans="1:3" ht="13.5" thickBot="1" x14ac:dyDescent="0.25">
      <c r="A747" s="3">
        <v>7679</v>
      </c>
      <c r="B747" s="27">
        <v>45303.610439814816</v>
      </c>
      <c r="C747" s="3" t="s">
        <v>5</v>
      </c>
    </row>
    <row r="748" spans="1:3" ht="13.5" thickBot="1" x14ac:dyDescent="0.25">
      <c r="A748" s="3">
        <v>3718</v>
      </c>
      <c r="B748" s="27">
        <v>45303.627858796295</v>
      </c>
      <c r="C748" s="3" t="s">
        <v>6</v>
      </c>
    </row>
    <row r="749" spans="1:3" ht="13.5" thickBot="1" x14ac:dyDescent="0.25">
      <c r="A749" s="3">
        <v>1128</v>
      </c>
      <c r="B749" s="27">
        <v>45303.634398148148</v>
      </c>
      <c r="C749" s="3" t="s">
        <v>7</v>
      </c>
    </row>
    <row r="750" spans="1:3" ht="13.5" thickBot="1" x14ac:dyDescent="0.25">
      <c r="A750" s="3">
        <v>545</v>
      </c>
      <c r="B750" s="27">
        <v>45303.661504629628</v>
      </c>
      <c r="C750" s="3" t="s">
        <v>7</v>
      </c>
    </row>
    <row r="751" spans="1:3" ht="13.5" thickBot="1" x14ac:dyDescent="0.25">
      <c r="A751" s="3">
        <v>5390</v>
      </c>
      <c r="B751" s="27">
        <v>45303.668124999997</v>
      </c>
      <c r="C751" s="3" t="s">
        <v>5</v>
      </c>
    </row>
    <row r="752" spans="1:3" ht="13.5" thickBot="1" x14ac:dyDescent="0.25">
      <c r="A752" s="3">
        <v>7296</v>
      </c>
      <c r="B752" s="27">
        <v>45303.672453703701</v>
      </c>
      <c r="C752" s="3" t="s">
        <v>3</v>
      </c>
    </row>
    <row r="753" spans="1:3" ht="13.5" thickBot="1" x14ac:dyDescent="0.25">
      <c r="A753" s="3">
        <v>6313</v>
      </c>
      <c r="B753" s="27">
        <v>45303.711412037039</v>
      </c>
      <c r="C753" s="3" t="s">
        <v>3</v>
      </c>
    </row>
    <row r="754" spans="1:3" ht="13.5" thickBot="1" x14ac:dyDescent="0.25">
      <c r="A754" s="3">
        <v>4439</v>
      </c>
      <c r="B754" s="27">
        <v>45303.724062499998</v>
      </c>
      <c r="C754" s="3" t="s">
        <v>4</v>
      </c>
    </row>
    <row r="755" spans="1:3" ht="13.5" thickBot="1" x14ac:dyDescent="0.25">
      <c r="A755" s="3">
        <v>1587</v>
      </c>
      <c r="B755" s="27">
        <v>45303.737858796296</v>
      </c>
      <c r="C755" s="3" t="s">
        <v>7</v>
      </c>
    </row>
    <row r="756" spans="1:3" ht="13.5" thickBot="1" x14ac:dyDescent="0.25">
      <c r="A756" s="3">
        <v>2599</v>
      </c>
      <c r="B756" s="27">
        <v>45303.752141203702</v>
      </c>
      <c r="C756" s="3" t="s">
        <v>4</v>
      </c>
    </row>
    <row r="757" spans="1:3" ht="13.5" thickBot="1" x14ac:dyDescent="0.25">
      <c r="A757" s="3">
        <v>4609</v>
      </c>
      <c r="B757" s="27">
        <v>45303.752835648149</v>
      </c>
      <c r="C757" s="3" t="s">
        <v>7</v>
      </c>
    </row>
    <row r="758" spans="1:3" ht="13.5" thickBot="1" x14ac:dyDescent="0.25">
      <c r="A758" s="3">
        <v>4342</v>
      </c>
      <c r="B758" s="27">
        <v>45303.783449074072</v>
      </c>
      <c r="C758" s="3" t="s">
        <v>3</v>
      </c>
    </row>
    <row r="759" spans="1:3" ht="13.5" thickBot="1" x14ac:dyDescent="0.25">
      <c r="A759" s="3">
        <v>1128</v>
      </c>
      <c r="B759" s="27">
        <v>45303.793194444443</v>
      </c>
      <c r="C759" s="3" t="s">
        <v>4</v>
      </c>
    </row>
    <row r="760" spans="1:3" ht="13.5" thickBot="1" x14ac:dyDescent="0.25">
      <c r="A760" s="3">
        <v>5603</v>
      </c>
      <c r="B760" s="27">
        <v>45303.797638888886</v>
      </c>
      <c r="C760" s="3" t="s">
        <v>7</v>
      </c>
    </row>
    <row r="761" spans="1:3" ht="13.5" thickBot="1" x14ac:dyDescent="0.25">
      <c r="A761" s="3">
        <v>3044</v>
      </c>
      <c r="B761" s="27">
        <v>45303.828217592592</v>
      </c>
      <c r="C761" s="3" t="s">
        <v>4</v>
      </c>
    </row>
    <row r="762" spans="1:3" ht="13.5" thickBot="1" x14ac:dyDescent="0.25">
      <c r="A762" s="3">
        <v>6791</v>
      </c>
      <c r="B762" s="27">
        <v>45303.82849537037</v>
      </c>
      <c r="C762" s="3" t="s">
        <v>7</v>
      </c>
    </row>
    <row r="763" spans="1:3" ht="13.5" thickBot="1" x14ac:dyDescent="0.25">
      <c r="A763" s="3">
        <v>4757</v>
      </c>
      <c r="B763" s="27">
        <v>45303.830706018518</v>
      </c>
      <c r="C763" s="3" t="s">
        <v>3</v>
      </c>
    </row>
    <row r="764" spans="1:3" ht="13.5" thickBot="1" x14ac:dyDescent="0.25">
      <c r="A764" s="3">
        <v>6370</v>
      </c>
      <c r="B764" s="27">
        <v>45303.853703703702</v>
      </c>
      <c r="C764" s="3" t="s">
        <v>7</v>
      </c>
    </row>
    <row r="765" spans="1:3" ht="13.5" thickBot="1" x14ac:dyDescent="0.25">
      <c r="A765" s="3">
        <v>3947</v>
      </c>
      <c r="B765" s="27">
        <v>45303.873437499999</v>
      </c>
      <c r="C765" s="3" t="s">
        <v>4</v>
      </c>
    </row>
    <row r="766" spans="1:3" ht="13.5" thickBot="1" x14ac:dyDescent="0.25">
      <c r="A766" s="3">
        <v>334</v>
      </c>
      <c r="B766" s="27">
        <v>45303.874965277777</v>
      </c>
      <c r="C766" s="3" t="s">
        <v>6</v>
      </c>
    </row>
    <row r="767" spans="1:3" ht="13.5" thickBot="1" x14ac:dyDescent="0.25">
      <c r="A767" s="3">
        <v>4341</v>
      </c>
      <c r="B767" s="27">
        <v>45303.887245370373</v>
      </c>
      <c r="C767" s="3" t="s">
        <v>3</v>
      </c>
    </row>
    <row r="768" spans="1:3" ht="13.5" thickBot="1" x14ac:dyDescent="0.25">
      <c r="A768" s="3">
        <v>2898</v>
      </c>
      <c r="B768" s="27">
        <v>45303.926689814813</v>
      </c>
      <c r="C768" s="3" t="s">
        <v>5</v>
      </c>
    </row>
    <row r="769" spans="1:3" ht="13.5" thickBot="1" x14ac:dyDescent="0.25">
      <c r="A769" s="3">
        <v>1898</v>
      </c>
      <c r="B769" s="27">
        <v>45303.942199074074</v>
      </c>
      <c r="C769" s="3" t="s">
        <v>6</v>
      </c>
    </row>
    <row r="770" spans="1:3" ht="13.5" thickBot="1" x14ac:dyDescent="0.25">
      <c r="A770" s="3">
        <v>4694</v>
      </c>
      <c r="B770" s="27">
        <v>45303.954618055555</v>
      </c>
      <c r="C770" s="3" t="s">
        <v>6</v>
      </c>
    </row>
    <row r="771" spans="1:3" ht="13.5" thickBot="1" x14ac:dyDescent="0.25">
      <c r="A771" s="3">
        <v>3055</v>
      </c>
      <c r="B771" s="27">
        <v>45304.020381944443</v>
      </c>
      <c r="C771" s="3" t="s">
        <v>4</v>
      </c>
    </row>
    <row r="772" spans="1:3" ht="13.5" thickBot="1" x14ac:dyDescent="0.25">
      <c r="A772" s="3">
        <v>6798</v>
      </c>
      <c r="B772" s="27">
        <v>45304.031631944446</v>
      </c>
      <c r="C772" s="3" t="s">
        <v>3</v>
      </c>
    </row>
    <row r="773" spans="1:3" ht="13.5" thickBot="1" x14ac:dyDescent="0.25">
      <c r="A773" s="3">
        <v>3769</v>
      </c>
      <c r="B773" s="27">
        <v>45304.05804398148</v>
      </c>
      <c r="C773" s="3" t="s">
        <v>3</v>
      </c>
    </row>
    <row r="774" spans="1:3" ht="13.5" thickBot="1" x14ac:dyDescent="0.25">
      <c r="A774" s="3">
        <v>2153</v>
      </c>
      <c r="B774" s="27">
        <v>45304.096620370372</v>
      </c>
      <c r="C774" s="3" t="s">
        <v>3</v>
      </c>
    </row>
    <row r="775" spans="1:3" ht="13.5" thickBot="1" x14ac:dyDescent="0.25">
      <c r="A775" s="3">
        <v>5326</v>
      </c>
      <c r="B775" s="27">
        <v>45304.098310185182</v>
      </c>
      <c r="C775" s="3" t="s">
        <v>7</v>
      </c>
    </row>
    <row r="776" spans="1:3" ht="13.5" thickBot="1" x14ac:dyDescent="0.25">
      <c r="A776" s="3">
        <v>3969</v>
      </c>
      <c r="B776" s="27">
        <v>45304.100983796299</v>
      </c>
      <c r="C776" s="3" t="s">
        <v>3</v>
      </c>
    </row>
    <row r="777" spans="1:3" ht="13.5" thickBot="1" x14ac:dyDescent="0.25">
      <c r="A777" s="3">
        <v>4716</v>
      </c>
      <c r="B777" s="27">
        <v>45304.101550925923</v>
      </c>
      <c r="C777" s="3" t="s">
        <v>4</v>
      </c>
    </row>
    <row r="778" spans="1:3" ht="13.5" thickBot="1" x14ac:dyDescent="0.25">
      <c r="A778" s="3">
        <v>4272</v>
      </c>
      <c r="B778" s="27">
        <v>45304.104641203703</v>
      </c>
      <c r="C778" s="3" t="s">
        <v>7</v>
      </c>
    </row>
    <row r="779" spans="1:3" ht="13.5" thickBot="1" x14ac:dyDescent="0.25">
      <c r="A779" s="3">
        <v>3253</v>
      </c>
      <c r="B779" s="27">
        <v>45304.1096875</v>
      </c>
      <c r="C779" s="3" t="s">
        <v>4</v>
      </c>
    </row>
    <row r="780" spans="1:3" ht="13.5" thickBot="1" x14ac:dyDescent="0.25">
      <c r="A780" s="3">
        <v>3361</v>
      </c>
      <c r="B780" s="27">
        <v>45304.111712962964</v>
      </c>
      <c r="C780" s="3" t="s">
        <v>4</v>
      </c>
    </row>
    <row r="781" spans="1:3" ht="13.5" thickBot="1" x14ac:dyDescent="0.25">
      <c r="A781" s="3">
        <v>6341</v>
      </c>
      <c r="B781" s="27">
        <v>45304.112511574072</v>
      </c>
      <c r="C781" s="3" t="s">
        <v>3</v>
      </c>
    </row>
    <row r="782" spans="1:3" ht="13.5" thickBot="1" x14ac:dyDescent="0.25">
      <c r="A782" s="3">
        <v>3769</v>
      </c>
      <c r="B782" s="27">
        <v>45304.116956018515</v>
      </c>
      <c r="C782" s="3" t="s">
        <v>5</v>
      </c>
    </row>
    <row r="783" spans="1:3" ht="13.5" thickBot="1" x14ac:dyDescent="0.25">
      <c r="A783" s="3">
        <v>5956</v>
      </c>
      <c r="B783" s="27">
        <v>45304.134780092594</v>
      </c>
      <c r="C783" s="3" t="s">
        <v>3</v>
      </c>
    </row>
    <row r="784" spans="1:3" ht="13.5" thickBot="1" x14ac:dyDescent="0.25">
      <c r="A784" s="3">
        <v>914</v>
      </c>
      <c r="B784" s="27">
        <v>45304.154467592591</v>
      </c>
      <c r="C784" s="3" t="s">
        <v>3</v>
      </c>
    </row>
    <row r="785" spans="1:3" ht="13.5" thickBot="1" x14ac:dyDescent="0.25">
      <c r="A785" s="3">
        <v>6790</v>
      </c>
      <c r="B785" s="27">
        <v>45304.183877314812</v>
      </c>
      <c r="C785" s="3" t="s">
        <v>6</v>
      </c>
    </row>
    <row r="786" spans="1:3" ht="13.5" thickBot="1" x14ac:dyDescent="0.25">
      <c r="A786" s="3">
        <v>6618</v>
      </c>
      <c r="B786" s="27">
        <v>45304.199328703704</v>
      </c>
      <c r="C786" s="3" t="s">
        <v>4</v>
      </c>
    </row>
    <row r="787" spans="1:3" ht="13.5" thickBot="1" x14ac:dyDescent="0.25">
      <c r="A787" s="3">
        <v>1348</v>
      </c>
      <c r="B787" s="27">
        <v>45304.22016203704</v>
      </c>
      <c r="C787" s="3" t="s">
        <v>4</v>
      </c>
    </row>
    <row r="788" spans="1:3" ht="13.5" thickBot="1" x14ac:dyDescent="0.25">
      <c r="A788" s="3">
        <v>1407</v>
      </c>
      <c r="B788" s="27">
        <v>45304.225810185184</v>
      </c>
      <c r="C788" s="3" t="s">
        <v>6</v>
      </c>
    </row>
    <row r="789" spans="1:3" ht="13.5" thickBot="1" x14ac:dyDescent="0.25">
      <c r="A789" s="3">
        <v>2957</v>
      </c>
      <c r="B789" s="27">
        <v>45304.228437500002</v>
      </c>
      <c r="C789" s="3" t="s">
        <v>3</v>
      </c>
    </row>
    <row r="790" spans="1:3" ht="13.5" thickBot="1" x14ac:dyDescent="0.25">
      <c r="A790" s="3">
        <v>436</v>
      </c>
      <c r="B790" s="27">
        <v>45304.238078703704</v>
      </c>
      <c r="C790" s="3" t="s">
        <v>4</v>
      </c>
    </row>
    <row r="791" spans="1:3" ht="13.5" thickBot="1" x14ac:dyDescent="0.25">
      <c r="A791" s="3">
        <v>7117</v>
      </c>
      <c r="B791" s="27">
        <v>45304.245266203703</v>
      </c>
      <c r="C791" s="3" t="s">
        <v>5</v>
      </c>
    </row>
    <row r="792" spans="1:3" ht="13.5" thickBot="1" x14ac:dyDescent="0.25">
      <c r="A792" s="3">
        <v>5326</v>
      </c>
      <c r="B792" s="27">
        <v>45304.250694444447</v>
      </c>
      <c r="C792" s="3" t="s">
        <v>6</v>
      </c>
    </row>
    <row r="793" spans="1:3" ht="13.5" thickBot="1" x14ac:dyDescent="0.25">
      <c r="A793" s="3">
        <v>707</v>
      </c>
      <c r="B793" s="27">
        <v>45304.256527777776</v>
      </c>
      <c r="C793" s="3" t="s">
        <v>7</v>
      </c>
    </row>
    <row r="794" spans="1:3" ht="13.5" thickBot="1" x14ac:dyDescent="0.25">
      <c r="A794" s="3">
        <v>3361</v>
      </c>
      <c r="B794" s="27">
        <v>45304.275879629633</v>
      </c>
      <c r="C794" s="3" t="s">
        <v>3</v>
      </c>
    </row>
    <row r="795" spans="1:3" ht="13.5" thickBot="1" x14ac:dyDescent="0.25">
      <c r="A795" s="3">
        <v>665</v>
      </c>
      <c r="B795" s="27">
        <v>45304.298020833332</v>
      </c>
      <c r="C795" s="3" t="s">
        <v>6</v>
      </c>
    </row>
    <row r="796" spans="1:3" ht="13.5" thickBot="1" x14ac:dyDescent="0.25">
      <c r="A796" s="3">
        <v>545</v>
      </c>
      <c r="B796" s="27">
        <v>45304.318425925929</v>
      </c>
      <c r="C796" s="3" t="s">
        <v>6</v>
      </c>
    </row>
    <row r="797" spans="1:3" ht="13.5" thickBot="1" x14ac:dyDescent="0.25">
      <c r="A797" s="3">
        <v>2796</v>
      </c>
      <c r="B797" s="27">
        <v>45304.329861111109</v>
      </c>
      <c r="C797" s="3" t="s">
        <v>6</v>
      </c>
    </row>
    <row r="798" spans="1:3" ht="13.5" thickBot="1" x14ac:dyDescent="0.25">
      <c r="A798" s="3">
        <v>3772</v>
      </c>
      <c r="B798" s="27">
        <v>45304.3590625</v>
      </c>
      <c r="C798" s="3" t="s">
        <v>6</v>
      </c>
    </row>
    <row r="799" spans="1:3" ht="13.5" thickBot="1" x14ac:dyDescent="0.25">
      <c r="A799" s="3">
        <v>5485</v>
      </c>
      <c r="B799" s="27">
        <v>45304.367638888885</v>
      </c>
      <c r="C799" s="3" t="s">
        <v>7</v>
      </c>
    </row>
    <row r="800" spans="1:3" ht="13.5" thickBot="1" x14ac:dyDescent="0.25">
      <c r="A800" s="3">
        <v>4289</v>
      </c>
      <c r="B800" s="27">
        <v>45304.378032407411</v>
      </c>
      <c r="C800" s="3" t="s">
        <v>3</v>
      </c>
    </row>
    <row r="801" spans="1:3" ht="13.5" thickBot="1" x14ac:dyDescent="0.25">
      <c r="A801" s="3">
        <v>2938</v>
      </c>
      <c r="B801" s="27">
        <v>45304.384884259256</v>
      </c>
      <c r="C801" s="3" t="s">
        <v>3</v>
      </c>
    </row>
    <row r="802" spans="1:3" ht="13.5" thickBot="1" x14ac:dyDescent="0.25">
      <c r="A802" s="3">
        <v>5124</v>
      </c>
      <c r="B802" s="27">
        <v>45304.400810185187</v>
      </c>
      <c r="C802" s="3" t="s">
        <v>4</v>
      </c>
    </row>
    <row r="803" spans="1:3" ht="13.5" thickBot="1" x14ac:dyDescent="0.25">
      <c r="A803" s="3">
        <v>1128</v>
      </c>
      <c r="B803" s="27">
        <v>45304.431145833332</v>
      </c>
      <c r="C803" s="3" t="s">
        <v>5</v>
      </c>
    </row>
    <row r="804" spans="1:3" ht="13.5" thickBot="1" x14ac:dyDescent="0.25">
      <c r="A804" s="3">
        <v>2125</v>
      </c>
      <c r="B804" s="27">
        <v>45304.461122685185</v>
      </c>
      <c r="C804" s="3" t="s">
        <v>3</v>
      </c>
    </row>
    <row r="805" spans="1:3" ht="13.5" thickBot="1" x14ac:dyDescent="0.25">
      <c r="A805" s="3">
        <v>244</v>
      </c>
      <c r="B805" s="27">
        <v>45304.48065972222</v>
      </c>
      <c r="C805" s="3" t="s">
        <v>3</v>
      </c>
    </row>
    <row r="806" spans="1:3" ht="13.5" thickBot="1" x14ac:dyDescent="0.25">
      <c r="A806" s="3">
        <v>1722</v>
      </c>
      <c r="B806" s="27">
        <v>45304.497743055559</v>
      </c>
      <c r="C806" s="3" t="s">
        <v>4</v>
      </c>
    </row>
    <row r="807" spans="1:3" ht="13.5" thickBot="1" x14ac:dyDescent="0.25">
      <c r="A807" s="3">
        <v>248</v>
      </c>
      <c r="B807" s="27">
        <v>45304.508518518516</v>
      </c>
      <c r="C807" s="3" t="s">
        <v>6</v>
      </c>
    </row>
    <row r="808" spans="1:3" ht="13.5" thickBot="1" x14ac:dyDescent="0.25">
      <c r="A808" s="3">
        <v>1722</v>
      </c>
      <c r="B808" s="27">
        <v>45304.516712962963</v>
      </c>
      <c r="C808" s="3" t="s">
        <v>3</v>
      </c>
    </row>
    <row r="809" spans="1:3" ht="13.5" thickBot="1" x14ac:dyDescent="0.25">
      <c r="A809" s="3">
        <v>2292</v>
      </c>
      <c r="B809" s="27">
        <v>45304.519155092596</v>
      </c>
      <c r="C809" s="3" t="s">
        <v>4</v>
      </c>
    </row>
    <row r="810" spans="1:3" ht="13.5" thickBot="1" x14ac:dyDescent="0.25">
      <c r="A810" s="3">
        <v>324</v>
      </c>
      <c r="B810" s="27">
        <v>45304.528333333335</v>
      </c>
      <c r="C810" s="3" t="s">
        <v>3</v>
      </c>
    </row>
    <row r="811" spans="1:3" ht="13.5" thickBot="1" x14ac:dyDescent="0.25">
      <c r="A811" s="3">
        <v>6790</v>
      </c>
      <c r="B811" s="27">
        <v>45304.534710648149</v>
      </c>
      <c r="C811" s="3" t="s">
        <v>5</v>
      </c>
    </row>
    <row r="812" spans="1:3" ht="13.5" thickBot="1" x14ac:dyDescent="0.25">
      <c r="A812" s="3">
        <v>2599</v>
      </c>
      <c r="B812" s="27">
        <v>45304.535567129627</v>
      </c>
      <c r="C812" s="3" t="s">
        <v>7</v>
      </c>
    </row>
    <row r="813" spans="1:3" ht="13.5" thickBot="1" x14ac:dyDescent="0.25">
      <c r="A813" s="3">
        <v>3906</v>
      </c>
      <c r="B813" s="27">
        <v>45304.536956018521</v>
      </c>
      <c r="C813" s="3" t="s">
        <v>6</v>
      </c>
    </row>
    <row r="814" spans="1:3" ht="13.5" thickBot="1" x14ac:dyDescent="0.25">
      <c r="A814" s="3">
        <v>702</v>
      </c>
      <c r="B814" s="27">
        <v>45304.546793981484</v>
      </c>
      <c r="C814" s="3" t="s">
        <v>6</v>
      </c>
    </row>
    <row r="815" spans="1:3" ht="13.5" thickBot="1" x14ac:dyDescent="0.25">
      <c r="A815" s="3">
        <v>3165</v>
      </c>
      <c r="B815" s="27">
        <v>45304.589189814818</v>
      </c>
      <c r="C815" s="3" t="s">
        <v>3</v>
      </c>
    </row>
    <row r="816" spans="1:3" ht="13.5" thickBot="1" x14ac:dyDescent="0.25">
      <c r="A816" s="3">
        <v>307</v>
      </c>
      <c r="B816" s="27">
        <v>45304.601203703707</v>
      </c>
      <c r="C816" s="3" t="s">
        <v>4</v>
      </c>
    </row>
    <row r="817" spans="1:3" ht="13.5" thickBot="1" x14ac:dyDescent="0.25">
      <c r="A817" s="3">
        <v>586</v>
      </c>
      <c r="B817" s="27">
        <v>45304.603055555555</v>
      </c>
      <c r="C817" s="3" t="s">
        <v>4</v>
      </c>
    </row>
    <row r="818" spans="1:3" ht="13.5" thickBot="1" x14ac:dyDescent="0.25">
      <c r="A818" s="3">
        <v>1346</v>
      </c>
      <c r="B818" s="27">
        <v>45304.630567129629</v>
      </c>
      <c r="C818" s="3" t="s">
        <v>5</v>
      </c>
    </row>
    <row r="819" spans="1:3" ht="13.5" thickBot="1" x14ac:dyDescent="0.25">
      <c r="A819" s="3">
        <v>4882</v>
      </c>
      <c r="B819" s="27">
        <v>45304.645486111112</v>
      </c>
      <c r="C819" s="3" t="s">
        <v>3</v>
      </c>
    </row>
    <row r="820" spans="1:3" ht="13.5" thickBot="1" x14ac:dyDescent="0.25">
      <c r="A820" s="3">
        <v>394</v>
      </c>
      <c r="B820" s="27">
        <v>45304.659687500003</v>
      </c>
      <c r="C820" s="3" t="s">
        <v>6</v>
      </c>
    </row>
    <row r="821" spans="1:3" ht="13.5" thickBot="1" x14ac:dyDescent="0.25">
      <c r="A821" s="3">
        <v>586</v>
      </c>
      <c r="B821" s="27">
        <v>45304.676562499997</v>
      </c>
      <c r="C821" s="3" t="s">
        <v>5</v>
      </c>
    </row>
    <row r="822" spans="1:3" ht="13.5" thickBot="1" x14ac:dyDescent="0.25">
      <c r="A822" s="3">
        <v>2307</v>
      </c>
      <c r="B822" s="27">
        <v>45304.676793981482</v>
      </c>
      <c r="C822" s="3" t="s">
        <v>3</v>
      </c>
    </row>
    <row r="823" spans="1:3" ht="13.5" thickBot="1" x14ac:dyDescent="0.25">
      <c r="A823" s="3">
        <v>5715</v>
      </c>
      <c r="B823" s="27">
        <v>45304.690532407411</v>
      </c>
      <c r="C823" s="3" t="s">
        <v>3</v>
      </c>
    </row>
    <row r="824" spans="1:3" ht="13.5" thickBot="1" x14ac:dyDescent="0.25">
      <c r="A824" s="3">
        <v>686</v>
      </c>
      <c r="B824" s="27">
        <v>45304.701979166668</v>
      </c>
      <c r="C824" s="3" t="s">
        <v>3</v>
      </c>
    </row>
    <row r="825" spans="1:3" ht="13.5" thickBot="1" x14ac:dyDescent="0.25">
      <c r="A825" s="3">
        <v>4415</v>
      </c>
      <c r="B825" s="27">
        <v>45304.715057870373</v>
      </c>
      <c r="C825" s="3" t="s">
        <v>7</v>
      </c>
    </row>
    <row r="826" spans="1:3" ht="13.5" thickBot="1" x14ac:dyDescent="0.25">
      <c r="A826" s="3">
        <v>1348</v>
      </c>
      <c r="B826" s="27">
        <v>45304.716585648152</v>
      </c>
      <c r="C826" s="3" t="s">
        <v>3</v>
      </c>
    </row>
    <row r="827" spans="1:3" ht="13.5" thickBot="1" x14ac:dyDescent="0.25">
      <c r="A827" s="3">
        <v>2868</v>
      </c>
      <c r="B827" s="27">
        <v>45304.726388888892</v>
      </c>
      <c r="C827" s="3" t="s">
        <v>3</v>
      </c>
    </row>
    <row r="828" spans="1:3" ht="13.5" thickBot="1" x14ac:dyDescent="0.25">
      <c r="A828" s="3">
        <v>6809</v>
      </c>
      <c r="B828" s="27">
        <v>45304.726620370369</v>
      </c>
      <c r="C828" s="3" t="s">
        <v>5</v>
      </c>
    </row>
    <row r="829" spans="1:3" ht="13.5" thickBot="1" x14ac:dyDescent="0.25">
      <c r="A829" s="3">
        <v>6370</v>
      </c>
      <c r="B829" s="27">
        <v>45304.73196759259</v>
      </c>
      <c r="C829" s="3" t="s">
        <v>5</v>
      </c>
    </row>
    <row r="830" spans="1:3" ht="13.5" thickBot="1" x14ac:dyDescent="0.25">
      <c r="A830" s="3">
        <v>4716</v>
      </c>
      <c r="B830" s="27">
        <v>45304.737384259257</v>
      </c>
      <c r="C830" s="3" t="s">
        <v>3</v>
      </c>
    </row>
    <row r="831" spans="1:3" ht="13.5" thickBot="1" x14ac:dyDescent="0.25">
      <c r="A831" s="3">
        <v>5321</v>
      </c>
      <c r="B831" s="27">
        <v>45304.750821759262</v>
      </c>
      <c r="C831" s="3" t="s">
        <v>3</v>
      </c>
    </row>
    <row r="832" spans="1:3" ht="13.5" thickBot="1" x14ac:dyDescent="0.25">
      <c r="A832" s="3">
        <v>3253</v>
      </c>
      <c r="B832" s="27">
        <v>45304.772905092592</v>
      </c>
      <c r="C832" s="3" t="s">
        <v>3</v>
      </c>
    </row>
    <row r="833" spans="1:3" ht="13.5" thickBot="1" x14ac:dyDescent="0.25">
      <c r="A833" s="3">
        <v>6341</v>
      </c>
      <c r="B833" s="27">
        <v>45304.786979166667</v>
      </c>
      <c r="C833" s="3" t="s">
        <v>4</v>
      </c>
    </row>
    <row r="834" spans="1:3" ht="13.5" thickBot="1" x14ac:dyDescent="0.25">
      <c r="A834" s="3">
        <v>2389</v>
      </c>
      <c r="B834" s="27">
        <v>45304.804467592592</v>
      </c>
      <c r="C834" s="3" t="s">
        <v>3</v>
      </c>
    </row>
    <row r="835" spans="1:3" ht="13.5" thickBot="1" x14ac:dyDescent="0.25">
      <c r="A835" s="3">
        <v>5485</v>
      </c>
      <c r="B835" s="27">
        <v>45304.813750000001</v>
      </c>
      <c r="C835" s="3" t="s">
        <v>6</v>
      </c>
    </row>
    <row r="836" spans="1:3" ht="13.5" thickBot="1" x14ac:dyDescent="0.25">
      <c r="A836" s="3">
        <v>7274</v>
      </c>
      <c r="B836" s="27">
        <v>45304.83326388889</v>
      </c>
      <c r="C836" s="3" t="s">
        <v>7</v>
      </c>
    </row>
    <row r="837" spans="1:3" ht="13.5" thickBot="1" x14ac:dyDescent="0.25">
      <c r="A837" s="3">
        <v>4842</v>
      </c>
      <c r="B837" s="27">
        <v>45304.844212962962</v>
      </c>
      <c r="C837" s="3" t="s">
        <v>3</v>
      </c>
    </row>
    <row r="838" spans="1:3" ht="13.5" thickBot="1" x14ac:dyDescent="0.25">
      <c r="A838" s="3">
        <v>1898</v>
      </c>
      <c r="B838" s="27">
        <v>45304.85255787037</v>
      </c>
      <c r="C838" s="3" t="s">
        <v>4</v>
      </c>
    </row>
    <row r="839" spans="1:3" ht="13.5" thickBot="1" x14ac:dyDescent="0.25">
      <c r="A839" s="3">
        <v>4019</v>
      </c>
      <c r="B839" s="27">
        <v>45304.856238425928</v>
      </c>
      <c r="C839" s="3" t="s">
        <v>3</v>
      </c>
    </row>
    <row r="840" spans="1:3" ht="13.5" thickBot="1" x14ac:dyDescent="0.25">
      <c r="A840" s="3">
        <v>2524</v>
      </c>
      <c r="B840" s="27">
        <v>45304.87908564815</v>
      </c>
      <c r="C840" s="3" t="s">
        <v>7</v>
      </c>
    </row>
    <row r="841" spans="1:3" ht="13.5" thickBot="1" x14ac:dyDescent="0.25">
      <c r="A841" s="3">
        <v>2313</v>
      </c>
      <c r="B841" s="27">
        <v>45304.883923611109</v>
      </c>
      <c r="C841" s="3" t="s">
        <v>3</v>
      </c>
    </row>
    <row r="842" spans="1:3" ht="13.5" thickBot="1" x14ac:dyDescent="0.25">
      <c r="A842" s="3">
        <v>7235</v>
      </c>
      <c r="B842" s="27">
        <v>45304.886817129627</v>
      </c>
      <c r="C842" s="3" t="s">
        <v>4</v>
      </c>
    </row>
    <row r="843" spans="1:3" ht="13.5" thickBot="1" x14ac:dyDescent="0.25">
      <c r="A843" s="3">
        <v>1566</v>
      </c>
      <c r="B843" s="27">
        <v>45304.897210648145</v>
      </c>
      <c r="C843" s="3" t="s">
        <v>3</v>
      </c>
    </row>
    <row r="844" spans="1:3" ht="13.5" thickBot="1" x14ac:dyDescent="0.25">
      <c r="A844" s="3">
        <v>436</v>
      </c>
      <c r="B844" s="27">
        <v>45304.926898148151</v>
      </c>
      <c r="C844" s="3" t="s">
        <v>5</v>
      </c>
    </row>
    <row r="845" spans="1:3" ht="13.5" thickBot="1" x14ac:dyDescent="0.25">
      <c r="A845" s="3">
        <v>600</v>
      </c>
      <c r="B845" s="27">
        <v>45304.943935185183</v>
      </c>
      <c r="C845" s="3" t="s">
        <v>3</v>
      </c>
    </row>
    <row r="846" spans="1:3" ht="13.5" thickBot="1" x14ac:dyDescent="0.25">
      <c r="A846" s="3">
        <v>5956</v>
      </c>
      <c r="B846" s="27">
        <v>45304.945972222224</v>
      </c>
      <c r="C846" s="3" t="s">
        <v>4</v>
      </c>
    </row>
    <row r="847" spans="1:3" ht="13.5" thickBot="1" x14ac:dyDescent="0.25">
      <c r="A847" s="3">
        <v>6799</v>
      </c>
      <c r="B847" s="27">
        <v>45304.951365740744</v>
      </c>
      <c r="C847" s="3" t="s">
        <v>7</v>
      </c>
    </row>
    <row r="848" spans="1:3" ht="13.5" thickBot="1" x14ac:dyDescent="0.25">
      <c r="A848" s="3">
        <v>5710</v>
      </c>
      <c r="B848" s="27">
        <v>45304.966111111113</v>
      </c>
      <c r="C848" s="3" t="s">
        <v>3</v>
      </c>
    </row>
    <row r="849" spans="1:3" ht="13.5" thickBot="1" x14ac:dyDescent="0.25">
      <c r="A849" s="3">
        <v>707</v>
      </c>
      <c r="B849" s="27">
        <v>45304.966550925928</v>
      </c>
      <c r="C849" s="3" t="s">
        <v>6</v>
      </c>
    </row>
    <row r="850" spans="1:3" ht="13.5" thickBot="1" x14ac:dyDescent="0.25">
      <c r="A850" s="3">
        <v>5850</v>
      </c>
      <c r="B850" s="27">
        <v>45304.997777777775</v>
      </c>
      <c r="C850" s="3" t="s">
        <v>5</v>
      </c>
    </row>
    <row r="851" spans="1:3" ht="13.5" thickBot="1" x14ac:dyDescent="0.25">
      <c r="A851" s="3">
        <v>2479</v>
      </c>
      <c r="B851" s="27">
        <v>45305.011388888888</v>
      </c>
      <c r="C851" s="3" t="s">
        <v>3</v>
      </c>
    </row>
    <row r="852" spans="1:3" ht="13.5" thickBot="1" x14ac:dyDescent="0.25">
      <c r="A852" s="3">
        <v>1564</v>
      </c>
      <c r="B852" s="27">
        <v>45305.032372685186</v>
      </c>
      <c r="C852" s="3" t="s">
        <v>3</v>
      </c>
    </row>
    <row r="853" spans="1:3" ht="13.5" thickBot="1" x14ac:dyDescent="0.25">
      <c r="A853" s="3">
        <v>3165</v>
      </c>
      <c r="B853" s="27">
        <v>45305.083229166667</v>
      </c>
      <c r="C853" s="3" t="s">
        <v>6</v>
      </c>
    </row>
    <row r="854" spans="1:3" ht="13.5" thickBot="1" x14ac:dyDescent="0.25">
      <c r="A854" s="3">
        <v>5648</v>
      </c>
      <c r="B854" s="27">
        <v>45305.155636574076</v>
      </c>
      <c r="C854" s="3" t="s">
        <v>3</v>
      </c>
    </row>
    <row r="855" spans="1:3" ht="13.5" thickBot="1" x14ac:dyDescent="0.25">
      <c r="A855" s="3">
        <v>4716</v>
      </c>
      <c r="B855" s="27">
        <v>45305.16033564815</v>
      </c>
      <c r="C855" s="3" t="s">
        <v>6</v>
      </c>
    </row>
    <row r="856" spans="1:3" ht="13.5" thickBot="1" x14ac:dyDescent="0.25">
      <c r="A856" s="3">
        <v>1346</v>
      </c>
      <c r="B856" s="27">
        <v>45305.162465277775</v>
      </c>
      <c r="C856" s="3" t="s">
        <v>7</v>
      </c>
    </row>
    <row r="857" spans="1:3" ht="13.5" thickBot="1" x14ac:dyDescent="0.25">
      <c r="A857" s="3">
        <v>7274</v>
      </c>
      <c r="B857" s="27">
        <v>45305.162627314814</v>
      </c>
      <c r="C857" s="3" t="s">
        <v>6</v>
      </c>
    </row>
    <row r="858" spans="1:3" ht="13.5" thickBot="1" x14ac:dyDescent="0.25">
      <c r="A858" s="3">
        <v>7730</v>
      </c>
      <c r="B858" s="27">
        <v>45305.167407407411</v>
      </c>
      <c r="C858" s="3" t="s">
        <v>3</v>
      </c>
    </row>
    <row r="859" spans="1:3" ht="13.5" thickBot="1" x14ac:dyDescent="0.25">
      <c r="A859" s="3">
        <v>5956</v>
      </c>
      <c r="B859" s="27">
        <v>45305.179560185185</v>
      </c>
      <c r="C859" s="3" t="s">
        <v>7</v>
      </c>
    </row>
    <row r="860" spans="1:3" ht="13.5" thickBot="1" x14ac:dyDescent="0.25">
      <c r="A860" s="3">
        <v>2479</v>
      </c>
      <c r="B860" s="27">
        <v>45305.194837962961</v>
      </c>
      <c r="C860" s="3" t="s">
        <v>4</v>
      </c>
    </row>
    <row r="861" spans="1:3" ht="13.5" thickBot="1" x14ac:dyDescent="0.25">
      <c r="A861" s="3">
        <v>4433</v>
      </c>
      <c r="B861" s="27">
        <v>45305.205000000002</v>
      </c>
      <c r="C861" s="3" t="s">
        <v>4</v>
      </c>
    </row>
    <row r="862" spans="1:3" ht="13.5" thickBot="1" x14ac:dyDescent="0.25">
      <c r="A862" s="3">
        <v>3718</v>
      </c>
      <c r="B862" s="27">
        <v>45305.222800925927</v>
      </c>
      <c r="C862" s="3" t="s">
        <v>5</v>
      </c>
    </row>
    <row r="863" spans="1:3" ht="13.5" thickBot="1" x14ac:dyDescent="0.25">
      <c r="A863" s="3">
        <v>7039</v>
      </c>
      <c r="B863" s="27">
        <v>45305.311608796299</v>
      </c>
      <c r="C863" s="3" t="s">
        <v>3</v>
      </c>
    </row>
    <row r="864" spans="1:3" ht="13.5" thickBot="1" x14ac:dyDescent="0.25">
      <c r="A864" s="3">
        <v>2868</v>
      </c>
      <c r="B864" s="27">
        <v>45305.31590277778</v>
      </c>
      <c r="C864" s="3" t="s">
        <v>4</v>
      </c>
    </row>
    <row r="865" spans="1:3" ht="13.5" thickBot="1" x14ac:dyDescent="0.25">
      <c r="A865" s="3">
        <v>617</v>
      </c>
      <c r="B865" s="27">
        <v>45305.338726851849</v>
      </c>
      <c r="C865" s="3" t="s">
        <v>3</v>
      </c>
    </row>
    <row r="866" spans="1:3" ht="13.5" thickBot="1" x14ac:dyDescent="0.25">
      <c r="A866" s="3">
        <v>1722</v>
      </c>
      <c r="B866" s="27">
        <v>45305.34002314815</v>
      </c>
      <c r="C866" s="3" t="s">
        <v>5</v>
      </c>
    </row>
    <row r="867" spans="1:3" ht="13.5" thickBot="1" x14ac:dyDescent="0.25">
      <c r="A867" s="3">
        <v>5200</v>
      </c>
      <c r="B867" s="27">
        <v>45305.371712962966</v>
      </c>
      <c r="C867" s="3" t="s">
        <v>6</v>
      </c>
    </row>
    <row r="868" spans="1:3" ht="13.5" thickBot="1" x14ac:dyDescent="0.25">
      <c r="A868" s="3">
        <v>6798</v>
      </c>
      <c r="B868" s="27">
        <v>45305.378148148149</v>
      </c>
      <c r="C868" s="3" t="s">
        <v>5</v>
      </c>
    </row>
    <row r="869" spans="1:3" ht="13.5" thickBot="1" x14ac:dyDescent="0.25">
      <c r="A869" s="3">
        <v>6580</v>
      </c>
      <c r="B869" s="27">
        <v>45305.386250000003</v>
      </c>
      <c r="C869" s="3" t="s">
        <v>3</v>
      </c>
    </row>
    <row r="870" spans="1:3" ht="13.5" thickBot="1" x14ac:dyDescent="0.25">
      <c r="A870" s="3">
        <v>4459</v>
      </c>
      <c r="B870" s="27">
        <v>45305.410891203705</v>
      </c>
      <c r="C870" s="3" t="s">
        <v>3</v>
      </c>
    </row>
    <row r="871" spans="1:3" ht="13.5" thickBot="1" x14ac:dyDescent="0.25">
      <c r="A871" s="3">
        <v>2292</v>
      </c>
      <c r="B871" s="27">
        <v>45305.430625000001</v>
      </c>
      <c r="C871" s="3" t="s">
        <v>6</v>
      </c>
    </row>
    <row r="872" spans="1:3" ht="13.5" thickBot="1" x14ac:dyDescent="0.25">
      <c r="A872" s="3">
        <v>6689</v>
      </c>
      <c r="B872" s="27">
        <v>45305.434212962966</v>
      </c>
      <c r="C872" s="3" t="s">
        <v>7</v>
      </c>
    </row>
    <row r="873" spans="1:3" ht="13.5" thickBot="1" x14ac:dyDescent="0.25">
      <c r="A873" s="3">
        <v>1766</v>
      </c>
      <c r="B873" s="27">
        <v>45305.435729166667</v>
      </c>
      <c r="C873" s="3" t="s">
        <v>5</v>
      </c>
    </row>
    <row r="874" spans="1:3" ht="13.5" thickBot="1" x14ac:dyDescent="0.25">
      <c r="A874" s="3">
        <v>3718</v>
      </c>
      <c r="B874" s="27">
        <v>45305.44667824074</v>
      </c>
      <c r="C874" s="3" t="s">
        <v>7</v>
      </c>
    </row>
    <row r="875" spans="1:3" ht="13.5" thickBot="1" x14ac:dyDescent="0.25">
      <c r="A875" s="3">
        <v>6162</v>
      </c>
      <c r="B875" s="27">
        <v>45305.465856481482</v>
      </c>
      <c r="C875" s="3" t="s">
        <v>5</v>
      </c>
    </row>
    <row r="876" spans="1:3" ht="13.5" thickBot="1" x14ac:dyDescent="0.25">
      <c r="A876" s="3">
        <v>492</v>
      </c>
      <c r="B876" s="27">
        <v>45305.470104166663</v>
      </c>
      <c r="C876" s="3" t="s">
        <v>6</v>
      </c>
    </row>
    <row r="877" spans="1:3" ht="13.5" thickBot="1" x14ac:dyDescent="0.25">
      <c r="A877" s="3">
        <v>247</v>
      </c>
      <c r="B877" s="27">
        <v>45305.491168981483</v>
      </c>
      <c r="C877" s="3" t="s">
        <v>3</v>
      </c>
    </row>
    <row r="878" spans="1:3" ht="13.5" thickBot="1" x14ac:dyDescent="0.25">
      <c r="A878" s="3">
        <v>2688</v>
      </c>
      <c r="B878" s="27">
        <v>45305.494016203702</v>
      </c>
      <c r="C878" s="3" t="s">
        <v>3</v>
      </c>
    </row>
    <row r="879" spans="1:3" ht="13.5" thickBot="1" x14ac:dyDescent="0.25">
      <c r="A879" s="3">
        <v>4716</v>
      </c>
      <c r="B879" s="27">
        <v>45305.515034722222</v>
      </c>
      <c r="C879" s="3" t="s">
        <v>5</v>
      </c>
    </row>
    <row r="880" spans="1:3" ht="13.5" thickBot="1" x14ac:dyDescent="0.25">
      <c r="A880" s="3">
        <v>3143</v>
      </c>
      <c r="B880" s="27">
        <v>45305.516747685186</v>
      </c>
      <c r="C880" s="3" t="s">
        <v>6</v>
      </c>
    </row>
    <row r="881" spans="1:3" ht="13.5" thickBot="1" x14ac:dyDescent="0.25">
      <c r="A881" s="3">
        <v>5850</v>
      </c>
      <c r="B881" s="27">
        <v>45305.521585648145</v>
      </c>
      <c r="C881" s="3" t="s">
        <v>7</v>
      </c>
    </row>
    <row r="882" spans="1:3" ht="13.5" thickBot="1" x14ac:dyDescent="0.25">
      <c r="A882" s="3">
        <v>5514</v>
      </c>
      <c r="B882" s="27">
        <v>45305.531377314815</v>
      </c>
      <c r="C882" s="3" t="s">
        <v>3</v>
      </c>
    </row>
    <row r="883" spans="1:3" ht="13.5" thickBot="1" x14ac:dyDescent="0.25">
      <c r="A883" s="3">
        <v>6162</v>
      </c>
      <c r="B883" s="27">
        <v>45305.543935185182</v>
      </c>
      <c r="C883" s="3" t="s">
        <v>3</v>
      </c>
    </row>
    <row r="884" spans="1:3" ht="13.5" thickBot="1" x14ac:dyDescent="0.25">
      <c r="A884" s="3">
        <v>4272</v>
      </c>
      <c r="B884" s="27">
        <v>45305.571527777778</v>
      </c>
      <c r="C884" s="3" t="s">
        <v>4</v>
      </c>
    </row>
    <row r="885" spans="1:3" ht="13.5" thickBot="1" x14ac:dyDescent="0.25">
      <c r="A885" s="3">
        <v>4640</v>
      </c>
      <c r="B885" s="27">
        <v>45305.572592592594</v>
      </c>
      <c r="C885" s="3" t="s">
        <v>3</v>
      </c>
    </row>
    <row r="886" spans="1:3" ht="13.5" thickBot="1" x14ac:dyDescent="0.25">
      <c r="A886" s="3">
        <v>3868</v>
      </c>
      <c r="B886" s="27">
        <v>45305.572824074072</v>
      </c>
      <c r="C886" s="3" t="s">
        <v>3</v>
      </c>
    </row>
    <row r="887" spans="1:3" ht="13.5" thickBot="1" x14ac:dyDescent="0.25">
      <c r="A887" s="3">
        <v>3969</v>
      </c>
      <c r="B887" s="27">
        <v>45305.584722222222</v>
      </c>
      <c r="C887" s="3" t="s">
        <v>4</v>
      </c>
    </row>
    <row r="888" spans="1:3" ht="13.5" thickBot="1" x14ac:dyDescent="0.25">
      <c r="A888" s="3">
        <v>2125</v>
      </c>
      <c r="B888" s="27">
        <v>45305.591747685183</v>
      </c>
      <c r="C888" s="3" t="s">
        <v>7</v>
      </c>
    </row>
    <row r="889" spans="1:3" ht="13.5" thickBot="1" x14ac:dyDescent="0.25">
      <c r="A889" s="3">
        <v>2313</v>
      </c>
      <c r="B889" s="27">
        <v>45305.592037037037</v>
      </c>
      <c r="C889" s="3" t="s">
        <v>7</v>
      </c>
    </row>
    <row r="890" spans="1:3" ht="13.5" thickBot="1" x14ac:dyDescent="0.25">
      <c r="A890" s="3">
        <v>3244</v>
      </c>
      <c r="B890" s="27">
        <v>45305.596678240741</v>
      </c>
      <c r="C890" s="3" t="s">
        <v>4</v>
      </c>
    </row>
    <row r="891" spans="1:3" ht="13.5" thickBot="1" x14ac:dyDescent="0.25">
      <c r="A891" s="3">
        <v>2814</v>
      </c>
      <c r="B891" s="27">
        <v>45305.59783564815</v>
      </c>
      <c r="C891" s="3" t="s">
        <v>3</v>
      </c>
    </row>
    <row r="892" spans="1:3" ht="13.5" thickBot="1" x14ac:dyDescent="0.25">
      <c r="A892" s="3">
        <v>2125</v>
      </c>
      <c r="B892" s="27">
        <v>45305.615231481483</v>
      </c>
      <c r="C892" s="3" t="s">
        <v>5</v>
      </c>
    </row>
    <row r="893" spans="1:3" ht="13.5" thickBot="1" x14ac:dyDescent="0.25">
      <c r="A893" s="3">
        <v>4795</v>
      </c>
      <c r="B893" s="27">
        <v>45305.617037037038</v>
      </c>
      <c r="C893" s="3" t="s">
        <v>3</v>
      </c>
    </row>
    <row r="894" spans="1:3" ht="13.5" thickBot="1" x14ac:dyDescent="0.25">
      <c r="A894" s="3">
        <v>4771</v>
      </c>
      <c r="B894" s="27">
        <v>45305.620810185188</v>
      </c>
      <c r="C894" s="3" t="s">
        <v>3</v>
      </c>
    </row>
    <row r="895" spans="1:3" ht="13.5" thickBot="1" x14ac:dyDescent="0.25">
      <c r="A895" s="3">
        <v>76</v>
      </c>
      <c r="B895" s="27">
        <v>45305.628148148149</v>
      </c>
      <c r="C895" s="3" t="s">
        <v>3</v>
      </c>
    </row>
    <row r="896" spans="1:3" ht="13.5" thickBot="1" x14ac:dyDescent="0.25">
      <c r="A896" s="3">
        <v>7530</v>
      </c>
      <c r="B896" s="27">
        <v>45305.629745370374</v>
      </c>
      <c r="C896" s="3" t="s">
        <v>6</v>
      </c>
    </row>
    <row r="897" spans="1:3" ht="13.5" thickBot="1" x14ac:dyDescent="0.25">
      <c r="A897" s="3">
        <v>6355</v>
      </c>
      <c r="B897" s="27">
        <v>45305.629953703705</v>
      </c>
      <c r="C897" s="3" t="s">
        <v>3</v>
      </c>
    </row>
    <row r="898" spans="1:3" ht="13.5" thickBot="1" x14ac:dyDescent="0.25">
      <c r="A898" s="3">
        <v>7109</v>
      </c>
      <c r="B898" s="27">
        <v>45305.630729166667</v>
      </c>
      <c r="C898" s="3" t="s">
        <v>4</v>
      </c>
    </row>
    <row r="899" spans="1:3" ht="13.5" thickBot="1" x14ac:dyDescent="0.25">
      <c r="A899" s="3">
        <v>2389</v>
      </c>
      <c r="B899" s="27">
        <v>45305.637361111112</v>
      </c>
      <c r="C899" s="3" t="s">
        <v>7</v>
      </c>
    </row>
    <row r="900" spans="1:3" ht="13.5" thickBot="1" x14ac:dyDescent="0.25">
      <c r="A900" s="3">
        <v>7730</v>
      </c>
      <c r="B900" s="27">
        <v>45305.640046296299</v>
      </c>
      <c r="C900" s="3" t="s">
        <v>4</v>
      </c>
    </row>
    <row r="901" spans="1:3" ht="13.5" thickBot="1" x14ac:dyDescent="0.25">
      <c r="A901" s="3">
        <v>1587</v>
      </c>
      <c r="B901" s="27">
        <v>45305.652141203704</v>
      </c>
      <c r="C901" s="3" t="s">
        <v>5</v>
      </c>
    </row>
    <row r="902" spans="1:3" ht="13.5" thickBot="1" x14ac:dyDescent="0.25">
      <c r="A902" s="3">
        <v>600</v>
      </c>
      <c r="B902" s="27">
        <v>45305.669027777774</v>
      </c>
      <c r="C902" s="3" t="s">
        <v>4</v>
      </c>
    </row>
    <row r="903" spans="1:3" ht="13.5" thickBot="1" x14ac:dyDescent="0.25">
      <c r="A903" s="3">
        <v>3231</v>
      </c>
      <c r="B903" s="27">
        <v>45305.706423611111</v>
      </c>
      <c r="C903" s="3" t="s">
        <v>3</v>
      </c>
    </row>
    <row r="904" spans="1:3" ht="13.5" thickBot="1" x14ac:dyDescent="0.25">
      <c r="A904" s="3">
        <v>4289</v>
      </c>
      <c r="B904" s="27">
        <v>45305.727002314816</v>
      </c>
      <c r="C904" s="3" t="s">
        <v>4</v>
      </c>
    </row>
    <row r="905" spans="1:3" ht="13.5" thickBot="1" x14ac:dyDescent="0.25">
      <c r="A905" s="3">
        <v>4693</v>
      </c>
      <c r="B905" s="27">
        <v>45305.734120370369</v>
      </c>
      <c r="C905" s="3" t="s">
        <v>7</v>
      </c>
    </row>
    <row r="906" spans="1:3" ht="13.5" thickBot="1" x14ac:dyDescent="0.25">
      <c r="A906" s="3">
        <v>2313</v>
      </c>
      <c r="B906" s="27">
        <v>45305.749895833331</v>
      </c>
      <c r="C906" s="3" t="s">
        <v>4</v>
      </c>
    </row>
    <row r="907" spans="1:3" ht="13.5" thickBot="1" x14ac:dyDescent="0.25">
      <c r="A907" s="3">
        <v>5485</v>
      </c>
      <c r="B907" s="27">
        <v>45305.80846064815</v>
      </c>
      <c r="C907" s="3" t="s">
        <v>5</v>
      </c>
    </row>
    <row r="908" spans="1:3" ht="13.5" thickBot="1" x14ac:dyDescent="0.25">
      <c r="A908" s="3">
        <v>7665</v>
      </c>
      <c r="B908" s="27">
        <v>45305.820717592593</v>
      </c>
      <c r="C908" s="3" t="s">
        <v>3</v>
      </c>
    </row>
    <row r="909" spans="1:3" ht="13.5" thickBot="1" x14ac:dyDescent="0.25">
      <c r="A909" s="3">
        <v>2307</v>
      </c>
      <c r="B909" s="27">
        <v>45305.840914351851</v>
      </c>
      <c r="C909" s="3" t="s">
        <v>4</v>
      </c>
    </row>
    <row r="910" spans="1:3" ht="13.5" thickBot="1" x14ac:dyDescent="0.25">
      <c r="A910" s="3">
        <v>5068</v>
      </c>
      <c r="B910" s="27">
        <v>45305.842488425929</v>
      </c>
      <c r="C910" s="3" t="s">
        <v>3</v>
      </c>
    </row>
    <row r="911" spans="1:3" ht="13.5" thickBot="1" x14ac:dyDescent="0.25">
      <c r="A911" s="3">
        <v>1766</v>
      </c>
      <c r="B911" s="27">
        <v>45305.856203703705</v>
      </c>
      <c r="C911" s="3" t="s">
        <v>3</v>
      </c>
    </row>
    <row r="912" spans="1:3" ht="13.5" thickBot="1" x14ac:dyDescent="0.25">
      <c r="A912" s="3">
        <v>2707</v>
      </c>
      <c r="B912" s="27">
        <v>45305.868043981478</v>
      </c>
      <c r="C912" s="3" t="s">
        <v>6</v>
      </c>
    </row>
    <row r="913" spans="1:3" ht="13.5" thickBot="1" x14ac:dyDescent="0.25">
      <c r="A913" s="3">
        <v>4695</v>
      </c>
      <c r="B913" s="27">
        <v>45305.890289351853</v>
      </c>
      <c r="C913" s="3" t="s">
        <v>3</v>
      </c>
    </row>
    <row r="914" spans="1:3" ht="13.5" thickBot="1" x14ac:dyDescent="0.25">
      <c r="A914" s="3">
        <v>2479</v>
      </c>
      <c r="B914" s="27">
        <v>45305.89570601852</v>
      </c>
      <c r="C914" s="3" t="s">
        <v>5</v>
      </c>
    </row>
    <row r="915" spans="1:3" ht="13.5" thickBot="1" x14ac:dyDescent="0.25">
      <c r="A915" s="3">
        <v>7039</v>
      </c>
      <c r="B915" s="27">
        <v>45305.905046296299</v>
      </c>
      <c r="C915" s="3" t="s">
        <v>4</v>
      </c>
    </row>
    <row r="916" spans="1:3" ht="13.5" thickBot="1" x14ac:dyDescent="0.25">
      <c r="A916" s="3">
        <v>2938</v>
      </c>
      <c r="B916" s="27">
        <v>45305.945972222224</v>
      </c>
      <c r="C916" s="3" t="s">
        <v>4</v>
      </c>
    </row>
    <row r="917" spans="1:3" ht="13.5" thickBot="1" x14ac:dyDescent="0.25">
      <c r="A917" s="3">
        <v>7109</v>
      </c>
      <c r="B917" s="27">
        <v>45305.948611111111</v>
      </c>
      <c r="C917" s="3" t="s">
        <v>3</v>
      </c>
    </row>
    <row r="918" spans="1:3" ht="13.5" thickBot="1" x14ac:dyDescent="0.25">
      <c r="A918" s="3">
        <v>2475</v>
      </c>
      <c r="B918" s="27">
        <v>45305.957083333335</v>
      </c>
      <c r="C918" s="3" t="s">
        <v>3</v>
      </c>
    </row>
    <row r="919" spans="1:3" ht="13.5" thickBot="1" x14ac:dyDescent="0.25">
      <c r="A919" s="3">
        <v>324</v>
      </c>
      <c r="B919" s="27">
        <v>45305.958240740743</v>
      </c>
      <c r="C919" s="3" t="s">
        <v>4</v>
      </c>
    </row>
    <row r="920" spans="1:3" ht="13.5" thickBot="1" x14ac:dyDescent="0.25">
      <c r="A920" s="3">
        <v>3165</v>
      </c>
      <c r="B920" s="27">
        <v>45305.960011574076</v>
      </c>
      <c r="C920" s="3" t="s">
        <v>4</v>
      </c>
    </row>
    <row r="921" spans="1:3" ht="13.5" thickBot="1" x14ac:dyDescent="0.25">
      <c r="A921" s="3">
        <v>6162</v>
      </c>
      <c r="B921" s="27">
        <v>45305.992291666669</v>
      </c>
      <c r="C921" s="3" t="s">
        <v>4</v>
      </c>
    </row>
    <row r="922" spans="1:3" ht="13.5" thickBot="1" x14ac:dyDescent="0.25">
      <c r="A922" s="3">
        <v>6412</v>
      </c>
      <c r="B922" s="27">
        <v>45306.004421296297</v>
      </c>
      <c r="C922" s="3" t="s">
        <v>3</v>
      </c>
    </row>
    <row r="923" spans="1:3" ht="13.5" thickBot="1" x14ac:dyDescent="0.25">
      <c r="A923" s="3">
        <v>1648</v>
      </c>
      <c r="B923" s="27">
        <v>45306.021134259259</v>
      </c>
      <c r="C923" s="3" t="s">
        <v>3</v>
      </c>
    </row>
    <row r="924" spans="1:3" ht="13.5" thickBot="1" x14ac:dyDescent="0.25">
      <c r="A924" s="3">
        <v>7974</v>
      </c>
      <c r="B924" s="27">
        <v>45306.021249999998</v>
      </c>
      <c r="C924" s="3" t="s">
        <v>3</v>
      </c>
    </row>
    <row r="925" spans="1:3" ht="13.5" thickBot="1" x14ac:dyDescent="0.25">
      <c r="A925" s="3">
        <v>6798</v>
      </c>
      <c r="B925" s="27">
        <v>45306.024791666663</v>
      </c>
      <c r="C925" s="3" t="s">
        <v>4</v>
      </c>
    </row>
    <row r="926" spans="1:3" ht="13.5" thickBot="1" x14ac:dyDescent="0.25">
      <c r="A926" s="3">
        <v>1197</v>
      </c>
      <c r="B926" s="27">
        <v>45306.039236111108</v>
      </c>
      <c r="C926" s="3" t="s">
        <v>3</v>
      </c>
    </row>
    <row r="927" spans="1:3" ht="13.5" thickBot="1" x14ac:dyDescent="0.25">
      <c r="A927" s="3">
        <v>6691</v>
      </c>
      <c r="B927" s="27">
        <v>45306.044131944444</v>
      </c>
      <c r="C927" s="3" t="s">
        <v>3</v>
      </c>
    </row>
    <row r="928" spans="1:3" ht="13.5" thickBot="1" x14ac:dyDescent="0.25">
      <c r="A928" s="3">
        <v>2313</v>
      </c>
      <c r="B928" s="27">
        <v>45306.066145833334</v>
      </c>
      <c r="C928" s="3" t="s">
        <v>5</v>
      </c>
    </row>
    <row r="929" spans="1:3" ht="13.5" thickBot="1" x14ac:dyDescent="0.25">
      <c r="A929" s="3">
        <v>2307</v>
      </c>
      <c r="B929" s="27">
        <v>45306.077384259261</v>
      </c>
      <c r="C929" s="3" t="s">
        <v>5</v>
      </c>
    </row>
    <row r="930" spans="1:3" ht="13.5" thickBot="1" x14ac:dyDescent="0.25">
      <c r="A930" s="3">
        <v>7665</v>
      </c>
      <c r="B930" s="27">
        <v>45306.085358796299</v>
      </c>
      <c r="C930" s="3" t="s">
        <v>5</v>
      </c>
    </row>
    <row r="931" spans="1:3" ht="13.5" thickBot="1" x14ac:dyDescent="0.25">
      <c r="A931" s="3">
        <v>2922</v>
      </c>
      <c r="B931" s="27">
        <v>45306.098680555559</v>
      </c>
      <c r="C931" s="3" t="s">
        <v>6</v>
      </c>
    </row>
    <row r="932" spans="1:3" ht="13.5" thickBot="1" x14ac:dyDescent="0.25">
      <c r="A932" s="3">
        <v>4640</v>
      </c>
      <c r="B932" s="27">
        <v>45306.100185185183</v>
      </c>
      <c r="C932" s="3" t="s">
        <v>5</v>
      </c>
    </row>
    <row r="933" spans="1:3" ht="13.5" thickBot="1" x14ac:dyDescent="0.25">
      <c r="A933" s="3">
        <v>7497</v>
      </c>
      <c r="B933" s="27">
        <v>45306.116203703707</v>
      </c>
      <c r="C933" s="3" t="s">
        <v>3</v>
      </c>
    </row>
    <row r="934" spans="1:3" ht="13.5" thickBot="1" x14ac:dyDescent="0.25">
      <c r="A934" s="3">
        <v>4374</v>
      </c>
      <c r="B934" s="27">
        <v>45306.134618055556</v>
      </c>
      <c r="C934" s="3" t="s">
        <v>3</v>
      </c>
    </row>
    <row r="935" spans="1:3" ht="13.5" thickBot="1" x14ac:dyDescent="0.25">
      <c r="A935" s="3">
        <v>7310</v>
      </c>
      <c r="B935" s="27">
        <v>45306.176388888889</v>
      </c>
      <c r="C935" s="3" t="s">
        <v>3</v>
      </c>
    </row>
    <row r="936" spans="1:3" ht="13.5" thickBot="1" x14ac:dyDescent="0.25">
      <c r="A936" s="3">
        <v>7959</v>
      </c>
      <c r="B936" s="27">
        <v>45306.19017361111</v>
      </c>
      <c r="C936" s="3" t="s">
        <v>3</v>
      </c>
    </row>
    <row r="937" spans="1:3" ht="13.5" thickBot="1" x14ac:dyDescent="0.25">
      <c r="A937" s="3">
        <v>5215</v>
      </c>
      <c r="B937" s="27">
        <v>45306.204074074078</v>
      </c>
      <c r="C937" s="3" t="s">
        <v>4</v>
      </c>
    </row>
    <row r="938" spans="1:3" ht="13.5" thickBot="1" x14ac:dyDescent="0.25">
      <c r="A938" s="3">
        <v>6691</v>
      </c>
      <c r="B938" s="27">
        <v>45306.223333333335</v>
      </c>
      <c r="C938" s="3" t="s">
        <v>4</v>
      </c>
    </row>
    <row r="939" spans="1:3" ht="13.5" thickBot="1" x14ac:dyDescent="0.25">
      <c r="A939" s="3">
        <v>2746</v>
      </c>
      <c r="B939" s="27">
        <v>45306.243541666663</v>
      </c>
      <c r="C939" s="3" t="s">
        <v>4</v>
      </c>
    </row>
    <row r="940" spans="1:3" ht="13.5" thickBot="1" x14ac:dyDescent="0.25">
      <c r="A940" s="3">
        <v>4272</v>
      </c>
      <c r="B940" s="27">
        <v>45306.263506944444</v>
      </c>
      <c r="C940" s="3" t="s">
        <v>6</v>
      </c>
    </row>
    <row r="941" spans="1:3" ht="13.5" thickBot="1" x14ac:dyDescent="0.25">
      <c r="A941" s="3">
        <v>3008</v>
      </c>
      <c r="B941" s="27">
        <v>45306.288738425923</v>
      </c>
      <c r="C941" s="3" t="s">
        <v>6</v>
      </c>
    </row>
    <row r="942" spans="1:3" ht="13.5" thickBot="1" x14ac:dyDescent="0.25">
      <c r="A942" s="3">
        <v>1347</v>
      </c>
      <c r="B942" s="27">
        <v>45306.289768518516</v>
      </c>
      <c r="C942" s="3" t="s">
        <v>3</v>
      </c>
    </row>
    <row r="943" spans="1:3" ht="13.5" thickBot="1" x14ac:dyDescent="0.25">
      <c r="A943" s="3">
        <v>7149</v>
      </c>
      <c r="B943" s="27">
        <v>45306.294236111113</v>
      </c>
      <c r="C943" s="3" t="s">
        <v>3</v>
      </c>
    </row>
    <row r="944" spans="1:3" ht="13.5" thickBot="1" x14ac:dyDescent="0.25">
      <c r="A944" s="3">
        <v>5850</v>
      </c>
      <c r="B944" s="27">
        <v>45306.30840277778</v>
      </c>
      <c r="C944" s="3" t="s">
        <v>6</v>
      </c>
    </row>
    <row r="945" spans="1:3" ht="13.5" thickBot="1" x14ac:dyDescent="0.25">
      <c r="A945" s="3">
        <v>83</v>
      </c>
      <c r="B945" s="27">
        <v>45306.310752314814</v>
      </c>
      <c r="C945" s="3" t="s">
        <v>3</v>
      </c>
    </row>
    <row r="946" spans="1:3" ht="13.5" thickBot="1" x14ac:dyDescent="0.25">
      <c r="A946" s="3">
        <v>5971</v>
      </c>
      <c r="B946" s="27">
        <v>45306.341631944444</v>
      </c>
      <c r="C946" s="3" t="s">
        <v>3</v>
      </c>
    </row>
    <row r="947" spans="1:3" ht="13.5" thickBot="1" x14ac:dyDescent="0.25">
      <c r="A947" s="3">
        <v>4882</v>
      </c>
      <c r="B947" s="27">
        <v>45306.348541666666</v>
      </c>
      <c r="C947" s="3" t="s">
        <v>4</v>
      </c>
    </row>
    <row r="948" spans="1:3" ht="13.5" thickBot="1" x14ac:dyDescent="0.25">
      <c r="A948" s="3">
        <v>1898</v>
      </c>
      <c r="B948" s="27">
        <v>45306.353460648148</v>
      </c>
      <c r="C948" s="3" t="s">
        <v>5</v>
      </c>
    </row>
    <row r="949" spans="1:3" ht="13.5" thickBot="1" x14ac:dyDescent="0.25">
      <c r="A949" s="3">
        <v>3535</v>
      </c>
      <c r="B949" s="27">
        <v>45306.370879629627</v>
      </c>
      <c r="C949" s="3" t="s">
        <v>6</v>
      </c>
    </row>
    <row r="950" spans="1:3" ht="13.5" thickBot="1" x14ac:dyDescent="0.25">
      <c r="A950" s="3">
        <v>7098</v>
      </c>
      <c r="B950" s="27">
        <v>45306.377384259256</v>
      </c>
      <c r="C950" s="3" t="s">
        <v>3</v>
      </c>
    </row>
    <row r="951" spans="1:3" ht="13.5" thickBot="1" x14ac:dyDescent="0.25">
      <c r="A951" s="3">
        <v>3368</v>
      </c>
      <c r="B951" s="27">
        <v>45306.378020833334</v>
      </c>
      <c r="C951" s="3" t="s">
        <v>4</v>
      </c>
    </row>
    <row r="952" spans="1:3" ht="13.5" thickBot="1" x14ac:dyDescent="0.25">
      <c r="A952" s="3">
        <v>4516</v>
      </c>
      <c r="B952" s="27">
        <v>45306.388437499998</v>
      </c>
      <c r="C952" s="3" t="s">
        <v>3</v>
      </c>
    </row>
    <row r="953" spans="1:3" ht="13.5" thickBot="1" x14ac:dyDescent="0.25">
      <c r="A953" s="3">
        <v>6665</v>
      </c>
      <c r="B953" s="27">
        <v>45306.398182870369</v>
      </c>
      <c r="C953" s="3" t="s">
        <v>6</v>
      </c>
    </row>
    <row r="954" spans="1:3" ht="13.5" thickBot="1" x14ac:dyDescent="0.25">
      <c r="A954" s="3">
        <v>4272</v>
      </c>
      <c r="B954" s="27">
        <v>45306.417291666665</v>
      </c>
      <c r="C954" s="3" t="s">
        <v>5</v>
      </c>
    </row>
    <row r="955" spans="1:3" ht="13.5" thickBot="1" x14ac:dyDescent="0.25">
      <c r="A955" s="3">
        <v>7665</v>
      </c>
      <c r="B955" s="27">
        <v>45306.422430555554</v>
      </c>
      <c r="C955" s="3" t="s">
        <v>4</v>
      </c>
    </row>
    <row r="956" spans="1:3" ht="13.5" thickBot="1" x14ac:dyDescent="0.25">
      <c r="A956" s="3">
        <v>3657</v>
      </c>
      <c r="B956" s="27">
        <v>45306.465543981481</v>
      </c>
      <c r="C956" s="3" t="s">
        <v>6</v>
      </c>
    </row>
    <row r="957" spans="1:3" ht="13.5" thickBot="1" x14ac:dyDescent="0.25">
      <c r="A957" s="3">
        <v>4757</v>
      </c>
      <c r="B957" s="27">
        <v>45306.474282407406</v>
      </c>
      <c r="C957" s="3" t="s">
        <v>6</v>
      </c>
    </row>
    <row r="958" spans="1:3" ht="13.5" thickBot="1" x14ac:dyDescent="0.25">
      <c r="A958" s="3">
        <v>5715</v>
      </c>
      <c r="B958" s="27">
        <v>45306.500717592593</v>
      </c>
      <c r="C958" s="3" t="s">
        <v>4</v>
      </c>
    </row>
    <row r="959" spans="1:3" ht="13.5" thickBot="1" x14ac:dyDescent="0.25">
      <c r="A959" s="3">
        <v>5195</v>
      </c>
      <c r="B959" s="27">
        <v>45306.506863425922</v>
      </c>
      <c r="C959" s="3" t="s">
        <v>6</v>
      </c>
    </row>
    <row r="960" spans="1:3" ht="13.5" thickBot="1" x14ac:dyDescent="0.25">
      <c r="A960" s="3">
        <v>4198</v>
      </c>
      <c r="B960" s="27">
        <v>45306.546307870369</v>
      </c>
      <c r="C960" s="3" t="s">
        <v>3</v>
      </c>
    </row>
    <row r="961" spans="1:3" ht="13.5" thickBot="1" x14ac:dyDescent="0.25">
      <c r="A961" s="3">
        <v>2572</v>
      </c>
      <c r="B961" s="27">
        <v>45306.557905092595</v>
      </c>
      <c r="C961" s="3" t="s">
        <v>3</v>
      </c>
    </row>
    <row r="962" spans="1:3" ht="13.5" thickBot="1" x14ac:dyDescent="0.25">
      <c r="A962" s="3">
        <v>4795</v>
      </c>
      <c r="B962" s="27">
        <v>45306.561331018522</v>
      </c>
      <c r="C962" s="3" t="s">
        <v>7</v>
      </c>
    </row>
    <row r="963" spans="1:3" ht="13.5" thickBot="1" x14ac:dyDescent="0.25">
      <c r="A963" s="3">
        <v>1564</v>
      </c>
      <c r="B963" s="27">
        <v>45306.572488425925</v>
      </c>
      <c r="C963" s="3" t="s">
        <v>4</v>
      </c>
    </row>
    <row r="964" spans="1:3" ht="13.5" thickBot="1" x14ac:dyDescent="0.25">
      <c r="A964" s="3">
        <v>3721</v>
      </c>
      <c r="B964" s="27">
        <v>45306.583182870374</v>
      </c>
      <c r="C964" s="3" t="s">
        <v>4</v>
      </c>
    </row>
    <row r="965" spans="1:3" ht="13.5" thickBot="1" x14ac:dyDescent="0.25">
      <c r="A965" s="3">
        <v>2604</v>
      </c>
      <c r="B965" s="27">
        <v>45306.597743055558</v>
      </c>
      <c r="C965" s="3" t="s">
        <v>3</v>
      </c>
    </row>
    <row r="966" spans="1:3" ht="13.5" thickBot="1" x14ac:dyDescent="0.25">
      <c r="A966" s="3">
        <v>882</v>
      </c>
      <c r="B966" s="27">
        <v>45306.600069444445</v>
      </c>
      <c r="C966" s="3" t="s">
        <v>7</v>
      </c>
    </row>
    <row r="967" spans="1:3" ht="13.5" thickBot="1" x14ac:dyDescent="0.25">
      <c r="A967" s="3">
        <v>2389</v>
      </c>
      <c r="B967" s="27">
        <v>45306.610254629632</v>
      </c>
      <c r="C967" s="3" t="s">
        <v>5</v>
      </c>
    </row>
    <row r="968" spans="1:3" ht="13.5" thickBot="1" x14ac:dyDescent="0.25">
      <c r="A968" s="3">
        <v>3512</v>
      </c>
      <c r="B968" s="27">
        <v>45306.661921296298</v>
      </c>
      <c r="C968" s="3" t="s">
        <v>3</v>
      </c>
    </row>
    <row r="969" spans="1:3" ht="13.5" thickBot="1" x14ac:dyDescent="0.25">
      <c r="A969" s="3">
        <v>3019</v>
      </c>
      <c r="B969" s="27">
        <v>45306.665289351855</v>
      </c>
      <c r="C969" s="3" t="s">
        <v>3</v>
      </c>
    </row>
    <row r="970" spans="1:3" ht="13.5" thickBot="1" x14ac:dyDescent="0.25">
      <c r="A970" s="3">
        <v>4415</v>
      </c>
      <c r="B970" s="27">
        <v>45306.708773148152</v>
      </c>
      <c r="C970" s="3" t="s">
        <v>6</v>
      </c>
    </row>
    <row r="971" spans="1:3" ht="13.5" thickBot="1" x14ac:dyDescent="0.25">
      <c r="A971" s="3">
        <v>3769</v>
      </c>
      <c r="B971" s="27">
        <v>45306.737141203703</v>
      </c>
      <c r="C971" s="3" t="s">
        <v>4</v>
      </c>
    </row>
    <row r="972" spans="1:3" ht="13.5" thickBot="1" x14ac:dyDescent="0.25">
      <c r="A972" s="3">
        <v>7109</v>
      </c>
      <c r="B972" s="27">
        <v>45306.739270833335</v>
      </c>
      <c r="C972" s="3" t="s">
        <v>5</v>
      </c>
    </row>
    <row r="973" spans="1:3" ht="13.5" thickBot="1" x14ac:dyDescent="0.25">
      <c r="A973" s="3">
        <v>4263</v>
      </c>
      <c r="B973" s="27">
        <v>45306.742638888885</v>
      </c>
      <c r="C973" s="3" t="s">
        <v>3</v>
      </c>
    </row>
    <row r="974" spans="1:3" ht="13.5" thickBot="1" x14ac:dyDescent="0.25">
      <c r="A974" s="3">
        <v>2125</v>
      </c>
      <c r="B974" s="27">
        <v>45306.74454861111</v>
      </c>
      <c r="C974" s="3" t="s">
        <v>4</v>
      </c>
    </row>
    <row r="975" spans="1:3" ht="13.5" thickBot="1" x14ac:dyDescent="0.25">
      <c r="A975" s="3">
        <v>5920</v>
      </c>
      <c r="B975" s="27">
        <v>45306.752291666664</v>
      </c>
      <c r="C975" s="3" t="s">
        <v>3</v>
      </c>
    </row>
    <row r="976" spans="1:3" ht="13.5" thickBot="1" x14ac:dyDescent="0.25">
      <c r="A976" s="3">
        <v>5710</v>
      </c>
      <c r="B976" s="27">
        <v>45306.754016203704</v>
      </c>
      <c r="C976" s="3" t="s">
        <v>4</v>
      </c>
    </row>
    <row r="977" spans="1:3" ht="13.5" thickBot="1" x14ac:dyDescent="0.25">
      <c r="A977" s="3">
        <v>5166</v>
      </c>
      <c r="B977" s="27">
        <v>45306.774027777778</v>
      </c>
      <c r="C977" s="3" t="s">
        <v>5</v>
      </c>
    </row>
    <row r="978" spans="1:3" ht="13.5" thickBot="1" x14ac:dyDescent="0.25">
      <c r="A978" s="3">
        <v>586</v>
      </c>
      <c r="B978" s="27">
        <v>45306.776261574072</v>
      </c>
      <c r="C978" s="3" t="s">
        <v>7</v>
      </c>
    </row>
    <row r="979" spans="1:3" ht="13.5" thickBot="1" x14ac:dyDescent="0.25">
      <c r="A979" s="3">
        <v>5166</v>
      </c>
      <c r="B979" s="27">
        <v>45306.782881944448</v>
      </c>
      <c r="C979" s="3" t="s">
        <v>3</v>
      </c>
    </row>
    <row r="980" spans="1:3" ht="13.5" thickBot="1" x14ac:dyDescent="0.25">
      <c r="A980" s="3">
        <v>2741</v>
      </c>
      <c r="B980" s="27">
        <v>45306.784363425926</v>
      </c>
      <c r="C980" s="3" t="s">
        <v>3</v>
      </c>
    </row>
    <row r="981" spans="1:3" ht="13.5" thickBot="1" x14ac:dyDescent="0.25">
      <c r="A981" s="3">
        <v>3393</v>
      </c>
      <c r="B981" s="27">
        <v>45306.820659722223</v>
      </c>
      <c r="C981" s="3" t="s">
        <v>3</v>
      </c>
    </row>
    <row r="982" spans="1:3" ht="13.5" thickBot="1" x14ac:dyDescent="0.25">
      <c r="A982" s="3">
        <v>4842</v>
      </c>
      <c r="B982" s="27">
        <v>45306.830555555556</v>
      </c>
      <c r="C982" s="3" t="s">
        <v>4</v>
      </c>
    </row>
    <row r="983" spans="1:3" ht="13.5" thickBot="1" x14ac:dyDescent="0.25">
      <c r="A983" s="3">
        <v>7869</v>
      </c>
      <c r="B983" s="27">
        <v>45306.85769675926</v>
      </c>
      <c r="C983" s="3" t="s">
        <v>3</v>
      </c>
    </row>
    <row r="984" spans="1:3" ht="13.5" thickBot="1" x14ac:dyDescent="0.25">
      <c r="A984" s="3">
        <v>5935</v>
      </c>
      <c r="B984" s="27">
        <v>45306.862708333334</v>
      </c>
      <c r="C984" s="3" t="s">
        <v>3</v>
      </c>
    </row>
    <row r="985" spans="1:3" ht="13.5" thickBot="1" x14ac:dyDescent="0.25">
      <c r="A985" s="3">
        <v>7098</v>
      </c>
      <c r="B985" s="27">
        <v>45306.868842592594</v>
      </c>
      <c r="C985" s="3" t="s">
        <v>4</v>
      </c>
    </row>
    <row r="986" spans="1:3" ht="13.5" thickBot="1" x14ac:dyDescent="0.25">
      <c r="A986" s="3">
        <v>6370</v>
      </c>
      <c r="B986" s="27">
        <v>45306.8747337963</v>
      </c>
      <c r="C986" s="3" t="s">
        <v>6</v>
      </c>
    </row>
    <row r="987" spans="1:3" ht="13.5" thickBot="1" x14ac:dyDescent="0.25">
      <c r="A987" s="3">
        <v>1407</v>
      </c>
      <c r="B987" s="27">
        <v>45306.883506944447</v>
      </c>
      <c r="C987" s="3" t="s">
        <v>7</v>
      </c>
    </row>
    <row r="988" spans="1:3" ht="13.5" thickBot="1" x14ac:dyDescent="0.25">
      <c r="A988" s="3">
        <v>5956</v>
      </c>
      <c r="B988" s="27">
        <v>45306.906307870369</v>
      </c>
      <c r="C988" s="3" t="s">
        <v>6</v>
      </c>
    </row>
    <row r="989" spans="1:3" ht="13.5" thickBot="1" x14ac:dyDescent="0.25">
      <c r="A989" s="3">
        <v>3721</v>
      </c>
      <c r="B989" s="27">
        <v>45306.944502314815</v>
      </c>
      <c r="C989" s="3" t="s">
        <v>3</v>
      </c>
    </row>
    <row r="990" spans="1:3" ht="13.5" thickBot="1" x14ac:dyDescent="0.25">
      <c r="A990" s="3">
        <v>4516</v>
      </c>
      <c r="B990" s="27">
        <v>45306.993414351855</v>
      </c>
      <c r="C990" s="3" t="s">
        <v>5</v>
      </c>
    </row>
    <row r="991" spans="1:3" ht="13.5" thickBot="1" x14ac:dyDescent="0.25">
      <c r="A991" s="3">
        <v>2814</v>
      </c>
      <c r="B991" s="27">
        <v>45307.027280092596</v>
      </c>
      <c r="C991" s="3" t="s">
        <v>4</v>
      </c>
    </row>
    <row r="992" spans="1:3" ht="13.5" thickBot="1" x14ac:dyDescent="0.25">
      <c r="A992" s="3">
        <v>4704</v>
      </c>
      <c r="B992" s="27">
        <v>45307.028090277781</v>
      </c>
      <c r="C992" s="3" t="s">
        <v>3</v>
      </c>
    </row>
    <row r="993" spans="1:3" ht="13.5" thickBot="1" x14ac:dyDescent="0.25">
      <c r="A993" s="3">
        <v>5529</v>
      </c>
      <c r="B993" s="27">
        <v>45307.030555555553</v>
      </c>
      <c r="C993" s="3" t="s">
        <v>3</v>
      </c>
    </row>
    <row r="994" spans="1:3" ht="13.5" thickBot="1" x14ac:dyDescent="0.25">
      <c r="A994" s="3">
        <v>4289</v>
      </c>
      <c r="B994" s="27">
        <v>45307.07534722222</v>
      </c>
      <c r="C994" s="3" t="s">
        <v>6</v>
      </c>
    </row>
    <row r="995" spans="1:3" ht="13.5" thickBot="1" x14ac:dyDescent="0.25">
      <c r="A995" s="3">
        <v>455</v>
      </c>
      <c r="B995" s="27">
        <v>45307.097534722219</v>
      </c>
      <c r="C995" s="3" t="s">
        <v>4</v>
      </c>
    </row>
    <row r="996" spans="1:3" ht="13.5" thickBot="1" x14ac:dyDescent="0.25">
      <c r="A996" s="3">
        <v>3480</v>
      </c>
      <c r="B996" s="27">
        <v>45307.103333333333</v>
      </c>
      <c r="C996" s="3" t="s">
        <v>3</v>
      </c>
    </row>
    <row r="997" spans="1:3" ht="13.5" thickBot="1" x14ac:dyDescent="0.25">
      <c r="A997" s="3">
        <v>6689</v>
      </c>
      <c r="B997" s="27">
        <v>45307.104305555556</v>
      </c>
      <c r="C997" s="3" t="s">
        <v>6</v>
      </c>
    </row>
    <row r="998" spans="1:3" ht="13.5" thickBot="1" x14ac:dyDescent="0.25">
      <c r="A998" s="3">
        <v>612</v>
      </c>
      <c r="B998" s="27">
        <v>45307.122604166667</v>
      </c>
      <c r="C998" s="3" t="s">
        <v>5</v>
      </c>
    </row>
    <row r="999" spans="1:3" ht="13.5" thickBot="1" x14ac:dyDescent="0.25">
      <c r="A999" s="3">
        <v>754</v>
      </c>
      <c r="B999" s="27">
        <v>45307.131828703707</v>
      </c>
      <c r="C999" s="3" t="s">
        <v>3</v>
      </c>
    </row>
    <row r="1000" spans="1:3" ht="13.5" thickBot="1" x14ac:dyDescent="0.25">
      <c r="A1000" s="3">
        <v>1730</v>
      </c>
      <c r="B1000" s="27">
        <v>45307.13621527778</v>
      </c>
      <c r="C1000" s="3" t="s">
        <v>6</v>
      </c>
    </row>
    <row r="1001" spans="1:3" ht="13.5" thickBot="1" x14ac:dyDescent="0.25">
      <c r="A1001" s="3">
        <v>5831</v>
      </c>
      <c r="B1001" s="27">
        <v>45307.150891203702</v>
      </c>
      <c r="C1001" s="3" t="s">
        <v>3</v>
      </c>
    </row>
    <row r="1002" spans="1:3" ht="13.5" thickBot="1" x14ac:dyDescent="0.25">
      <c r="A1002" s="3">
        <v>3648</v>
      </c>
      <c r="B1002" s="27">
        <v>45307.175509259258</v>
      </c>
      <c r="C1002" s="3" t="s">
        <v>4</v>
      </c>
    </row>
    <row r="1003" spans="1:3" ht="13.5" thickBot="1" x14ac:dyDescent="0.25">
      <c r="A1003" s="3">
        <v>4464</v>
      </c>
      <c r="B1003" s="27">
        <v>45307.201666666668</v>
      </c>
      <c r="C1003" s="3" t="s">
        <v>3</v>
      </c>
    </row>
    <row r="1004" spans="1:3" ht="13.5" thickBot="1" x14ac:dyDescent="0.25">
      <c r="A1004" s="3">
        <v>2572</v>
      </c>
      <c r="B1004" s="27">
        <v>45307.205266203702</v>
      </c>
      <c r="C1004" s="3" t="s">
        <v>4</v>
      </c>
    </row>
    <row r="1005" spans="1:3" ht="13.5" thickBot="1" x14ac:dyDescent="0.25">
      <c r="A1005" s="3">
        <v>1566</v>
      </c>
      <c r="B1005" s="27">
        <v>45307.239699074074</v>
      </c>
      <c r="C1005" s="3" t="s">
        <v>5</v>
      </c>
    </row>
    <row r="1006" spans="1:3" ht="13.5" thickBot="1" x14ac:dyDescent="0.25">
      <c r="A1006" s="3">
        <v>7039</v>
      </c>
      <c r="B1006" s="27">
        <v>45307.249664351853</v>
      </c>
      <c r="C1006" s="3" t="s">
        <v>5</v>
      </c>
    </row>
    <row r="1007" spans="1:3" ht="13.5" thickBot="1" x14ac:dyDescent="0.25">
      <c r="A1007" s="3">
        <v>3065</v>
      </c>
      <c r="B1007" s="27">
        <v>45307.263472222221</v>
      </c>
      <c r="C1007" s="3" t="s">
        <v>3</v>
      </c>
    </row>
    <row r="1008" spans="1:3" ht="13.5" thickBot="1" x14ac:dyDescent="0.25">
      <c r="A1008" s="3">
        <v>3353</v>
      </c>
      <c r="B1008" s="27">
        <v>45307.281921296293</v>
      </c>
      <c r="C1008" s="3" t="s">
        <v>3</v>
      </c>
    </row>
    <row r="1009" spans="1:3" ht="13.5" thickBot="1" x14ac:dyDescent="0.25">
      <c r="A1009" s="3">
        <v>7679</v>
      </c>
      <c r="B1009" s="27">
        <v>45307.291990740741</v>
      </c>
      <c r="C1009" s="3" t="s">
        <v>6</v>
      </c>
    </row>
    <row r="1010" spans="1:3" ht="13.5" thickBot="1" x14ac:dyDescent="0.25">
      <c r="A1010" s="3">
        <v>612</v>
      </c>
      <c r="B1010" s="27">
        <v>45307.319618055553</v>
      </c>
      <c r="C1010" s="3" t="s">
        <v>4</v>
      </c>
    </row>
    <row r="1011" spans="1:3" ht="13.5" thickBot="1" x14ac:dyDescent="0.25">
      <c r="A1011" s="3">
        <v>3165</v>
      </c>
      <c r="B1011" s="27">
        <v>45307.331076388888</v>
      </c>
      <c r="C1011" s="3" t="s">
        <v>7</v>
      </c>
    </row>
    <row r="1012" spans="1:3" ht="13.5" thickBot="1" x14ac:dyDescent="0.25">
      <c r="A1012" s="3">
        <v>612</v>
      </c>
      <c r="B1012" s="27">
        <v>45307.377488425926</v>
      </c>
      <c r="C1012" s="3" t="s">
        <v>3</v>
      </c>
    </row>
    <row r="1013" spans="1:3" ht="13.5" thickBot="1" x14ac:dyDescent="0.25">
      <c r="A1013" s="3">
        <v>4609</v>
      </c>
      <c r="B1013" s="27">
        <v>45307.413472222222</v>
      </c>
      <c r="C1013" s="3" t="s">
        <v>6</v>
      </c>
    </row>
    <row r="1014" spans="1:3" ht="13.5" thickBot="1" x14ac:dyDescent="0.25">
      <c r="A1014" s="3">
        <v>4640</v>
      </c>
      <c r="B1014" s="27">
        <v>45307.424259259256</v>
      </c>
      <c r="C1014" s="3" t="s">
        <v>4</v>
      </c>
    </row>
    <row r="1015" spans="1:3" ht="13.5" thickBot="1" x14ac:dyDescent="0.25">
      <c r="A1015" s="3">
        <v>3756</v>
      </c>
      <c r="B1015" s="27">
        <v>45307.42759259259</v>
      </c>
      <c r="C1015" s="3" t="s">
        <v>6</v>
      </c>
    </row>
    <row r="1016" spans="1:3" ht="13.5" thickBot="1" x14ac:dyDescent="0.25">
      <c r="A1016" s="3">
        <v>5200</v>
      </c>
      <c r="B1016" s="27">
        <v>45307.436678240738</v>
      </c>
      <c r="C1016" s="3" t="s">
        <v>7</v>
      </c>
    </row>
    <row r="1017" spans="1:3" ht="13.5" thickBot="1" x14ac:dyDescent="0.25">
      <c r="A1017" s="3">
        <v>6189</v>
      </c>
      <c r="B1017" s="27">
        <v>45307.43986111111</v>
      </c>
      <c r="C1017" s="3" t="s">
        <v>3</v>
      </c>
    </row>
    <row r="1018" spans="1:3" ht="13.5" thickBot="1" x14ac:dyDescent="0.25">
      <c r="A1018" s="3">
        <v>586</v>
      </c>
      <c r="B1018" s="27">
        <v>45307.444467592592</v>
      </c>
      <c r="C1018" s="3" t="s">
        <v>6</v>
      </c>
    </row>
    <row r="1019" spans="1:3" ht="13.5" thickBot="1" x14ac:dyDescent="0.25">
      <c r="A1019" s="3">
        <v>4464</v>
      </c>
      <c r="B1019" s="27">
        <v>45307.470439814817</v>
      </c>
      <c r="C1019" s="3" t="s">
        <v>4</v>
      </c>
    </row>
    <row r="1020" spans="1:3" ht="13.5" thickBot="1" x14ac:dyDescent="0.25">
      <c r="A1020" s="3">
        <v>2663</v>
      </c>
      <c r="B1020" s="27">
        <v>45307.474444444444</v>
      </c>
      <c r="C1020" s="3" t="s">
        <v>4</v>
      </c>
    </row>
    <row r="1021" spans="1:3" ht="13.5" thickBot="1" x14ac:dyDescent="0.25">
      <c r="A1021" s="3">
        <v>6504</v>
      </c>
      <c r="B1021" s="27">
        <v>45307.495949074073</v>
      </c>
      <c r="C1021" s="3" t="s">
        <v>3</v>
      </c>
    </row>
    <row r="1022" spans="1:3" ht="13.5" thickBot="1" x14ac:dyDescent="0.25">
      <c r="A1022" s="3">
        <v>5068</v>
      </c>
      <c r="B1022" s="27">
        <v>45307.502650462964</v>
      </c>
      <c r="C1022" s="3" t="s">
        <v>4</v>
      </c>
    </row>
    <row r="1023" spans="1:3" ht="13.5" thickBot="1" x14ac:dyDescent="0.25">
      <c r="A1023" s="3">
        <v>2134</v>
      </c>
      <c r="B1023" s="27">
        <v>45307.515428240738</v>
      </c>
      <c r="C1023" s="3" t="s">
        <v>3</v>
      </c>
    </row>
    <row r="1024" spans="1:3" ht="13.5" thickBot="1" x14ac:dyDescent="0.25">
      <c r="A1024" s="3">
        <v>2153</v>
      </c>
      <c r="B1024" s="27">
        <v>45307.522476851853</v>
      </c>
      <c r="C1024" s="3" t="s">
        <v>4</v>
      </c>
    </row>
    <row r="1025" spans="1:3" ht="13.5" thickBot="1" x14ac:dyDescent="0.25">
      <c r="A1025" s="3">
        <v>3969</v>
      </c>
      <c r="B1025" s="27">
        <v>45307.532511574071</v>
      </c>
      <c r="C1025" s="3" t="s">
        <v>6</v>
      </c>
    </row>
    <row r="1026" spans="1:3" ht="13.5" thickBot="1" x14ac:dyDescent="0.25">
      <c r="A1026" s="3">
        <v>1722</v>
      </c>
      <c r="B1026" s="27">
        <v>45307.536678240744</v>
      </c>
      <c r="C1026" s="3" t="s">
        <v>6</v>
      </c>
    </row>
    <row r="1027" spans="1:3" ht="13.5" thickBot="1" x14ac:dyDescent="0.25">
      <c r="A1027" s="3">
        <v>541</v>
      </c>
      <c r="B1027" s="27">
        <v>45307.538078703707</v>
      </c>
      <c r="C1027" s="3" t="s">
        <v>6</v>
      </c>
    </row>
    <row r="1028" spans="1:3" ht="13.5" thickBot="1" x14ac:dyDescent="0.25">
      <c r="A1028" s="3">
        <v>4459</v>
      </c>
      <c r="B1028" s="27">
        <v>45307.56826388889</v>
      </c>
      <c r="C1028" s="3" t="s">
        <v>5</v>
      </c>
    </row>
    <row r="1029" spans="1:3" ht="13.5" thickBot="1" x14ac:dyDescent="0.25">
      <c r="A1029" s="3">
        <v>2479</v>
      </c>
      <c r="B1029" s="27">
        <v>45307.572916666664</v>
      </c>
      <c r="C1029" s="3" t="s">
        <v>6</v>
      </c>
    </row>
    <row r="1030" spans="1:3" ht="13.5" thickBot="1" x14ac:dyDescent="0.25">
      <c r="A1030" s="3">
        <v>5648</v>
      </c>
      <c r="B1030" s="27">
        <v>45307.576956018522</v>
      </c>
      <c r="C1030" s="3" t="s">
        <v>4</v>
      </c>
    </row>
    <row r="1031" spans="1:3" ht="13.5" thickBot="1" x14ac:dyDescent="0.25">
      <c r="A1031" s="3">
        <v>6123</v>
      </c>
      <c r="B1031" s="27">
        <v>45307.594270833331</v>
      </c>
      <c r="C1031" s="3" t="s">
        <v>3</v>
      </c>
    </row>
    <row r="1032" spans="1:3" ht="13.5" thickBot="1" x14ac:dyDescent="0.25">
      <c r="A1032" s="3">
        <v>3353</v>
      </c>
      <c r="B1032" s="27">
        <v>45307.615578703706</v>
      </c>
      <c r="C1032" s="3" t="s">
        <v>5</v>
      </c>
    </row>
    <row r="1033" spans="1:3" ht="13.5" thickBot="1" x14ac:dyDescent="0.25">
      <c r="A1033" s="3">
        <v>5950</v>
      </c>
      <c r="B1033" s="27">
        <v>45307.622233796297</v>
      </c>
      <c r="C1033" s="3" t="s">
        <v>3</v>
      </c>
    </row>
    <row r="1034" spans="1:3" ht="13.5" thickBot="1" x14ac:dyDescent="0.25">
      <c r="A1034" s="3">
        <v>4704</v>
      </c>
      <c r="B1034" s="27">
        <v>45307.630879629629</v>
      </c>
      <c r="C1034" s="3" t="s">
        <v>4</v>
      </c>
    </row>
    <row r="1035" spans="1:3" ht="13.5" thickBot="1" x14ac:dyDescent="0.25">
      <c r="A1035" s="3">
        <v>2663</v>
      </c>
      <c r="B1035" s="27">
        <v>45307.63380787037</v>
      </c>
      <c r="C1035" s="3" t="s">
        <v>3</v>
      </c>
    </row>
    <row r="1036" spans="1:3" ht="13.5" thickBot="1" x14ac:dyDescent="0.25">
      <c r="A1036" s="3">
        <v>2407</v>
      </c>
      <c r="B1036" s="27">
        <v>45307.637083333335</v>
      </c>
      <c r="C1036" s="3" t="s">
        <v>6</v>
      </c>
    </row>
    <row r="1037" spans="1:3" ht="13.5" thickBot="1" x14ac:dyDescent="0.25">
      <c r="A1037" s="3">
        <v>4459</v>
      </c>
      <c r="B1037" s="27">
        <v>45307.664606481485</v>
      </c>
      <c r="C1037" s="3" t="s">
        <v>4</v>
      </c>
    </row>
    <row r="1038" spans="1:3" ht="13.5" thickBot="1" x14ac:dyDescent="0.25">
      <c r="A1038" s="3">
        <v>6830</v>
      </c>
      <c r="B1038" s="27">
        <v>45307.668530092589</v>
      </c>
      <c r="C1038" s="3" t="s">
        <v>3</v>
      </c>
    </row>
    <row r="1039" spans="1:3" ht="13.5" thickBot="1" x14ac:dyDescent="0.25">
      <c r="A1039" s="3">
        <v>5935</v>
      </c>
      <c r="B1039" s="27">
        <v>45307.679050925923</v>
      </c>
      <c r="C1039" s="3" t="s">
        <v>5</v>
      </c>
    </row>
    <row r="1040" spans="1:3" ht="13.5" thickBot="1" x14ac:dyDescent="0.25">
      <c r="A1040" s="3">
        <v>6790</v>
      </c>
      <c r="B1040" s="27">
        <v>45307.709409722222</v>
      </c>
      <c r="C1040" s="3" t="s">
        <v>7</v>
      </c>
    </row>
    <row r="1041" spans="1:3" ht="13.5" thickBot="1" x14ac:dyDescent="0.25">
      <c r="A1041" s="3">
        <v>4019</v>
      </c>
      <c r="B1041" s="27">
        <v>45307.72550925926</v>
      </c>
      <c r="C1041" s="3" t="s">
        <v>4</v>
      </c>
    </row>
    <row r="1042" spans="1:3" ht="13.5" thickBot="1" x14ac:dyDescent="0.25">
      <c r="A1042" s="3">
        <v>853</v>
      </c>
      <c r="B1042" s="27">
        <v>45307.740914351853</v>
      </c>
      <c r="C1042" s="3" t="s">
        <v>3</v>
      </c>
    </row>
    <row r="1043" spans="1:3" ht="13.5" thickBot="1" x14ac:dyDescent="0.25">
      <c r="A1043" s="3">
        <v>1043</v>
      </c>
      <c r="B1043" s="27">
        <v>45307.743877314817</v>
      </c>
      <c r="C1043" s="3" t="s">
        <v>3</v>
      </c>
    </row>
    <row r="1044" spans="1:3" ht="13.5" thickBot="1" x14ac:dyDescent="0.25">
      <c r="A1044" s="3">
        <v>3648</v>
      </c>
      <c r="B1044" s="27">
        <v>45307.756793981483</v>
      </c>
      <c r="C1044" s="3" t="s">
        <v>3</v>
      </c>
    </row>
    <row r="1045" spans="1:3" ht="13.5" thickBot="1" x14ac:dyDescent="0.25">
      <c r="A1045" s="3">
        <v>2610</v>
      </c>
      <c r="B1045" s="27">
        <v>45307.762094907404</v>
      </c>
      <c r="C1045" s="3" t="s">
        <v>6</v>
      </c>
    </row>
    <row r="1046" spans="1:3" ht="13.5" thickBot="1" x14ac:dyDescent="0.25">
      <c r="A1046" s="3">
        <v>7861</v>
      </c>
      <c r="B1046" s="27">
        <v>45307.772141203706</v>
      </c>
      <c r="C1046" s="3" t="s">
        <v>3</v>
      </c>
    </row>
    <row r="1047" spans="1:3" ht="13.5" thickBot="1" x14ac:dyDescent="0.25">
      <c r="A1047" s="3">
        <v>6189</v>
      </c>
      <c r="B1047" s="27">
        <v>45307.836226851854</v>
      </c>
      <c r="C1047" s="3" t="s">
        <v>4</v>
      </c>
    </row>
    <row r="1048" spans="1:3" ht="13.5" thickBot="1" x14ac:dyDescent="0.25">
      <c r="A1048" s="3">
        <v>5956</v>
      </c>
      <c r="B1048" s="27">
        <v>45307.857685185183</v>
      </c>
      <c r="C1048" s="3" t="s">
        <v>5</v>
      </c>
    </row>
    <row r="1049" spans="1:3" ht="13.5" thickBot="1" x14ac:dyDescent="0.25">
      <c r="A1049" s="3">
        <v>2639</v>
      </c>
      <c r="B1049" s="27">
        <v>45307.881574074076</v>
      </c>
      <c r="C1049" s="3" t="s">
        <v>6</v>
      </c>
    </row>
    <row r="1050" spans="1:3" ht="13.5" thickBot="1" x14ac:dyDescent="0.25">
      <c r="A1050" s="3">
        <v>5166</v>
      </c>
      <c r="B1050" s="27">
        <v>45307.925046296295</v>
      </c>
      <c r="C1050" s="3" t="s">
        <v>4</v>
      </c>
    </row>
    <row r="1051" spans="1:3" ht="13.5" thickBot="1" x14ac:dyDescent="0.25">
      <c r="A1051" s="3">
        <v>5710</v>
      </c>
      <c r="B1051" s="27">
        <v>45307.935624999998</v>
      </c>
      <c r="C1051" s="3" t="s">
        <v>5</v>
      </c>
    </row>
    <row r="1052" spans="1:3" ht="13.5" thickBot="1" x14ac:dyDescent="0.25">
      <c r="A1052" s="3">
        <v>4439</v>
      </c>
      <c r="B1052" s="27">
        <v>45307.937638888892</v>
      </c>
      <c r="C1052" s="3" t="s">
        <v>6</v>
      </c>
    </row>
    <row r="1053" spans="1:3" ht="13.5" thickBot="1" x14ac:dyDescent="0.25">
      <c r="A1053" s="3">
        <v>1173</v>
      </c>
      <c r="B1053" s="27">
        <v>45307.942743055559</v>
      </c>
      <c r="C1053" s="3" t="s">
        <v>3</v>
      </c>
    </row>
    <row r="1054" spans="1:3" ht="13.5" thickBot="1" x14ac:dyDescent="0.25">
      <c r="A1054" s="3">
        <v>792</v>
      </c>
      <c r="B1054" s="27">
        <v>45307.947083333333</v>
      </c>
      <c r="C1054" s="3" t="s">
        <v>3</v>
      </c>
    </row>
    <row r="1055" spans="1:3" ht="13.5" thickBot="1" x14ac:dyDescent="0.25">
      <c r="A1055" s="3">
        <v>5390</v>
      </c>
      <c r="B1055" s="27">
        <v>45307.951921296299</v>
      </c>
      <c r="C1055" s="3" t="s">
        <v>7</v>
      </c>
    </row>
    <row r="1056" spans="1:3" ht="13.5" thickBot="1" x14ac:dyDescent="0.25">
      <c r="A1056" s="3">
        <v>1056</v>
      </c>
      <c r="B1056" s="27">
        <v>45307.957129629627</v>
      </c>
      <c r="C1056" s="3" t="s">
        <v>6</v>
      </c>
    </row>
    <row r="1057" spans="1:3" ht="13.5" thickBot="1" x14ac:dyDescent="0.25">
      <c r="A1057" s="3">
        <v>4757</v>
      </c>
      <c r="B1057" s="27">
        <v>45307.964791666665</v>
      </c>
      <c r="C1057" s="3" t="s">
        <v>7</v>
      </c>
    </row>
    <row r="1058" spans="1:3" ht="13.5" thickBot="1" x14ac:dyDescent="0.25">
      <c r="A1058" s="3">
        <v>1766</v>
      </c>
      <c r="B1058" s="27">
        <v>45307.966956018521</v>
      </c>
      <c r="C1058" s="3" t="s">
        <v>4</v>
      </c>
    </row>
    <row r="1059" spans="1:3" ht="13.5" thickBot="1" x14ac:dyDescent="0.25">
      <c r="A1059" s="3">
        <v>3006</v>
      </c>
      <c r="B1059" s="27">
        <v>45307.993414351855</v>
      </c>
      <c r="C1059" s="3" t="s">
        <v>3</v>
      </c>
    </row>
    <row r="1060" spans="1:3" ht="13.5" thickBot="1" x14ac:dyDescent="0.25">
      <c r="A1060" s="3">
        <v>3393</v>
      </c>
      <c r="B1060" s="27">
        <v>45307.997835648152</v>
      </c>
      <c r="C1060" s="3" t="s">
        <v>4</v>
      </c>
    </row>
    <row r="1061" spans="1:3" ht="13.5" thickBot="1" x14ac:dyDescent="0.25">
      <c r="A1061" s="3">
        <v>5166</v>
      </c>
      <c r="B1061" s="27">
        <v>45308.005439814813</v>
      </c>
      <c r="C1061" s="3" t="s">
        <v>6</v>
      </c>
    </row>
    <row r="1062" spans="1:3" ht="13.5" thickBot="1" x14ac:dyDescent="0.25">
      <c r="A1062" s="3">
        <v>1398</v>
      </c>
      <c r="B1062" s="27">
        <v>45308.018206018518</v>
      </c>
      <c r="C1062" s="3" t="s">
        <v>4</v>
      </c>
    </row>
    <row r="1063" spans="1:3" ht="13.5" thickBot="1" x14ac:dyDescent="0.25">
      <c r="A1063" s="3">
        <v>4856</v>
      </c>
      <c r="B1063" s="27">
        <v>45308.033437500002</v>
      </c>
      <c r="C1063" s="3" t="s">
        <v>4</v>
      </c>
    </row>
    <row r="1064" spans="1:3" ht="13.5" thickBot="1" x14ac:dyDescent="0.25">
      <c r="A1064" s="3">
        <v>5857</v>
      </c>
      <c r="B1064" s="27">
        <v>45308.040231481478</v>
      </c>
      <c r="C1064" s="3" t="s">
        <v>5</v>
      </c>
    </row>
    <row r="1065" spans="1:3" ht="13.5" thickBot="1" x14ac:dyDescent="0.25">
      <c r="A1065" s="3">
        <v>1502</v>
      </c>
      <c r="B1065" s="27">
        <v>45308.050798611112</v>
      </c>
      <c r="C1065" s="3" t="s">
        <v>6</v>
      </c>
    </row>
    <row r="1066" spans="1:3" ht="13.5" thickBot="1" x14ac:dyDescent="0.25">
      <c r="A1066" s="3">
        <v>436</v>
      </c>
      <c r="B1066" s="27">
        <v>45308.05259259259</v>
      </c>
      <c r="C1066" s="3" t="s">
        <v>6</v>
      </c>
    </row>
    <row r="1067" spans="1:3" ht="13.5" thickBot="1" x14ac:dyDescent="0.25">
      <c r="A1067" s="3">
        <v>5108</v>
      </c>
      <c r="B1067" s="27">
        <v>45308.070254629631</v>
      </c>
      <c r="C1067" s="3" t="s">
        <v>3</v>
      </c>
    </row>
    <row r="1068" spans="1:3" ht="13.5" thickBot="1" x14ac:dyDescent="0.25">
      <c r="A1068" s="3">
        <v>2389</v>
      </c>
      <c r="B1068" s="27">
        <v>45308.075555555559</v>
      </c>
      <c r="C1068" s="3" t="s">
        <v>6</v>
      </c>
    </row>
    <row r="1069" spans="1:3" ht="13.5" thickBot="1" x14ac:dyDescent="0.25">
      <c r="A1069" s="3">
        <v>1173</v>
      </c>
      <c r="B1069" s="27">
        <v>45308.076238425929</v>
      </c>
      <c r="C1069" s="3" t="s">
        <v>6</v>
      </c>
    </row>
    <row r="1070" spans="1:3" ht="13.5" thickBot="1" x14ac:dyDescent="0.25">
      <c r="A1070" s="3">
        <v>3353</v>
      </c>
      <c r="B1070" s="27">
        <v>45308.09165509259</v>
      </c>
      <c r="C1070" s="3" t="s">
        <v>7</v>
      </c>
    </row>
    <row r="1071" spans="1:3" ht="13.5" thickBot="1" x14ac:dyDescent="0.25">
      <c r="A1071" s="3">
        <v>2292</v>
      </c>
      <c r="B1071" s="27">
        <v>45308.102094907408</v>
      </c>
      <c r="C1071" s="3" t="s">
        <v>7</v>
      </c>
    </row>
    <row r="1072" spans="1:3" ht="13.5" thickBot="1" x14ac:dyDescent="0.25">
      <c r="A1072" s="3">
        <v>2304</v>
      </c>
      <c r="B1072" s="27">
        <v>45308.107939814814</v>
      </c>
      <c r="C1072" s="3" t="s">
        <v>3</v>
      </c>
    </row>
    <row r="1073" spans="1:3" ht="13.5" thickBot="1" x14ac:dyDescent="0.25">
      <c r="A1073" s="3">
        <v>2604</v>
      </c>
      <c r="B1073" s="27">
        <v>45308.123564814814</v>
      </c>
      <c r="C1073" s="3" t="s">
        <v>5</v>
      </c>
    </row>
    <row r="1074" spans="1:3" ht="13.5" thickBot="1" x14ac:dyDescent="0.25">
      <c r="A1074" s="3">
        <v>507</v>
      </c>
      <c r="B1074" s="27">
        <v>45308.129004629627</v>
      </c>
      <c r="C1074" s="3" t="s">
        <v>3</v>
      </c>
    </row>
    <row r="1075" spans="1:3" ht="13.5" thickBot="1" x14ac:dyDescent="0.25">
      <c r="A1075" s="3">
        <v>3769</v>
      </c>
      <c r="B1075" s="27">
        <v>45308.137766203705</v>
      </c>
      <c r="C1075" s="3" t="s">
        <v>7</v>
      </c>
    </row>
    <row r="1076" spans="1:3" ht="13.5" thickBot="1" x14ac:dyDescent="0.25">
      <c r="A1076" s="3">
        <v>4374</v>
      </c>
      <c r="B1076" s="27">
        <v>45308.143240740741</v>
      </c>
      <c r="C1076" s="3" t="s">
        <v>4</v>
      </c>
    </row>
    <row r="1077" spans="1:3" ht="13.5" thickBot="1" x14ac:dyDescent="0.25">
      <c r="A1077" s="3">
        <v>2320</v>
      </c>
      <c r="B1077" s="27">
        <v>45308.151030092595</v>
      </c>
      <c r="C1077" s="3" t="s">
        <v>3</v>
      </c>
    </row>
    <row r="1078" spans="1:3" ht="13.5" thickBot="1" x14ac:dyDescent="0.25">
      <c r="A1078" s="3">
        <v>6341</v>
      </c>
      <c r="B1078" s="27">
        <v>45308.153113425928</v>
      </c>
      <c r="C1078" s="3" t="s">
        <v>5</v>
      </c>
    </row>
    <row r="1079" spans="1:3" ht="13.5" thickBot="1" x14ac:dyDescent="0.25">
      <c r="A1079" s="3">
        <v>4263</v>
      </c>
      <c r="B1079" s="27">
        <v>45308.209328703706</v>
      </c>
      <c r="C1079" s="3" t="s">
        <v>4</v>
      </c>
    </row>
    <row r="1080" spans="1:3" ht="13.5" thickBot="1" x14ac:dyDescent="0.25">
      <c r="A1080" s="3">
        <v>6412</v>
      </c>
      <c r="B1080" s="27">
        <v>45308.222187500003</v>
      </c>
      <c r="C1080" s="3" t="s">
        <v>4</v>
      </c>
    </row>
    <row r="1081" spans="1:3" ht="13.5" thickBot="1" x14ac:dyDescent="0.25">
      <c r="A1081" s="3">
        <v>756</v>
      </c>
      <c r="B1081" s="27">
        <v>45308.243692129632</v>
      </c>
      <c r="C1081" s="3" t="s">
        <v>4</v>
      </c>
    </row>
    <row r="1082" spans="1:3" ht="13.5" thickBot="1" x14ac:dyDescent="0.25">
      <c r="A1082" s="3">
        <v>1043</v>
      </c>
      <c r="B1082" s="27">
        <v>45308.267187500001</v>
      </c>
      <c r="C1082" s="3" t="s">
        <v>4</v>
      </c>
    </row>
    <row r="1083" spans="1:3" ht="13.5" thickBot="1" x14ac:dyDescent="0.25">
      <c r="A1083" s="3">
        <v>1173</v>
      </c>
      <c r="B1083" s="27">
        <v>45308.296203703707</v>
      </c>
      <c r="C1083" s="3" t="s">
        <v>4</v>
      </c>
    </row>
    <row r="1084" spans="1:3" ht="13.5" thickBot="1" x14ac:dyDescent="0.25">
      <c r="A1084" s="3">
        <v>2209</v>
      </c>
      <c r="B1084" s="27">
        <v>45308.313414351855</v>
      </c>
      <c r="C1084" s="3" t="s">
        <v>3</v>
      </c>
    </row>
    <row r="1085" spans="1:3" ht="13.5" thickBot="1" x14ac:dyDescent="0.25">
      <c r="A1085" s="3">
        <v>4803</v>
      </c>
      <c r="B1085" s="27">
        <v>45308.370393518519</v>
      </c>
      <c r="C1085" s="3" t="s">
        <v>3</v>
      </c>
    </row>
    <row r="1086" spans="1:3" ht="13.5" thickBot="1" x14ac:dyDescent="0.25">
      <c r="A1086" s="3">
        <v>4675</v>
      </c>
      <c r="B1086" s="27">
        <v>45308.371168981481</v>
      </c>
      <c r="C1086" s="3" t="s">
        <v>3</v>
      </c>
    </row>
    <row r="1087" spans="1:3" ht="13.5" thickBot="1" x14ac:dyDescent="0.25">
      <c r="A1087" s="3">
        <v>5971</v>
      </c>
      <c r="B1087" s="27">
        <v>45308.390370370369</v>
      </c>
      <c r="C1087" s="3" t="s">
        <v>6</v>
      </c>
    </row>
    <row r="1088" spans="1:3" ht="13.5" thickBot="1" x14ac:dyDescent="0.25">
      <c r="A1088" s="3">
        <v>2663</v>
      </c>
      <c r="B1088" s="27">
        <v>45308.403425925928</v>
      </c>
      <c r="C1088" s="3" t="s">
        <v>5</v>
      </c>
    </row>
    <row r="1089" spans="1:3" ht="13.5" thickBot="1" x14ac:dyDescent="0.25">
      <c r="A1089" s="3">
        <v>4464</v>
      </c>
      <c r="B1089" s="27">
        <v>45308.414768518516</v>
      </c>
      <c r="C1089" s="3" t="s">
        <v>5</v>
      </c>
    </row>
    <row r="1090" spans="1:3" ht="13.5" thickBot="1" x14ac:dyDescent="0.25">
      <c r="A1090" s="3">
        <v>1372</v>
      </c>
      <c r="B1090" s="27">
        <v>45308.44332175926</v>
      </c>
      <c r="C1090" s="3" t="s">
        <v>3</v>
      </c>
    </row>
    <row r="1091" spans="1:3" ht="13.5" thickBot="1" x14ac:dyDescent="0.25">
      <c r="A1091" s="3">
        <v>4882</v>
      </c>
      <c r="B1091" s="27">
        <v>45308.468692129631</v>
      </c>
      <c r="C1091" s="3" t="s">
        <v>6</v>
      </c>
    </row>
    <row r="1092" spans="1:3" ht="13.5" thickBot="1" x14ac:dyDescent="0.25">
      <c r="A1092" s="3">
        <v>6809</v>
      </c>
      <c r="B1092" s="27">
        <v>45308.481446759259</v>
      </c>
      <c r="C1092" s="3" t="s">
        <v>6</v>
      </c>
    </row>
    <row r="1093" spans="1:3" ht="13.5" thickBot="1" x14ac:dyDescent="0.25">
      <c r="A1093" s="3">
        <v>1722</v>
      </c>
      <c r="B1093" s="27">
        <v>45308.488854166666</v>
      </c>
      <c r="C1093" s="3" t="s">
        <v>7</v>
      </c>
    </row>
    <row r="1094" spans="1:3" ht="13.5" thickBot="1" x14ac:dyDescent="0.25">
      <c r="A1094" s="3">
        <v>3353</v>
      </c>
      <c r="B1094" s="27">
        <v>45308.495439814818</v>
      </c>
      <c r="C1094" s="3" t="s">
        <v>4</v>
      </c>
    </row>
    <row r="1095" spans="1:3" ht="13.5" thickBot="1" x14ac:dyDescent="0.25">
      <c r="A1095" s="3">
        <v>5715</v>
      </c>
      <c r="B1095" s="27">
        <v>45308.497314814813</v>
      </c>
      <c r="C1095" s="3" t="s">
        <v>5</v>
      </c>
    </row>
    <row r="1096" spans="1:3" ht="13.5" thickBot="1" x14ac:dyDescent="0.25">
      <c r="A1096" s="3">
        <v>3442</v>
      </c>
      <c r="B1096" s="27">
        <v>45308.517754629633</v>
      </c>
      <c r="C1096" s="3" t="s">
        <v>3</v>
      </c>
    </row>
    <row r="1097" spans="1:3" ht="13.5" thickBot="1" x14ac:dyDescent="0.25">
      <c r="A1097" s="3">
        <v>4856</v>
      </c>
      <c r="B1097" s="27">
        <v>45308.530381944445</v>
      </c>
      <c r="C1097" s="3" t="s">
        <v>3</v>
      </c>
    </row>
    <row r="1098" spans="1:3" ht="13.5" thickBot="1" x14ac:dyDescent="0.25">
      <c r="A1098" s="3">
        <v>4263</v>
      </c>
      <c r="B1098" s="27">
        <v>45308.551608796297</v>
      </c>
      <c r="C1098" s="3" t="s">
        <v>6</v>
      </c>
    </row>
    <row r="1099" spans="1:3" ht="13.5" thickBot="1" x14ac:dyDescent="0.25">
      <c r="A1099" s="3">
        <v>5124</v>
      </c>
      <c r="B1099" s="27">
        <v>45308.602777777778</v>
      </c>
      <c r="C1099" s="3" t="s">
        <v>6</v>
      </c>
    </row>
    <row r="1100" spans="1:3" ht="13.5" thickBot="1" x14ac:dyDescent="0.25">
      <c r="A1100" s="3">
        <v>5935</v>
      </c>
      <c r="B1100" s="27">
        <v>45308.616122685184</v>
      </c>
      <c r="C1100" s="3" t="s">
        <v>4</v>
      </c>
    </row>
    <row r="1101" spans="1:3" ht="13.5" thickBot="1" x14ac:dyDescent="0.25">
      <c r="A1101" s="3">
        <v>6323</v>
      </c>
      <c r="B1101" s="27">
        <v>45308.655138888891</v>
      </c>
      <c r="C1101" s="3" t="s">
        <v>3</v>
      </c>
    </row>
    <row r="1102" spans="1:3" ht="13.5" thickBot="1" x14ac:dyDescent="0.25">
      <c r="A1102" s="3">
        <v>4009</v>
      </c>
      <c r="B1102" s="27">
        <v>45308.663900462961</v>
      </c>
      <c r="C1102" s="3" t="s">
        <v>3</v>
      </c>
    </row>
    <row r="1103" spans="1:3" ht="13.5" thickBot="1" x14ac:dyDescent="0.25">
      <c r="A1103" s="3">
        <v>324</v>
      </c>
      <c r="B1103" s="27">
        <v>45308.664363425924</v>
      </c>
      <c r="C1103" s="3" t="s">
        <v>5</v>
      </c>
    </row>
    <row r="1104" spans="1:3" ht="13.5" thickBot="1" x14ac:dyDescent="0.25">
      <c r="A1104" s="3">
        <v>1784</v>
      </c>
      <c r="B1104" s="27">
        <v>45308.668726851851</v>
      </c>
      <c r="C1104" s="3" t="s">
        <v>3</v>
      </c>
    </row>
    <row r="1105" spans="1:3" ht="13.5" thickBot="1" x14ac:dyDescent="0.25">
      <c r="A1105" s="3">
        <v>2604</v>
      </c>
      <c r="B1105" s="27">
        <v>45308.705069444448</v>
      </c>
      <c r="C1105" s="3" t="s">
        <v>4</v>
      </c>
    </row>
    <row r="1106" spans="1:3" ht="13.5" thickBot="1" x14ac:dyDescent="0.25">
      <c r="A1106" s="3">
        <v>2304</v>
      </c>
      <c r="B1106" s="27">
        <v>45308.715509259258</v>
      </c>
      <c r="C1106" s="3" t="s">
        <v>4</v>
      </c>
    </row>
    <row r="1107" spans="1:3" ht="13.5" thickBot="1" x14ac:dyDescent="0.25">
      <c r="A1107" s="3">
        <v>5313</v>
      </c>
      <c r="B1107" s="27">
        <v>45308.740057870367</v>
      </c>
      <c r="C1107" s="3" t="s">
        <v>3</v>
      </c>
    </row>
    <row r="1108" spans="1:3" ht="13.5" thickBot="1" x14ac:dyDescent="0.25">
      <c r="A1108" s="3">
        <v>5831</v>
      </c>
      <c r="B1108" s="27">
        <v>45308.741342592592</v>
      </c>
      <c r="C1108" s="3" t="s">
        <v>6</v>
      </c>
    </row>
    <row r="1109" spans="1:3" ht="13.5" thickBot="1" x14ac:dyDescent="0.25">
      <c r="A1109" s="3">
        <v>1398</v>
      </c>
      <c r="B1109" s="27">
        <v>45308.74324074074</v>
      </c>
      <c r="C1109" s="3" t="s">
        <v>3</v>
      </c>
    </row>
    <row r="1110" spans="1:3" ht="13.5" thickBot="1" x14ac:dyDescent="0.25">
      <c r="A1110" s="3">
        <v>5857</v>
      </c>
      <c r="B1110" s="27">
        <v>45308.765023148146</v>
      </c>
      <c r="C1110" s="3" t="s">
        <v>3</v>
      </c>
    </row>
    <row r="1111" spans="1:3" ht="13.5" thickBot="1" x14ac:dyDescent="0.25">
      <c r="A1111" s="3">
        <v>1729</v>
      </c>
      <c r="B1111" s="27">
        <v>45308.79451388889</v>
      </c>
      <c r="C1111" s="3" t="s">
        <v>6</v>
      </c>
    </row>
    <row r="1112" spans="1:3" ht="13.5" thickBot="1" x14ac:dyDescent="0.25">
      <c r="A1112" s="3">
        <v>7525</v>
      </c>
      <c r="B1112" s="27">
        <v>45308.820659722223</v>
      </c>
      <c r="C1112" s="3" t="s">
        <v>3</v>
      </c>
    </row>
    <row r="1113" spans="1:3" ht="13.5" thickBot="1" x14ac:dyDescent="0.25">
      <c r="A1113" s="3">
        <v>7354</v>
      </c>
      <c r="B1113" s="27">
        <v>45308.834930555553</v>
      </c>
      <c r="C1113" s="3" t="s">
        <v>3</v>
      </c>
    </row>
    <row r="1114" spans="1:3" ht="13.5" thickBot="1" x14ac:dyDescent="0.25">
      <c r="A1114" s="3">
        <v>4247</v>
      </c>
      <c r="B1114" s="27">
        <v>45308.843935185185</v>
      </c>
      <c r="C1114" s="3" t="s">
        <v>5</v>
      </c>
    </row>
    <row r="1115" spans="1:3" ht="13.5" thickBot="1" x14ac:dyDescent="0.25">
      <c r="A1115" s="3">
        <v>6953</v>
      </c>
      <c r="B1115" s="27">
        <v>45308.846724537034</v>
      </c>
      <c r="C1115" s="3" t="s">
        <v>3</v>
      </c>
    </row>
    <row r="1116" spans="1:3" ht="13.5" thickBot="1" x14ac:dyDescent="0.25">
      <c r="A1116" s="3">
        <v>4795</v>
      </c>
      <c r="B1116" s="27">
        <v>45308.860358796293</v>
      </c>
      <c r="C1116" s="3" t="s">
        <v>6</v>
      </c>
    </row>
    <row r="1117" spans="1:3" ht="13.5" thickBot="1" x14ac:dyDescent="0.25">
      <c r="A1117" s="3">
        <v>3393</v>
      </c>
      <c r="B1117" s="27">
        <v>45308.888564814813</v>
      </c>
      <c r="C1117" s="3" t="s">
        <v>7</v>
      </c>
    </row>
    <row r="1118" spans="1:3" ht="13.5" thickBot="1" x14ac:dyDescent="0.25">
      <c r="A1118" s="3">
        <v>7176</v>
      </c>
      <c r="B1118" s="27">
        <v>45308.904606481483</v>
      </c>
      <c r="C1118" s="3" t="s">
        <v>3</v>
      </c>
    </row>
    <row r="1119" spans="1:3" ht="13.5" thickBot="1" x14ac:dyDescent="0.25">
      <c r="A1119" s="3">
        <v>7284</v>
      </c>
      <c r="B1119" s="27">
        <v>45308.909247685187</v>
      </c>
      <c r="C1119" s="3" t="s">
        <v>3</v>
      </c>
    </row>
    <row r="1120" spans="1:3" ht="13.5" thickBot="1" x14ac:dyDescent="0.25">
      <c r="A1120" s="3">
        <v>600</v>
      </c>
      <c r="B1120" s="27">
        <v>45308.912118055552</v>
      </c>
      <c r="C1120" s="3" t="s">
        <v>5</v>
      </c>
    </row>
    <row r="1121" spans="1:3" ht="13.5" thickBot="1" x14ac:dyDescent="0.25">
      <c r="A1121" s="3">
        <v>882</v>
      </c>
      <c r="B1121" s="27">
        <v>45308.93341435185</v>
      </c>
      <c r="C1121" s="3" t="s">
        <v>6</v>
      </c>
    </row>
    <row r="1122" spans="1:3" ht="13.5" thickBot="1" x14ac:dyDescent="0.25">
      <c r="A1122" s="3">
        <v>2898</v>
      </c>
      <c r="B1122" s="27">
        <v>45308.945335648146</v>
      </c>
      <c r="C1122" s="3" t="s">
        <v>6</v>
      </c>
    </row>
    <row r="1123" spans="1:3" ht="13.5" thickBot="1" x14ac:dyDescent="0.25">
      <c r="A1123" s="3">
        <v>7334</v>
      </c>
      <c r="B1123" s="27">
        <v>45308.958379629628</v>
      </c>
      <c r="C1123" s="3" t="s">
        <v>3</v>
      </c>
    </row>
    <row r="1124" spans="1:3" ht="13.5" thickBot="1" x14ac:dyDescent="0.25">
      <c r="A1124" s="3">
        <v>756</v>
      </c>
      <c r="B1124" s="27">
        <v>45308.960069444445</v>
      </c>
      <c r="C1124" s="3" t="s">
        <v>3</v>
      </c>
    </row>
    <row r="1125" spans="1:3" ht="13.5" thickBot="1" x14ac:dyDescent="0.25">
      <c r="A1125" s="3">
        <v>5971</v>
      </c>
      <c r="B1125" s="27">
        <v>45308.967974537038</v>
      </c>
      <c r="C1125" s="3" t="s">
        <v>4</v>
      </c>
    </row>
    <row r="1126" spans="1:3" ht="13.5" thickBot="1" x14ac:dyDescent="0.25">
      <c r="A1126" s="3">
        <v>4247</v>
      </c>
      <c r="B1126" s="27">
        <v>45308.970775462964</v>
      </c>
      <c r="C1126" s="3" t="s">
        <v>3</v>
      </c>
    </row>
    <row r="1127" spans="1:3" ht="13.5" thickBot="1" x14ac:dyDescent="0.25">
      <c r="A1127" s="3">
        <v>5831</v>
      </c>
      <c r="B1127" s="27">
        <v>45308.979837962965</v>
      </c>
      <c r="C1127" s="3" t="s">
        <v>4</v>
      </c>
    </row>
    <row r="1128" spans="1:3" ht="13.5" thickBot="1" x14ac:dyDescent="0.25">
      <c r="A1128" s="3">
        <v>1681</v>
      </c>
      <c r="B1128" s="27">
        <v>45308.988923611112</v>
      </c>
      <c r="C1128" s="3" t="s">
        <v>3</v>
      </c>
    </row>
    <row r="1129" spans="1:3" ht="13.5" thickBot="1" x14ac:dyDescent="0.25">
      <c r="A1129" s="3">
        <v>853</v>
      </c>
      <c r="B1129" s="27">
        <v>45308.991388888891</v>
      </c>
      <c r="C1129" s="3" t="s">
        <v>4</v>
      </c>
    </row>
    <row r="1130" spans="1:3" ht="13.5" thickBot="1" x14ac:dyDescent="0.25">
      <c r="A1130" s="3">
        <v>2134</v>
      </c>
      <c r="B1130" s="27">
        <v>45308.991932870369</v>
      </c>
      <c r="C1130" s="3" t="s">
        <v>4</v>
      </c>
    </row>
    <row r="1131" spans="1:3" ht="13.5" thickBot="1" x14ac:dyDescent="0.25">
      <c r="A1131" s="3">
        <v>6479</v>
      </c>
      <c r="B1131" s="27">
        <v>45309.037245370368</v>
      </c>
      <c r="C1131" s="3" t="s">
        <v>3</v>
      </c>
    </row>
    <row r="1132" spans="1:3" ht="13.5" thickBot="1" x14ac:dyDescent="0.25">
      <c r="A1132" s="3">
        <v>2134</v>
      </c>
      <c r="B1132" s="27">
        <v>45309.082256944443</v>
      </c>
      <c r="C1132" s="3" t="s">
        <v>7</v>
      </c>
    </row>
    <row r="1133" spans="1:3" ht="13.5" thickBot="1" x14ac:dyDescent="0.25">
      <c r="A1133" s="3">
        <v>4374</v>
      </c>
      <c r="B1133" s="27">
        <v>45309.096296296295</v>
      </c>
      <c r="C1133" s="3" t="s">
        <v>5</v>
      </c>
    </row>
    <row r="1134" spans="1:3" ht="13.5" thickBot="1" x14ac:dyDescent="0.25">
      <c r="A1134" s="3">
        <v>2209</v>
      </c>
      <c r="B1134" s="27">
        <v>45309.107372685183</v>
      </c>
      <c r="C1134" s="3" t="s">
        <v>4</v>
      </c>
    </row>
    <row r="1135" spans="1:3" ht="13.5" thickBot="1" x14ac:dyDescent="0.25">
      <c r="A1135" s="3">
        <v>5108</v>
      </c>
      <c r="B1135" s="27">
        <v>45309.130069444444</v>
      </c>
      <c r="C1135" s="3" t="s">
        <v>4</v>
      </c>
    </row>
    <row r="1136" spans="1:3" ht="13.5" thickBot="1" x14ac:dyDescent="0.25">
      <c r="A1136" s="3">
        <v>1524</v>
      </c>
      <c r="B1136" s="27">
        <v>45309.155439814815</v>
      </c>
      <c r="C1136" s="3" t="s">
        <v>3</v>
      </c>
    </row>
    <row r="1137" spans="1:3" ht="13.5" thickBot="1" x14ac:dyDescent="0.25">
      <c r="A1137" s="3">
        <v>4785</v>
      </c>
      <c r="B1137" s="27">
        <v>45309.162939814814</v>
      </c>
      <c r="C1137" s="3" t="s">
        <v>4</v>
      </c>
    </row>
    <row r="1138" spans="1:3" ht="13.5" thickBot="1" x14ac:dyDescent="0.25">
      <c r="A1138" s="3">
        <v>3648</v>
      </c>
      <c r="B1138" s="27">
        <v>45309.169976851852</v>
      </c>
      <c r="C1138" s="3" t="s">
        <v>5</v>
      </c>
    </row>
    <row r="1139" spans="1:3" ht="13.5" thickBot="1" x14ac:dyDescent="0.25">
      <c r="A1139" s="3">
        <v>507</v>
      </c>
      <c r="B1139" s="27">
        <v>45309.179236111115</v>
      </c>
      <c r="C1139" s="3" t="s">
        <v>4</v>
      </c>
    </row>
    <row r="1140" spans="1:3" ht="13.5" thickBot="1" x14ac:dyDescent="0.25">
      <c r="A1140" s="3">
        <v>7117</v>
      </c>
      <c r="B1140" s="27">
        <v>45309.18482638889</v>
      </c>
      <c r="C1140" s="3" t="s">
        <v>6</v>
      </c>
    </row>
    <row r="1141" spans="1:3" ht="13.5" thickBot="1" x14ac:dyDescent="0.25">
      <c r="A1141" s="3">
        <v>6189</v>
      </c>
      <c r="B1141" s="27">
        <v>45309.194444444445</v>
      </c>
      <c r="C1141" s="3" t="s">
        <v>5</v>
      </c>
    </row>
    <row r="1142" spans="1:3" ht="13.5" thickBot="1" x14ac:dyDescent="0.25">
      <c r="A1142" s="3">
        <v>1282</v>
      </c>
      <c r="B1142" s="27">
        <v>45309.260324074072</v>
      </c>
      <c r="C1142" s="3" t="s">
        <v>3</v>
      </c>
    </row>
    <row r="1143" spans="1:3" ht="13.5" thickBot="1" x14ac:dyDescent="0.25">
      <c r="A1143" s="3">
        <v>4516</v>
      </c>
      <c r="B1143" s="27">
        <v>45309.310300925928</v>
      </c>
      <c r="C1143" s="3" t="s">
        <v>6</v>
      </c>
    </row>
    <row r="1144" spans="1:3" ht="13.5" thickBot="1" x14ac:dyDescent="0.25">
      <c r="A1144" s="3">
        <v>1327</v>
      </c>
      <c r="B1144" s="27">
        <v>45309.311747685184</v>
      </c>
      <c r="C1144" s="3" t="s">
        <v>3</v>
      </c>
    </row>
    <row r="1145" spans="1:3" ht="13.5" thickBot="1" x14ac:dyDescent="0.25">
      <c r="A1145" s="3">
        <v>1492</v>
      </c>
      <c r="B1145" s="27">
        <v>45309.312442129631</v>
      </c>
      <c r="C1145" s="3" t="s">
        <v>3</v>
      </c>
    </row>
    <row r="1146" spans="1:3" ht="13.5" thickBot="1" x14ac:dyDescent="0.25">
      <c r="A1146" s="3">
        <v>1784</v>
      </c>
      <c r="B1146" s="27">
        <v>45309.32540509259</v>
      </c>
      <c r="C1146" s="3" t="s">
        <v>5</v>
      </c>
    </row>
    <row r="1147" spans="1:3" ht="13.5" thickBot="1" x14ac:dyDescent="0.25">
      <c r="A1147" s="3">
        <v>6479</v>
      </c>
      <c r="B1147" s="27">
        <v>45309.337858796294</v>
      </c>
      <c r="C1147" s="3" t="s">
        <v>5</v>
      </c>
    </row>
    <row r="1148" spans="1:3" ht="13.5" thickBot="1" x14ac:dyDescent="0.25">
      <c r="A1148" s="3">
        <v>5749</v>
      </c>
      <c r="B1148" s="27">
        <v>45309.368784722225</v>
      </c>
      <c r="C1148" s="3" t="s">
        <v>3</v>
      </c>
    </row>
    <row r="1149" spans="1:3" ht="13.5" thickBot="1" x14ac:dyDescent="0.25">
      <c r="A1149" s="3">
        <v>1282</v>
      </c>
      <c r="B1149" s="27">
        <v>45309.372615740744</v>
      </c>
      <c r="C1149" s="3" t="s">
        <v>5</v>
      </c>
    </row>
    <row r="1150" spans="1:3" ht="13.5" thickBot="1" x14ac:dyDescent="0.25">
      <c r="A1150" s="3">
        <v>7098</v>
      </c>
      <c r="B1150" s="27">
        <v>45309.445902777778</v>
      </c>
      <c r="C1150" s="3" t="s">
        <v>5</v>
      </c>
    </row>
    <row r="1151" spans="1:3" ht="13.5" thickBot="1" x14ac:dyDescent="0.25">
      <c r="A1151" s="3">
        <v>7475</v>
      </c>
      <c r="B1151" s="27">
        <v>45309.467893518522</v>
      </c>
      <c r="C1151" s="3" t="s">
        <v>3</v>
      </c>
    </row>
    <row r="1152" spans="1:3" ht="13.5" thickBot="1" x14ac:dyDescent="0.25">
      <c r="A1152" s="3">
        <v>3721</v>
      </c>
      <c r="B1152" s="27">
        <v>45309.487812500003</v>
      </c>
      <c r="C1152" s="3" t="s">
        <v>7</v>
      </c>
    </row>
    <row r="1153" spans="1:3" ht="13.5" thickBot="1" x14ac:dyDescent="0.25">
      <c r="A1153" s="3">
        <v>7500</v>
      </c>
      <c r="B1153" s="27">
        <v>45309.50949074074</v>
      </c>
      <c r="C1153" s="3" t="s">
        <v>3</v>
      </c>
    </row>
    <row r="1154" spans="1:3" ht="13.5" thickBot="1" x14ac:dyDescent="0.25">
      <c r="A1154" s="3">
        <v>1564</v>
      </c>
      <c r="B1154" s="27">
        <v>45309.54991898148</v>
      </c>
      <c r="C1154" s="3" t="s">
        <v>6</v>
      </c>
    </row>
    <row r="1155" spans="1:3" ht="13.5" thickBot="1" x14ac:dyDescent="0.25">
      <c r="A1155" s="3">
        <v>730</v>
      </c>
      <c r="B1155" s="27">
        <v>45309.554143518515</v>
      </c>
      <c r="C1155" s="3" t="s">
        <v>3</v>
      </c>
    </row>
    <row r="1156" spans="1:3" ht="13.5" thickBot="1" x14ac:dyDescent="0.25">
      <c r="A1156" s="3">
        <v>4350</v>
      </c>
      <c r="B1156" s="27">
        <v>45309.5547337963</v>
      </c>
      <c r="C1156" s="3" t="s">
        <v>3</v>
      </c>
    </row>
    <row r="1157" spans="1:3" ht="13.5" thickBot="1" x14ac:dyDescent="0.25">
      <c r="A1157" s="3">
        <v>5831</v>
      </c>
      <c r="B1157" s="27">
        <v>45309.595567129632</v>
      </c>
      <c r="C1157" s="3" t="s">
        <v>5</v>
      </c>
    </row>
    <row r="1158" spans="1:3" ht="13.5" thickBot="1" x14ac:dyDescent="0.25">
      <c r="A1158" s="3">
        <v>6192</v>
      </c>
      <c r="B1158" s="27">
        <v>45309.600613425922</v>
      </c>
      <c r="C1158" s="3" t="s">
        <v>3</v>
      </c>
    </row>
    <row r="1159" spans="1:3" ht="13.5" thickBot="1" x14ac:dyDescent="0.25">
      <c r="A1159" s="3">
        <v>7988</v>
      </c>
      <c r="B1159" s="27">
        <v>45309.605196759258</v>
      </c>
      <c r="C1159" s="3" t="s">
        <v>3</v>
      </c>
    </row>
    <row r="1160" spans="1:3" ht="13.5" thickBot="1" x14ac:dyDescent="0.25">
      <c r="A1160" s="3">
        <v>7499</v>
      </c>
      <c r="B1160" s="27">
        <v>45309.609849537039</v>
      </c>
      <c r="C1160" s="3" t="s">
        <v>3</v>
      </c>
    </row>
    <row r="1161" spans="1:3" ht="13.5" thickBot="1" x14ac:dyDescent="0.25">
      <c r="A1161" s="3">
        <v>6978</v>
      </c>
      <c r="B1161" s="27">
        <v>45309.611134259256</v>
      </c>
      <c r="C1161" s="3" t="s">
        <v>3</v>
      </c>
    </row>
    <row r="1162" spans="1:3" ht="13.5" thickBot="1" x14ac:dyDescent="0.25">
      <c r="A1162" s="3">
        <v>684</v>
      </c>
      <c r="B1162" s="27">
        <v>45309.636180555557</v>
      </c>
      <c r="C1162" s="3" t="s">
        <v>3</v>
      </c>
    </row>
    <row r="1163" spans="1:3" ht="13.5" thickBot="1" x14ac:dyDescent="0.25">
      <c r="A1163" s="3">
        <v>1197</v>
      </c>
      <c r="B1163" s="27">
        <v>45309.63921296296</v>
      </c>
      <c r="C1163" s="3" t="s">
        <v>4</v>
      </c>
    </row>
    <row r="1164" spans="1:3" ht="13.5" thickBot="1" x14ac:dyDescent="0.25">
      <c r="A1164" s="3">
        <v>7988</v>
      </c>
      <c r="B1164" s="27">
        <v>45309.64398148148</v>
      </c>
      <c r="C1164" s="3" t="s">
        <v>4</v>
      </c>
    </row>
    <row r="1165" spans="1:3" ht="13.5" thickBot="1" x14ac:dyDescent="0.25">
      <c r="A1165" s="3">
        <v>7310</v>
      </c>
      <c r="B1165" s="27">
        <v>45309.662245370368</v>
      </c>
      <c r="C1165" s="3" t="s">
        <v>4</v>
      </c>
    </row>
    <row r="1166" spans="1:3" ht="13.5" thickBot="1" x14ac:dyDescent="0.25">
      <c r="A1166" s="3">
        <v>1282</v>
      </c>
      <c r="B1166" s="27">
        <v>45309.666585648149</v>
      </c>
      <c r="C1166" s="3" t="s">
        <v>4</v>
      </c>
    </row>
    <row r="1167" spans="1:3" ht="13.5" thickBot="1" x14ac:dyDescent="0.25">
      <c r="A1167" s="3">
        <v>6412</v>
      </c>
      <c r="B1167" s="27">
        <v>45309.675011574072</v>
      </c>
      <c r="C1167" s="3" t="s">
        <v>6</v>
      </c>
    </row>
    <row r="1168" spans="1:3" ht="13.5" thickBot="1" x14ac:dyDescent="0.25">
      <c r="A1168" s="3">
        <v>6937</v>
      </c>
      <c r="B1168" s="27">
        <v>45309.678680555553</v>
      </c>
      <c r="C1168" s="3" t="s">
        <v>3</v>
      </c>
    </row>
    <row r="1169" spans="1:3" ht="13.5" thickBot="1" x14ac:dyDescent="0.25">
      <c r="A1169" s="3">
        <v>4247</v>
      </c>
      <c r="B1169" s="27">
        <v>45309.704305555555</v>
      </c>
      <c r="C1169" s="3" t="s">
        <v>4</v>
      </c>
    </row>
    <row r="1170" spans="1:3" ht="13.5" thickBot="1" x14ac:dyDescent="0.25">
      <c r="A1170" s="3">
        <v>2209</v>
      </c>
      <c r="B1170" s="27">
        <v>45309.740127314813</v>
      </c>
      <c r="C1170" s="3" t="s">
        <v>5</v>
      </c>
    </row>
    <row r="1171" spans="1:3" ht="13.5" thickBot="1" x14ac:dyDescent="0.25">
      <c r="A1171" s="3">
        <v>6914</v>
      </c>
      <c r="B1171" s="27">
        <v>45309.745208333334</v>
      </c>
      <c r="C1171" s="3" t="s">
        <v>3</v>
      </c>
    </row>
    <row r="1172" spans="1:3" ht="13.5" thickBot="1" x14ac:dyDescent="0.25">
      <c r="A1172" s="3">
        <v>1347</v>
      </c>
      <c r="B1172" s="27">
        <v>45309.747048611112</v>
      </c>
      <c r="C1172" s="3" t="s">
        <v>5</v>
      </c>
    </row>
    <row r="1173" spans="1:3" ht="13.5" thickBot="1" x14ac:dyDescent="0.25">
      <c r="A1173" s="3">
        <v>6528</v>
      </c>
      <c r="B1173" s="27">
        <v>45309.752303240741</v>
      </c>
      <c r="C1173" s="3" t="s">
        <v>3</v>
      </c>
    </row>
    <row r="1174" spans="1:3" ht="13.5" thickBot="1" x14ac:dyDescent="0.25">
      <c r="A1174" s="3">
        <v>937</v>
      </c>
      <c r="B1174" s="27">
        <v>45309.786215277774</v>
      </c>
      <c r="C1174" s="3" t="s">
        <v>3</v>
      </c>
    </row>
    <row r="1175" spans="1:3" ht="13.5" thickBot="1" x14ac:dyDescent="0.25">
      <c r="A1175" s="3">
        <v>5068</v>
      </c>
      <c r="B1175" s="27">
        <v>45309.803368055553</v>
      </c>
      <c r="C1175" s="3" t="s">
        <v>7</v>
      </c>
    </row>
    <row r="1176" spans="1:3" ht="13.5" thickBot="1" x14ac:dyDescent="0.25">
      <c r="A1176" s="3">
        <v>2307</v>
      </c>
      <c r="B1176" s="27">
        <v>45309.81177083333</v>
      </c>
      <c r="C1176" s="3" t="s">
        <v>7</v>
      </c>
    </row>
    <row r="1177" spans="1:3" ht="13.5" thickBot="1" x14ac:dyDescent="0.25">
      <c r="A1177" s="3">
        <v>324</v>
      </c>
      <c r="B1177" s="27">
        <v>45309.825474537036</v>
      </c>
      <c r="C1177" s="3" t="s">
        <v>6</v>
      </c>
    </row>
    <row r="1178" spans="1:3" ht="13.5" thickBot="1" x14ac:dyDescent="0.25">
      <c r="A1178" s="3">
        <v>4785</v>
      </c>
      <c r="B1178" s="27">
        <v>45309.833692129629</v>
      </c>
      <c r="C1178" s="3" t="s">
        <v>3</v>
      </c>
    </row>
    <row r="1179" spans="1:3" ht="13.5" thickBot="1" x14ac:dyDescent="0.25">
      <c r="A1179" s="3">
        <v>4693</v>
      </c>
      <c r="B1179" s="27">
        <v>45309.845150462963</v>
      </c>
      <c r="C1179" s="3" t="s">
        <v>6</v>
      </c>
    </row>
    <row r="1180" spans="1:3" ht="13.5" thickBot="1" x14ac:dyDescent="0.25">
      <c r="A1180" s="3">
        <v>2125</v>
      </c>
      <c r="B1180" s="27">
        <v>45309.848437499997</v>
      </c>
      <c r="C1180" s="3" t="s">
        <v>6</v>
      </c>
    </row>
    <row r="1181" spans="1:3" ht="13.5" thickBot="1" x14ac:dyDescent="0.25">
      <c r="A1181" s="3">
        <v>5857</v>
      </c>
      <c r="B1181" s="27">
        <v>45309.859398148146</v>
      </c>
      <c r="C1181" s="3" t="s">
        <v>4</v>
      </c>
    </row>
    <row r="1182" spans="1:3" ht="13.5" thickBot="1" x14ac:dyDescent="0.25">
      <c r="A1182" s="3">
        <v>7567</v>
      </c>
      <c r="B1182" s="27">
        <v>45309.868819444448</v>
      </c>
      <c r="C1182" s="3" t="s">
        <v>3</v>
      </c>
    </row>
    <row r="1183" spans="1:3" ht="13.5" thickBot="1" x14ac:dyDescent="0.25">
      <c r="A1183" s="3">
        <v>2209</v>
      </c>
      <c r="B1183" s="27">
        <v>45309.874166666668</v>
      </c>
      <c r="C1183" s="3" t="s">
        <v>6</v>
      </c>
    </row>
    <row r="1184" spans="1:3" ht="13.5" thickBot="1" x14ac:dyDescent="0.25">
      <c r="A1184" s="3">
        <v>4459</v>
      </c>
      <c r="B1184" s="27">
        <v>45309.879803240743</v>
      </c>
      <c r="C1184" s="3" t="s">
        <v>7</v>
      </c>
    </row>
    <row r="1185" spans="1:3" ht="13.5" thickBot="1" x14ac:dyDescent="0.25">
      <c r="A1185" s="3">
        <v>2472</v>
      </c>
      <c r="B1185" s="27">
        <v>45309.908009259256</v>
      </c>
      <c r="C1185" s="3" t="s">
        <v>3</v>
      </c>
    </row>
    <row r="1186" spans="1:3" ht="13.5" thickBot="1" x14ac:dyDescent="0.25">
      <c r="A1186" s="3">
        <v>753</v>
      </c>
      <c r="B1186" s="27">
        <v>45309.929236111115</v>
      </c>
      <c r="C1186" s="3" t="s">
        <v>3</v>
      </c>
    </row>
    <row r="1187" spans="1:3" ht="13.5" thickBot="1" x14ac:dyDescent="0.25">
      <c r="A1187" s="3">
        <v>3617</v>
      </c>
      <c r="B1187" s="27">
        <v>45309.931539351855</v>
      </c>
      <c r="C1187" s="3" t="s">
        <v>6</v>
      </c>
    </row>
    <row r="1188" spans="1:3" ht="13.5" thickBot="1" x14ac:dyDescent="0.25">
      <c r="A1188" s="3">
        <v>2209</v>
      </c>
      <c r="B1188" s="27">
        <v>45309.933749999997</v>
      </c>
      <c r="C1188" s="3" t="s">
        <v>7</v>
      </c>
    </row>
    <row r="1189" spans="1:3" ht="13.5" thickBot="1" x14ac:dyDescent="0.25">
      <c r="A1189" s="3">
        <v>1564</v>
      </c>
      <c r="B1189" s="27">
        <v>45309.936909722222</v>
      </c>
      <c r="C1189" s="3" t="s">
        <v>5</v>
      </c>
    </row>
    <row r="1190" spans="1:3" ht="13.5" thickBot="1" x14ac:dyDescent="0.25">
      <c r="A1190" s="3">
        <v>2307</v>
      </c>
      <c r="B1190" s="27">
        <v>45309.956122685187</v>
      </c>
      <c r="C1190" s="3" t="s">
        <v>6</v>
      </c>
    </row>
    <row r="1191" spans="1:3" ht="13.5" thickBot="1" x14ac:dyDescent="0.25">
      <c r="A1191" s="3">
        <v>5924</v>
      </c>
      <c r="B1191" s="27">
        <v>45309.965636574074</v>
      </c>
      <c r="C1191" s="3" t="s">
        <v>3</v>
      </c>
    </row>
    <row r="1192" spans="1:3" ht="13.5" thickBot="1" x14ac:dyDescent="0.25">
      <c r="A1192" s="3">
        <v>1430</v>
      </c>
      <c r="B1192" s="27">
        <v>45309.972569444442</v>
      </c>
      <c r="C1192" s="3" t="s">
        <v>3</v>
      </c>
    </row>
    <row r="1193" spans="1:3" ht="13.5" thickBot="1" x14ac:dyDescent="0.25">
      <c r="A1193" s="3">
        <v>1260</v>
      </c>
      <c r="B1193" s="27">
        <v>45309.977893518517</v>
      </c>
      <c r="C1193" s="3" t="s">
        <v>3</v>
      </c>
    </row>
    <row r="1194" spans="1:3" ht="13.5" thickBot="1" x14ac:dyDescent="0.25">
      <c r="A1194" s="3">
        <v>672</v>
      </c>
      <c r="B1194" s="27">
        <v>45309.979027777779</v>
      </c>
      <c r="C1194" s="3" t="s">
        <v>3</v>
      </c>
    </row>
    <row r="1195" spans="1:3" ht="13.5" thickBot="1" x14ac:dyDescent="0.25">
      <c r="A1195" s="3">
        <v>7370</v>
      </c>
      <c r="B1195" s="27">
        <v>45310.020844907405</v>
      </c>
      <c r="C1195" s="3" t="s">
        <v>3</v>
      </c>
    </row>
    <row r="1196" spans="1:3" ht="13.5" thickBot="1" x14ac:dyDescent="0.25">
      <c r="A1196" s="3">
        <v>3648</v>
      </c>
      <c r="B1196" s="27">
        <v>45310.037731481483</v>
      </c>
      <c r="C1196" s="3" t="s">
        <v>7</v>
      </c>
    </row>
    <row r="1197" spans="1:3" ht="13.5" thickBot="1" x14ac:dyDescent="0.25">
      <c r="A1197" s="3">
        <v>7959</v>
      </c>
      <c r="B1197" s="27">
        <v>45310.047488425924</v>
      </c>
      <c r="C1197" s="3" t="s">
        <v>4</v>
      </c>
    </row>
    <row r="1198" spans="1:3" ht="13.5" thickBot="1" x14ac:dyDescent="0.25">
      <c r="A1198" s="3">
        <v>695</v>
      </c>
      <c r="B1198" s="27">
        <v>45310.060231481482</v>
      </c>
      <c r="C1198" s="3" t="s">
        <v>4</v>
      </c>
    </row>
    <row r="1199" spans="1:3" ht="13.5" thickBot="1" x14ac:dyDescent="0.25">
      <c r="A1199" s="3">
        <v>1346</v>
      </c>
      <c r="B1199" s="27">
        <v>45310.089131944442</v>
      </c>
      <c r="C1199" s="3" t="s">
        <v>6</v>
      </c>
    </row>
    <row r="1200" spans="1:3" ht="13.5" thickBot="1" x14ac:dyDescent="0.25">
      <c r="A1200" s="3">
        <v>337</v>
      </c>
      <c r="B1200" s="27">
        <v>45310.090486111112</v>
      </c>
      <c r="C1200" s="3" t="s">
        <v>3</v>
      </c>
    </row>
    <row r="1201" spans="1:3" ht="13.5" thickBot="1" x14ac:dyDescent="0.25">
      <c r="A1201" s="3">
        <v>2168</v>
      </c>
      <c r="B1201" s="27">
        <v>45310.100543981483</v>
      </c>
      <c r="C1201" s="3" t="s">
        <v>3</v>
      </c>
    </row>
    <row r="1202" spans="1:3" ht="13.5" thickBot="1" x14ac:dyDescent="0.25">
      <c r="A1202" s="3">
        <v>2270</v>
      </c>
      <c r="B1202" s="27">
        <v>45310.110659722224</v>
      </c>
      <c r="C1202" s="3" t="s">
        <v>3</v>
      </c>
    </row>
    <row r="1203" spans="1:3" ht="13.5" thickBot="1" x14ac:dyDescent="0.25">
      <c r="A1203" s="3">
        <v>4263</v>
      </c>
      <c r="B1203" s="27">
        <v>45310.155069444445</v>
      </c>
      <c r="C1203" s="3" t="s">
        <v>5</v>
      </c>
    </row>
    <row r="1204" spans="1:3" ht="13.5" thickBot="1" x14ac:dyDescent="0.25">
      <c r="A1204" s="3">
        <v>7749</v>
      </c>
      <c r="B1204" s="27">
        <v>45310.158055555556</v>
      </c>
      <c r="C1204" s="3" t="s">
        <v>3</v>
      </c>
    </row>
    <row r="1205" spans="1:3" ht="13.5" thickBot="1" x14ac:dyDescent="0.25">
      <c r="A1205" s="3">
        <v>3648</v>
      </c>
      <c r="B1205" s="27">
        <v>45310.160081018519</v>
      </c>
      <c r="C1205" s="3" t="s">
        <v>6</v>
      </c>
    </row>
    <row r="1206" spans="1:3" ht="13.5" thickBot="1" x14ac:dyDescent="0.25">
      <c r="A1206" s="3">
        <v>7098</v>
      </c>
      <c r="B1206" s="27">
        <v>45310.169560185182</v>
      </c>
      <c r="C1206" s="3" t="s">
        <v>7</v>
      </c>
    </row>
    <row r="1207" spans="1:3" ht="13.5" thickBot="1" x14ac:dyDescent="0.25">
      <c r="A1207" s="3">
        <v>3442</v>
      </c>
      <c r="B1207" s="27">
        <v>45310.172476851854</v>
      </c>
      <c r="C1207" s="3" t="s">
        <v>4</v>
      </c>
    </row>
    <row r="1208" spans="1:3" ht="13.5" thickBot="1" x14ac:dyDescent="0.25">
      <c r="A1208" s="3">
        <v>684</v>
      </c>
      <c r="B1208" s="27">
        <v>45310.180578703701</v>
      </c>
      <c r="C1208" s="3" t="s">
        <v>4</v>
      </c>
    </row>
    <row r="1209" spans="1:3" ht="13.5" thickBot="1" x14ac:dyDescent="0.25">
      <c r="A1209" s="3">
        <v>2313</v>
      </c>
      <c r="B1209" s="27">
        <v>45310.185312499998</v>
      </c>
      <c r="C1209" s="3" t="s">
        <v>6</v>
      </c>
    </row>
    <row r="1210" spans="1:3" ht="13.5" thickBot="1" x14ac:dyDescent="0.25">
      <c r="A1210" s="3">
        <v>5529</v>
      </c>
      <c r="B1210" s="27">
        <v>45310.194733796299</v>
      </c>
      <c r="C1210" s="3" t="s">
        <v>5</v>
      </c>
    </row>
    <row r="1211" spans="1:3" ht="13.5" thickBot="1" x14ac:dyDescent="0.25">
      <c r="A1211" s="3">
        <v>696</v>
      </c>
      <c r="B1211" s="27">
        <v>45310.196666666663</v>
      </c>
      <c r="C1211" s="3" t="s">
        <v>3</v>
      </c>
    </row>
    <row r="1212" spans="1:3" ht="13.5" thickBot="1" x14ac:dyDescent="0.25">
      <c r="A1212" s="3">
        <v>5924</v>
      </c>
      <c r="B1212" s="27">
        <v>45310.197534722225</v>
      </c>
      <c r="C1212" s="3" t="s">
        <v>4</v>
      </c>
    </row>
    <row r="1213" spans="1:3" ht="13.5" thickBot="1" x14ac:dyDescent="0.25">
      <c r="A1213" s="3">
        <v>6528</v>
      </c>
      <c r="B1213" s="27">
        <v>45310.225034722222</v>
      </c>
      <c r="C1213" s="3" t="s">
        <v>4</v>
      </c>
    </row>
    <row r="1214" spans="1:3" ht="13.5" thickBot="1" x14ac:dyDescent="0.25">
      <c r="A1214" s="3">
        <v>1173</v>
      </c>
      <c r="B1214" s="27">
        <v>45310.261840277781</v>
      </c>
      <c r="C1214" s="3" t="s">
        <v>5</v>
      </c>
    </row>
    <row r="1215" spans="1:3" ht="13.5" thickBot="1" x14ac:dyDescent="0.25">
      <c r="A1215" s="3">
        <v>6479</v>
      </c>
      <c r="B1215" s="27">
        <v>45310.275775462964</v>
      </c>
      <c r="C1215" s="3" t="s">
        <v>4</v>
      </c>
    </row>
    <row r="1216" spans="1:3" ht="13.5" thickBot="1" x14ac:dyDescent="0.25">
      <c r="A1216" s="3">
        <v>3680</v>
      </c>
      <c r="B1216" s="27">
        <v>45310.293356481481</v>
      </c>
      <c r="C1216" s="3" t="s">
        <v>3</v>
      </c>
    </row>
    <row r="1217" spans="1:3" ht="13.5" thickBot="1" x14ac:dyDescent="0.25">
      <c r="A1217" s="3">
        <v>3384</v>
      </c>
      <c r="B1217" s="27">
        <v>45310.296701388892</v>
      </c>
      <c r="C1217" s="3" t="s">
        <v>3</v>
      </c>
    </row>
    <row r="1218" spans="1:3" ht="13.5" thickBot="1" x14ac:dyDescent="0.25">
      <c r="A1218" s="3">
        <v>325</v>
      </c>
      <c r="B1218" s="27">
        <v>45310.299432870372</v>
      </c>
      <c r="C1218" s="3" t="s">
        <v>3</v>
      </c>
    </row>
    <row r="1219" spans="1:3" ht="13.5" thickBot="1" x14ac:dyDescent="0.25">
      <c r="A1219" s="3">
        <v>695</v>
      </c>
      <c r="B1219" s="27">
        <v>45310.314618055556</v>
      </c>
      <c r="C1219" s="3" t="s">
        <v>3</v>
      </c>
    </row>
    <row r="1220" spans="1:3" ht="13.5" thickBot="1" x14ac:dyDescent="0.25">
      <c r="A1220" s="3">
        <v>7250</v>
      </c>
      <c r="B1220" s="27">
        <v>45310.334340277775</v>
      </c>
      <c r="C1220" s="3" t="s">
        <v>3</v>
      </c>
    </row>
    <row r="1221" spans="1:3" ht="13.5" thickBot="1" x14ac:dyDescent="0.25">
      <c r="A1221" s="3">
        <v>2599</v>
      </c>
      <c r="B1221" s="27">
        <v>45310.343472222223</v>
      </c>
      <c r="C1221" s="3" t="s">
        <v>6</v>
      </c>
    </row>
    <row r="1222" spans="1:3" ht="13.5" thickBot="1" x14ac:dyDescent="0.25">
      <c r="A1222" s="3">
        <v>3922</v>
      </c>
      <c r="B1222" s="27">
        <v>45310.376342592594</v>
      </c>
      <c r="C1222" s="3" t="s">
        <v>3</v>
      </c>
    </row>
    <row r="1223" spans="1:3" ht="13.5" thickBot="1" x14ac:dyDescent="0.25">
      <c r="A1223" s="3">
        <v>1766</v>
      </c>
      <c r="B1223" s="27">
        <v>45310.379641203705</v>
      </c>
      <c r="C1223" s="3" t="s">
        <v>6</v>
      </c>
    </row>
    <row r="1224" spans="1:3" ht="13.5" thickBot="1" x14ac:dyDescent="0.25">
      <c r="A1224" s="3">
        <v>2134</v>
      </c>
      <c r="B1224" s="27">
        <v>45310.386828703704</v>
      </c>
      <c r="C1224" s="3" t="s">
        <v>5</v>
      </c>
    </row>
    <row r="1225" spans="1:3" ht="13.5" thickBot="1" x14ac:dyDescent="0.25">
      <c r="A1225" s="3">
        <v>507</v>
      </c>
      <c r="B1225" s="27">
        <v>45310.387615740743</v>
      </c>
      <c r="C1225" s="3" t="s">
        <v>5</v>
      </c>
    </row>
    <row r="1226" spans="1:3" ht="13.5" thickBot="1" x14ac:dyDescent="0.25">
      <c r="A1226" s="3">
        <v>4624</v>
      </c>
      <c r="B1226" s="27">
        <v>45310.405624999999</v>
      </c>
      <c r="C1226" s="3" t="s">
        <v>3</v>
      </c>
    </row>
    <row r="1227" spans="1:3" ht="13.5" thickBot="1" x14ac:dyDescent="0.25">
      <c r="A1227" s="3">
        <v>600</v>
      </c>
      <c r="B1227" s="27">
        <v>45310.40966435185</v>
      </c>
      <c r="C1227" s="3" t="s">
        <v>6</v>
      </c>
    </row>
    <row r="1228" spans="1:3" ht="13.5" thickBot="1" x14ac:dyDescent="0.25">
      <c r="A1228" s="3">
        <v>3324</v>
      </c>
      <c r="B1228" s="27">
        <v>45310.420416666668</v>
      </c>
      <c r="C1228" s="3" t="s">
        <v>3</v>
      </c>
    </row>
    <row r="1229" spans="1:3" ht="13.5" thickBot="1" x14ac:dyDescent="0.25">
      <c r="A1229" s="3">
        <v>3442</v>
      </c>
      <c r="B1229" s="27">
        <v>45310.449386574073</v>
      </c>
      <c r="C1229" s="3" t="s">
        <v>5</v>
      </c>
    </row>
    <row r="1230" spans="1:3" ht="13.5" thickBot="1" x14ac:dyDescent="0.25">
      <c r="A1230" s="3">
        <v>2074</v>
      </c>
      <c r="B1230" s="27">
        <v>45310.458796296298</v>
      </c>
      <c r="C1230" s="3" t="s">
        <v>3</v>
      </c>
    </row>
    <row r="1231" spans="1:3" ht="13.5" thickBot="1" x14ac:dyDescent="0.25">
      <c r="A1231" s="3">
        <v>6018</v>
      </c>
      <c r="B1231" s="27">
        <v>45310.508657407408</v>
      </c>
      <c r="C1231" s="3" t="s">
        <v>3</v>
      </c>
    </row>
    <row r="1232" spans="1:3" ht="13.5" thickBot="1" x14ac:dyDescent="0.25">
      <c r="A1232" s="3">
        <v>7250</v>
      </c>
      <c r="B1232" s="27">
        <v>45310.536817129629</v>
      </c>
      <c r="C1232" s="3" t="s">
        <v>5</v>
      </c>
    </row>
    <row r="1233" spans="1:3" ht="13.5" thickBot="1" x14ac:dyDescent="0.25">
      <c r="A1233" s="3">
        <v>7475</v>
      </c>
      <c r="B1233" s="27">
        <v>45310.536979166667</v>
      </c>
      <c r="C1233" s="3" t="s">
        <v>7</v>
      </c>
    </row>
    <row r="1234" spans="1:3" ht="13.5" thickBot="1" x14ac:dyDescent="0.25">
      <c r="A1234" s="3">
        <v>4640</v>
      </c>
      <c r="B1234" s="27">
        <v>45310.55940972222</v>
      </c>
      <c r="C1234" s="3" t="s">
        <v>7</v>
      </c>
    </row>
    <row r="1235" spans="1:3" ht="13.5" thickBot="1" x14ac:dyDescent="0.25">
      <c r="A1235" s="3">
        <v>7988</v>
      </c>
      <c r="B1235" s="27">
        <v>45310.565891203703</v>
      </c>
      <c r="C1235" s="3" t="s">
        <v>5</v>
      </c>
    </row>
    <row r="1236" spans="1:3" ht="13.5" thickBot="1" x14ac:dyDescent="0.25">
      <c r="A1236" s="3">
        <v>5483</v>
      </c>
      <c r="B1236" s="27">
        <v>45310.602048611108</v>
      </c>
      <c r="C1236" s="3" t="s">
        <v>3</v>
      </c>
    </row>
    <row r="1237" spans="1:3" ht="13.5" thickBot="1" x14ac:dyDescent="0.25">
      <c r="A1237" s="3">
        <v>3947</v>
      </c>
      <c r="B1237" s="27">
        <v>45310.613946759258</v>
      </c>
      <c r="C1237" s="3" t="s">
        <v>6</v>
      </c>
    </row>
    <row r="1238" spans="1:3" ht="13.5" thickBot="1" x14ac:dyDescent="0.25">
      <c r="A1238" s="3">
        <v>3369</v>
      </c>
      <c r="B1238" s="27">
        <v>45310.625694444447</v>
      </c>
      <c r="C1238" s="3" t="s">
        <v>3</v>
      </c>
    </row>
    <row r="1239" spans="1:3" ht="13.5" thickBot="1" x14ac:dyDescent="0.25">
      <c r="A1239" s="3">
        <v>63</v>
      </c>
      <c r="B1239" s="27">
        <v>45310.642511574071</v>
      </c>
      <c r="C1239" s="3" t="s">
        <v>3</v>
      </c>
    </row>
    <row r="1240" spans="1:3" ht="13.5" thickBot="1" x14ac:dyDescent="0.25">
      <c r="A1240" s="3">
        <v>7473</v>
      </c>
      <c r="B1240" s="27">
        <v>45310.646412037036</v>
      </c>
      <c r="C1240" s="3" t="s">
        <v>3</v>
      </c>
    </row>
    <row r="1241" spans="1:3" ht="13.5" thickBot="1" x14ac:dyDescent="0.25">
      <c r="A1241" s="3">
        <v>25</v>
      </c>
      <c r="B1241" s="27">
        <v>45310.673159722224</v>
      </c>
      <c r="C1241" s="3" t="s">
        <v>3</v>
      </c>
    </row>
    <row r="1242" spans="1:3" ht="13.5" thickBot="1" x14ac:dyDescent="0.25">
      <c r="A1242" s="3">
        <v>5971</v>
      </c>
      <c r="B1242" s="27">
        <v>45310.675081018519</v>
      </c>
      <c r="C1242" s="3" t="s">
        <v>5</v>
      </c>
    </row>
    <row r="1243" spans="1:3" ht="13.5" thickBot="1" x14ac:dyDescent="0.25">
      <c r="A1243" s="3">
        <v>590</v>
      </c>
      <c r="B1243" s="27">
        <v>45310.677268518521</v>
      </c>
      <c r="C1243" s="3" t="s">
        <v>3</v>
      </c>
    </row>
    <row r="1244" spans="1:3" ht="13.5" thickBot="1" x14ac:dyDescent="0.25">
      <c r="A1244" s="3">
        <v>4064</v>
      </c>
      <c r="B1244" s="27">
        <v>45310.691678240742</v>
      </c>
      <c r="C1244" s="3" t="s">
        <v>3</v>
      </c>
    </row>
    <row r="1245" spans="1:3" ht="13.5" thickBot="1" x14ac:dyDescent="0.25">
      <c r="A1245" s="3">
        <v>3324</v>
      </c>
      <c r="B1245" s="27">
        <v>45310.713761574072</v>
      </c>
      <c r="C1245" s="3" t="s">
        <v>4</v>
      </c>
    </row>
    <row r="1246" spans="1:3" ht="13.5" thickBot="1" x14ac:dyDescent="0.25">
      <c r="A1246" s="3">
        <v>2074</v>
      </c>
      <c r="B1246" s="27">
        <v>45310.717546296299</v>
      </c>
      <c r="C1246" s="3" t="s">
        <v>4</v>
      </c>
    </row>
    <row r="1247" spans="1:3" ht="13.5" thickBot="1" x14ac:dyDescent="0.25">
      <c r="A1247" s="3">
        <v>6162</v>
      </c>
      <c r="B1247" s="27">
        <v>45310.728379629632</v>
      </c>
      <c r="C1247" s="3" t="s">
        <v>6</v>
      </c>
    </row>
    <row r="1248" spans="1:3" ht="13.5" thickBot="1" x14ac:dyDescent="0.25">
      <c r="A1248" s="3">
        <v>4374</v>
      </c>
      <c r="B1248" s="27">
        <v>45310.7578587963</v>
      </c>
      <c r="C1248" s="3" t="s">
        <v>7</v>
      </c>
    </row>
    <row r="1249" spans="1:3" ht="13.5" thickBot="1" x14ac:dyDescent="0.25">
      <c r="A1249" s="3">
        <v>5710</v>
      </c>
      <c r="B1249" s="27">
        <v>45310.782962962963</v>
      </c>
      <c r="C1249" s="3" t="s">
        <v>6</v>
      </c>
    </row>
    <row r="1250" spans="1:3" ht="13.5" thickBot="1" x14ac:dyDescent="0.25">
      <c r="A1250" s="3">
        <v>6914</v>
      </c>
      <c r="B1250" s="27">
        <v>45310.804212962961</v>
      </c>
      <c r="C1250" s="3" t="s">
        <v>4</v>
      </c>
    </row>
    <row r="1251" spans="1:3" ht="13.5" thickBot="1" x14ac:dyDescent="0.25">
      <c r="A1251" s="3">
        <v>2572</v>
      </c>
      <c r="B1251" s="27">
        <v>45310.80667824074</v>
      </c>
      <c r="C1251" s="3" t="s">
        <v>6</v>
      </c>
    </row>
    <row r="1252" spans="1:3" ht="13.5" thickBot="1" x14ac:dyDescent="0.25">
      <c r="A1252" s="3">
        <v>754</v>
      </c>
      <c r="B1252" s="27">
        <v>45310.813206018516</v>
      </c>
      <c r="C1252" s="3" t="s">
        <v>4</v>
      </c>
    </row>
    <row r="1253" spans="1:3" ht="13.5" thickBot="1" x14ac:dyDescent="0.25">
      <c r="A1253" s="3">
        <v>3393</v>
      </c>
      <c r="B1253" s="27">
        <v>45310.828738425924</v>
      </c>
      <c r="C1253" s="3" t="s">
        <v>5</v>
      </c>
    </row>
    <row r="1254" spans="1:3" ht="13.5" thickBot="1" x14ac:dyDescent="0.25">
      <c r="A1254" s="3">
        <v>6479</v>
      </c>
      <c r="B1254" s="27">
        <v>45310.844837962963</v>
      </c>
      <c r="C1254" s="3" t="s">
        <v>6</v>
      </c>
    </row>
    <row r="1255" spans="1:3" ht="13.5" thickBot="1" x14ac:dyDescent="0.25">
      <c r="A1255" s="3">
        <v>5465</v>
      </c>
      <c r="B1255" s="27">
        <v>45310.861342592594</v>
      </c>
      <c r="C1255" s="3" t="s">
        <v>3</v>
      </c>
    </row>
    <row r="1256" spans="1:3" ht="13.5" thickBot="1" x14ac:dyDescent="0.25">
      <c r="A1256" s="3">
        <v>5051</v>
      </c>
      <c r="B1256" s="27">
        <v>45310.869328703702</v>
      </c>
      <c r="C1256" s="3" t="s">
        <v>3</v>
      </c>
    </row>
    <row r="1257" spans="1:3" ht="13.5" thickBot="1" x14ac:dyDescent="0.25">
      <c r="A1257" s="3">
        <v>2045</v>
      </c>
      <c r="B1257" s="27">
        <v>45310.878611111111</v>
      </c>
      <c r="C1257" s="3" t="s">
        <v>3</v>
      </c>
    </row>
    <row r="1258" spans="1:3" ht="13.5" thickBot="1" x14ac:dyDescent="0.25">
      <c r="A1258" s="3">
        <v>2604</v>
      </c>
      <c r="B1258" s="27">
        <v>45310.884421296294</v>
      </c>
      <c r="C1258" s="3" t="s">
        <v>6</v>
      </c>
    </row>
    <row r="1259" spans="1:3" ht="13.5" thickBot="1" x14ac:dyDescent="0.25">
      <c r="A1259" s="3">
        <v>641</v>
      </c>
      <c r="B1259" s="27">
        <v>45310.933865740742</v>
      </c>
      <c r="C1259" s="3" t="s">
        <v>3</v>
      </c>
    </row>
    <row r="1260" spans="1:3" ht="13.5" thickBot="1" x14ac:dyDescent="0.25">
      <c r="A1260" s="3">
        <v>6192</v>
      </c>
      <c r="B1260" s="27">
        <v>45310.940416666665</v>
      </c>
      <c r="C1260" s="3" t="s">
        <v>5</v>
      </c>
    </row>
    <row r="1261" spans="1:3" ht="13.5" thickBot="1" x14ac:dyDescent="0.25">
      <c r="A1261" s="3">
        <v>1784</v>
      </c>
      <c r="B1261" s="27">
        <v>45310.944085648145</v>
      </c>
      <c r="C1261" s="3" t="s">
        <v>7</v>
      </c>
    </row>
    <row r="1262" spans="1:3" ht="13.5" thickBot="1" x14ac:dyDescent="0.25">
      <c r="A1262" s="3">
        <v>672</v>
      </c>
      <c r="B1262" s="27">
        <v>45310.953067129631</v>
      </c>
      <c r="C1262" s="3" t="s">
        <v>4</v>
      </c>
    </row>
    <row r="1263" spans="1:3" ht="13.5" thickBot="1" x14ac:dyDescent="0.25">
      <c r="A1263" s="3">
        <v>756</v>
      </c>
      <c r="B1263" s="27">
        <v>45310.985324074078</v>
      </c>
      <c r="C1263" s="3" t="s">
        <v>7</v>
      </c>
    </row>
    <row r="1264" spans="1:3" ht="13.5" thickBot="1" x14ac:dyDescent="0.25">
      <c r="A1264" s="3">
        <v>7574</v>
      </c>
      <c r="B1264" s="27">
        <v>45311.00885416667</v>
      </c>
      <c r="C1264" s="3" t="s">
        <v>5</v>
      </c>
    </row>
    <row r="1265" spans="1:3" ht="13.5" thickBot="1" x14ac:dyDescent="0.25">
      <c r="A1265" s="3">
        <v>6830</v>
      </c>
      <c r="B1265" s="27">
        <v>45311.071284722224</v>
      </c>
      <c r="C1265" s="3" t="s">
        <v>4</v>
      </c>
    </row>
    <row r="1266" spans="1:3" ht="13.5" thickBot="1" x14ac:dyDescent="0.25">
      <c r="A1266" s="3">
        <v>7039</v>
      </c>
      <c r="B1266" s="27">
        <v>45311.08871527778</v>
      </c>
      <c r="C1266" s="3" t="s">
        <v>7</v>
      </c>
    </row>
    <row r="1267" spans="1:3" ht="13.5" thickBot="1" x14ac:dyDescent="0.25">
      <c r="A1267" s="3">
        <v>5051</v>
      </c>
      <c r="B1267" s="27">
        <v>45311.109351851854</v>
      </c>
      <c r="C1267" s="3" t="s">
        <v>4</v>
      </c>
    </row>
    <row r="1268" spans="1:3" ht="13.5" thickBot="1" x14ac:dyDescent="0.25">
      <c r="A1268" s="3">
        <v>4459</v>
      </c>
      <c r="B1268" s="27">
        <v>45311.130995370368</v>
      </c>
      <c r="C1268" s="3" t="s">
        <v>6</v>
      </c>
    </row>
    <row r="1269" spans="1:3" ht="13.5" thickBot="1" x14ac:dyDescent="0.25">
      <c r="A1269" s="3">
        <v>3384</v>
      </c>
      <c r="B1269" s="27">
        <v>45311.140972222223</v>
      </c>
      <c r="C1269" s="3" t="s">
        <v>4</v>
      </c>
    </row>
    <row r="1270" spans="1:3" ht="13.5" thickBot="1" x14ac:dyDescent="0.25">
      <c r="A1270" s="3">
        <v>4586</v>
      </c>
      <c r="B1270" s="27">
        <v>45311.210694444446</v>
      </c>
      <c r="C1270" s="3" t="s">
        <v>3</v>
      </c>
    </row>
    <row r="1271" spans="1:3" ht="13.5" thickBot="1" x14ac:dyDescent="0.25">
      <c r="A1271" s="3">
        <v>507</v>
      </c>
      <c r="B1271" s="27">
        <v>45311.212337962963</v>
      </c>
      <c r="C1271" s="3" t="s">
        <v>7</v>
      </c>
    </row>
    <row r="1272" spans="1:3" ht="13.5" thickBot="1" x14ac:dyDescent="0.25">
      <c r="A1272" s="3">
        <v>1524</v>
      </c>
      <c r="B1272" s="27">
        <v>45311.215810185182</v>
      </c>
      <c r="C1272" s="3" t="s">
        <v>4</v>
      </c>
    </row>
    <row r="1273" spans="1:3" ht="13.5" thickBot="1" x14ac:dyDescent="0.25">
      <c r="A1273" s="3">
        <v>5071</v>
      </c>
      <c r="B1273" s="27">
        <v>45311.224560185183</v>
      </c>
      <c r="C1273" s="3" t="s">
        <v>3</v>
      </c>
    </row>
    <row r="1274" spans="1:3" ht="13.5" thickBot="1" x14ac:dyDescent="0.25">
      <c r="A1274" s="3">
        <v>7497</v>
      </c>
      <c r="B1274" s="27">
        <v>45311.256157407406</v>
      </c>
      <c r="C1274" s="3" t="s">
        <v>6</v>
      </c>
    </row>
    <row r="1275" spans="1:3" ht="13.5" thickBot="1" x14ac:dyDescent="0.25">
      <c r="A1275" s="3">
        <v>1566</v>
      </c>
      <c r="B1275" s="27">
        <v>45311.268321759257</v>
      </c>
      <c r="C1275" s="3" t="s">
        <v>6</v>
      </c>
    </row>
    <row r="1276" spans="1:3" ht="13.5" thickBot="1" x14ac:dyDescent="0.25">
      <c r="A1276" s="3">
        <v>7861</v>
      </c>
      <c r="B1276" s="27">
        <v>45311.370636574073</v>
      </c>
      <c r="C1276" s="3" t="s">
        <v>4</v>
      </c>
    </row>
    <row r="1277" spans="1:3" ht="13.5" thickBot="1" x14ac:dyDescent="0.25">
      <c r="A1277" s="3">
        <v>7574</v>
      </c>
      <c r="B1277" s="27">
        <v>45311.373657407406</v>
      </c>
      <c r="C1277" s="3" t="s">
        <v>3</v>
      </c>
    </row>
    <row r="1278" spans="1:3" ht="13.5" thickBot="1" x14ac:dyDescent="0.25">
      <c r="A1278" s="3">
        <v>853</v>
      </c>
      <c r="B1278" s="27">
        <v>45311.423622685186</v>
      </c>
      <c r="C1278" s="3" t="s">
        <v>7</v>
      </c>
    </row>
    <row r="1279" spans="1:3" ht="13.5" thickBot="1" x14ac:dyDescent="0.25">
      <c r="A1279" s="3">
        <v>6218</v>
      </c>
      <c r="B1279" s="27">
        <v>45311.43445601852</v>
      </c>
      <c r="C1279" s="3" t="s">
        <v>3</v>
      </c>
    </row>
    <row r="1280" spans="1:3" ht="13.5" thickBot="1" x14ac:dyDescent="0.25">
      <c r="A1280" s="3">
        <v>1278</v>
      </c>
      <c r="B1280" s="27">
        <v>45311.447060185186</v>
      </c>
      <c r="C1280" s="3" t="s">
        <v>3</v>
      </c>
    </row>
    <row r="1281" spans="1:3" ht="13.5" thickBot="1" x14ac:dyDescent="0.25">
      <c r="A1281" s="3">
        <v>2938</v>
      </c>
      <c r="B1281" s="27">
        <v>45311.451238425929</v>
      </c>
      <c r="C1281" s="3" t="s">
        <v>6</v>
      </c>
    </row>
    <row r="1282" spans="1:3" ht="13.5" thickBot="1" x14ac:dyDescent="0.25">
      <c r="A1282" s="3">
        <v>4117</v>
      </c>
      <c r="B1282" s="27">
        <v>45311.45722222222</v>
      </c>
      <c r="C1282" s="3" t="s">
        <v>3</v>
      </c>
    </row>
    <row r="1283" spans="1:3" ht="13.5" thickBot="1" x14ac:dyDescent="0.25">
      <c r="A1283" s="3">
        <v>1284</v>
      </c>
      <c r="B1283" s="27">
        <v>45311.457245370373</v>
      </c>
      <c r="C1283" s="3" t="s">
        <v>3</v>
      </c>
    </row>
    <row r="1284" spans="1:3" ht="13.5" thickBot="1" x14ac:dyDescent="0.25">
      <c r="A1284" s="3">
        <v>1282</v>
      </c>
      <c r="B1284" s="27">
        <v>45311.471377314818</v>
      </c>
      <c r="C1284" s="3" t="s">
        <v>7</v>
      </c>
    </row>
    <row r="1285" spans="1:3" ht="13.5" thickBot="1" x14ac:dyDescent="0.25">
      <c r="A1285" s="3">
        <v>7475</v>
      </c>
      <c r="B1285" s="27">
        <v>45311.479814814818</v>
      </c>
      <c r="C1285" s="3" t="s">
        <v>6</v>
      </c>
    </row>
    <row r="1286" spans="1:3" ht="13.5" thickBot="1" x14ac:dyDescent="0.25">
      <c r="A1286" s="3">
        <v>950</v>
      </c>
      <c r="B1286" s="27">
        <v>45311.484456018516</v>
      </c>
      <c r="C1286" s="3" t="s">
        <v>3</v>
      </c>
    </row>
    <row r="1287" spans="1:3" ht="13.5" thickBot="1" x14ac:dyDescent="0.25">
      <c r="A1287" s="3">
        <v>2914</v>
      </c>
      <c r="B1287" s="27">
        <v>45311.530335648145</v>
      </c>
      <c r="C1287" s="3" t="s">
        <v>3</v>
      </c>
    </row>
    <row r="1288" spans="1:3" ht="13.5" thickBot="1" x14ac:dyDescent="0.25">
      <c r="A1288" s="3">
        <v>5950</v>
      </c>
      <c r="B1288" s="27">
        <v>45311.534722222219</v>
      </c>
      <c r="C1288" s="3" t="s">
        <v>4</v>
      </c>
    </row>
    <row r="1289" spans="1:3" ht="13.5" thickBot="1" x14ac:dyDescent="0.25">
      <c r="A1289" s="3">
        <v>5051</v>
      </c>
      <c r="B1289" s="27">
        <v>45311.554479166669</v>
      </c>
      <c r="C1289" s="3" t="s">
        <v>5</v>
      </c>
    </row>
    <row r="1290" spans="1:3" ht="13.5" thickBot="1" x14ac:dyDescent="0.25">
      <c r="A1290" s="3">
        <v>3680</v>
      </c>
      <c r="B1290" s="27">
        <v>45311.576793981483</v>
      </c>
      <c r="C1290" s="3" t="s">
        <v>4</v>
      </c>
    </row>
    <row r="1291" spans="1:3" ht="13.5" thickBot="1" x14ac:dyDescent="0.25">
      <c r="A1291" s="3">
        <v>1420</v>
      </c>
      <c r="B1291" s="27">
        <v>45311.587638888886</v>
      </c>
      <c r="C1291" s="3" t="s">
        <v>3</v>
      </c>
    </row>
    <row r="1292" spans="1:3" ht="13.5" thickBot="1" x14ac:dyDescent="0.25">
      <c r="A1292" s="3">
        <v>7250</v>
      </c>
      <c r="B1292" s="27">
        <v>45311.617824074077</v>
      </c>
      <c r="C1292" s="3" t="s">
        <v>7</v>
      </c>
    </row>
    <row r="1293" spans="1:3" ht="13.5" thickBot="1" x14ac:dyDescent="0.25">
      <c r="A1293" s="3">
        <v>2037</v>
      </c>
      <c r="B1293" s="27">
        <v>45311.623831018522</v>
      </c>
      <c r="C1293" s="3" t="s">
        <v>4</v>
      </c>
    </row>
    <row r="1294" spans="1:3" ht="13.5" thickBot="1" x14ac:dyDescent="0.25">
      <c r="A1294" s="3">
        <v>6341</v>
      </c>
      <c r="B1294" s="27">
        <v>45311.624756944446</v>
      </c>
      <c r="C1294" s="3" t="s">
        <v>6</v>
      </c>
    </row>
    <row r="1295" spans="1:3" ht="13.5" thickBot="1" x14ac:dyDescent="0.25">
      <c r="A1295" s="3">
        <v>1347</v>
      </c>
      <c r="B1295" s="27">
        <v>45311.627789351849</v>
      </c>
      <c r="C1295" s="3" t="s">
        <v>6</v>
      </c>
    </row>
    <row r="1296" spans="1:3" ht="13.5" thickBot="1" x14ac:dyDescent="0.25">
      <c r="A1296" s="3">
        <v>6218</v>
      </c>
      <c r="B1296" s="27">
        <v>45311.630891203706</v>
      </c>
      <c r="C1296" s="3" t="s">
        <v>5</v>
      </c>
    </row>
    <row r="1297" spans="1:3" ht="13.5" thickBot="1" x14ac:dyDescent="0.25">
      <c r="A1297" s="3">
        <v>2472</v>
      </c>
      <c r="B1297" s="27">
        <v>45311.634305555555</v>
      </c>
      <c r="C1297" s="3" t="s">
        <v>4</v>
      </c>
    </row>
    <row r="1298" spans="1:3" ht="13.5" thickBot="1" x14ac:dyDescent="0.25">
      <c r="A1298" s="3">
        <v>6029</v>
      </c>
      <c r="B1298" s="27">
        <v>45311.649513888886</v>
      </c>
      <c r="C1298" s="3" t="s">
        <v>3</v>
      </c>
    </row>
    <row r="1299" spans="1:3" ht="13.5" thickBot="1" x14ac:dyDescent="0.25">
      <c r="A1299" s="3">
        <v>1260</v>
      </c>
      <c r="B1299" s="27">
        <v>45311.661145833335</v>
      </c>
      <c r="C1299" s="3" t="s">
        <v>4</v>
      </c>
    </row>
    <row r="1300" spans="1:3" ht="13.5" thickBot="1" x14ac:dyDescent="0.25">
      <c r="A1300" s="3">
        <v>6192</v>
      </c>
      <c r="B1300" s="27">
        <v>45311.678819444445</v>
      </c>
      <c r="C1300" s="3" t="s">
        <v>4</v>
      </c>
    </row>
    <row r="1301" spans="1:3" ht="13.5" thickBot="1" x14ac:dyDescent="0.25">
      <c r="A1301" s="3">
        <v>2037</v>
      </c>
      <c r="B1301" s="27">
        <v>45311.679849537039</v>
      </c>
      <c r="C1301" s="3" t="s">
        <v>3</v>
      </c>
    </row>
    <row r="1302" spans="1:3" ht="13.5" thickBot="1" x14ac:dyDescent="0.25">
      <c r="A1302" s="3">
        <v>2663</v>
      </c>
      <c r="B1302" s="27">
        <v>45311.683668981481</v>
      </c>
      <c r="C1302" s="3" t="s">
        <v>7</v>
      </c>
    </row>
    <row r="1303" spans="1:3" ht="13.5" thickBot="1" x14ac:dyDescent="0.25">
      <c r="A1303" s="3">
        <v>5323</v>
      </c>
      <c r="B1303" s="27">
        <v>45311.692094907405</v>
      </c>
      <c r="C1303" s="3" t="s">
        <v>3</v>
      </c>
    </row>
    <row r="1304" spans="1:3" ht="13.5" thickBot="1" x14ac:dyDescent="0.25">
      <c r="A1304" s="3">
        <v>4061</v>
      </c>
      <c r="B1304" s="27">
        <v>45311.710532407407</v>
      </c>
      <c r="C1304" s="3" t="s">
        <v>3</v>
      </c>
    </row>
    <row r="1305" spans="1:3" ht="13.5" thickBot="1" x14ac:dyDescent="0.25">
      <c r="A1305" s="3">
        <v>7890</v>
      </c>
      <c r="B1305" s="27">
        <v>45311.713541666664</v>
      </c>
      <c r="C1305" s="3" t="s">
        <v>3</v>
      </c>
    </row>
    <row r="1306" spans="1:3" ht="13.5" thickBot="1" x14ac:dyDescent="0.25">
      <c r="A1306" s="3">
        <v>7881</v>
      </c>
      <c r="B1306" s="27">
        <v>45311.715520833335</v>
      </c>
      <c r="C1306" s="3" t="s">
        <v>3</v>
      </c>
    </row>
    <row r="1307" spans="1:3" ht="13.5" thickBot="1" x14ac:dyDescent="0.25">
      <c r="A1307" s="3">
        <v>1</v>
      </c>
      <c r="B1307" s="27">
        <v>45311.720613425925</v>
      </c>
      <c r="C1307" s="3" t="s">
        <v>3</v>
      </c>
    </row>
    <row r="1308" spans="1:3" ht="13.5" thickBot="1" x14ac:dyDescent="0.25">
      <c r="A1308" s="3">
        <v>5068</v>
      </c>
      <c r="B1308" s="27">
        <v>45311.722199074073</v>
      </c>
      <c r="C1308" s="3" t="s">
        <v>6</v>
      </c>
    </row>
    <row r="1309" spans="1:3" ht="13.5" thickBot="1" x14ac:dyDescent="0.25">
      <c r="A1309" s="3">
        <v>7473</v>
      </c>
      <c r="B1309" s="27">
        <v>45311.72583333333</v>
      </c>
      <c r="C1309" s="3" t="s">
        <v>4</v>
      </c>
    </row>
    <row r="1310" spans="1:3" ht="13.5" thickBot="1" x14ac:dyDescent="0.25">
      <c r="A1310" s="3">
        <v>2550</v>
      </c>
      <c r="B1310" s="27">
        <v>45311.733391203707</v>
      </c>
      <c r="C1310" s="3" t="s">
        <v>3</v>
      </c>
    </row>
    <row r="1311" spans="1:3" ht="13.5" thickBot="1" x14ac:dyDescent="0.25">
      <c r="A1311" s="3">
        <v>5313</v>
      </c>
      <c r="B1311" s="27">
        <v>45311.741631944446</v>
      </c>
      <c r="C1311" s="3" t="s">
        <v>6</v>
      </c>
    </row>
    <row r="1312" spans="1:3" ht="13.5" thickBot="1" x14ac:dyDescent="0.25">
      <c r="A1312" s="3">
        <v>2134</v>
      </c>
      <c r="B1312" s="27">
        <v>45311.753217592595</v>
      </c>
      <c r="C1312" s="3" t="s">
        <v>6</v>
      </c>
    </row>
    <row r="1313" spans="1:3" ht="13.5" thickBot="1" x14ac:dyDescent="0.25">
      <c r="A1313" s="3">
        <v>256</v>
      </c>
      <c r="B1313" s="27">
        <v>45311.772106481483</v>
      </c>
      <c r="C1313" s="3" t="s">
        <v>3</v>
      </c>
    </row>
    <row r="1314" spans="1:3" ht="13.5" thickBot="1" x14ac:dyDescent="0.25">
      <c r="A1314" s="3">
        <v>5313</v>
      </c>
      <c r="B1314" s="27">
        <v>45311.775972222225</v>
      </c>
      <c r="C1314" s="3" t="s">
        <v>5</v>
      </c>
    </row>
    <row r="1315" spans="1:3" ht="13.5" thickBot="1" x14ac:dyDescent="0.25">
      <c r="A1315" s="3">
        <v>7665</v>
      </c>
      <c r="B1315" s="27">
        <v>45311.792256944442</v>
      </c>
      <c r="C1315" s="3" t="s">
        <v>6</v>
      </c>
    </row>
    <row r="1316" spans="1:3" ht="13.5" thickBot="1" x14ac:dyDescent="0.25">
      <c r="A1316" s="3">
        <v>1430</v>
      </c>
      <c r="B1316" s="27">
        <v>45311.838194444441</v>
      </c>
      <c r="C1316" s="3" t="s">
        <v>4</v>
      </c>
    </row>
    <row r="1317" spans="1:3" ht="13.5" thickBot="1" x14ac:dyDescent="0.25">
      <c r="A1317" s="3">
        <v>7843</v>
      </c>
      <c r="B1317" s="27">
        <v>45311.847534722219</v>
      </c>
      <c r="C1317" s="3" t="s">
        <v>3</v>
      </c>
    </row>
    <row r="1318" spans="1:3" ht="13.5" thickBot="1" x14ac:dyDescent="0.25">
      <c r="A1318" s="3">
        <v>6384</v>
      </c>
      <c r="B1318" s="27">
        <v>45311.847916666666</v>
      </c>
      <c r="C1318" s="3" t="s">
        <v>3</v>
      </c>
    </row>
    <row r="1319" spans="1:3" ht="13.5" thickBot="1" x14ac:dyDescent="0.25">
      <c r="A1319" s="3">
        <v>695</v>
      </c>
      <c r="B1319" s="27">
        <v>45311.874652777777</v>
      </c>
      <c r="C1319" s="3" t="s">
        <v>5</v>
      </c>
    </row>
    <row r="1320" spans="1:3" ht="13.5" thickBot="1" x14ac:dyDescent="0.25">
      <c r="A1320" s="3">
        <v>696</v>
      </c>
      <c r="B1320" s="27">
        <v>45311.884305555555</v>
      </c>
      <c r="C1320" s="3" t="s">
        <v>4</v>
      </c>
    </row>
    <row r="1321" spans="1:3" ht="13.5" thickBot="1" x14ac:dyDescent="0.25">
      <c r="A1321" s="3">
        <v>2572</v>
      </c>
      <c r="B1321" s="27">
        <v>45311.891967592594</v>
      </c>
      <c r="C1321" s="3" t="s">
        <v>7</v>
      </c>
    </row>
    <row r="1322" spans="1:3" ht="13.5" thickBot="1" x14ac:dyDescent="0.25">
      <c r="A1322" s="3">
        <v>6716</v>
      </c>
      <c r="B1322" s="27">
        <v>45311.896296296298</v>
      </c>
      <c r="C1322" s="3" t="s">
        <v>3</v>
      </c>
    </row>
    <row r="1323" spans="1:3" ht="13.5" thickBot="1" x14ac:dyDescent="0.25">
      <c r="A1323" s="3">
        <v>5749</v>
      </c>
      <c r="B1323" s="27">
        <v>45311.909849537034</v>
      </c>
      <c r="C1323" s="3" t="s">
        <v>7</v>
      </c>
    </row>
    <row r="1324" spans="1:3" ht="13.5" thickBot="1" x14ac:dyDescent="0.25">
      <c r="A1324" s="3">
        <v>507</v>
      </c>
      <c r="B1324" s="27">
        <v>45311.914004629631</v>
      </c>
      <c r="C1324" s="3" t="s">
        <v>6</v>
      </c>
    </row>
    <row r="1325" spans="1:3" ht="13.5" thickBot="1" x14ac:dyDescent="0.25">
      <c r="A1325" s="3">
        <v>1258</v>
      </c>
      <c r="B1325" s="27">
        <v>45311.922708333332</v>
      </c>
      <c r="C1325" s="3" t="s">
        <v>3</v>
      </c>
    </row>
    <row r="1326" spans="1:3" ht="13.5" thickBot="1" x14ac:dyDescent="0.25">
      <c r="A1326" s="3">
        <v>3761</v>
      </c>
      <c r="B1326" s="27">
        <v>45311.933125000003</v>
      </c>
      <c r="C1326" s="3" t="s">
        <v>3</v>
      </c>
    </row>
    <row r="1327" spans="1:3" ht="13.5" thickBot="1" x14ac:dyDescent="0.25">
      <c r="A1327" s="3">
        <v>2304</v>
      </c>
      <c r="B1327" s="27">
        <v>45311.935601851852</v>
      </c>
      <c r="C1327" s="3" t="s">
        <v>6</v>
      </c>
    </row>
    <row r="1328" spans="1:3" ht="13.5" thickBot="1" x14ac:dyDescent="0.25">
      <c r="A1328" s="3">
        <v>7749</v>
      </c>
      <c r="B1328" s="27">
        <v>45311.942662037036</v>
      </c>
      <c r="C1328" s="3" t="s">
        <v>4</v>
      </c>
    </row>
    <row r="1329" spans="1:3" ht="13.5" thickBot="1" x14ac:dyDescent="0.25">
      <c r="A1329" s="3">
        <v>1723</v>
      </c>
      <c r="B1329" s="27">
        <v>45311.964525462965</v>
      </c>
      <c r="C1329" s="3" t="s">
        <v>3</v>
      </c>
    </row>
    <row r="1330" spans="1:3" ht="13.5" thickBot="1" x14ac:dyDescent="0.25">
      <c r="A1330" s="3">
        <v>5023</v>
      </c>
      <c r="B1330" s="27">
        <v>45311.969618055555</v>
      </c>
      <c r="C1330" s="3" t="s">
        <v>3</v>
      </c>
    </row>
    <row r="1331" spans="1:3" ht="13.5" thickBot="1" x14ac:dyDescent="0.25">
      <c r="A1331" s="3">
        <v>6914</v>
      </c>
      <c r="B1331" s="27">
        <v>45311.971053240741</v>
      </c>
      <c r="C1331" s="3" t="s">
        <v>7</v>
      </c>
    </row>
    <row r="1332" spans="1:3" ht="13.5" thickBot="1" x14ac:dyDescent="0.25">
      <c r="A1332" s="3">
        <v>4728</v>
      </c>
      <c r="B1332" s="27">
        <v>45311.995682870373</v>
      </c>
      <c r="C1332" s="3" t="s">
        <v>3</v>
      </c>
    </row>
    <row r="1333" spans="1:3" ht="13.5" thickBot="1" x14ac:dyDescent="0.25">
      <c r="A1333" s="3">
        <v>23</v>
      </c>
      <c r="B1333" s="27">
        <v>45311.996331018519</v>
      </c>
      <c r="C1333" s="3" t="s">
        <v>3</v>
      </c>
    </row>
    <row r="1334" spans="1:3" ht="13.5" thickBot="1" x14ac:dyDescent="0.25">
      <c r="A1334" s="3">
        <v>519</v>
      </c>
      <c r="B1334" s="27">
        <v>45312.009756944448</v>
      </c>
      <c r="C1334" s="3" t="s">
        <v>3</v>
      </c>
    </row>
    <row r="1335" spans="1:3" ht="13.5" thickBot="1" x14ac:dyDescent="0.25">
      <c r="A1335" s="3">
        <v>4951</v>
      </c>
      <c r="B1335" s="27">
        <v>45312.00990740741</v>
      </c>
      <c r="C1335" s="3" t="s">
        <v>3</v>
      </c>
    </row>
    <row r="1336" spans="1:3" ht="13.5" thickBot="1" x14ac:dyDescent="0.25">
      <c r="A1336" s="3">
        <v>2493</v>
      </c>
      <c r="B1336" s="27">
        <v>45312.028043981481</v>
      </c>
      <c r="C1336" s="3" t="s">
        <v>3</v>
      </c>
    </row>
    <row r="1337" spans="1:3" ht="13.5" thickBot="1" x14ac:dyDescent="0.25">
      <c r="A1337" s="3">
        <v>5831</v>
      </c>
      <c r="B1337" s="27">
        <v>45312.033043981479</v>
      </c>
      <c r="C1337" s="3" t="s">
        <v>7</v>
      </c>
    </row>
    <row r="1338" spans="1:3" ht="13.5" thickBot="1" x14ac:dyDescent="0.25">
      <c r="A1338" s="3">
        <v>7881</v>
      </c>
      <c r="B1338" s="27">
        <v>45312.056944444441</v>
      </c>
      <c r="C1338" s="3" t="s">
        <v>4</v>
      </c>
    </row>
    <row r="1339" spans="1:3" ht="13.5" thickBot="1" x14ac:dyDescent="0.25">
      <c r="A1339" s="3">
        <v>684</v>
      </c>
      <c r="B1339" s="27">
        <v>45312.086956018517</v>
      </c>
      <c r="C1339" s="3" t="s">
        <v>5</v>
      </c>
    </row>
    <row r="1340" spans="1:3" ht="13.5" thickBot="1" x14ac:dyDescent="0.25">
      <c r="A1340" s="3">
        <v>2914</v>
      </c>
      <c r="B1340" s="27">
        <v>45312.089004629626</v>
      </c>
      <c r="C1340" s="3" t="s">
        <v>4</v>
      </c>
    </row>
    <row r="1341" spans="1:3" ht="13.5" thickBot="1" x14ac:dyDescent="0.25">
      <c r="A1341" s="3">
        <v>2989</v>
      </c>
      <c r="B1341" s="27">
        <v>45312.109293981484</v>
      </c>
      <c r="C1341" s="3" t="s">
        <v>4</v>
      </c>
    </row>
    <row r="1342" spans="1:3" ht="13.5" thickBot="1" x14ac:dyDescent="0.25">
      <c r="A1342" s="3">
        <v>7881</v>
      </c>
      <c r="B1342" s="27">
        <v>45312.116388888891</v>
      </c>
      <c r="C1342" s="3" t="s">
        <v>7</v>
      </c>
    </row>
    <row r="1343" spans="1:3" ht="13.5" thickBot="1" x14ac:dyDescent="0.25">
      <c r="A1343" s="3">
        <v>3325</v>
      </c>
      <c r="B1343" s="27">
        <v>45312.125243055554</v>
      </c>
      <c r="C1343" s="3" t="s">
        <v>3</v>
      </c>
    </row>
    <row r="1344" spans="1:3" ht="13.5" thickBot="1" x14ac:dyDescent="0.25">
      <c r="A1344" s="3">
        <v>3384</v>
      </c>
      <c r="B1344" s="27">
        <v>45312.148773148147</v>
      </c>
      <c r="C1344" s="3" t="s">
        <v>7</v>
      </c>
    </row>
    <row r="1345" spans="1:3" ht="13.5" thickBot="1" x14ac:dyDescent="0.25">
      <c r="A1345" s="3">
        <v>1420</v>
      </c>
      <c r="B1345" s="27">
        <v>45312.167349537034</v>
      </c>
      <c r="C1345" s="3" t="s">
        <v>4</v>
      </c>
    </row>
    <row r="1346" spans="1:3" ht="13.5" thickBot="1" x14ac:dyDescent="0.25">
      <c r="A1346" s="3">
        <v>5561</v>
      </c>
      <c r="B1346" s="27">
        <v>45312.16741898148</v>
      </c>
      <c r="C1346" s="3" t="s">
        <v>3</v>
      </c>
    </row>
    <row r="1347" spans="1:3" ht="13.5" thickBot="1" x14ac:dyDescent="0.25">
      <c r="A1347" s="3">
        <v>6185</v>
      </c>
      <c r="B1347" s="27">
        <v>45312.187025462961</v>
      </c>
      <c r="C1347" s="3" t="s">
        <v>3</v>
      </c>
    </row>
    <row r="1348" spans="1:3" ht="13.5" thickBot="1" x14ac:dyDescent="0.25">
      <c r="A1348" s="3">
        <v>2989</v>
      </c>
      <c r="B1348" s="27">
        <v>45312.196180555555</v>
      </c>
      <c r="C1348" s="3" t="s">
        <v>3</v>
      </c>
    </row>
    <row r="1349" spans="1:3" ht="13.5" thickBot="1" x14ac:dyDescent="0.25">
      <c r="A1349" s="3">
        <v>7626</v>
      </c>
      <c r="B1349" s="27">
        <v>45312.197106481479</v>
      </c>
      <c r="C1349" s="3" t="s">
        <v>3</v>
      </c>
    </row>
    <row r="1350" spans="1:3" ht="13.5" thickBot="1" x14ac:dyDescent="0.25">
      <c r="A1350" s="3">
        <v>1959</v>
      </c>
      <c r="B1350" s="27">
        <v>45312.232106481482</v>
      </c>
      <c r="C1350" s="3" t="s">
        <v>3</v>
      </c>
    </row>
    <row r="1351" spans="1:3" ht="13.5" thickBot="1" x14ac:dyDescent="0.25">
      <c r="A1351" s="3">
        <v>1802</v>
      </c>
      <c r="B1351" s="27">
        <v>45312.232893518521</v>
      </c>
      <c r="C1351" s="3" t="s">
        <v>3</v>
      </c>
    </row>
    <row r="1352" spans="1:3" ht="13.5" thickBot="1" x14ac:dyDescent="0.25">
      <c r="A1352" s="3">
        <v>3706</v>
      </c>
      <c r="B1352" s="27">
        <v>45312.239525462966</v>
      </c>
      <c r="C1352" s="3" t="s">
        <v>3</v>
      </c>
    </row>
    <row r="1353" spans="1:3" ht="13.5" thickBot="1" x14ac:dyDescent="0.25">
      <c r="A1353" s="3">
        <v>7475</v>
      </c>
      <c r="B1353" s="27">
        <v>45312.30978009259</v>
      </c>
      <c r="C1353" s="3" t="s">
        <v>5</v>
      </c>
    </row>
    <row r="1354" spans="1:3" ht="13.5" thickBot="1" x14ac:dyDescent="0.25">
      <c r="A1354" s="3">
        <v>1</v>
      </c>
      <c r="B1354" s="27">
        <v>45312.323692129627</v>
      </c>
      <c r="C1354" s="3" t="s">
        <v>5</v>
      </c>
    </row>
    <row r="1355" spans="1:3" ht="13.5" thickBot="1" x14ac:dyDescent="0.25">
      <c r="A1355" s="3">
        <v>7039</v>
      </c>
      <c r="B1355" s="27">
        <v>45312.336423611108</v>
      </c>
      <c r="C1355" s="3" t="s">
        <v>6</v>
      </c>
    </row>
    <row r="1356" spans="1:3" ht="13.5" thickBot="1" x14ac:dyDescent="0.25">
      <c r="A1356" s="3">
        <v>316</v>
      </c>
      <c r="B1356" s="27">
        <v>45312.339988425927</v>
      </c>
      <c r="C1356" s="3" t="s">
        <v>3</v>
      </c>
    </row>
    <row r="1357" spans="1:3" ht="13.5" thickBot="1" x14ac:dyDescent="0.25">
      <c r="A1357" s="3">
        <v>5529</v>
      </c>
      <c r="B1357" s="27">
        <v>45312.351701388892</v>
      </c>
      <c r="C1357" s="3" t="s">
        <v>6</v>
      </c>
    </row>
    <row r="1358" spans="1:3" ht="13.5" thickBot="1" x14ac:dyDescent="0.25">
      <c r="A1358" s="3">
        <v>5770</v>
      </c>
      <c r="B1358" s="27">
        <v>45312.430578703701</v>
      </c>
      <c r="C1358" s="3" t="s">
        <v>3</v>
      </c>
    </row>
    <row r="1359" spans="1:3" ht="13.5" thickBot="1" x14ac:dyDescent="0.25">
      <c r="A1359" s="3">
        <v>5465</v>
      </c>
      <c r="B1359" s="27">
        <v>45312.439108796294</v>
      </c>
      <c r="C1359" s="3" t="s">
        <v>4</v>
      </c>
    </row>
    <row r="1360" spans="1:3" ht="13.5" thickBot="1" x14ac:dyDescent="0.25">
      <c r="A1360" s="3">
        <v>1173</v>
      </c>
      <c r="B1360" s="27">
        <v>45312.446053240739</v>
      </c>
      <c r="C1360" s="3" t="s">
        <v>7</v>
      </c>
    </row>
    <row r="1361" spans="1:3" ht="13.5" thickBot="1" x14ac:dyDescent="0.25">
      <c r="A1361" s="3">
        <v>4571</v>
      </c>
      <c r="B1361" s="27">
        <v>45312.452835648146</v>
      </c>
      <c r="C1361" s="3" t="s">
        <v>3</v>
      </c>
    </row>
    <row r="1362" spans="1:3" ht="13.5" thickBot="1" x14ac:dyDescent="0.25">
      <c r="A1362" s="3">
        <v>7448</v>
      </c>
      <c r="B1362" s="27">
        <v>45312.460173611114</v>
      </c>
      <c r="C1362" s="3" t="s">
        <v>3</v>
      </c>
    </row>
    <row r="1363" spans="1:3" ht="13.5" thickBot="1" x14ac:dyDescent="0.25">
      <c r="A1363" s="3">
        <v>2550</v>
      </c>
      <c r="B1363" s="27">
        <v>45312.477812500001</v>
      </c>
      <c r="C1363" s="3" t="s">
        <v>4</v>
      </c>
    </row>
    <row r="1364" spans="1:3" ht="13.5" thickBot="1" x14ac:dyDescent="0.25">
      <c r="A1364" s="3">
        <v>4374</v>
      </c>
      <c r="B1364" s="27">
        <v>45312.478113425925</v>
      </c>
      <c r="C1364" s="3" t="s">
        <v>6</v>
      </c>
    </row>
    <row r="1365" spans="1:3" ht="13.5" thickBot="1" x14ac:dyDescent="0.25">
      <c r="A1365" s="3">
        <v>756</v>
      </c>
      <c r="B1365" s="27">
        <v>45312.497557870367</v>
      </c>
      <c r="C1365" s="3" t="s">
        <v>5</v>
      </c>
    </row>
    <row r="1366" spans="1:3" ht="13.5" thickBot="1" x14ac:dyDescent="0.25">
      <c r="A1366" s="3">
        <v>2914</v>
      </c>
      <c r="B1366" s="27">
        <v>45312.547442129631</v>
      </c>
      <c r="C1366" s="3" t="s">
        <v>5</v>
      </c>
    </row>
    <row r="1367" spans="1:3" ht="13.5" thickBot="1" x14ac:dyDescent="0.25">
      <c r="A1367" s="3">
        <v>1681</v>
      </c>
      <c r="B1367" s="27">
        <v>45312.563402777778</v>
      </c>
      <c r="C1367" s="3" t="s">
        <v>4</v>
      </c>
    </row>
    <row r="1368" spans="1:3" ht="13.5" thickBot="1" x14ac:dyDescent="0.25">
      <c r="A1368" s="3">
        <v>2736</v>
      </c>
      <c r="B1368" s="27">
        <v>45312.589895833335</v>
      </c>
      <c r="C1368" s="3" t="s">
        <v>3</v>
      </c>
    </row>
    <row r="1369" spans="1:3" ht="13.5" thickBot="1" x14ac:dyDescent="0.25">
      <c r="A1369" s="3">
        <v>6658</v>
      </c>
      <c r="B1369" s="27">
        <v>45312.61273148148</v>
      </c>
      <c r="C1369" s="3" t="s">
        <v>3</v>
      </c>
    </row>
    <row r="1370" spans="1:3" ht="13.5" thickBot="1" x14ac:dyDescent="0.25">
      <c r="A1370" s="3">
        <v>2652</v>
      </c>
      <c r="B1370" s="27">
        <v>45312.615405092591</v>
      </c>
      <c r="C1370" s="3" t="s">
        <v>4</v>
      </c>
    </row>
    <row r="1371" spans="1:3" ht="13.5" thickBot="1" x14ac:dyDescent="0.25">
      <c r="A1371" s="3">
        <v>5192</v>
      </c>
      <c r="B1371" s="27">
        <v>45312.628854166665</v>
      </c>
      <c r="C1371" s="3" t="s">
        <v>3</v>
      </c>
    </row>
    <row r="1372" spans="1:3" ht="13.5" thickBot="1" x14ac:dyDescent="0.25">
      <c r="A1372" s="3">
        <v>6479</v>
      </c>
      <c r="B1372" s="27">
        <v>45312.635428240741</v>
      </c>
      <c r="C1372" s="3" t="s">
        <v>7</v>
      </c>
    </row>
    <row r="1373" spans="1:3" ht="13.5" thickBot="1" x14ac:dyDescent="0.25">
      <c r="A1373" s="3">
        <v>4728</v>
      </c>
      <c r="B1373" s="27">
        <v>45312.638622685183</v>
      </c>
      <c r="C1373" s="3" t="s">
        <v>4</v>
      </c>
    </row>
    <row r="1374" spans="1:3" ht="13.5" thickBot="1" x14ac:dyDescent="0.25">
      <c r="A1374" s="3">
        <v>7250</v>
      </c>
      <c r="B1374" s="27">
        <v>45312.645381944443</v>
      </c>
      <c r="C1374" s="3" t="s">
        <v>4</v>
      </c>
    </row>
    <row r="1375" spans="1:3" ht="13.5" thickBot="1" x14ac:dyDescent="0.25">
      <c r="A1375" s="3">
        <v>1375</v>
      </c>
      <c r="B1375" s="27">
        <v>45312.654270833336</v>
      </c>
      <c r="C1375" s="3" t="s">
        <v>3</v>
      </c>
    </row>
    <row r="1376" spans="1:3" ht="13.5" thickBot="1" x14ac:dyDescent="0.25">
      <c r="A1376" s="3">
        <v>1430</v>
      </c>
      <c r="B1376" s="27">
        <v>45312.674143518518</v>
      </c>
      <c r="C1376" s="3" t="s">
        <v>7</v>
      </c>
    </row>
    <row r="1377" spans="1:3" ht="13.5" thickBot="1" x14ac:dyDescent="0.25">
      <c r="A1377" s="3">
        <v>1</v>
      </c>
      <c r="B1377" s="27">
        <v>45312.715763888889</v>
      </c>
      <c r="C1377" s="3" t="s">
        <v>4</v>
      </c>
    </row>
    <row r="1378" spans="1:3" ht="13.5" thickBot="1" x14ac:dyDescent="0.25">
      <c r="A1378" s="3">
        <v>6798</v>
      </c>
      <c r="B1378" s="27">
        <v>45312.726782407408</v>
      </c>
      <c r="C1378" s="3" t="s">
        <v>6</v>
      </c>
    </row>
    <row r="1379" spans="1:3" ht="13.5" thickBot="1" x14ac:dyDescent="0.25">
      <c r="A1379" s="3">
        <v>684</v>
      </c>
      <c r="B1379" s="27">
        <v>45312.728171296294</v>
      </c>
      <c r="C1379" s="3" t="s">
        <v>6</v>
      </c>
    </row>
    <row r="1380" spans="1:3" ht="13.5" thickBot="1" x14ac:dyDescent="0.25">
      <c r="A1380" s="3">
        <v>1372</v>
      </c>
      <c r="B1380" s="27">
        <v>45312.761678240742</v>
      </c>
      <c r="C1380" s="3" t="s">
        <v>4</v>
      </c>
    </row>
    <row r="1381" spans="1:3" ht="13.5" thickBot="1" x14ac:dyDescent="0.25">
      <c r="A1381" s="3">
        <v>753</v>
      </c>
      <c r="B1381" s="27">
        <v>45312.804629629631</v>
      </c>
      <c r="C1381" s="3" t="s">
        <v>5</v>
      </c>
    </row>
    <row r="1382" spans="1:3" ht="13.5" thickBot="1" x14ac:dyDescent="0.25">
      <c r="A1382" s="3">
        <v>2484</v>
      </c>
      <c r="B1382" s="27">
        <v>45312.845023148147</v>
      </c>
      <c r="C1382" s="3" t="s">
        <v>3</v>
      </c>
    </row>
    <row r="1383" spans="1:3" ht="13.5" thickBot="1" x14ac:dyDescent="0.25">
      <c r="A1383" s="3">
        <v>2677</v>
      </c>
      <c r="B1383" s="27">
        <v>45312.846006944441</v>
      </c>
      <c r="C1383" s="3" t="s">
        <v>3</v>
      </c>
    </row>
    <row r="1384" spans="1:3" ht="13.5" thickBot="1" x14ac:dyDescent="0.25">
      <c r="A1384" s="3">
        <v>1980</v>
      </c>
      <c r="B1384" s="27">
        <v>45312.852453703701</v>
      </c>
      <c r="C1384" s="3" t="s">
        <v>3</v>
      </c>
    </row>
    <row r="1385" spans="1:3" ht="13.5" thickBot="1" x14ac:dyDescent="0.25">
      <c r="A1385" s="3">
        <v>7140</v>
      </c>
      <c r="B1385" s="27">
        <v>45312.852766203701</v>
      </c>
      <c r="C1385" s="3" t="s">
        <v>3</v>
      </c>
    </row>
    <row r="1386" spans="1:3" ht="13.5" thickBot="1" x14ac:dyDescent="0.25">
      <c r="A1386" s="3">
        <v>2652</v>
      </c>
      <c r="B1386" s="27">
        <v>45312.853101851855</v>
      </c>
      <c r="C1386" s="3" t="s">
        <v>3</v>
      </c>
    </row>
    <row r="1387" spans="1:3" ht="13.5" thickBot="1" x14ac:dyDescent="0.25">
      <c r="A1387" s="3">
        <v>7038</v>
      </c>
      <c r="B1387" s="27">
        <v>45312.94090277778</v>
      </c>
      <c r="C1387" s="3" t="s">
        <v>3</v>
      </c>
    </row>
    <row r="1388" spans="1:3" ht="13.5" thickBot="1" x14ac:dyDescent="0.25">
      <c r="A1388" s="3">
        <v>2823</v>
      </c>
      <c r="B1388" s="27">
        <v>45312.952581018515</v>
      </c>
      <c r="C1388" s="3" t="s">
        <v>3</v>
      </c>
    </row>
    <row r="1389" spans="1:3" ht="13.5" thickBot="1" x14ac:dyDescent="0.25">
      <c r="A1389" s="3">
        <v>7574</v>
      </c>
      <c r="B1389" s="27">
        <v>45312.967546296299</v>
      </c>
      <c r="C1389" s="3" t="s">
        <v>4</v>
      </c>
    </row>
    <row r="1390" spans="1:3" ht="13.5" thickBot="1" x14ac:dyDescent="0.25">
      <c r="A1390" s="3">
        <v>316</v>
      </c>
      <c r="B1390" s="27">
        <v>45312.97347222222</v>
      </c>
      <c r="C1390" s="3" t="s">
        <v>4</v>
      </c>
    </row>
    <row r="1391" spans="1:3" ht="13.5" thickBot="1" x14ac:dyDescent="0.25">
      <c r="A1391" s="3">
        <v>1260</v>
      </c>
      <c r="B1391" s="27">
        <v>45312.987164351849</v>
      </c>
      <c r="C1391" s="3" t="s">
        <v>5</v>
      </c>
    </row>
    <row r="1392" spans="1:3" ht="13.5" thickBot="1" x14ac:dyDescent="0.25">
      <c r="A1392" s="3">
        <v>2267</v>
      </c>
      <c r="B1392" s="27">
        <v>45312.990069444444</v>
      </c>
      <c r="C1392" s="3" t="s">
        <v>3</v>
      </c>
    </row>
    <row r="1393" spans="1:3" ht="13.5" thickBot="1" x14ac:dyDescent="0.25">
      <c r="A1393" s="3">
        <v>3384</v>
      </c>
      <c r="B1393" s="27">
        <v>45312.993402777778</v>
      </c>
      <c r="C1393" s="3" t="s">
        <v>6</v>
      </c>
    </row>
    <row r="1394" spans="1:3" ht="13.5" thickBot="1" x14ac:dyDescent="0.25">
      <c r="A1394" s="3">
        <v>4117</v>
      </c>
      <c r="B1394" s="27">
        <v>45313.000023148146</v>
      </c>
      <c r="C1394" s="3" t="s">
        <v>4</v>
      </c>
    </row>
    <row r="1395" spans="1:3" ht="13.5" thickBot="1" x14ac:dyDescent="0.25">
      <c r="A1395" s="3">
        <v>7988</v>
      </c>
      <c r="B1395" s="27">
        <v>45313.015960648147</v>
      </c>
      <c r="C1395" s="3" t="s">
        <v>6</v>
      </c>
    </row>
    <row r="1396" spans="1:3" ht="13.5" thickBot="1" x14ac:dyDescent="0.25">
      <c r="A1396" s="3">
        <v>4205</v>
      </c>
      <c r="B1396" s="27">
        <v>45313.017974537041</v>
      </c>
      <c r="C1396" s="3" t="s">
        <v>3</v>
      </c>
    </row>
    <row r="1397" spans="1:3" ht="13.5" thickBot="1" x14ac:dyDescent="0.25">
      <c r="A1397" s="3">
        <v>2152</v>
      </c>
      <c r="B1397" s="27">
        <v>45313.046157407407</v>
      </c>
      <c r="C1397" s="3" t="s">
        <v>4</v>
      </c>
    </row>
    <row r="1398" spans="1:3" ht="13.5" thickBot="1" x14ac:dyDescent="0.25">
      <c r="A1398" s="3">
        <v>1327</v>
      </c>
      <c r="B1398" s="27">
        <v>45313.057118055556</v>
      </c>
      <c r="C1398" s="3" t="s">
        <v>4</v>
      </c>
    </row>
    <row r="1399" spans="1:3" ht="13.5" thickBot="1" x14ac:dyDescent="0.25">
      <c r="A1399" s="3">
        <v>7109</v>
      </c>
      <c r="B1399" s="27">
        <v>45313.093078703707</v>
      </c>
      <c r="C1399" s="3" t="s">
        <v>6</v>
      </c>
    </row>
    <row r="1400" spans="1:3" ht="13.5" thickBot="1" x14ac:dyDescent="0.25">
      <c r="A1400" s="3">
        <v>4447</v>
      </c>
      <c r="B1400" s="27">
        <v>45313.095185185186</v>
      </c>
      <c r="C1400" s="3" t="s">
        <v>3</v>
      </c>
    </row>
    <row r="1401" spans="1:3" ht="13.5" thickBot="1" x14ac:dyDescent="0.25">
      <c r="A1401" s="3">
        <v>5135</v>
      </c>
      <c r="B1401" s="27">
        <v>45313.106585648151</v>
      </c>
      <c r="C1401" s="3" t="s">
        <v>3</v>
      </c>
    </row>
    <row r="1402" spans="1:3" ht="13.5" thickBot="1" x14ac:dyDescent="0.25">
      <c r="A1402" s="3">
        <v>7564</v>
      </c>
      <c r="B1402" s="27">
        <v>45313.112071759257</v>
      </c>
      <c r="C1402" s="3" t="s">
        <v>3</v>
      </c>
    </row>
    <row r="1403" spans="1:3" ht="13.5" thickBot="1" x14ac:dyDescent="0.25">
      <c r="A1403" s="3">
        <v>5857</v>
      </c>
      <c r="B1403" s="27">
        <v>45313.117789351854</v>
      </c>
      <c r="C1403" s="3" t="s">
        <v>7</v>
      </c>
    </row>
    <row r="1404" spans="1:3" ht="13.5" thickBot="1" x14ac:dyDescent="0.25">
      <c r="A1404" s="3">
        <v>612</v>
      </c>
      <c r="B1404" s="27">
        <v>45313.166493055556</v>
      </c>
      <c r="C1404" s="3" t="s">
        <v>6</v>
      </c>
    </row>
    <row r="1405" spans="1:3" ht="13.5" thickBot="1" x14ac:dyDescent="0.25">
      <c r="A1405" s="3">
        <v>7789</v>
      </c>
      <c r="B1405" s="27">
        <v>45313.170057870368</v>
      </c>
      <c r="C1405" s="3" t="s">
        <v>3</v>
      </c>
    </row>
    <row r="1406" spans="1:3" ht="13.5" thickBot="1" x14ac:dyDescent="0.25">
      <c r="A1406" s="3">
        <v>1910</v>
      </c>
      <c r="B1406" s="27">
        <v>45313.171400462961</v>
      </c>
      <c r="C1406" s="3" t="s">
        <v>3</v>
      </c>
    </row>
    <row r="1407" spans="1:3" ht="13.5" thickBot="1" x14ac:dyDescent="0.25">
      <c r="A1407" s="3">
        <v>1278</v>
      </c>
      <c r="B1407" s="27">
        <v>45313.173773148148</v>
      </c>
      <c r="C1407" s="3" t="s">
        <v>4</v>
      </c>
    </row>
    <row r="1408" spans="1:3" ht="13.5" thickBot="1" x14ac:dyDescent="0.25">
      <c r="A1408" s="3">
        <v>1980</v>
      </c>
      <c r="B1408" s="27">
        <v>45313.176018518519</v>
      </c>
      <c r="C1408" s="3" t="s">
        <v>5</v>
      </c>
    </row>
    <row r="1409" spans="1:3" ht="13.5" thickBot="1" x14ac:dyDescent="0.25">
      <c r="A1409" s="3">
        <v>6716</v>
      </c>
      <c r="B1409" s="27">
        <v>45313.183888888889</v>
      </c>
      <c r="C1409" s="3" t="s">
        <v>5</v>
      </c>
    </row>
    <row r="1410" spans="1:3" ht="13.5" thickBot="1" x14ac:dyDescent="0.25">
      <c r="A1410" s="3">
        <v>2152</v>
      </c>
      <c r="B1410" s="27">
        <v>45313.203368055554</v>
      </c>
      <c r="C1410" s="3" t="s">
        <v>3</v>
      </c>
    </row>
    <row r="1411" spans="1:3" ht="13.5" thickBot="1" x14ac:dyDescent="0.25">
      <c r="A1411" s="3">
        <v>325</v>
      </c>
      <c r="B1411" s="27">
        <v>45313.205150462964</v>
      </c>
      <c r="C1411" s="3" t="s">
        <v>6</v>
      </c>
    </row>
    <row r="1412" spans="1:3" ht="13.5" thickBot="1" x14ac:dyDescent="0.25">
      <c r="A1412" s="3">
        <v>6914</v>
      </c>
      <c r="B1412" s="27">
        <v>45313.205474537041</v>
      </c>
      <c r="C1412" s="3" t="s">
        <v>5</v>
      </c>
    </row>
    <row r="1413" spans="1:3" ht="13.5" thickBot="1" x14ac:dyDescent="0.25">
      <c r="A1413" s="3">
        <v>3369</v>
      </c>
      <c r="B1413" s="27">
        <v>45313.209664351853</v>
      </c>
      <c r="C1413" s="3" t="s">
        <v>4</v>
      </c>
    </row>
    <row r="1414" spans="1:3" ht="13.5" thickBot="1" x14ac:dyDescent="0.25">
      <c r="A1414" s="3">
        <v>4273</v>
      </c>
      <c r="B1414" s="27">
        <v>45313.221250000002</v>
      </c>
      <c r="C1414" s="3" t="s">
        <v>3</v>
      </c>
    </row>
    <row r="1415" spans="1:3" ht="13.5" thickBot="1" x14ac:dyDescent="0.25">
      <c r="A1415" s="3">
        <v>5465</v>
      </c>
      <c r="B1415" s="27">
        <v>45313.226435185185</v>
      </c>
      <c r="C1415" s="3" t="s">
        <v>6</v>
      </c>
    </row>
    <row r="1416" spans="1:3" ht="13.5" thickBot="1" x14ac:dyDescent="0.25">
      <c r="A1416" s="3">
        <v>7205</v>
      </c>
      <c r="B1416" s="27">
        <v>45313.234652777777</v>
      </c>
      <c r="C1416" s="3" t="s">
        <v>3</v>
      </c>
    </row>
    <row r="1417" spans="1:3" ht="13.5" thickBot="1" x14ac:dyDescent="0.25">
      <c r="A1417" s="3">
        <v>6126</v>
      </c>
      <c r="B1417" s="27">
        <v>45313.240370370368</v>
      </c>
      <c r="C1417" s="3" t="s">
        <v>3</v>
      </c>
    </row>
    <row r="1418" spans="1:3" ht="13.5" thickBot="1" x14ac:dyDescent="0.25">
      <c r="A1418" s="3">
        <v>6506</v>
      </c>
      <c r="B1418" s="27">
        <v>45313.261643518519</v>
      </c>
      <c r="C1418" s="3" t="s">
        <v>4</v>
      </c>
    </row>
    <row r="1419" spans="1:3" ht="13.5" thickBot="1" x14ac:dyDescent="0.25">
      <c r="A1419" s="3">
        <v>4996</v>
      </c>
      <c r="B1419" s="27">
        <v>45313.267384259256</v>
      </c>
      <c r="C1419" s="3" t="s">
        <v>3</v>
      </c>
    </row>
    <row r="1420" spans="1:3" ht="13.5" thickBot="1" x14ac:dyDescent="0.25">
      <c r="A1420" s="3">
        <v>3769</v>
      </c>
      <c r="B1420" s="27">
        <v>45313.295312499999</v>
      </c>
      <c r="C1420" s="3" t="s">
        <v>6</v>
      </c>
    </row>
    <row r="1421" spans="1:3" ht="13.5" thickBot="1" x14ac:dyDescent="0.25">
      <c r="A1421" s="3">
        <v>2866</v>
      </c>
      <c r="B1421" s="27">
        <v>45313.297025462962</v>
      </c>
      <c r="C1421" s="3" t="s">
        <v>3</v>
      </c>
    </row>
    <row r="1422" spans="1:3" ht="13.5" thickBot="1" x14ac:dyDescent="0.25">
      <c r="A1422" s="3">
        <v>6218</v>
      </c>
      <c r="B1422" s="27">
        <v>45313.307037037041</v>
      </c>
      <c r="C1422" s="3" t="s">
        <v>6</v>
      </c>
    </row>
    <row r="1423" spans="1:3" ht="13.5" thickBot="1" x14ac:dyDescent="0.25">
      <c r="A1423" s="3">
        <v>284</v>
      </c>
      <c r="B1423" s="27">
        <v>45313.343726851854</v>
      </c>
      <c r="C1423" s="3" t="s">
        <v>3</v>
      </c>
    </row>
    <row r="1424" spans="1:3" ht="13.5" thickBot="1" x14ac:dyDescent="0.25">
      <c r="A1424" s="3">
        <v>6528</v>
      </c>
      <c r="B1424" s="27">
        <v>45313.359629629631</v>
      </c>
      <c r="C1424" s="3" t="s">
        <v>5</v>
      </c>
    </row>
    <row r="1425" spans="1:3" ht="13.5" thickBot="1" x14ac:dyDescent="0.25">
      <c r="A1425" s="3">
        <v>2734</v>
      </c>
      <c r="B1425" s="27">
        <v>45313.378379629627</v>
      </c>
      <c r="C1425" s="3" t="s">
        <v>3</v>
      </c>
    </row>
    <row r="1426" spans="1:3" ht="13.5" thickBot="1" x14ac:dyDescent="0.25">
      <c r="A1426" s="3">
        <v>5529</v>
      </c>
      <c r="B1426" s="27">
        <v>45313.387546296297</v>
      </c>
      <c r="C1426" s="3" t="s">
        <v>7</v>
      </c>
    </row>
    <row r="1427" spans="1:3" ht="13.5" thickBot="1" x14ac:dyDescent="0.25">
      <c r="A1427" s="3">
        <v>7756</v>
      </c>
      <c r="B1427" s="27">
        <v>45313.405925925923</v>
      </c>
      <c r="C1427" s="3" t="s">
        <v>3</v>
      </c>
    </row>
    <row r="1428" spans="1:3" ht="13.5" thickBot="1" x14ac:dyDescent="0.25">
      <c r="A1428" s="3">
        <v>1980</v>
      </c>
      <c r="B1428" s="27">
        <v>45313.424120370371</v>
      </c>
      <c r="C1428" s="3" t="s">
        <v>4</v>
      </c>
    </row>
    <row r="1429" spans="1:3" ht="13.5" thickBot="1" x14ac:dyDescent="0.25">
      <c r="A1429" s="3">
        <v>3384</v>
      </c>
      <c r="B1429" s="27">
        <v>45313.42864583333</v>
      </c>
      <c r="C1429" s="3" t="s">
        <v>5</v>
      </c>
    </row>
    <row r="1430" spans="1:3" ht="13.5" thickBot="1" x14ac:dyDescent="0.25">
      <c r="A1430" s="3">
        <v>1170</v>
      </c>
      <c r="B1430" s="27">
        <v>45313.434108796297</v>
      </c>
      <c r="C1430" s="3" t="s">
        <v>3</v>
      </c>
    </row>
    <row r="1431" spans="1:3" ht="13.5" thickBot="1" x14ac:dyDescent="0.25">
      <c r="A1431" s="3">
        <v>6937</v>
      </c>
      <c r="B1431" s="27">
        <v>45313.451458333337</v>
      </c>
      <c r="C1431" s="3" t="s">
        <v>4</v>
      </c>
    </row>
    <row r="1432" spans="1:3" ht="13.5" thickBot="1" x14ac:dyDescent="0.25">
      <c r="A1432" s="3">
        <v>4037</v>
      </c>
      <c r="B1432" s="27">
        <v>45313.465752314813</v>
      </c>
      <c r="C1432" s="3" t="s">
        <v>3</v>
      </c>
    </row>
    <row r="1433" spans="1:3" ht="13.5" thickBot="1" x14ac:dyDescent="0.25">
      <c r="A1433" s="3">
        <v>2037</v>
      </c>
      <c r="B1433" s="27">
        <v>45313.498668981483</v>
      </c>
      <c r="C1433" s="3" t="s">
        <v>5</v>
      </c>
    </row>
    <row r="1434" spans="1:3" ht="13.5" thickBot="1" x14ac:dyDescent="0.25">
      <c r="A1434" s="3">
        <v>5323</v>
      </c>
      <c r="B1434" s="27">
        <v>45313.519918981481</v>
      </c>
      <c r="C1434" s="3" t="s">
        <v>4</v>
      </c>
    </row>
    <row r="1435" spans="1:3" ht="13.5" thickBot="1" x14ac:dyDescent="0.25">
      <c r="A1435" s="3">
        <v>4571</v>
      </c>
      <c r="B1435" s="27">
        <v>45313.545138888891</v>
      </c>
      <c r="C1435" s="3" t="s">
        <v>4</v>
      </c>
    </row>
    <row r="1436" spans="1:3" ht="13.5" thickBot="1" x14ac:dyDescent="0.25">
      <c r="A1436" s="3">
        <v>4806</v>
      </c>
      <c r="B1436" s="27">
        <v>45313.592662037037</v>
      </c>
      <c r="C1436" s="3" t="s">
        <v>3</v>
      </c>
    </row>
    <row r="1437" spans="1:3" ht="13.5" thickBot="1" x14ac:dyDescent="0.25">
      <c r="A1437" s="3">
        <v>2804</v>
      </c>
      <c r="B1437" s="27">
        <v>45313.603333333333</v>
      </c>
      <c r="C1437" s="3" t="s">
        <v>3</v>
      </c>
    </row>
    <row r="1438" spans="1:3" ht="13.5" thickBot="1" x14ac:dyDescent="0.25">
      <c r="A1438" s="3">
        <v>1959</v>
      </c>
      <c r="B1438" s="27">
        <v>45313.633333333331</v>
      </c>
      <c r="C1438" s="3" t="s">
        <v>4</v>
      </c>
    </row>
    <row r="1439" spans="1:3" ht="13.5" thickBot="1" x14ac:dyDescent="0.25">
      <c r="A1439" s="3">
        <v>7955</v>
      </c>
      <c r="B1439" s="27">
        <v>45313.668124999997</v>
      </c>
      <c r="C1439" s="3" t="s">
        <v>4</v>
      </c>
    </row>
    <row r="1440" spans="1:3" ht="13.5" thickBot="1" x14ac:dyDescent="0.25">
      <c r="A1440" s="3">
        <v>4158</v>
      </c>
      <c r="B1440" s="27">
        <v>45313.672986111109</v>
      </c>
      <c r="C1440" s="3" t="s">
        <v>3</v>
      </c>
    </row>
    <row r="1441" spans="1:3" ht="13.5" thickBot="1" x14ac:dyDescent="0.25">
      <c r="A1441" s="3">
        <v>6506</v>
      </c>
      <c r="B1441" s="27">
        <v>45313.678703703707</v>
      </c>
      <c r="C1441" s="3" t="s">
        <v>3</v>
      </c>
    </row>
    <row r="1442" spans="1:3" ht="13.5" thickBot="1" x14ac:dyDescent="0.25">
      <c r="A1442" s="3">
        <v>6192</v>
      </c>
      <c r="B1442" s="27">
        <v>45313.711261574077</v>
      </c>
      <c r="C1442" s="3" t="s">
        <v>6</v>
      </c>
    </row>
    <row r="1443" spans="1:3" ht="13.5" thickBot="1" x14ac:dyDescent="0.25">
      <c r="A1443" s="3">
        <v>2516</v>
      </c>
      <c r="B1443" s="27">
        <v>45313.716215277775</v>
      </c>
      <c r="C1443" s="3" t="s">
        <v>3</v>
      </c>
    </row>
    <row r="1444" spans="1:3" ht="13.5" thickBot="1" x14ac:dyDescent="0.25">
      <c r="A1444" s="3">
        <v>4605</v>
      </c>
      <c r="B1444" s="27">
        <v>45313.759444444448</v>
      </c>
      <c r="C1444" s="3" t="s">
        <v>3</v>
      </c>
    </row>
    <row r="1445" spans="1:3" ht="13.5" thickBot="1" x14ac:dyDescent="0.25">
      <c r="A1445" s="3">
        <v>1823</v>
      </c>
      <c r="B1445" s="27">
        <v>45313.767581018517</v>
      </c>
      <c r="C1445" s="3" t="s">
        <v>3</v>
      </c>
    </row>
    <row r="1446" spans="1:3" ht="13.5" thickBot="1" x14ac:dyDescent="0.25">
      <c r="A1446" s="3">
        <v>1375</v>
      </c>
      <c r="B1446" s="27">
        <v>45313.772418981483</v>
      </c>
      <c r="C1446" s="3" t="s">
        <v>4</v>
      </c>
    </row>
    <row r="1447" spans="1:3" ht="13.5" thickBot="1" x14ac:dyDescent="0.25">
      <c r="A1447" s="3">
        <v>7955</v>
      </c>
      <c r="B1447" s="27">
        <v>45313.784444444442</v>
      </c>
      <c r="C1447" s="3" t="s">
        <v>3</v>
      </c>
    </row>
    <row r="1448" spans="1:3" ht="13.5" thickBot="1" x14ac:dyDescent="0.25">
      <c r="A1448" s="3">
        <v>4951</v>
      </c>
      <c r="B1448" s="27">
        <v>45313.784710648149</v>
      </c>
      <c r="C1448" s="3" t="s">
        <v>4</v>
      </c>
    </row>
    <row r="1449" spans="1:3" ht="13.5" thickBot="1" x14ac:dyDescent="0.25">
      <c r="A1449" s="3">
        <v>853</v>
      </c>
      <c r="B1449" s="27">
        <v>45313.788240740738</v>
      </c>
      <c r="C1449" s="3" t="s">
        <v>6</v>
      </c>
    </row>
    <row r="1450" spans="1:3" ht="13.5" thickBot="1" x14ac:dyDescent="0.25">
      <c r="A1450" s="3">
        <v>5857</v>
      </c>
      <c r="B1450" s="27">
        <v>45313.79383101852</v>
      </c>
      <c r="C1450" s="3" t="s">
        <v>6</v>
      </c>
    </row>
    <row r="1451" spans="1:3" ht="13.5" thickBot="1" x14ac:dyDescent="0.25">
      <c r="A1451" s="3">
        <v>1420</v>
      </c>
      <c r="B1451" s="27">
        <v>45313.804780092592</v>
      </c>
      <c r="C1451" s="3" t="s">
        <v>5</v>
      </c>
    </row>
    <row r="1452" spans="1:3" ht="13.5" thickBot="1" x14ac:dyDescent="0.25">
      <c r="A1452" s="3">
        <v>1260</v>
      </c>
      <c r="B1452" s="27">
        <v>45313.805578703701</v>
      </c>
      <c r="C1452" s="3" t="s">
        <v>6</v>
      </c>
    </row>
    <row r="1453" spans="1:3" ht="13.5" thickBot="1" x14ac:dyDescent="0.25">
      <c r="A1453" s="3">
        <v>2913</v>
      </c>
      <c r="B1453" s="27">
        <v>45313.816180555557</v>
      </c>
      <c r="C1453" s="3" t="s">
        <v>3</v>
      </c>
    </row>
    <row r="1454" spans="1:3" ht="13.5" thickBot="1" x14ac:dyDescent="0.25">
      <c r="A1454" s="3">
        <v>6646</v>
      </c>
      <c r="B1454" s="27">
        <v>45313.823819444442</v>
      </c>
      <c r="C1454" s="3" t="s">
        <v>3</v>
      </c>
    </row>
    <row r="1455" spans="1:3" ht="13.5" thickBot="1" x14ac:dyDescent="0.25">
      <c r="A1455" s="3">
        <v>5715</v>
      </c>
      <c r="B1455" s="27">
        <v>45313.826354166667</v>
      </c>
      <c r="C1455" s="3" t="s">
        <v>6</v>
      </c>
    </row>
    <row r="1456" spans="1:3" ht="13.5" thickBot="1" x14ac:dyDescent="0.25">
      <c r="A1456" s="3">
        <v>23</v>
      </c>
      <c r="B1456" s="27">
        <v>45313.857430555552</v>
      </c>
      <c r="C1456" s="3" t="s">
        <v>4</v>
      </c>
    </row>
    <row r="1457" spans="1:3" ht="13.5" thickBot="1" x14ac:dyDescent="0.25">
      <c r="A1457" s="3">
        <v>1427</v>
      </c>
      <c r="B1457" s="27">
        <v>45313.858159722222</v>
      </c>
      <c r="C1457" s="3" t="s">
        <v>3</v>
      </c>
    </row>
    <row r="1458" spans="1:3" ht="13.5" thickBot="1" x14ac:dyDescent="0.25">
      <c r="A1458" s="3">
        <v>1288</v>
      </c>
      <c r="B1458" s="27">
        <v>45313.889965277776</v>
      </c>
      <c r="C1458" s="3" t="s">
        <v>3</v>
      </c>
    </row>
    <row r="1459" spans="1:3" ht="13.5" thickBot="1" x14ac:dyDescent="0.25">
      <c r="A1459" s="3">
        <v>3706</v>
      </c>
      <c r="B1459" s="27">
        <v>45313.918425925927</v>
      </c>
      <c r="C1459" s="3" t="s">
        <v>4</v>
      </c>
    </row>
    <row r="1460" spans="1:3" ht="13.5" thickBot="1" x14ac:dyDescent="0.25">
      <c r="A1460" s="3">
        <v>3407</v>
      </c>
      <c r="B1460" s="27">
        <v>45313.918888888889</v>
      </c>
      <c r="C1460" s="3" t="s">
        <v>3</v>
      </c>
    </row>
    <row r="1461" spans="1:3" ht="13.5" thickBot="1" x14ac:dyDescent="0.25">
      <c r="A1461" s="3">
        <v>519</v>
      </c>
      <c r="B1461" s="27">
        <v>45313.944826388892</v>
      </c>
      <c r="C1461" s="3" t="s">
        <v>4</v>
      </c>
    </row>
    <row r="1462" spans="1:3" ht="13.5" thickBot="1" x14ac:dyDescent="0.25">
      <c r="A1462" s="3">
        <v>3361</v>
      </c>
      <c r="B1462" s="27">
        <v>45313.956412037034</v>
      </c>
      <c r="C1462" s="3" t="s">
        <v>6</v>
      </c>
    </row>
    <row r="1463" spans="1:3" ht="13.5" thickBot="1" x14ac:dyDescent="0.25">
      <c r="A1463" s="3">
        <v>4680</v>
      </c>
      <c r="B1463" s="27">
        <v>45313.990393518521</v>
      </c>
      <c r="C1463" s="3" t="s">
        <v>3</v>
      </c>
    </row>
    <row r="1464" spans="1:3" ht="13.5" thickBot="1" x14ac:dyDescent="0.25">
      <c r="A1464" s="3">
        <v>5465</v>
      </c>
      <c r="B1464" s="27">
        <v>45314.006284722222</v>
      </c>
      <c r="C1464" s="3" t="s">
        <v>7</v>
      </c>
    </row>
    <row r="1465" spans="1:3" ht="13.5" thickBot="1" x14ac:dyDescent="0.25">
      <c r="A1465" s="3">
        <v>4728</v>
      </c>
      <c r="B1465" s="27">
        <v>45314.027604166666</v>
      </c>
      <c r="C1465" s="3" t="s">
        <v>7</v>
      </c>
    </row>
    <row r="1466" spans="1:3" ht="13.5" thickBot="1" x14ac:dyDescent="0.25">
      <c r="A1466" s="3">
        <v>7370</v>
      </c>
      <c r="B1466" s="27">
        <v>45314.044050925928</v>
      </c>
      <c r="C1466" s="3" t="s">
        <v>4</v>
      </c>
    </row>
    <row r="1467" spans="1:3" ht="13.5" thickBot="1" x14ac:dyDescent="0.25">
      <c r="A1467" s="3">
        <v>6173</v>
      </c>
      <c r="B1467" s="27">
        <v>45314.047418981485</v>
      </c>
      <c r="C1467" s="3" t="s">
        <v>3</v>
      </c>
    </row>
    <row r="1468" spans="1:3" ht="13.5" thickBot="1" x14ac:dyDescent="0.25">
      <c r="A1468" s="3">
        <v>7653</v>
      </c>
      <c r="B1468" s="27">
        <v>45314.051874999997</v>
      </c>
      <c r="C1468" s="3" t="s">
        <v>4</v>
      </c>
    </row>
    <row r="1469" spans="1:3" ht="13.5" thickBot="1" x14ac:dyDescent="0.25">
      <c r="A1469" s="3">
        <v>2550</v>
      </c>
      <c r="B1469" s="27">
        <v>45314.066041666665</v>
      </c>
      <c r="C1469" s="3" t="s">
        <v>5</v>
      </c>
    </row>
    <row r="1470" spans="1:3" ht="13.5" thickBot="1" x14ac:dyDescent="0.25">
      <c r="A1470" s="3">
        <v>7803</v>
      </c>
      <c r="B1470" s="27">
        <v>45314.105127314811</v>
      </c>
      <c r="C1470" s="3" t="s">
        <v>3</v>
      </c>
    </row>
    <row r="1471" spans="1:3" ht="13.5" thickBot="1" x14ac:dyDescent="0.25">
      <c r="A1471" s="3">
        <v>3721</v>
      </c>
      <c r="B1471" s="27">
        <v>45314.118449074071</v>
      </c>
      <c r="C1471" s="3" t="s">
        <v>6</v>
      </c>
    </row>
    <row r="1472" spans="1:3" ht="13.5" thickBot="1" x14ac:dyDescent="0.25">
      <c r="A1472" s="3">
        <v>7205</v>
      </c>
      <c r="B1472" s="27">
        <v>45314.134143518517</v>
      </c>
      <c r="C1472" s="3" t="s">
        <v>4</v>
      </c>
    </row>
    <row r="1473" spans="1:3" ht="13.5" thickBot="1" x14ac:dyDescent="0.25">
      <c r="A1473" s="3">
        <v>2370</v>
      </c>
      <c r="B1473" s="27">
        <v>45314.168622685182</v>
      </c>
      <c r="C1473" s="3" t="s">
        <v>3</v>
      </c>
    </row>
    <row r="1474" spans="1:3" ht="13.5" thickBot="1" x14ac:dyDescent="0.25">
      <c r="A1474" s="3">
        <v>3353</v>
      </c>
      <c r="B1474" s="27">
        <v>45314.18818287037</v>
      </c>
      <c r="C1474" s="3" t="s">
        <v>6</v>
      </c>
    </row>
    <row r="1475" spans="1:3" ht="13.5" thickBot="1" x14ac:dyDescent="0.25">
      <c r="A1475" s="3">
        <v>7574</v>
      </c>
      <c r="B1475" s="27">
        <v>45314.230891203704</v>
      </c>
      <c r="C1475" s="3" t="s">
        <v>7</v>
      </c>
    </row>
    <row r="1476" spans="1:3" ht="13.5" thickBot="1" x14ac:dyDescent="0.25">
      <c r="A1476" s="3">
        <v>519</v>
      </c>
      <c r="B1476" s="27">
        <v>45314.256863425922</v>
      </c>
      <c r="C1476" s="3" t="s">
        <v>6</v>
      </c>
    </row>
    <row r="1477" spans="1:3" ht="13.5" thickBot="1" x14ac:dyDescent="0.25">
      <c r="A1477" s="3">
        <v>7993</v>
      </c>
      <c r="B1477" s="27">
        <v>45314.288599537038</v>
      </c>
      <c r="C1477" s="3" t="s">
        <v>3</v>
      </c>
    </row>
    <row r="1478" spans="1:3" ht="13.5" thickBot="1" x14ac:dyDescent="0.25">
      <c r="A1478" s="3">
        <v>4247</v>
      </c>
      <c r="B1478" s="27">
        <v>45314.291678240741</v>
      </c>
      <c r="C1478" s="3" t="s">
        <v>6</v>
      </c>
    </row>
    <row r="1479" spans="1:3" ht="13.5" thickBot="1" x14ac:dyDescent="0.25">
      <c r="A1479" s="3">
        <v>1864</v>
      </c>
      <c r="B1479" s="27">
        <v>45314.300868055558</v>
      </c>
      <c r="C1479" s="3" t="s">
        <v>3</v>
      </c>
    </row>
    <row r="1480" spans="1:3" ht="13.5" thickBot="1" x14ac:dyDescent="0.25">
      <c r="A1480" s="3">
        <v>2421</v>
      </c>
      <c r="B1480" s="27">
        <v>45314.304768518516</v>
      </c>
      <c r="C1480" s="3" t="s">
        <v>3</v>
      </c>
    </row>
    <row r="1481" spans="1:3" ht="13.5" thickBot="1" x14ac:dyDescent="0.25">
      <c r="A1481" s="3">
        <v>4021</v>
      </c>
      <c r="B1481" s="27">
        <v>45314.315891203703</v>
      </c>
      <c r="C1481" s="3" t="s">
        <v>3</v>
      </c>
    </row>
    <row r="1482" spans="1:3" ht="13.5" thickBot="1" x14ac:dyDescent="0.25">
      <c r="A1482" s="3">
        <v>3407</v>
      </c>
      <c r="B1482" s="27">
        <v>45314.319374999999</v>
      </c>
      <c r="C1482" s="3" t="s">
        <v>4</v>
      </c>
    </row>
    <row r="1483" spans="1:3" ht="13.5" thickBot="1" x14ac:dyDescent="0.25">
      <c r="A1483" s="3">
        <v>4205</v>
      </c>
      <c r="B1483" s="27">
        <v>45314.321516203701</v>
      </c>
      <c r="C1483" s="3" t="s">
        <v>4</v>
      </c>
    </row>
    <row r="1484" spans="1:3" ht="13.5" thickBot="1" x14ac:dyDescent="0.25">
      <c r="A1484" s="3">
        <v>7653</v>
      </c>
      <c r="B1484" s="27">
        <v>45314.354479166665</v>
      </c>
      <c r="C1484" s="3" t="s">
        <v>3</v>
      </c>
    </row>
    <row r="1485" spans="1:3" ht="13.5" thickBot="1" x14ac:dyDescent="0.25">
      <c r="A1485" s="3">
        <v>4640</v>
      </c>
      <c r="B1485" s="27">
        <v>45314.360532407409</v>
      </c>
      <c r="C1485" s="3" t="s">
        <v>6</v>
      </c>
    </row>
    <row r="1486" spans="1:3" ht="13.5" thickBot="1" x14ac:dyDescent="0.25">
      <c r="A1486" s="3">
        <v>5770</v>
      </c>
      <c r="B1486" s="27">
        <v>45314.37259259259</v>
      </c>
      <c r="C1486" s="3" t="s">
        <v>5</v>
      </c>
    </row>
    <row r="1487" spans="1:3" ht="13.5" thickBot="1" x14ac:dyDescent="0.25">
      <c r="A1487" s="3">
        <v>753</v>
      </c>
      <c r="B1487" s="27">
        <v>45314.4997337963</v>
      </c>
      <c r="C1487" s="3" t="s">
        <v>7</v>
      </c>
    </row>
    <row r="1488" spans="1:3" ht="13.5" thickBot="1" x14ac:dyDescent="0.25">
      <c r="A1488" s="3">
        <v>1288</v>
      </c>
      <c r="B1488" s="27">
        <v>45314.521273148152</v>
      </c>
      <c r="C1488" s="3" t="s">
        <v>7</v>
      </c>
    </row>
    <row r="1489" spans="1:3" ht="13.5" thickBot="1" x14ac:dyDescent="0.25">
      <c r="A1489" s="3">
        <v>3407</v>
      </c>
      <c r="B1489" s="27">
        <v>45314.531192129631</v>
      </c>
      <c r="C1489" s="3" t="s">
        <v>5</v>
      </c>
    </row>
    <row r="1490" spans="1:3" ht="13.5" thickBot="1" x14ac:dyDescent="0.25">
      <c r="A1490" s="3">
        <v>7993</v>
      </c>
      <c r="B1490" s="27">
        <v>45314.535127314812</v>
      </c>
      <c r="C1490" s="3" t="s">
        <v>4</v>
      </c>
    </row>
    <row r="1491" spans="1:3" ht="13.5" thickBot="1" x14ac:dyDescent="0.25">
      <c r="A1491" s="3">
        <v>3393</v>
      </c>
      <c r="B1491" s="27">
        <v>45314.54760416667</v>
      </c>
      <c r="C1491" s="3" t="s">
        <v>6</v>
      </c>
    </row>
    <row r="1492" spans="1:3" ht="13.5" thickBot="1" x14ac:dyDescent="0.25">
      <c r="A1492" s="3">
        <v>4525</v>
      </c>
      <c r="B1492" s="27">
        <v>45314.584502314814</v>
      </c>
      <c r="C1492" s="3" t="s">
        <v>3</v>
      </c>
    </row>
    <row r="1493" spans="1:3" ht="13.5" thickBot="1" x14ac:dyDescent="0.25">
      <c r="A1493" s="3">
        <v>6528</v>
      </c>
      <c r="B1493" s="27">
        <v>45314.585138888891</v>
      </c>
      <c r="C1493" s="3" t="s">
        <v>6</v>
      </c>
    </row>
    <row r="1494" spans="1:3" ht="13.5" thickBot="1" x14ac:dyDescent="0.25">
      <c r="A1494" s="3">
        <v>6646</v>
      </c>
      <c r="B1494" s="27">
        <v>45314.603796296295</v>
      </c>
      <c r="C1494" s="3" t="s">
        <v>4</v>
      </c>
    </row>
    <row r="1495" spans="1:3" ht="13.5" thickBot="1" x14ac:dyDescent="0.25">
      <c r="A1495" s="3">
        <v>7803</v>
      </c>
      <c r="B1495" s="27">
        <v>45314.623518518521</v>
      </c>
      <c r="C1495" s="3" t="s">
        <v>4</v>
      </c>
    </row>
    <row r="1496" spans="1:3" ht="13.5" thickBot="1" x14ac:dyDescent="0.25">
      <c r="A1496" s="3">
        <v>7691</v>
      </c>
      <c r="B1496" s="27">
        <v>45314.66747685185</v>
      </c>
      <c r="C1496" s="3" t="s">
        <v>3</v>
      </c>
    </row>
    <row r="1497" spans="1:3" ht="13.5" thickBot="1" x14ac:dyDescent="0.25">
      <c r="A1497" s="3">
        <v>5533</v>
      </c>
      <c r="B1497" s="27">
        <v>45314.678449074076</v>
      </c>
      <c r="C1497" s="3" t="s">
        <v>3</v>
      </c>
    </row>
    <row r="1498" spans="1:3" ht="13.5" thickBot="1" x14ac:dyDescent="0.25">
      <c r="A1498" s="3">
        <v>7731</v>
      </c>
      <c r="B1498" s="27">
        <v>45314.695462962962</v>
      </c>
      <c r="C1498" s="3" t="s">
        <v>5</v>
      </c>
    </row>
    <row r="1499" spans="1:3" ht="13.5" thickBot="1" x14ac:dyDescent="0.25">
      <c r="A1499" s="3">
        <v>4605</v>
      </c>
      <c r="B1499" s="27">
        <v>45314.713472222225</v>
      </c>
      <c r="C1499" s="3" t="s">
        <v>7</v>
      </c>
    </row>
    <row r="1500" spans="1:3" ht="13.5" thickBot="1" x14ac:dyDescent="0.25">
      <c r="A1500" s="3">
        <v>2601</v>
      </c>
      <c r="B1500" s="27">
        <v>45314.715682870374</v>
      </c>
      <c r="C1500" s="3" t="s">
        <v>3</v>
      </c>
    </row>
    <row r="1501" spans="1:3" ht="13.5" thickBot="1" x14ac:dyDescent="0.25">
      <c r="A1501" s="3">
        <v>4141</v>
      </c>
      <c r="B1501" s="27">
        <v>45314.770196759258</v>
      </c>
      <c r="C1501" s="3" t="s">
        <v>3</v>
      </c>
    </row>
    <row r="1502" spans="1:3" ht="13.5" thickBot="1" x14ac:dyDescent="0.25">
      <c r="A1502" s="3">
        <v>6161</v>
      </c>
      <c r="B1502" s="27">
        <v>45314.774814814817</v>
      </c>
      <c r="C1502" s="3" t="s">
        <v>3</v>
      </c>
    </row>
    <row r="1503" spans="1:3" ht="13.5" thickBot="1" x14ac:dyDescent="0.25">
      <c r="A1503" s="3">
        <v>4680</v>
      </c>
      <c r="B1503" s="27">
        <v>45314.79105324074</v>
      </c>
      <c r="C1503" s="3" t="s">
        <v>7</v>
      </c>
    </row>
    <row r="1504" spans="1:3" ht="13.5" thickBot="1" x14ac:dyDescent="0.25">
      <c r="A1504" s="3">
        <v>6360</v>
      </c>
      <c r="B1504" s="27">
        <v>45314.81009259259</v>
      </c>
      <c r="C1504" s="3" t="s">
        <v>3</v>
      </c>
    </row>
    <row r="1505" spans="1:3" ht="13.5" thickBot="1" x14ac:dyDescent="0.25">
      <c r="A1505" s="3">
        <v>325</v>
      </c>
      <c r="B1505" s="27">
        <v>45314.820925925924</v>
      </c>
      <c r="C1505" s="3" t="s">
        <v>7</v>
      </c>
    </row>
    <row r="1506" spans="1:3" ht="13.5" thickBot="1" x14ac:dyDescent="0.25">
      <c r="A1506" s="3">
        <v>7731</v>
      </c>
      <c r="B1506" s="27">
        <v>45314.838634259257</v>
      </c>
      <c r="C1506" s="3" t="s">
        <v>3</v>
      </c>
    </row>
    <row r="1507" spans="1:3" ht="13.5" thickBot="1" x14ac:dyDescent="0.25">
      <c r="A1507" s="3">
        <v>3842</v>
      </c>
      <c r="B1507" s="27">
        <v>45314.853449074071</v>
      </c>
      <c r="C1507" s="3" t="s">
        <v>3</v>
      </c>
    </row>
    <row r="1508" spans="1:3" ht="13.5" thickBot="1" x14ac:dyDescent="0.25">
      <c r="A1508" s="3">
        <v>5051</v>
      </c>
      <c r="B1508" s="27">
        <v>45314.917384259257</v>
      </c>
      <c r="C1508" s="3" t="s">
        <v>7</v>
      </c>
    </row>
    <row r="1509" spans="1:3" ht="13.5" thickBot="1" x14ac:dyDescent="0.25">
      <c r="A1509" s="3">
        <v>7574</v>
      </c>
      <c r="B1509" s="27">
        <v>45314.923495370371</v>
      </c>
      <c r="C1509" s="3" t="s">
        <v>6</v>
      </c>
    </row>
    <row r="1510" spans="1:3" ht="13.5" thickBot="1" x14ac:dyDescent="0.25">
      <c r="A1510" s="3">
        <v>1288</v>
      </c>
      <c r="B1510" s="27">
        <v>45314.925069444442</v>
      </c>
      <c r="C1510" s="3" t="s">
        <v>4</v>
      </c>
    </row>
    <row r="1511" spans="1:3" ht="13.5" thickBot="1" x14ac:dyDescent="0.25">
      <c r="A1511" s="3">
        <v>2677</v>
      </c>
      <c r="B1511" s="27">
        <v>45314.926388888889</v>
      </c>
      <c r="C1511" s="3" t="s">
        <v>4</v>
      </c>
    </row>
    <row r="1512" spans="1:3" ht="13.5" thickBot="1" x14ac:dyDescent="0.25">
      <c r="A1512" s="3">
        <v>4605</v>
      </c>
      <c r="B1512" s="27">
        <v>45314.934513888889</v>
      </c>
      <c r="C1512" s="3" t="s">
        <v>4</v>
      </c>
    </row>
    <row r="1513" spans="1:3" ht="13.5" thickBot="1" x14ac:dyDescent="0.25">
      <c r="A1513" s="3">
        <v>7219</v>
      </c>
      <c r="B1513" s="27">
        <v>45314.935104166667</v>
      </c>
      <c r="C1513" s="3" t="s">
        <v>3</v>
      </c>
    </row>
    <row r="1514" spans="1:3" ht="13.5" thickBot="1" x14ac:dyDescent="0.25">
      <c r="A1514" s="3">
        <v>7367</v>
      </c>
      <c r="B1514" s="27">
        <v>45314.945162037038</v>
      </c>
      <c r="C1514" s="3" t="s">
        <v>3</v>
      </c>
    </row>
    <row r="1515" spans="1:3" ht="13.5" thickBot="1" x14ac:dyDescent="0.25">
      <c r="A1515" s="3">
        <v>2037</v>
      </c>
      <c r="B1515" s="27">
        <v>45314.946967592594</v>
      </c>
      <c r="C1515" s="3" t="s">
        <v>7</v>
      </c>
    </row>
    <row r="1516" spans="1:3" ht="13.5" thickBot="1" x14ac:dyDescent="0.25">
      <c r="A1516" s="3">
        <v>5924</v>
      </c>
      <c r="B1516" s="27">
        <v>45314.991400462961</v>
      </c>
      <c r="C1516" s="3" t="s">
        <v>7</v>
      </c>
    </row>
    <row r="1517" spans="1:3" ht="13.5" thickBot="1" x14ac:dyDescent="0.25">
      <c r="A1517" s="3">
        <v>7881</v>
      </c>
      <c r="B1517" s="27">
        <v>45315.026134259257</v>
      </c>
      <c r="C1517" s="3" t="s">
        <v>5</v>
      </c>
    </row>
    <row r="1518" spans="1:3" ht="13.5" thickBot="1" x14ac:dyDescent="0.25">
      <c r="A1518" s="3">
        <v>3007</v>
      </c>
      <c r="B1518" s="27">
        <v>45315.026666666665</v>
      </c>
      <c r="C1518" s="3" t="s">
        <v>3</v>
      </c>
    </row>
    <row r="1519" spans="1:3" ht="13.5" thickBot="1" x14ac:dyDescent="0.25">
      <c r="A1519" s="3">
        <v>316</v>
      </c>
      <c r="B1519" s="27">
        <v>45315.041215277779</v>
      </c>
      <c r="C1519" s="3" t="s">
        <v>7</v>
      </c>
    </row>
    <row r="1520" spans="1:3" ht="13.5" thickBot="1" x14ac:dyDescent="0.25">
      <c r="A1520" s="3">
        <v>981</v>
      </c>
      <c r="B1520" s="27">
        <v>45315.094849537039</v>
      </c>
      <c r="C1520" s="3" t="s">
        <v>3</v>
      </c>
    </row>
    <row r="1521" spans="1:3" ht="13.5" thickBot="1" x14ac:dyDescent="0.25">
      <c r="A1521" s="3">
        <v>7584</v>
      </c>
      <c r="B1521" s="27">
        <v>45315.103888888887</v>
      </c>
      <c r="C1521" s="3" t="s">
        <v>3</v>
      </c>
    </row>
    <row r="1522" spans="1:3" ht="13.5" thickBot="1" x14ac:dyDescent="0.25">
      <c r="A1522" s="3">
        <v>7219</v>
      </c>
      <c r="B1522" s="27">
        <v>45315.145069444443</v>
      </c>
      <c r="C1522" s="3" t="s">
        <v>4</v>
      </c>
    </row>
    <row r="1523" spans="1:3" ht="13.5" thickBot="1" x14ac:dyDescent="0.25">
      <c r="A1523" s="3">
        <v>1278</v>
      </c>
      <c r="B1523" s="27">
        <v>45315.158738425926</v>
      </c>
      <c r="C1523" s="3" t="s">
        <v>5</v>
      </c>
    </row>
    <row r="1524" spans="1:3" ht="13.5" thickBot="1" x14ac:dyDescent="0.25">
      <c r="A1524" s="3">
        <v>3689</v>
      </c>
      <c r="B1524" s="27">
        <v>45315.176377314812</v>
      </c>
      <c r="C1524" s="3" t="s">
        <v>3</v>
      </c>
    </row>
    <row r="1525" spans="1:3" ht="13.5" thickBot="1" x14ac:dyDescent="0.25">
      <c r="A1525" s="3">
        <v>5232</v>
      </c>
      <c r="B1525" s="27">
        <v>45315.210046296299</v>
      </c>
      <c r="C1525" s="3" t="s">
        <v>4</v>
      </c>
    </row>
    <row r="1526" spans="1:3" ht="13.5" thickBot="1" x14ac:dyDescent="0.25">
      <c r="A1526" s="3">
        <v>4140</v>
      </c>
      <c r="B1526" s="27">
        <v>45315.226354166669</v>
      </c>
      <c r="C1526" s="3" t="s">
        <v>3</v>
      </c>
    </row>
    <row r="1527" spans="1:3" ht="13.5" thickBot="1" x14ac:dyDescent="0.25">
      <c r="A1527" s="3">
        <v>3435</v>
      </c>
      <c r="B1527" s="27">
        <v>45315.231828703705</v>
      </c>
      <c r="C1527" s="3" t="s">
        <v>3</v>
      </c>
    </row>
    <row r="1528" spans="1:3" ht="13.5" thickBot="1" x14ac:dyDescent="0.25">
      <c r="A1528" s="3">
        <v>756</v>
      </c>
      <c r="B1528" s="27">
        <v>45315.259317129632</v>
      </c>
      <c r="C1528" s="3" t="s">
        <v>6</v>
      </c>
    </row>
    <row r="1529" spans="1:3" ht="13.5" thickBot="1" x14ac:dyDescent="0.25">
      <c r="A1529" s="3">
        <v>6218</v>
      </c>
      <c r="B1529" s="27">
        <v>45315.296701388892</v>
      </c>
      <c r="C1529" s="3" t="s">
        <v>7</v>
      </c>
    </row>
    <row r="1530" spans="1:3" ht="13.5" thickBot="1" x14ac:dyDescent="0.25">
      <c r="A1530" s="3">
        <v>7140</v>
      </c>
      <c r="B1530" s="27">
        <v>45315.298506944448</v>
      </c>
      <c r="C1530" s="3" t="s">
        <v>4</v>
      </c>
    </row>
    <row r="1531" spans="1:3" ht="13.5" thickBot="1" x14ac:dyDescent="0.25">
      <c r="A1531" s="3">
        <v>6126</v>
      </c>
      <c r="B1531" s="27">
        <v>45315.318379629629</v>
      </c>
      <c r="C1531" s="3" t="s">
        <v>4</v>
      </c>
    </row>
    <row r="1532" spans="1:3" ht="13.5" thickBot="1" x14ac:dyDescent="0.25">
      <c r="A1532" s="3">
        <v>6005</v>
      </c>
      <c r="B1532" s="27">
        <v>45315.342627314814</v>
      </c>
      <c r="C1532" s="3" t="s">
        <v>3</v>
      </c>
    </row>
    <row r="1533" spans="1:3" ht="13.5" thickBot="1" x14ac:dyDescent="0.25">
      <c r="A1533" s="3">
        <v>5935</v>
      </c>
      <c r="B1533" s="27">
        <v>45315.347372685188</v>
      </c>
      <c r="C1533" s="3" t="s">
        <v>6</v>
      </c>
    </row>
    <row r="1534" spans="1:3" ht="13.5" thickBot="1" x14ac:dyDescent="0.25">
      <c r="A1534" s="3">
        <v>1427</v>
      </c>
      <c r="B1534" s="27">
        <v>45315.348275462966</v>
      </c>
      <c r="C1534" s="3" t="s">
        <v>4</v>
      </c>
    </row>
    <row r="1535" spans="1:3" ht="13.5" thickBot="1" x14ac:dyDescent="0.25">
      <c r="A1535" s="3">
        <v>2601</v>
      </c>
      <c r="B1535" s="27">
        <v>45315.355613425927</v>
      </c>
      <c r="C1535" s="3" t="s">
        <v>4</v>
      </c>
    </row>
    <row r="1536" spans="1:3" ht="13.5" thickBot="1" x14ac:dyDescent="0.25">
      <c r="A1536" s="3">
        <v>3551</v>
      </c>
      <c r="B1536" s="27">
        <v>45315.366863425923</v>
      </c>
      <c r="C1536" s="3" t="s">
        <v>3</v>
      </c>
    </row>
    <row r="1537" spans="1:3" ht="13.5" thickBot="1" x14ac:dyDescent="0.25">
      <c r="A1537" s="3">
        <v>4571</v>
      </c>
      <c r="B1537" s="27">
        <v>45315.378530092596</v>
      </c>
      <c r="C1537" s="3" t="s">
        <v>7</v>
      </c>
    </row>
    <row r="1538" spans="1:3" ht="13.5" thickBot="1" x14ac:dyDescent="0.25">
      <c r="A1538" s="3">
        <v>4680</v>
      </c>
      <c r="B1538" s="27">
        <v>45315.401493055557</v>
      </c>
      <c r="C1538" s="3" t="s">
        <v>4</v>
      </c>
    </row>
    <row r="1539" spans="1:3" ht="13.5" thickBot="1" x14ac:dyDescent="0.25">
      <c r="A1539" s="3">
        <v>2404</v>
      </c>
      <c r="B1539" s="27">
        <v>45315.434988425928</v>
      </c>
      <c r="C1539" s="3" t="s">
        <v>3</v>
      </c>
    </row>
    <row r="1540" spans="1:3" ht="13.5" thickBot="1" x14ac:dyDescent="0.25">
      <c r="A1540" s="3">
        <v>4464</v>
      </c>
      <c r="B1540" s="27">
        <v>45315.449386574073</v>
      </c>
      <c r="C1540" s="3" t="s">
        <v>6</v>
      </c>
    </row>
    <row r="1541" spans="1:3" ht="13.5" thickBot="1" x14ac:dyDescent="0.25">
      <c r="A1541" s="3">
        <v>528</v>
      </c>
      <c r="B1541" s="27">
        <v>45315.451284722221</v>
      </c>
      <c r="C1541" s="3" t="s">
        <v>3</v>
      </c>
    </row>
    <row r="1542" spans="1:3" ht="13.5" thickBot="1" x14ac:dyDescent="0.25">
      <c r="A1542" s="3">
        <v>1345</v>
      </c>
      <c r="B1542" s="27">
        <v>45315.465254629627</v>
      </c>
      <c r="C1542" s="3" t="s">
        <v>3</v>
      </c>
    </row>
    <row r="1543" spans="1:3" ht="13.5" thickBot="1" x14ac:dyDescent="0.25">
      <c r="A1543" s="3">
        <v>5383</v>
      </c>
      <c r="B1543" s="27">
        <v>45315.466273148151</v>
      </c>
      <c r="C1543" s="3" t="s">
        <v>3</v>
      </c>
    </row>
    <row r="1544" spans="1:3" ht="13.5" thickBot="1" x14ac:dyDescent="0.25">
      <c r="A1544" s="3">
        <v>6990</v>
      </c>
      <c r="B1544" s="27">
        <v>45315.492824074077</v>
      </c>
      <c r="C1544" s="3" t="s">
        <v>3</v>
      </c>
    </row>
    <row r="1545" spans="1:3" ht="13.5" thickBot="1" x14ac:dyDescent="0.25">
      <c r="A1545" s="3">
        <v>6407</v>
      </c>
      <c r="B1545" s="27">
        <v>45315.530185185184</v>
      </c>
      <c r="C1545" s="3" t="s">
        <v>3</v>
      </c>
    </row>
    <row r="1546" spans="1:3" ht="13.5" thickBot="1" x14ac:dyDescent="0.25">
      <c r="A1546" s="3">
        <v>1288</v>
      </c>
      <c r="B1546" s="27">
        <v>45315.556666666664</v>
      </c>
      <c r="C1546" s="3" t="s">
        <v>6</v>
      </c>
    </row>
    <row r="1547" spans="1:3" ht="13.5" thickBot="1" x14ac:dyDescent="0.25">
      <c r="A1547" s="3">
        <v>5830</v>
      </c>
      <c r="B1547" s="27">
        <v>45315.577384259261</v>
      </c>
      <c r="C1547" s="3" t="s">
        <v>3</v>
      </c>
    </row>
    <row r="1548" spans="1:3" ht="13.5" thickBot="1" x14ac:dyDescent="0.25">
      <c r="A1548" s="3">
        <v>5533</v>
      </c>
      <c r="B1548" s="27">
        <v>45315.579189814816</v>
      </c>
      <c r="C1548" s="3" t="s">
        <v>4</v>
      </c>
    </row>
    <row r="1549" spans="1:3" ht="13.5" thickBot="1" x14ac:dyDescent="0.25">
      <c r="A1549" s="3">
        <v>5533</v>
      </c>
      <c r="B1549" s="27">
        <v>45315.596319444441</v>
      </c>
      <c r="C1549" s="3" t="s">
        <v>7</v>
      </c>
    </row>
    <row r="1550" spans="1:3" ht="13.5" thickBot="1" x14ac:dyDescent="0.25">
      <c r="A1550" s="3">
        <v>6188</v>
      </c>
      <c r="B1550" s="27">
        <v>45315.59716435185</v>
      </c>
      <c r="C1550" s="3" t="s">
        <v>3</v>
      </c>
    </row>
    <row r="1551" spans="1:3" ht="13.5" thickBot="1" x14ac:dyDescent="0.25">
      <c r="A1551" s="3">
        <v>3490</v>
      </c>
      <c r="B1551" s="27">
        <v>45315.628969907404</v>
      </c>
      <c r="C1551" s="3" t="s">
        <v>3</v>
      </c>
    </row>
    <row r="1552" spans="1:3" ht="13.5" thickBot="1" x14ac:dyDescent="0.25">
      <c r="A1552" s="3">
        <v>2460</v>
      </c>
      <c r="B1552" s="27">
        <v>45315.648541666669</v>
      </c>
      <c r="C1552" s="3" t="s">
        <v>4</v>
      </c>
    </row>
    <row r="1553" spans="1:3" ht="13.5" thickBot="1" x14ac:dyDescent="0.25">
      <c r="A1553" s="3">
        <v>2460</v>
      </c>
      <c r="B1553" s="27">
        <v>45315.649131944447</v>
      </c>
      <c r="C1553" s="3" t="s">
        <v>3</v>
      </c>
    </row>
    <row r="1554" spans="1:3" ht="13.5" thickBot="1" x14ac:dyDescent="0.25">
      <c r="A1554" s="3">
        <v>7098</v>
      </c>
      <c r="B1554" s="27">
        <v>45315.653391203705</v>
      </c>
      <c r="C1554" s="3" t="s">
        <v>6</v>
      </c>
    </row>
    <row r="1555" spans="1:3" ht="13.5" thickBot="1" x14ac:dyDescent="0.25">
      <c r="A1555" s="3">
        <v>3007</v>
      </c>
      <c r="B1555" s="27">
        <v>45315.658796296295</v>
      </c>
      <c r="C1555" s="3" t="s">
        <v>5</v>
      </c>
    </row>
    <row r="1556" spans="1:3" ht="13.5" thickBot="1" x14ac:dyDescent="0.25">
      <c r="A1556" s="3">
        <v>5232</v>
      </c>
      <c r="B1556" s="27">
        <v>45315.662951388891</v>
      </c>
      <c r="C1556" s="3" t="s">
        <v>3</v>
      </c>
    </row>
    <row r="1557" spans="1:3" ht="13.5" thickBot="1" x14ac:dyDescent="0.25">
      <c r="A1557" s="3">
        <v>5260</v>
      </c>
      <c r="B1557" s="27">
        <v>45315.670069444444</v>
      </c>
      <c r="C1557" s="3" t="s">
        <v>3</v>
      </c>
    </row>
    <row r="1558" spans="1:3" ht="13.5" thickBot="1" x14ac:dyDescent="0.25">
      <c r="A1558" s="3">
        <v>559</v>
      </c>
      <c r="B1558" s="27">
        <v>45315.695196759261</v>
      </c>
      <c r="C1558" s="3" t="s">
        <v>3</v>
      </c>
    </row>
    <row r="1559" spans="1:3" ht="13.5" thickBot="1" x14ac:dyDescent="0.25">
      <c r="A1559" s="3">
        <v>3407</v>
      </c>
      <c r="B1559" s="27">
        <v>45315.696817129632</v>
      </c>
      <c r="C1559" s="3" t="s">
        <v>7</v>
      </c>
    </row>
    <row r="1560" spans="1:3" ht="13.5" thickBot="1" x14ac:dyDescent="0.25">
      <c r="A1560" s="3">
        <v>5444</v>
      </c>
      <c r="B1560" s="27">
        <v>45315.726886574077</v>
      </c>
      <c r="C1560" s="3" t="s">
        <v>3</v>
      </c>
    </row>
    <row r="1561" spans="1:3" ht="13.5" thickBot="1" x14ac:dyDescent="0.25">
      <c r="A1561" s="3">
        <v>7881</v>
      </c>
      <c r="B1561" s="27">
        <v>45315.730590277781</v>
      </c>
      <c r="C1561" s="3" t="s">
        <v>6</v>
      </c>
    </row>
    <row r="1562" spans="1:3" ht="13.5" thickBot="1" x14ac:dyDescent="0.25">
      <c r="A1562" s="3">
        <v>1303</v>
      </c>
      <c r="B1562" s="27">
        <v>45315.75267361111</v>
      </c>
      <c r="C1562" s="3" t="s">
        <v>3</v>
      </c>
    </row>
    <row r="1563" spans="1:3" ht="13.5" thickBot="1" x14ac:dyDescent="0.25">
      <c r="A1563" s="3">
        <v>316</v>
      </c>
      <c r="B1563" s="27">
        <v>45315.753981481481</v>
      </c>
      <c r="C1563" s="3" t="s">
        <v>6</v>
      </c>
    </row>
    <row r="1564" spans="1:3" ht="13.5" thickBot="1" x14ac:dyDescent="0.25">
      <c r="A1564" s="3">
        <v>6189</v>
      </c>
      <c r="B1564" s="27">
        <v>45315.760925925926</v>
      </c>
      <c r="C1564" s="3" t="s">
        <v>6</v>
      </c>
    </row>
    <row r="1565" spans="1:3" ht="13.5" thickBot="1" x14ac:dyDescent="0.25">
      <c r="A1565" s="3">
        <v>4140</v>
      </c>
      <c r="B1565" s="27">
        <v>45315.768819444442</v>
      </c>
      <c r="C1565" s="3" t="s">
        <v>4</v>
      </c>
    </row>
    <row r="1566" spans="1:3" ht="13.5" thickBot="1" x14ac:dyDescent="0.25">
      <c r="A1566" s="3">
        <v>1513</v>
      </c>
      <c r="B1566" s="27">
        <v>45315.775000000001</v>
      </c>
      <c r="C1566" s="3" t="s">
        <v>3</v>
      </c>
    </row>
    <row r="1567" spans="1:3" ht="13.5" thickBot="1" x14ac:dyDescent="0.25">
      <c r="A1567" s="3">
        <v>3117</v>
      </c>
      <c r="B1567" s="27">
        <v>45315.809027777781</v>
      </c>
      <c r="C1567" s="3" t="s">
        <v>3</v>
      </c>
    </row>
    <row r="1568" spans="1:3" ht="13.5" thickBot="1" x14ac:dyDescent="0.25">
      <c r="A1568" s="3">
        <v>5196</v>
      </c>
      <c r="B1568" s="27">
        <v>45315.813587962963</v>
      </c>
      <c r="C1568" s="3" t="s">
        <v>3</v>
      </c>
    </row>
    <row r="1569" spans="1:3" ht="13.5" thickBot="1" x14ac:dyDescent="0.25">
      <c r="A1569" s="3">
        <v>7031</v>
      </c>
      <c r="B1569" s="27">
        <v>45315.815474537034</v>
      </c>
      <c r="C1569" s="3" t="s">
        <v>3</v>
      </c>
    </row>
    <row r="1570" spans="1:3" ht="13.5" thickBot="1" x14ac:dyDescent="0.25">
      <c r="A1570" s="3">
        <v>2421</v>
      </c>
      <c r="B1570" s="27">
        <v>45315.822118055556</v>
      </c>
      <c r="C1570" s="3" t="s">
        <v>4</v>
      </c>
    </row>
    <row r="1571" spans="1:3" ht="13.5" thickBot="1" x14ac:dyDescent="0.25">
      <c r="A1571" s="3">
        <v>5323</v>
      </c>
      <c r="B1571" s="27">
        <v>45315.825196759259</v>
      </c>
      <c r="C1571" s="3" t="s">
        <v>6</v>
      </c>
    </row>
    <row r="1572" spans="1:3" ht="13.5" thickBot="1" x14ac:dyDescent="0.25">
      <c r="A1572" s="3">
        <v>4158</v>
      </c>
      <c r="B1572" s="27">
        <v>45315.838275462964</v>
      </c>
      <c r="C1572" s="3" t="s">
        <v>5</v>
      </c>
    </row>
    <row r="1573" spans="1:3" ht="13.5" thickBot="1" x14ac:dyDescent="0.25">
      <c r="A1573" s="3">
        <v>3442</v>
      </c>
      <c r="B1573" s="27">
        <v>45315.840011574073</v>
      </c>
      <c r="C1573" s="3" t="s">
        <v>6</v>
      </c>
    </row>
    <row r="1574" spans="1:3" ht="13.5" thickBot="1" x14ac:dyDescent="0.25">
      <c r="A1574" s="3">
        <v>6716</v>
      </c>
      <c r="B1574" s="27">
        <v>45315.859791666669</v>
      </c>
      <c r="C1574" s="3" t="s">
        <v>7</v>
      </c>
    </row>
    <row r="1575" spans="1:3" ht="13.5" thickBot="1" x14ac:dyDescent="0.25">
      <c r="A1575" s="3">
        <v>4447</v>
      </c>
      <c r="B1575" s="27">
        <v>45315.866585648146</v>
      </c>
      <c r="C1575" s="3" t="s">
        <v>4</v>
      </c>
    </row>
    <row r="1576" spans="1:3" ht="13.5" thickBot="1" x14ac:dyDescent="0.25">
      <c r="A1576" s="3">
        <v>981</v>
      </c>
      <c r="B1576" s="27">
        <v>45315.90011574074</v>
      </c>
      <c r="C1576" s="3" t="s">
        <v>4</v>
      </c>
    </row>
    <row r="1577" spans="1:3" ht="13.5" thickBot="1" x14ac:dyDescent="0.25">
      <c r="A1577" s="3">
        <v>2550</v>
      </c>
      <c r="B1577" s="27">
        <v>45315.913645833331</v>
      </c>
      <c r="C1577" s="3" t="s">
        <v>7</v>
      </c>
    </row>
    <row r="1578" spans="1:3" ht="13.5" thickBot="1" x14ac:dyDescent="0.25">
      <c r="A1578" s="3">
        <v>2472</v>
      </c>
      <c r="B1578" s="27">
        <v>45315.919942129629</v>
      </c>
      <c r="C1578" s="3" t="s">
        <v>6</v>
      </c>
    </row>
    <row r="1579" spans="1:3" ht="13.5" thickBot="1" x14ac:dyDescent="0.25">
      <c r="A1579" s="3">
        <v>787</v>
      </c>
      <c r="B1579" s="27">
        <v>45315.930231481485</v>
      </c>
      <c r="C1579" s="3" t="s">
        <v>3</v>
      </c>
    </row>
    <row r="1580" spans="1:3" ht="13.5" thickBot="1" x14ac:dyDescent="0.25">
      <c r="A1580" s="3">
        <v>3689</v>
      </c>
      <c r="B1580" s="27">
        <v>45315.935219907406</v>
      </c>
      <c r="C1580" s="3" t="s">
        <v>4</v>
      </c>
    </row>
    <row r="1581" spans="1:3" ht="13.5" thickBot="1" x14ac:dyDescent="0.25">
      <c r="A1581" s="3">
        <v>1282</v>
      </c>
      <c r="B1581" s="27">
        <v>45315.992256944446</v>
      </c>
      <c r="C1581" s="3" t="s">
        <v>6</v>
      </c>
    </row>
    <row r="1582" spans="1:3" ht="13.5" thickBot="1" x14ac:dyDescent="0.25">
      <c r="A1582" s="3">
        <v>849</v>
      </c>
      <c r="B1582" s="27">
        <v>45315.99454861111</v>
      </c>
      <c r="C1582" s="3" t="s">
        <v>3</v>
      </c>
    </row>
    <row r="1583" spans="1:3" ht="13.5" thickBot="1" x14ac:dyDescent="0.25">
      <c r="A1583" s="3">
        <v>5384</v>
      </c>
      <c r="B1583" s="27">
        <v>45316.001481481479</v>
      </c>
      <c r="C1583" s="3" t="s">
        <v>3</v>
      </c>
    </row>
    <row r="1584" spans="1:3" ht="13.5" thickBot="1" x14ac:dyDescent="0.25">
      <c r="A1584" s="3">
        <v>2677</v>
      </c>
      <c r="B1584" s="27">
        <v>45316.011157407411</v>
      </c>
      <c r="C1584" s="3" t="s">
        <v>6</v>
      </c>
    </row>
    <row r="1585" spans="1:3" ht="13.5" thickBot="1" x14ac:dyDescent="0.25">
      <c r="A1585" s="3">
        <v>5196</v>
      </c>
      <c r="B1585" s="27">
        <v>45316.022557870368</v>
      </c>
      <c r="C1585" s="3" t="s">
        <v>6</v>
      </c>
    </row>
    <row r="1586" spans="1:3" ht="13.5" thickBot="1" x14ac:dyDescent="0.25">
      <c r="A1586" s="3">
        <v>3493</v>
      </c>
      <c r="B1586" s="27">
        <v>45316.027094907404</v>
      </c>
      <c r="C1586" s="3" t="s">
        <v>3</v>
      </c>
    </row>
    <row r="1587" spans="1:3" ht="13.5" thickBot="1" x14ac:dyDescent="0.25">
      <c r="A1587" s="3">
        <v>2267</v>
      </c>
      <c r="B1587" s="27">
        <v>45316.029930555553</v>
      </c>
      <c r="C1587" s="3" t="s">
        <v>7</v>
      </c>
    </row>
    <row r="1588" spans="1:3" ht="13.5" thickBot="1" x14ac:dyDescent="0.25">
      <c r="A1588" s="3">
        <v>1375</v>
      </c>
      <c r="B1588" s="27">
        <v>45316.033819444441</v>
      </c>
      <c r="C1588" s="3" t="s">
        <v>5</v>
      </c>
    </row>
    <row r="1589" spans="1:3" ht="13.5" thickBot="1" x14ac:dyDescent="0.25">
      <c r="A1589" s="3">
        <v>4605</v>
      </c>
      <c r="B1589" s="27">
        <v>45316.034409722219</v>
      </c>
      <c r="C1589" s="3" t="s">
        <v>5</v>
      </c>
    </row>
    <row r="1590" spans="1:3" ht="13.5" thickBot="1" x14ac:dyDescent="0.25">
      <c r="A1590" s="3">
        <v>5275</v>
      </c>
      <c r="B1590" s="27">
        <v>45316.062256944446</v>
      </c>
      <c r="C1590" s="3" t="s">
        <v>3</v>
      </c>
    </row>
    <row r="1591" spans="1:3" ht="13.5" thickBot="1" x14ac:dyDescent="0.25">
      <c r="A1591" s="3">
        <v>4158</v>
      </c>
      <c r="B1591" s="27">
        <v>45316.074432870373</v>
      </c>
      <c r="C1591" s="3" t="s">
        <v>6</v>
      </c>
    </row>
    <row r="1592" spans="1:3" ht="13.5" thickBot="1" x14ac:dyDescent="0.25">
      <c r="A1592" s="3">
        <v>7031</v>
      </c>
      <c r="B1592" s="27">
        <v>45316.083310185182</v>
      </c>
      <c r="C1592" s="3" t="s">
        <v>5</v>
      </c>
    </row>
    <row r="1593" spans="1:3" ht="13.5" thickBot="1" x14ac:dyDescent="0.25">
      <c r="A1593" s="3">
        <v>2663</v>
      </c>
      <c r="B1593" s="27">
        <v>45316.109016203707</v>
      </c>
      <c r="C1593" s="3" t="s">
        <v>6</v>
      </c>
    </row>
    <row r="1594" spans="1:3" ht="13.5" thickBot="1" x14ac:dyDescent="0.25">
      <c r="A1594" s="3">
        <v>4553</v>
      </c>
      <c r="B1594" s="27">
        <v>45316.113067129627</v>
      </c>
      <c r="C1594" s="3" t="s">
        <v>5</v>
      </c>
    </row>
    <row r="1595" spans="1:3" ht="13.5" thickBot="1" x14ac:dyDescent="0.25">
      <c r="A1595" s="3">
        <v>6873</v>
      </c>
      <c r="B1595" s="27">
        <v>45316.119467592594</v>
      </c>
      <c r="C1595" s="3" t="s">
        <v>4</v>
      </c>
    </row>
    <row r="1596" spans="1:3" ht="13.5" thickBot="1" x14ac:dyDescent="0.25">
      <c r="A1596" s="3">
        <v>2484</v>
      </c>
      <c r="B1596" s="27">
        <v>45316.140555555554</v>
      </c>
      <c r="C1596" s="3" t="s">
        <v>4</v>
      </c>
    </row>
    <row r="1597" spans="1:3" ht="13.5" thickBot="1" x14ac:dyDescent="0.25">
      <c r="A1597" s="3">
        <v>1864</v>
      </c>
      <c r="B1597" s="27">
        <v>45316.149745370371</v>
      </c>
      <c r="C1597" s="3" t="s">
        <v>4</v>
      </c>
    </row>
    <row r="1598" spans="1:3" ht="13.5" thickBot="1" x14ac:dyDescent="0.25">
      <c r="A1598" s="3">
        <v>2249</v>
      </c>
      <c r="B1598" s="27">
        <v>45316.163148148145</v>
      </c>
      <c r="C1598" s="3" t="s">
        <v>3</v>
      </c>
    </row>
    <row r="1599" spans="1:3" ht="13.5" thickBot="1" x14ac:dyDescent="0.25">
      <c r="A1599" s="3">
        <v>5232</v>
      </c>
      <c r="B1599" s="27">
        <v>45316.173645833333</v>
      </c>
      <c r="C1599" s="3" t="s">
        <v>5</v>
      </c>
    </row>
    <row r="1600" spans="1:3" ht="13.5" thickBot="1" x14ac:dyDescent="0.25">
      <c r="A1600" s="3">
        <v>6216</v>
      </c>
      <c r="B1600" s="27">
        <v>45316.197233796294</v>
      </c>
      <c r="C1600" s="3" t="s">
        <v>3</v>
      </c>
    </row>
    <row r="1601" spans="1:3" ht="13.5" thickBot="1" x14ac:dyDescent="0.25">
      <c r="A1601" s="3">
        <v>4141</v>
      </c>
      <c r="B1601" s="27">
        <v>45316.199664351851</v>
      </c>
      <c r="C1601" s="3" t="s">
        <v>4</v>
      </c>
    </row>
    <row r="1602" spans="1:3" ht="13.5" thickBot="1" x14ac:dyDescent="0.25">
      <c r="A1602" s="3">
        <v>4141</v>
      </c>
      <c r="B1602" s="27">
        <v>45316.217824074076</v>
      </c>
      <c r="C1602" s="3" t="s">
        <v>6</v>
      </c>
    </row>
    <row r="1603" spans="1:3" ht="13.5" thickBot="1" x14ac:dyDescent="0.25">
      <c r="A1603" s="3">
        <v>1699</v>
      </c>
      <c r="B1603" s="27">
        <v>45316.22388888889</v>
      </c>
      <c r="C1603" s="3" t="s">
        <v>3</v>
      </c>
    </row>
    <row r="1604" spans="1:3" ht="13.5" thickBot="1" x14ac:dyDescent="0.25">
      <c r="A1604" s="3">
        <v>7092</v>
      </c>
      <c r="B1604" s="27">
        <v>45316.239699074074</v>
      </c>
      <c r="C1604" s="3" t="s">
        <v>3</v>
      </c>
    </row>
    <row r="1605" spans="1:3" ht="13.5" thickBot="1" x14ac:dyDescent="0.25">
      <c r="A1605" s="3">
        <v>7250</v>
      </c>
      <c r="B1605" s="27">
        <v>45316.318518518521</v>
      </c>
      <c r="C1605" s="3" t="s">
        <v>6</v>
      </c>
    </row>
    <row r="1606" spans="1:3" ht="13.5" thickBot="1" x14ac:dyDescent="0.25">
      <c r="A1606" s="3">
        <v>1043</v>
      </c>
      <c r="B1606" s="27">
        <v>45316.325949074075</v>
      </c>
      <c r="C1606" s="3" t="s">
        <v>6</v>
      </c>
    </row>
    <row r="1607" spans="1:3" ht="13.5" thickBot="1" x14ac:dyDescent="0.25">
      <c r="A1607" s="3">
        <v>6619</v>
      </c>
      <c r="B1607" s="27">
        <v>45316.327905092592</v>
      </c>
      <c r="C1607" s="3" t="s">
        <v>3</v>
      </c>
    </row>
    <row r="1608" spans="1:3" ht="13.5" thickBot="1" x14ac:dyDescent="0.25">
      <c r="A1608" s="3">
        <v>6873</v>
      </c>
      <c r="B1608" s="27">
        <v>45316.336145833331</v>
      </c>
      <c r="C1608" s="3" t="s">
        <v>3</v>
      </c>
    </row>
    <row r="1609" spans="1:3" ht="13.5" thickBot="1" x14ac:dyDescent="0.25">
      <c r="A1609" s="3">
        <v>1176</v>
      </c>
      <c r="B1609" s="27">
        <v>45316.374618055554</v>
      </c>
      <c r="C1609" s="3" t="s">
        <v>3</v>
      </c>
    </row>
    <row r="1610" spans="1:3" ht="13.5" thickBot="1" x14ac:dyDescent="0.25">
      <c r="A1610" s="3">
        <v>6873</v>
      </c>
      <c r="B1610" s="27">
        <v>45316.375960648147</v>
      </c>
      <c r="C1610" s="3" t="s">
        <v>5</v>
      </c>
    </row>
    <row r="1611" spans="1:3" ht="13.5" thickBot="1" x14ac:dyDescent="0.25">
      <c r="A1611" s="3">
        <v>3452</v>
      </c>
      <c r="B1611" s="27">
        <v>45316.452025462961</v>
      </c>
      <c r="C1611" s="3" t="s">
        <v>3</v>
      </c>
    </row>
    <row r="1612" spans="1:3" ht="13.5" thickBot="1" x14ac:dyDescent="0.25">
      <c r="A1612" s="3">
        <v>6702</v>
      </c>
      <c r="B1612" s="27">
        <v>45316.455787037034</v>
      </c>
      <c r="C1612" s="3" t="s">
        <v>3</v>
      </c>
    </row>
    <row r="1613" spans="1:3" ht="13.5" thickBot="1" x14ac:dyDescent="0.25">
      <c r="A1613" s="3">
        <v>7580</v>
      </c>
      <c r="B1613" s="27">
        <v>45316.473796296297</v>
      </c>
      <c r="C1613" s="3" t="s">
        <v>3</v>
      </c>
    </row>
    <row r="1614" spans="1:3" ht="13.5" thickBot="1" x14ac:dyDescent="0.25">
      <c r="A1614" s="3">
        <v>5770</v>
      </c>
      <c r="B1614" s="27">
        <v>45316.487847222219</v>
      </c>
      <c r="C1614" s="3" t="s">
        <v>7</v>
      </c>
    </row>
    <row r="1615" spans="1:3" ht="13.5" thickBot="1" x14ac:dyDescent="0.25">
      <c r="A1615" s="3">
        <v>6990</v>
      </c>
      <c r="B1615" s="27">
        <v>45316.493530092594</v>
      </c>
      <c r="C1615" s="3" t="s">
        <v>7</v>
      </c>
    </row>
    <row r="1616" spans="1:3" ht="13.5" thickBot="1" x14ac:dyDescent="0.25">
      <c r="A1616" s="3">
        <v>4553</v>
      </c>
      <c r="B1616" s="27">
        <v>45316.497662037036</v>
      </c>
      <c r="C1616" s="3" t="s">
        <v>3</v>
      </c>
    </row>
    <row r="1617" spans="1:3" ht="13.5" thickBot="1" x14ac:dyDescent="0.25">
      <c r="A1617" s="3">
        <v>7955</v>
      </c>
      <c r="B1617" s="27">
        <v>45316.528113425928</v>
      </c>
      <c r="C1617" s="3" t="s">
        <v>7</v>
      </c>
    </row>
    <row r="1618" spans="1:3" ht="13.5" thickBot="1" x14ac:dyDescent="0.25">
      <c r="A1618" s="3">
        <v>4728</v>
      </c>
      <c r="B1618" s="27">
        <v>45316.532407407409</v>
      </c>
      <c r="C1618" s="3" t="s">
        <v>6</v>
      </c>
    </row>
    <row r="1619" spans="1:3" ht="13.5" thickBot="1" x14ac:dyDescent="0.25">
      <c r="A1619" s="3">
        <v>4447</v>
      </c>
      <c r="B1619" s="27">
        <v>45316.555497685185</v>
      </c>
      <c r="C1619" s="3" t="s">
        <v>5</v>
      </c>
    </row>
    <row r="1620" spans="1:3" ht="13.5" thickBot="1" x14ac:dyDescent="0.25">
      <c r="A1620" s="3">
        <v>2067</v>
      </c>
      <c r="B1620" s="27">
        <v>45316.566006944442</v>
      </c>
      <c r="C1620" s="3" t="s">
        <v>3</v>
      </c>
    </row>
    <row r="1621" spans="1:3" ht="13.5" thickBot="1" x14ac:dyDescent="0.25">
      <c r="A1621" s="3">
        <v>6990</v>
      </c>
      <c r="B1621" s="27">
        <v>45316.567256944443</v>
      </c>
      <c r="C1621" s="3" t="s">
        <v>5</v>
      </c>
    </row>
    <row r="1622" spans="1:3" ht="13.5" thickBot="1" x14ac:dyDescent="0.25">
      <c r="A1622" s="3">
        <v>2581</v>
      </c>
      <c r="B1622" s="27">
        <v>45316.586226851854</v>
      </c>
      <c r="C1622" s="3" t="s">
        <v>3</v>
      </c>
    </row>
    <row r="1623" spans="1:3" ht="13.5" thickBot="1" x14ac:dyDescent="0.25">
      <c r="A1623" s="3">
        <v>6619</v>
      </c>
      <c r="B1623" s="27">
        <v>45316.600590277776</v>
      </c>
      <c r="C1623" s="3" t="s">
        <v>4</v>
      </c>
    </row>
    <row r="1624" spans="1:3" ht="13.5" thickBot="1" x14ac:dyDescent="0.25">
      <c r="A1624" s="3">
        <v>1375</v>
      </c>
      <c r="B1624" s="27">
        <v>45316.620381944442</v>
      </c>
      <c r="C1624" s="3" t="s">
        <v>7</v>
      </c>
    </row>
    <row r="1625" spans="1:3" ht="13.5" thickBot="1" x14ac:dyDescent="0.25">
      <c r="A1625" s="3">
        <v>2989</v>
      </c>
      <c r="B1625" s="27">
        <v>45316.621516203704</v>
      </c>
      <c r="C1625" s="3" t="s">
        <v>5</v>
      </c>
    </row>
    <row r="1626" spans="1:3" ht="13.5" thickBot="1" x14ac:dyDescent="0.25">
      <c r="A1626" s="3">
        <v>757</v>
      </c>
      <c r="B1626" s="27">
        <v>45316.661354166667</v>
      </c>
      <c r="C1626" s="3" t="s">
        <v>3</v>
      </c>
    </row>
    <row r="1627" spans="1:3" ht="13.5" thickBot="1" x14ac:dyDescent="0.25">
      <c r="A1627" s="3">
        <v>4951</v>
      </c>
      <c r="B1627" s="27">
        <v>45316.670740740738</v>
      </c>
      <c r="C1627" s="3" t="s">
        <v>5</v>
      </c>
    </row>
    <row r="1628" spans="1:3" ht="13.5" thickBot="1" x14ac:dyDescent="0.25">
      <c r="A1628" s="3">
        <v>6639</v>
      </c>
      <c r="B1628" s="27">
        <v>45316.674814814818</v>
      </c>
      <c r="C1628" s="3" t="s">
        <v>3</v>
      </c>
    </row>
    <row r="1629" spans="1:3" ht="13.5" thickBot="1" x14ac:dyDescent="0.25">
      <c r="A1629" s="3">
        <v>4915</v>
      </c>
      <c r="B1629" s="27">
        <v>45316.694155092591</v>
      </c>
      <c r="C1629" s="3" t="s">
        <v>3</v>
      </c>
    </row>
    <row r="1630" spans="1:3" ht="13.5" thickBot="1" x14ac:dyDescent="0.25">
      <c r="A1630" s="3">
        <v>4680</v>
      </c>
      <c r="B1630" s="27">
        <v>45316.701701388891</v>
      </c>
      <c r="C1630" s="3" t="s">
        <v>6</v>
      </c>
    </row>
    <row r="1631" spans="1:3" ht="13.5" thickBot="1" x14ac:dyDescent="0.25">
      <c r="A1631" s="3">
        <v>4508</v>
      </c>
      <c r="B1631" s="27">
        <v>45316.70815972222</v>
      </c>
      <c r="C1631" s="3" t="s">
        <v>3</v>
      </c>
    </row>
    <row r="1632" spans="1:3" ht="13.5" thickBot="1" x14ac:dyDescent="0.25">
      <c r="A1632" s="3">
        <v>1513</v>
      </c>
      <c r="B1632" s="27">
        <v>45316.736805555556</v>
      </c>
      <c r="C1632" s="3" t="s">
        <v>4</v>
      </c>
    </row>
    <row r="1633" spans="1:3" ht="13.5" thickBot="1" x14ac:dyDescent="0.25">
      <c r="A1633" s="3">
        <v>695</v>
      </c>
      <c r="B1633" s="27">
        <v>45316.812523148146</v>
      </c>
      <c r="C1633" s="3" t="s">
        <v>6</v>
      </c>
    </row>
    <row r="1634" spans="1:3" ht="13.5" thickBot="1" x14ac:dyDescent="0.25">
      <c r="A1634" s="3">
        <v>5724</v>
      </c>
      <c r="B1634" s="27">
        <v>45316.821539351855</v>
      </c>
      <c r="C1634" s="3" t="s">
        <v>3</v>
      </c>
    </row>
    <row r="1635" spans="1:3" ht="13.5" thickBot="1" x14ac:dyDescent="0.25">
      <c r="A1635" s="3">
        <v>1303</v>
      </c>
      <c r="B1635" s="27">
        <v>45316.826782407406</v>
      </c>
      <c r="C1635" s="3" t="s">
        <v>7</v>
      </c>
    </row>
    <row r="1636" spans="1:3" ht="13.5" thickBot="1" x14ac:dyDescent="0.25">
      <c r="A1636" s="3">
        <v>4571</v>
      </c>
      <c r="B1636" s="27">
        <v>45316.834317129629</v>
      </c>
      <c r="C1636" s="3" t="s">
        <v>6</v>
      </c>
    </row>
    <row r="1637" spans="1:3" ht="13.5" thickBot="1" x14ac:dyDescent="0.25">
      <c r="A1637" s="3">
        <v>2727</v>
      </c>
      <c r="B1637" s="27">
        <v>45316.849421296298</v>
      </c>
      <c r="C1637" s="3" t="s">
        <v>3</v>
      </c>
    </row>
    <row r="1638" spans="1:3" ht="13.5" thickBot="1" x14ac:dyDescent="0.25">
      <c r="A1638" s="3">
        <v>7031</v>
      </c>
      <c r="B1638" s="27">
        <v>45316.849976851852</v>
      </c>
      <c r="C1638" s="3" t="s">
        <v>4</v>
      </c>
    </row>
    <row r="1639" spans="1:3" ht="13.5" thickBot="1" x14ac:dyDescent="0.25">
      <c r="A1639" s="3">
        <v>2421</v>
      </c>
      <c r="B1639" s="27">
        <v>45316.866643518515</v>
      </c>
      <c r="C1639" s="3" t="s">
        <v>5</v>
      </c>
    </row>
    <row r="1640" spans="1:3" ht="13.5" thickBot="1" x14ac:dyDescent="0.25">
      <c r="A1640" s="3">
        <v>4553</v>
      </c>
      <c r="B1640" s="27">
        <v>45316.869756944441</v>
      </c>
      <c r="C1640" s="3" t="s">
        <v>4</v>
      </c>
    </row>
    <row r="1641" spans="1:3" ht="13.5" thickBot="1" x14ac:dyDescent="0.25">
      <c r="A1641" s="3">
        <v>2016</v>
      </c>
      <c r="B1641" s="27">
        <v>45316.873888888891</v>
      </c>
      <c r="C1641" s="3" t="s">
        <v>3</v>
      </c>
    </row>
    <row r="1642" spans="1:3" ht="13.5" thickBot="1" x14ac:dyDescent="0.25">
      <c r="A1642" s="3">
        <v>2989</v>
      </c>
      <c r="B1642" s="27">
        <v>45316.888020833336</v>
      </c>
      <c r="C1642" s="3" t="s">
        <v>6</v>
      </c>
    </row>
    <row r="1643" spans="1:3" ht="13.5" thickBot="1" x14ac:dyDescent="0.25">
      <c r="A1643" s="3">
        <v>1288</v>
      </c>
      <c r="B1643" s="27">
        <v>45316.888738425929</v>
      </c>
      <c r="C1643" s="3" t="s">
        <v>5</v>
      </c>
    </row>
    <row r="1644" spans="1:3" ht="13.5" thickBot="1" x14ac:dyDescent="0.25">
      <c r="A1644" s="3">
        <v>4037</v>
      </c>
      <c r="B1644" s="27">
        <v>45316.902615740742</v>
      </c>
      <c r="C1644" s="3" t="s">
        <v>4</v>
      </c>
    </row>
    <row r="1645" spans="1:3" ht="13.5" thickBot="1" x14ac:dyDescent="0.25">
      <c r="A1645" s="3">
        <v>3493</v>
      </c>
      <c r="B1645" s="27">
        <v>45316.903599537036</v>
      </c>
      <c r="C1645" s="3" t="s">
        <v>4</v>
      </c>
    </row>
    <row r="1646" spans="1:3" ht="13.5" thickBot="1" x14ac:dyDescent="0.25">
      <c r="A1646" s="3">
        <v>824</v>
      </c>
      <c r="B1646" s="27">
        <v>45316.908171296294</v>
      </c>
      <c r="C1646" s="3" t="s">
        <v>3</v>
      </c>
    </row>
    <row r="1647" spans="1:3" ht="13.5" thickBot="1" x14ac:dyDescent="0.25">
      <c r="A1647" s="3">
        <v>787</v>
      </c>
      <c r="B1647" s="27">
        <v>45316.921631944446</v>
      </c>
      <c r="C1647" s="3" t="s">
        <v>4</v>
      </c>
    </row>
    <row r="1648" spans="1:3" ht="13.5" thickBot="1" x14ac:dyDescent="0.25">
      <c r="A1648" s="3">
        <v>3551</v>
      </c>
      <c r="B1648" s="27">
        <v>45316.925763888888</v>
      </c>
      <c r="C1648" s="3" t="s">
        <v>4</v>
      </c>
    </row>
    <row r="1649" spans="1:3" ht="13.5" thickBot="1" x14ac:dyDescent="0.25">
      <c r="A1649" s="3">
        <v>4315</v>
      </c>
      <c r="B1649" s="27">
        <v>45316.958715277775</v>
      </c>
      <c r="C1649" s="3" t="s">
        <v>3</v>
      </c>
    </row>
    <row r="1650" spans="1:3" ht="13.5" thickBot="1" x14ac:dyDescent="0.25">
      <c r="A1650" s="3">
        <v>6227</v>
      </c>
      <c r="B1650" s="27">
        <v>45316.994583333333</v>
      </c>
      <c r="C1650" s="3" t="s">
        <v>3</v>
      </c>
    </row>
    <row r="1651" spans="1:3" ht="13.5" thickBot="1" x14ac:dyDescent="0.25">
      <c r="A1651" s="3">
        <v>5770</v>
      </c>
      <c r="B1651" s="27">
        <v>45317.013321759259</v>
      </c>
      <c r="C1651" s="3" t="s">
        <v>6</v>
      </c>
    </row>
    <row r="1652" spans="1:3" ht="13.5" thickBot="1" x14ac:dyDescent="0.25">
      <c r="A1652" s="3">
        <v>5134</v>
      </c>
      <c r="B1652" s="27">
        <v>45317.014398148145</v>
      </c>
      <c r="C1652" s="3" t="s">
        <v>5</v>
      </c>
    </row>
    <row r="1653" spans="1:3" ht="13.5" thickBot="1" x14ac:dyDescent="0.25">
      <c r="A1653" s="3">
        <v>3864</v>
      </c>
      <c r="B1653" s="27">
        <v>45317.046168981484</v>
      </c>
      <c r="C1653" s="3" t="s">
        <v>3</v>
      </c>
    </row>
    <row r="1654" spans="1:3" ht="13.5" thickBot="1" x14ac:dyDescent="0.25">
      <c r="A1654" s="3">
        <v>6756</v>
      </c>
      <c r="B1654" s="27">
        <v>45317.052511574075</v>
      </c>
      <c r="C1654" s="3" t="s">
        <v>3</v>
      </c>
    </row>
    <row r="1655" spans="1:3" ht="13.5" thickBot="1" x14ac:dyDescent="0.25">
      <c r="A1655" s="3">
        <v>6833</v>
      </c>
      <c r="B1655" s="27">
        <v>45317.091053240743</v>
      </c>
      <c r="C1655" s="3" t="s">
        <v>3</v>
      </c>
    </row>
    <row r="1656" spans="1:3" ht="13.5" thickBot="1" x14ac:dyDescent="0.25">
      <c r="A1656" s="3">
        <v>5830</v>
      </c>
      <c r="B1656" s="27">
        <v>45317.118969907409</v>
      </c>
      <c r="C1656" s="3" t="s">
        <v>4</v>
      </c>
    </row>
    <row r="1657" spans="1:3" ht="13.5" thickBot="1" x14ac:dyDescent="0.25">
      <c r="A1657" s="3">
        <v>7473</v>
      </c>
      <c r="B1657" s="27">
        <v>45317.121111111112</v>
      </c>
      <c r="C1657" s="3" t="s">
        <v>6</v>
      </c>
    </row>
    <row r="1658" spans="1:3" ht="13.5" thickBot="1" x14ac:dyDescent="0.25">
      <c r="A1658" s="3">
        <v>4141</v>
      </c>
      <c r="B1658" s="27">
        <v>45317.147199074076</v>
      </c>
      <c r="C1658" s="3" t="s">
        <v>5</v>
      </c>
    </row>
    <row r="1659" spans="1:3" ht="13.5" thickBot="1" x14ac:dyDescent="0.25">
      <c r="A1659" s="3">
        <v>2727</v>
      </c>
      <c r="B1659" s="27">
        <v>45317.150405092594</v>
      </c>
      <c r="C1659" s="3" t="s">
        <v>4</v>
      </c>
    </row>
    <row r="1660" spans="1:3" ht="13.5" thickBot="1" x14ac:dyDescent="0.25">
      <c r="A1660" s="3">
        <v>732</v>
      </c>
      <c r="B1660" s="27">
        <v>45317.155891203707</v>
      </c>
      <c r="C1660" s="3" t="s">
        <v>3</v>
      </c>
    </row>
    <row r="1661" spans="1:3" ht="13.5" thickBot="1" x14ac:dyDescent="0.25">
      <c r="A1661" s="3">
        <v>6456</v>
      </c>
      <c r="B1661" s="27">
        <v>45317.181284722225</v>
      </c>
      <c r="C1661" s="3" t="s">
        <v>3</v>
      </c>
    </row>
    <row r="1662" spans="1:3" ht="13.5" thickBot="1" x14ac:dyDescent="0.25">
      <c r="A1662" s="3">
        <v>753</v>
      </c>
      <c r="B1662" s="27">
        <v>45317.18645833333</v>
      </c>
      <c r="C1662" s="3" t="s">
        <v>6</v>
      </c>
    </row>
    <row r="1663" spans="1:3" ht="13.5" thickBot="1" x14ac:dyDescent="0.25">
      <c r="A1663" s="3">
        <v>6640</v>
      </c>
      <c r="B1663" s="27">
        <v>45317.249108796299</v>
      </c>
      <c r="C1663" s="3" t="s">
        <v>3</v>
      </c>
    </row>
    <row r="1664" spans="1:3" ht="13.5" thickBot="1" x14ac:dyDescent="0.25">
      <c r="A1664" s="3">
        <v>6216</v>
      </c>
      <c r="B1664" s="27">
        <v>45317.251909722225</v>
      </c>
      <c r="C1664" s="3" t="s">
        <v>4</v>
      </c>
    </row>
    <row r="1665" spans="1:3" ht="13.5" thickBot="1" x14ac:dyDescent="0.25">
      <c r="A1665" s="3">
        <v>4447</v>
      </c>
      <c r="B1665" s="27">
        <v>45317.253125000003</v>
      </c>
      <c r="C1665" s="3" t="s">
        <v>6</v>
      </c>
    </row>
    <row r="1666" spans="1:3" ht="13.5" thickBot="1" x14ac:dyDescent="0.25">
      <c r="A1666" s="3">
        <v>1784</v>
      </c>
      <c r="B1666" s="27">
        <v>45317.269212962965</v>
      </c>
      <c r="C1666" s="3" t="s">
        <v>6</v>
      </c>
    </row>
    <row r="1667" spans="1:3" ht="13.5" thickBot="1" x14ac:dyDescent="0.25">
      <c r="A1667" s="3">
        <v>1465</v>
      </c>
      <c r="B1667" s="27">
        <v>45317.273321759261</v>
      </c>
      <c r="C1667" s="3" t="s">
        <v>3</v>
      </c>
    </row>
    <row r="1668" spans="1:3" ht="13.5" thickBot="1" x14ac:dyDescent="0.25">
      <c r="A1668" s="3">
        <v>6283</v>
      </c>
      <c r="B1668" s="27">
        <v>45317.282743055555</v>
      </c>
      <c r="C1668" s="3" t="s">
        <v>5</v>
      </c>
    </row>
    <row r="1669" spans="1:3" ht="13.5" thickBot="1" x14ac:dyDescent="0.25">
      <c r="A1669" s="3">
        <v>1663</v>
      </c>
      <c r="B1669" s="27">
        <v>45317.294606481482</v>
      </c>
      <c r="C1669" s="3" t="s">
        <v>3</v>
      </c>
    </row>
    <row r="1670" spans="1:3" ht="13.5" thickBot="1" x14ac:dyDescent="0.25">
      <c r="A1670" s="3">
        <v>2243</v>
      </c>
      <c r="B1670" s="27">
        <v>45317.301874999997</v>
      </c>
      <c r="C1670" s="3" t="s">
        <v>3</v>
      </c>
    </row>
    <row r="1671" spans="1:3" ht="13.5" thickBot="1" x14ac:dyDescent="0.25">
      <c r="A1671" s="3">
        <v>1057</v>
      </c>
      <c r="B1671" s="27">
        <v>45317.331967592596</v>
      </c>
      <c r="C1671" s="3" t="s">
        <v>3</v>
      </c>
    </row>
    <row r="1672" spans="1:3" ht="13.5" thickBot="1" x14ac:dyDescent="0.25">
      <c r="A1672" s="3">
        <v>1303</v>
      </c>
      <c r="B1672" s="27">
        <v>45317.335347222222</v>
      </c>
      <c r="C1672" s="3" t="s">
        <v>4</v>
      </c>
    </row>
    <row r="1673" spans="1:3" ht="13.5" thickBot="1" x14ac:dyDescent="0.25">
      <c r="A1673" s="3">
        <v>2914</v>
      </c>
      <c r="B1673" s="27">
        <v>45317.336562500001</v>
      </c>
      <c r="C1673" s="3" t="s">
        <v>6</v>
      </c>
    </row>
    <row r="1674" spans="1:3" ht="13.5" thickBot="1" x14ac:dyDescent="0.25">
      <c r="A1674" s="3">
        <v>7488</v>
      </c>
      <c r="B1674" s="27">
        <v>45317.379074074073</v>
      </c>
      <c r="C1674" s="3" t="s">
        <v>3</v>
      </c>
    </row>
    <row r="1675" spans="1:3" ht="13.5" thickBot="1" x14ac:dyDescent="0.25">
      <c r="A1675" s="3">
        <v>2301</v>
      </c>
      <c r="B1675" s="27">
        <v>45317.393564814818</v>
      </c>
      <c r="C1675" s="3" t="s">
        <v>3</v>
      </c>
    </row>
    <row r="1676" spans="1:3" ht="13.5" thickBot="1" x14ac:dyDescent="0.25">
      <c r="A1676" s="3">
        <v>1420</v>
      </c>
      <c r="B1676" s="27">
        <v>45317.394791666666</v>
      </c>
      <c r="C1676" s="3" t="s">
        <v>6</v>
      </c>
    </row>
    <row r="1677" spans="1:3" ht="13.5" thickBot="1" x14ac:dyDescent="0.25">
      <c r="A1677" s="3">
        <v>1427</v>
      </c>
      <c r="B1677" s="27">
        <v>45317.411238425928</v>
      </c>
      <c r="C1677" s="3" t="s">
        <v>6</v>
      </c>
    </row>
    <row r="1678" spans="1:3" ht="13.5" thickBot="1" x14ac:dyDescent="0.25">
      <c r="A1678" s="3">
        <v>3435</v>
      </c>
      <c r="B1678" s="27">
        <v>45317.441192129627</v>
      </c>
      <c r="C1678" s="3" t="s">
        <v>4</v>
      </c>
    </row>
    <row r="1679" spans="1:3" ht="13.5" thickBot="1" x14ac:dyDescent="0.25">
      <c r="A1679" s="3">
        <v>6756</v>
      </c>
      <c r="B1679" s="27">
        <v>45317.451782407406</v>
      </c>
      <c r="C1679" s="3" t="s">
        <v>4</v>
      </c>
    </row>
    <row r="1680" spans="1:3" ht="13.5" thickBot="1" x14ac:dyDescent="0.25">
      <c r="A1680" s="3">
        <v>1278</v>
      </c>
      <c r="B1680" s="27">
        <v>45317.460081018522</v>
      </c>
      <c r="C1680" s="3" t="s">
        <v>7</v>
      </c>
    </row>
    <row r="1681" spans="1:3" ht="13.5" thickBot="1" x14ac:dyDescent="0.25">
      <c r="A1681" s="3">
        <v>348</v>
      </c>
      <c r="B1681" s="27">
        <v>45317.462025462963</v>
      </c>
      <c r="C1681" s="3" t="s">
        <v>3</v>
      </c>
    </row>
    <row r="1682" spans="1:3" ht="13.5" thickBot="1" x14ac:dyDescent="0.25">
      <c r="A1682" s="3">
        <v>1345</v>
      </c>
      <c r="B1682" s="27">
        <v>45317.470833333333</v>
      </c>
      <c r="C1682" s="3" t="s">
        <v>4</v>
      </c>
    </row>
    <row r="1683" spans="1:3" ht="13.5" thickBot="1" x14ac:dyDescent="0.25">
      <c r="A1683" s="3">
        <v>435</v>
      </c>
      <c r="B1683" s="27">
        <v>45317.498391203706</v>
      </c>
      <c r="C1683" s="3" t="s">
        <v>3</v>
      </c>
    </row>
    <row r="1684" spans="1:3" ht="13.5" thickBot="1" x14ac:dyDescent="0.25">
      <c r="A1684" s="3">
        <v>5562</v>
      </c>
      <c r="B1684" s="27">
        <v>45317.506643518522</v>
      </c>
      <c r="C1684" s="3" t="s">
        <v>4</v>
      </c>
    </row>
    <row r="1685" spans="1:3" ht="13.5" thickBot="1" x14ac:dyDescent="0.25">
      <c r="A1685" s="3">
        <v>6283</v>
      </c>
      <c r="B1685" s="27">
        <v>45317.542905092596</v>
      </c>
      <c r="C1685" s="3" t="s">
        <v>4</v>
      </c>
    </row>
    <row r="1686" spans="1:3" ht="13.5" thickBot="1" x14ac:dyDescent="0.25">
      <c r="A1686" s="3">
        <v>6004</v>
      </c>
      <c r="B1686" s="27">
        <v>45317.543379629627</v>
      </c>
      <c r="C1686" s="3" t="s">
        <v>4</v>
      </c>
    </row>
    <row r="1687" spans="1:3" ht="13.5" thickBot="1" x14ac:dyDescent="0.25">
      <c r="A1687" s="3">
        <v>1303</v>
      </c>
      <c r="B1687" s="27">
        <v>45317.548020833332</v>
      </c>
      <c r="C1687" s="3" t="s">
        <v>6</v>
      </c>
    </row>
    <row r="1688" spans="1:3" ht="13.5" thickBot="1" x14ac:dyDescent="0.25">
      <c r="A1688" s="3">
        <v>6283</v>
      </c>
      <c r="B1688" s="27">
        <v>45317.559687499997</v>
      </c>
      <c r="C1688" s="3" t="s">
        <v>3</v>
      </c>
    </row>
    <row r="1689" spans="1:3" ht="13.5" thickBot="1" x14ac:dyDescent="0.25">
      <c r="A1689" s="3">
        <v>1645</v>
      </c>
      <c r="B1689" s="27">
        <v>45317.563738425924</v>
      </c>
      <c r="C1689" s="3" t="s">
        <v>3</v>
      </c>
    </row>
    <row r="1690" spans="1:3" ht="13.5" thickBot="1" x14ac:dyDescent="0.25">
      <c r="A1690" s="3">
        <v>6640</v>
      </c>
      <c r="B1690" s="27">
        <v>45317.567835648151</v>
      </c>
      <c r="C1690" s="3" t="s">
        <v>4</v>
      </c>
    </row>
    <row r="1691" spans="1:3" ht="13.5" thickBot="1" x14ac:dyDescent="0.25">
      <c r="A1691" s="3">
        <v>2717</v>
      </c>
      <c r="B1691" s="27">
        <v>45317.569155092591</v>
      </c>
      <c r="C1691" s="3" t="s">
        <v>5</v>
      </c>
    </row>
    <row r="1692" spans="1:3" ht="13.5" thickBot="1" x14ac:dyDescent="0.25">
      <c r="A1692" s="3">
        <v>2717</v>
      </c>
      <c r="B1692" s="27">
        <v>45317.581863425927</v>
      </c>
      <c r="C1692" s="3" t="s">
        <v>3</v>
      </c>
    </row>
    <row r="1693" spans="1:3" ht="13.5" thickBot="1" x14ac:dyDescent="0.25">
      <c r="A1693" s="3">
        <v>4141</v>
      </c>
      <c r="B1693" s="27">
        <v>45317.611701388887</v>
      </c>
      <c r="C1693" s="3" t="s">
        <v>7</v>
      </c>
    </row>
    <row r="1694" spans="1:3" ht="13.5" thickBot="1" x14ac:dyDescent="0.25">
      <c r="A1694" s="3">
        <v>1663</v>
      </c>
      <c r="B1694" s="27">
        <v>45317.650023148148</v>
      </c>
      <c r="C1694" s="3" t="s">
        <v>4</v>
      </c>
    </row>
    <row r="1695" spans="1:3" ht="13.5" thickBot="1" x14ac:dyDescent="0.25">
      <c r="A1695" s="3">
        <v>5924</v>
      </c>
      <c r="B1695" s="27">
        <v>45317.656180555554</v>
      </c>
      <c r="C1695" s="3" t="s">
        <v>6</v>
      </c>
    </row>
    <row r="1696" spans="1:3" ht="13.5" thickBot="1" x14ac:dyDescent="0.25">
      <c r="A1696" s="3">
        <v>6833</v>
      </c>
      <c r="B1696" s="27">
        <v>45317.673148148147</v>
      </c>
      <c r="C1696" s="3" t="s">
        <v>4</v>
      </c>
    </row>
    <row r="1697" spans="1:3" ht="13.5" thickBot="1" x14ac:dyDescent="0.25">
      <c r="A1697" s="3">
        <v>2763</v>
      </c>
      <c r="B1697" s="27">
        <v>45317.690798611111</v>
      </c>
      <c r="C1697" s="3" t="s">
        <v>3</v>
      </c>
    </row>
    <row r="1698" spans="1:3" ht="13.5" thickBot="1" x14ac:dyDescent="0.25">
      <c r="A1698" s="3">
        <v>6188</v>
      </c>
      <c r="B1698" s="27">
        <v>45317.695185185185</v>
      </c>
      <c r="C1698" s="3" t="s">
        <v>4</v>
      </c>
    </row>
    <row r="1699" spans="1:3" ht="13.5" thickBot="1" x14ac:dyDescent="0.25">
      <c r="A1699" s="3">
        <v>6004</v>
      </c>
      <c r="B1699" s="27">
        <v>45317.69908564815</v>
      </c>
      <c r="C1699" s="3" t="s">
        <v>3</v>
      </c>
    </row>
    <row r="1700" spans="1:3" ht="13.5" thickBot="1" x14ac:dyDescent="0.25">
      <c r="A1700" s="3">
        <v>3566</v>
      </c>
      <c r="B1700" s="27">
        <v>45317.709479166668</v>
      </c>
      <c r="C1700" s="3" t="s">
        <v>3</v>
      </c>
    </row>
    <row r="1701" spans="1:3" ht="13.5" thickBot="1" x14ac:dyDescent="0.25">
      <c r="A1701" s="3">
        <v>6352</v>
      </c>
      <c r="B1701" s="27">
        <v>45317.709652777776</v>
      </c>
      <c r="C1701" s="3" t="s">
        <v>3</v>
      </c>
    </row>
    <row r="1702" spans="1:3" ht="13.5" thickBot="1" x14ac:dyDescent="0.25">
      <c r="A1702" s="3">
        <v>5562</v>
      </c>
      <c r="B1702" s="27">
        <v>45317.71638888889</v>
      </c>
      <c r="C1702" s="3" t="s">
        <v>3</v>
      </c>
    </row>
    <row r="1703" spans="1:3" ht="13.5" thickBot="1" x14ac:dyDescent="0.25">
      <c r="A1703" s="3">
        <v>1772</v>
      </c>
      <c r="B1703" s="27">
        <v>45317.720277777778</v>
      </c>
      <c r="C1703" s="3" t="s">
        <v>3</v>
      </c>
    </row>
    <row r="1704" spans="1:3" ht="13.5" thickBot="1" x14ac:dyDescent="0.25">
      <c r="A1704" s="3">
        <v>5840</v>
      </c>
      <c r="B1704" s="27">
        <v>45317.75072916667</v>
      </c>
      <c r="C1704" s="3" t="s">
        <v>3</v>
      </c>
    </row>
    <row r="1705" spans="1:3" ht="13.5" thickBot="1" x14ac:dyDescent="0.25">
      <c r="A1705" s="3">
        <v>2234</v>
      </c>
      <c r="B1705" s="27">
        <v>45317.808472222219</v>
      </c>
      <c r="C1705" s="3" t="s">
        <v>5</v>
      </c>
    </row>
    <row r="1706" spans="1:3" ht="13.5" thickBot="1" x14ac:dyDescent="0.25">
      <c r="A1706" s="3">
        <v>6216</v>
      </c>
      <c r="B1706" s="27">
        <v>45317.813726851855</v>
      </c>
      <c r="C1706" s="3" t="s">
        <v>6</v>
      </c>
    </row>
    <row r="1707" spans="1:3" ht="13.5" thickBot="1" x14ac:dyDescent="0.25">
      <c r="A1707" s="3">
        <v>2234</v>
      </c>
      <c r="B1707" s="27">
        <v>45317.825474537036</v>
      </c>
      <c r="C1707" s="3" t="s">
        <v>3</v>
      </c>
    </row>
    <row r="1708" spans="1:3" ht="13.5" thickBot="1" x14ac:dyDescent="0.25">
      <c r="A1708" s="3">
        <v>5196</v>
      </c>
      <c r="B1708" s="27">
        <v>45317.832488425927</v>
      </c>
      <c r="C1708" s="3" t="s">
        <v>4</v>
      </c>
    </row>
    <row r="1709" spans="1:3" ht="13.5" thickBot="1" x14ac:dyDescent="0.25">
      <c r="A1709" s="3">
        <v>2955</v>
      </c>
      <c r="B1709" s="27">
        <v>45317.834467592591</v>
      </c>
      <c r="C1709" s="3" t="s">
        <v>3</v>
      </c>
    </row>
    <row r="1710" spans="1:3" ht="13.5" thickBot="1" x14ac:dyDescent="0.25">
      <c r="A1710" s="3">
        <v>2652</v>
      </c>
      <c r="B1710" s="27">
        <v>45317.868854166663</v>
      </c>
      <c r="C1710" s="3" t="s">
        <v>7</v>
      </c>
    </row>
    <row r="1711" spans="1:3" ht="13.5" thickBot="1" x14ac:dyDescent="0.25">
      <c r="A1711" s="3">
        <v>435</v>
      </c>
      <c r="B1711" s="27">
        <v>45317.886076388888</v>
      </c>
      <c r="C1711" s="3" t="s">
        <v>5</v>
      </c>
    </row>
    <row r="1712" spans="1:3" ht="13.5" thickBot="1" x14ac:dyDescent="0.25">
      <c r="A1712" s="3">
        <v>7283</v>
      </c>
      <c r="B1712" s="27">
        <v>45317.92528935185</v>
      </c>
      <c r="C1712" s="3" t="s">
        <v>3</v>
      </c>
    </row>
    <row r="1713" spans="1:3" ht="13.5" thickBot="1" x14ac:dyDescent="0.25">
      <c r="A1713" s="3">
        <v>5051</v>
      </c>
      <c r="B1713" s="27">
        <v>45317.927430555559</v>
      </c>
      <c r="C1713" s="3" t="s">
        <v>6</v>
      </c>
    </row>
    <row r="1714" spans="1:3" ht="13.5" thickBot="1" x14ac:dyDescent="0.25">
      <c r="A1714" s="3">
        <v>7993</v>
      </c>
      <c r="B1714" s="27">
        <v>45317.933634259258</v>
      </c>
      <c r="C1714" s="3" t="s">
        <v>6</v>
      </c>
    </row>
    <row r="1715" spans="1:3" ht="13.5" thickBot="1" x14ac:dyDescent="0.25">
      <c r="A1715" s="3">
        <v>5134</v>
      </c>
      <c r="B1715" s="27">
        <v>45317.962326388886</v>
      </c>
      <c r="C1715" s="3" t="s">
        <v>3</v>
      </c>
    </row>
    <row r="1716" spans="1:3" ht="13.5" thickBot="1" x14ac:dyDescent="0.25">
      <c r="A1716" s="3">
        <v>1980</v>
      </c>
      <c r="B1716" s="27">
        <v>45317.976157407407</v>
      </c>
      <c r="C1716" s="3" t="s">
        <v>6</v>
      </c>
    </row>
    <row r="1717" spans="1:3" ht="13.5" thickBot="1" x14ac:dyDescent="0.25">
      <c r="A1717" s="3">
        <v>1520</v>
      </c>
      <c r="B1717" s="27">
        <v>45317.98810185185</v>
      </c>
      <c r="C1717" s="3" t="s">
        <v>3</v>
      </c>
    </row>
    <row r="1718" spans="1:3" ht="13.5" thickBot="1" x14ac:dyDescent="0.25">
      <c r="A1718" s="3">
        <v>6004</v>
      </c>
      <c r="B1718" s="27">
        <v>45318.031076388892</v>
      </c>
      <c r="C1718" s="3" t="s">
        <v>7</v>
      </c>
    </row>
    <row r="1719" spans="1:3" ht="13.5" thickBot="1" x14ac:dyDescent="0.25">
      <c r="A1719" s="3">
        <v>1375</v>
      </c>
      <c r="B1719" s="27">
        <v>45318.040046296293</v>
      </c>
      <c r="C1719" s="3" t="s">
        <v>6</v>
      </c>
    </row>
    <row r="1720" spans="1:3" ht="13.5" thickBot="1" x14ac:dyDescent="0.25">
      <c r="A1720" s="3">
        <v>3689</v>
      </c>
      <c r="B1720" s="27">
        <v>45318.043946759259</v>
      </c>
      <c r="C1720" s="3" t="s">
        <v>5</v>
      </c>
    </row>
    <row r="1721" spans="1:3" ht="13.5" thickBot="1" x14ac:dyDescent="0.25">
      <c r="A1721" s="3">
        <v>757</v>
      </c>
      <c r="B1721" s="27">
        <v>45318.055266203701</v>
      </c>
      <c r="C1721" s="3" t="s">
        <v>4</v>
      </c>
    </row>
    <row r="1722" spans="1:3" ht="13.5" thickBot="1" x14ac:dyDescent="0.25">
      <c r="A1722" s="3">
        <v>6932</v>
      </c>
      <c r="B1722" s="27">
        <v>45318.084467592591</v>
      </c>
      <c r="C1722" s="3" t="s">
        <v>3</v>
      </c>
    </row>
    <row r="1723" spans="1:3" ht="13.5" thickBot="1" x14ac:dyDescent="0.25">
      <c r="A1723" s="3">
        <v>7803</v>
      </c>
      <c r="B1723" s="27">
        <v>45318.129699074074</v>
      </c>
      <c r="C1723" s="3" t="s">
        <v>7</v>
      </c>
    </row>
    <row r="1724" spans="1:3" ht="13.5" thickBot="1" x14ac:dyDescent="0.25">
      <c r="A1724" s="3">
        <v>5196</v>
      </c>
      <c r="B1724" s="27">
        <v>45318.166331018518</v>
      </c>
      <c r="C1724" s="3" t="s">
        <v>7</v>
      </c>
    </row>
    <row r="1725" spans="1:3" ht="13.5" thickBot="1" x14ac:dyDescent="0.25">
      <c r="A1725" s="3">
        <v>7264</v>
      </c>
      <c r="B1725" s="27">
        <v>45318.193032407406</v>
      </c>
      <c r="C1725" s="3" t="s">
        <v>4</v>
      </c>
    </row>
    <row r="1726" spans="1:3" ht="13.5" thickBot="1" x14ac:dyDescent="0.25">
      <c r="A1726" s="3">
        <v>7993</v>
      </c>
      <c r="B1726" s="27">
        <v>45318.197581018518</v>
      </c>
      <c r="C1726" s="3" t="s">
        <v>5</v>
      </c>
    </row>
    <row r="1727" spans="1:3" ht="13.5" thickBot="1" x14ac:dyDescent="0.25">
      <c r="A1727" s="3">
        <v>348</v>
      </c>
      <c r="B1727" s="27">
        <v>45318.20616898148</v>
      </c>
      <c r="C1727" s="3" t="s">
        <v>4</v>
      </c>
    </row>
    <row r="1728" spans="1:3" ht="13.5" thickBot="1" x14ac:dyDescent="0.25">
      <c r="A1728" s="3">
        <v>2816</v>
      </c>
      <c r="B1728" s="27">
        <v>45318.20994212963</v>
      </c>
      <c r="C1728" s="3" t="s">
        <v>4</v>
      </c>
    </row>
    <row r="1729" spans="1:3" ht="13.5" thickBot="1" x14ac:dyDescent="0.25">
      <c r="A1729" s="3">
        <v>397</v>
      </c>
      <c r="B1729" s="27">
        <v>45318.226354166669</v>
      </c>
      <c r="C1729" s="3" t="s">
        <v>4</v>
      </c>
    </row>
    <row r="1730" spans="1:3" ht="13.5" thickBot="1" x14ac:dyDescent="0.25">
      <c r="A1730" s="3">
        <v>6352</v>
      </c>
      <c r="B1730" s="27">
        <v>45318.237256944441</v>
      </c>
      <c r="C1730" s="3" t="s">
        <v>4</v>
      </c>
    </row>
    <row r="1731" spans="1:3" ht="13.5" thickBot="1" x14ac:dyDescent="0.25">
      <c r="A1731" s="3">
        <v>6188</v>
      </c>
      <c r="B1731" s="27">
        <v>45318.262939814813</v>
      </c>
      <c r="C1731" s="3" t="s">
        <v>5</v>
      </c>
    </row>
    <row r="1732" spans="1:3" ht="13.5" thickBot="1" x14ac:dyDescent="0.25">
      <c r="A1732" s="3">
        <v>2652</v>
      </c>
      <c r="B1732" s="27">
        <v>45318.265393518515</v>
      </c>
      <c r="C1732" s="3" t="s">
        <v>6</v>
      </c>
    </row>
    <row r="1733" spans="1:3" ht="13.5" thickBot="1" x14ac:dyDescent="0.25">
      <c r="A1733" s="3">
        <v>5092</v>
      </c>
      <c r="B1733" s="27">
        <v>45318.267407407409</v>
      </c>
      <c r="C1733" s="3" t="s">
        <v>3</v>
      </c>
    </row>
    <row r="1734" spans="1:3" ht="13.5" thickBot="1" x14ac:dyDescent="0.25">
      <c r="A1734" s="3">
        <v>5749</v>
      </c>
      <c r="B1734" s="27">
        <v>45318.269594907404</v>
      </c>
      <c r="C1734" s="3" t="s">
        <v>6</v>
      </c>
    </row>
    <row r="1735" spans="1:3" ht="13.5" thickBot="1" x14ac:dyDescent="0.25">
      <c r="A1735" s="3">
        <v>6227</v>
      </c>
      <c r="B1735" s="27">
        <v>45318.271793981483</v>
      </c>
      <c r="C1735" s="3" t="s">
        <v>4</v>
      </c>
    </row>
    <row r="1736" spans="1:3" ht="13.5" thickBot="1" x14ac:dyDescent="0.25">
      <c r="A1736" s="3">
        <v>7502</v>
      </c>
      <c r="B1736" s="27">
        <v>45318.272986111115</v>
      </c>
      <c r="C1736" s="3" t="s">
        <v>5</v>
      </c>
    </row>
    <row r="1737" spans="1:3" ht="13.5" thickBot="1" x14ac:dyDescent="0.25">
      <c r="A1737" s="3">
        <v>5611</v>
      </c>
      <c r="B1737" s="27">
        <v>45318.283692129633</v>
      </c>
      <c r="C1737" s="3" t="s">
        <v>3</v>
      </c>
    </row>
    <row r="1738" spans="1:3" ht="13.5" thickBot="1" x14ac:dyDescent="0.25">
      <c r="A1738" s="3">
        <v>6276</v>
      </c>
      <c r="B1738" s="27">
        <v>45318.295254629629</v>
      </c>
      <c r="C1738" s="3" t="s">
        <v>3</v>
      </c>
    </row>
    <row r="1739" spans="1:3" ht="13.5" thickBot="1" x14ac:dyDescent="0.25">
      <c r="A1739" s="3">
        <v>7803</v>
      </c>
      <c r="B1739" s="27">
        <v>45318.332488425927</v>
      </c>
      <c r="C1739" s="3" t="s">
        <v>5</v>
      </c>
    </row>
    <row r="1740" spans="1:3" ht="13.5" thickBot="1" x14ac:dyDescent="0.25">
      <c r="A1740" s="3">
        <v>6873</v>
      </c>
      <c r="B1740" s="27">
        <v>45318.34584490741</v>
      </c>
      <c r="C1740" s="3" t="s">
        <v>6</v>
      </c>
    </row>
    <row r="1741" spans="1:3" ht="13.5" thickBot="1" x14ac:dyDescent="0.25">
      <c r="A1741" s="3">
        <v>1645</v>
      </c>
      <c r="B1741" s="27">
        <v>45318.364120370374</v>
      </c>
      <c r="C1741" s="3" t="s">
        <v>4</v>
      </c>
    </row>
    <row r="1742" spans="1:3" ht="13.5" thickBot="1" x14ac:dyDescent="0.25">
      <c r="A1742" s="3">
        <v>7754</v>
      </c>
      <c r="B1742" s="27">
        <v>45318.380740740744</v>
      </c>
      <c r="C1742" s="3" t="s">
        <v>4</v>
      </c>
    </row>
    <row r="1743" spans="1:3" ht="13.5" thickBot="1" x14ac:dyDescent="0.25">
      <c r="A1743" s="3">
        <v>4386</v>
      </c>
      <c r="B1743" s="27">
        <v>45318.409409722219</v>
      </c>
      <c r="C1743" s="3" t="s">
        <v>3</v>
      </c>
    </row>
    <row r="1744" spans="1:3" ht="13.5" thickBot="1" x14ac:dyDescent="0.25">
      <c r="A1744" s="3">
        <v>3010</v>
      </c>
      <c r="B1744" s="27">
        <v>45318.411793981482</v>
      </c>
      <c r="C1744" s="3" t="s">
        <v>3</v>
      </c>
    </row>
    <row r="1745" spans="1:3" ht="13.5" thickBot="1" x14ac:dyDescent="0.25">
      <c r="A1745" s="3">
        <v>7754</v>
      </c>
      <c r="B1745" s="27">
        <v>45318.429930555554</v>
      </c>
      <c r="C1745" s="3" t="s">
        <v>5</v>
      </c>
    </row>
    <row r="1746" spans="1:3" ht="13.5" thickBot="1" x14ac:dyDescent="0.25">
      <c r="A1746" s="3">
        <v>5384</v>
      </c>
      <c r="B1746" s="27">
        <v>45318.515300925923</v>
      </c>
      <c r="C1746" s="3" t="s">
        <v>4</v>
      </c>
    </row>
    <row r="1747" spans="1:3" ht="13.5" thickBot="1" x14ac:dyDescent="0.25">
      <c r="A1747" s="3">
        <v>1762</v>
      </c>
      <c r="B1747" s="27">
        <v>45318.534756944442</v>
      </c>
      <c r="C1747" s="3" t="s">
        <v>3</v>
      </c>
    </row>
    <row r="1748" spans="1:3" ht="13.5" thickBot="1" x14ac:dyDescent="0.25">
      <c r="A1748" s="3">
        <v>682</v>
      </c>
      <c r="B1748" s="27">
        <v>45318.536874999998</v>
      </c>
      <c r="C1748" s="3" t="s">
        <v>3</v>
      </c>
    </row>
    <row r="1749" spans="1:3" ht="13.5" thickBot="1" x14ac:dyDescent="0.25">
      <c r="A1749" s="3">
        <v>6034</v>
      </c>
      <c r="B1749" s="27">
        <v>45318.539571759262</v>
      </c>
      <c r="C1749" s="3" t="s">
        <v>3</v>
      </c>
    </row>
    <row r="1750" spans="1:3" ht="13.5" thickBot="1" x14ac:dyDescent="0.25">
      <c r="A1750" s="3">
        <v>7462</v>
      </c>
      <c r="B1750" s="27">
        <v>45318.604201388887</v>
      </c>
      <c r="C1750" s="3" t="s">
        <v>3</v>
      </c>
    </row>
    <row r="1751" spans="1:3" ht="13.5" thickBot="1" x14ac:dyDescent="0.25">
      <c r="A1751" s="3">
        <v>6415</v>
      </c>
      <c r="B1751" s="27">
        <v>45318.607256944444</v>
      </c>
      <c r="C1751" s="3" t="s">
        <v>3</v>
      </c>
    </row>
    <row r="1752" spans="1:3" ht="13.5" thickBot="1" x14ac:dyDescent="0.25">
      <c r="A1752" s="3">
        <v>5611</v>
      </c>
      <c r="B1752" s="27">
        <v>45318.619247685187</v>
      </c>
      <c r="C1752" s="3" t="s">
        <v>4</v>
      </c>
    </row>
    <row r="1753" spans="1:3" ht="13.5" thickBot="1" x14ac:dyDescent="0.25">
      <c r="A1753" s="3">
        <v>787</v>
      </c>
      <c r="B1753" s="27">
        <v>45318.63077546296</v>
      </c>
      <c r="C1753" s="3" t="s">
        <v>6</v>
      </c>
    </row>
    <row r="1754" spans="1:3" ht="13.5" thickBot="1" x14ac:dyDescent="0.25">
      <c r="A1754" s="3">
        <v>2234</v>
      </c>
      <c r="B1754" s="27">
        <v>45318.665243055555</v>
      </c>
      <c r="C1754" s="3" t="s">
        <v>4</v>
      </c>
    </row>
    <row r="1755" spans="1:3" ht="13.5" thickBot="1" x14ac:dyDescent="0.25">
      <c r="A1755" s="3">
        <v>1430</v>
      </c>
      <c r="B1755" s="27">
        <v>45318.674039351848</v>
      </c>
      <c r="C1755" s="3" t="s">
        <v>6</v>
      </c>
    </row>
    <row r="1756" spans="1:3" ht="13.5" thickBot="1" x14ac:dyDescent="0.25">
      <c r="A1756" s="3">
        <v>6716</v>
      </c>
      <c r="B1756" s="27">
        <v>45318.683495370373</v>
      </c>
      <c r="C1756" s="3" t="s">
        <v>6</v>
      </c>
    </row>
    <row r="1757" spans="1:3" ht="13.5" thickBot="1" x14ac:dyDescent="0.25">
      <c r="A1757" s="3">
        <v>397</v>
      </c>
      <c r="B1757" s="27">
        <v>45318.695092592592</v>
      </c>
      <c r="C1757" s="3" t="s">
        <v>3</v>
      </c>
    </row>
    <row r="1758" spans="1:3" ht="13.5" thickBot="1" x14ac:dyDescent="0.25">
      <c r="A1758" s="3">
        <v>5232</v>
      </c>
      <c r="B1758" s="27">
        <v>45318.73605324074</v>
      </c>
      <c r="C1758" s="3" t="s">
        <v>6</v>
      </c>
    </row>
    <row r="1759" spans="1:3" ht="13.5" thickBot="1" x14ac:dyDescent="0.25">
      <c r="A1759" s="3">
        <v>1303</v>
      </c>
      <c r="B1759" s="27">
        <v>45318.766006944446</v>
      </c>
      <c r="C1759" s="3" t="s">
        <v>5</v>
      </c>
    </row>
    <row r="1760" spans="1:3" ht="13.5" thickBot="1" x14ac:dyDescent="0.25">
      <c r="A1760" s="3">
        <v>1057</v>
      </c>
      <c r="B1760" s="27">
        <v>45318.780358796299</v>
      </c>
      <c r="C1760" s="3" t="s">
        <v>4</v>
      </c>
    </row>
    <row r="1761" spans="1:3" ht="13.5" thickBot="1" x14ac:dyDescent="0.25">
      <c r="A1761" s="3">
        <v>1</v>
      </c>
      <c r="B1761" s="27">
        <v>45318.793657407405</v>
      </c>
      <c r="C1761" s="3" t="s">
        <v>6</v>
      </c>
    </row>
    <row r="1762" spans="1:3" ht="13.5" thickBot="1" x14ac:dyDescent="0.25">
      <c r="A1762" s="3">
        <v>3842</v>
      </c>
      <c r="B1762" s="27">
        <v>45318.799641203703</v>
      </c>
      <c r="C1762" s="3" t="s">
        <v>4</v>
      </c>
    </row>
    <row r="1763" spans="1:3" ht="13.5" thickBot="1" x14ac:dyDescent="0.25">
      <c r="A1763" s="3">
        <v>2239</v>
      </c>
      <c r="B1763" s="27">
        <v>45318.803425925929</v>
      </c>
      <c r="C1763" s="3" t="s">
        <v>3</v>
      </c>
    </row>
    <row r="1764" spans="1:3" ht="13.5" thickBot="1" x14ac:dyDescent="0.25">
      <c r="A1764" s="3">
        <v>2816</v>
      </c>
      <c r="B1764" s="27">
        <v>45318.808344907404</v>
      </c>
      <c r="C1764" s="3" t="s">
        <v>3</v>
      </c>
    </row>
    <row r="1765" spans="1:3" ht="13.5" thickBot="1" x14ac:dyDescent="0.25">
      <c r="A1765" s="3">
        <v>6456</v>
      </c>
      <c r="B1765" s="27">
        <v>45318.841643518521</v>
      </c>
      <c r="C1765" s="3" t="s">
        <v>7</v>
      </c>
    </row>
    <row r="1766" spans="1:3" ht="13.5" thickBot="1" x14ac:dyDescent="0.25">
      <c r="A1766" s="3">
        <v>7502</v>
      </c>
      <c r="B1766" s="27">
        <v>45318.842291666668</v>
      </c>
      <c r="C1766" s="3" t="s">
        <v>3</v>
      </c>
    </row>
    <row r="1767" spans="1:3" ht="13.5" thickBot="1" x14ac:dyDescent="0.25">
      <c r="A1767" s="3">
        <v>7264</v>
      </c>
      <c r="B1767" s="27">
        <v>45318.848055555558</v>
      </c>
      <c r="C1767" s="3" t="s">
        <v>3</v>
      </c>
    </row>
    <row r="1768" spans="1:3" ht="13.5" thickBot="1" x14ac:dyDescent="0.25">
      <c r="A1768" s="3">
        <v>5275</v>
      </c>
      <c r="B1768" s="27">
        <v>45318.851655092592</v>
      </c>
      <c r="C1768" s="3" t="s">
        <v>5</v>
      </c>
    </row>
    <row r="1769" spans="1:3" ht="13.5" thickBot="1" x14ac:dyDescent="0.25">
      <c r="A1769" s="3">
        <v>856</v>
      </c>
      <c r="B1769" s="27">
        <v>45318.857210648152</v>
      </c>
      <c r="C1769" s="3" t="s">
        <v>3</v>
      </c>
    </row>
    <row r="1770" spans="1:3" ht="13.5" thickBot="1" x14ac:dyDescent="0.25">
      <c r="A1770" s="3">
        <v>1482</v>
      </c>
      <c r="B1770" s="27">
        <v>45318.866875</v>
      </c>
      <c r="C1770" s="3" t="s">
        <v>3</v>
      </c>
    </row>
    <row r="1771" spans="1:3" ht="13.5" thickBot="1" x14ac:dyDescent="0.25">
      <c r="A1771" s="3">
        <v>6914</v>
      </c>
      <c r="B1771" s="27">
        <v>45318.870451388888</v>
      </c>
      <c r="C1771" s="3" t="s">
        <v>6</v>
      </c>
    </row>
    <row r="1772" spans="1:3" ht="13.5" thickBot="1" x14ac:dyDescent="0.25">
      <c r="A1772" s="3">
        <v>6283</v>
      </c>
      <c r="B1772" s="27">
        <v>45318.890347222223</v>
      </c>
      <c r="C1772" s="3" t="s">
        <v>7</v>
      </c>
    </row>
    <row r="1773" spans="1:3" ht="13.5" thickBot="1" x14ac:dyDescent="0.25">
      <c r="A1773" s="3">
        <v>5111</v>
      </c>
      <c r="B1773" s="27">
        <v>45318.893946759257</v>
      </c>
      <c r="C1773" s="3" t="s">
        <v>3</v>
      </c>
    </row>
    <row r="1774" spans="1:3" ht="13.5" thickBot="1" x14ac:dyDescent="0.25">
      <c r="A1774" s="3">
        <v>5382</v>
      </c>
      <c r="B1774" s="27">
        <v>45318.898969907408</v>
      </c>
      <c r="C1774" s="3" t="s">
        <v>3</v>
      </c>
    </row>
    <row r="1775" spans="1:3" ht="13.5" thickBot="1" x14ac:dyDescent="0.25">
      <c r="A1775" s="3">
        <v>1465</v>
      </c>
      <c r="B1775" s="27">
        <v>45318.911203703705</v>
      </c>
      <c r="C1775" s="3" t="s">
        <v>4</v>
      </c>
    </row>
    <row r="1776" spans="1:3" ht="13.5" thickBot="1" x14ac:dyDescent="0.25">
      <c r="A1776" s="3">
        <v>2955</v>
      </c>
      <c r="B1776" s="27">
        <v>45318.926018518519</v>
      </c>
      <c r="C1776" s="3" t="s">
        <v>5</v>
      </c>
    </row>
    <row r="1777" spans="1:3" ht="13.5" thickBot="1" x14ac:dyDescent="0.25">
      <c r="A1777" s="3">
        <v>7754</v>
      </c>
      <c r="B1777" s="27">
        <v>45318.929571759261</v>
      </c>
      <c r="C1777" s="3" t="s">
        <v>3</v>
      </c>
    </row>
    <row r="1778" spans="1:3" ht="13.5" thickBot="1" x14ac:dyDescent="0.25">
      <c r="A1778" s="3">
        <v>6331</v>
      </c>
      <c r="B1778" s="27">
        <v>45318.989537037036</v>
      </c>
      <c r="C1778" s="3" t="s">
        <v>3</v>
      </c>
    </row>
    <row r="1779" spans="1:3" ht="13.5" thickBot="1" x14ac:dyDescent="0.25">
      <c r="A1779" s="3">
        <v>6639</v>
      </c>
      <c r="B1779" s="27">
        <v>45318.994513888887</v>
      </c>
      <c r="C1779" s="3" t="s">
        <v>4</v>
      </c>
    </row>
    <row r="1780" spans="1:3" ht="13.5" thickBot="1" x14ac:dyDescent="0.25">
      <c r="A1780" s="3">
        <v>5694</v>
      </c>
      <c r="B1780" s="27">
        <v>45318.997037037036</v>
      </c>
      <c r="C1780" s="3" t="s">
        <v>3</v>
      </c>
    </row>
    <row r="1781" spans="1:3" ht="13.5" thickBot="1" x14ac:dyDescent="0.25">
      <c r="A1781" s="3">
        <v>4951</v>
      </c>
      <c r="B1781" s="27">
        <v>45319.008912037039</v>
      </c>
      <c r="C1781" s="3" t="s">
        <v>6</v>
      </c>
    </row>
    <row r="1782" spans="1:3" ht="13.5" thickBot="1" x14ac:dyDescent="0.25">
      <c r="A1782" s="3">
        <v>2955</v>
      </c>
      <c r="B1782" s="27">
        <v>45319.057604166665</v>
      </c>
      <c r="C1782" s="3" t="s">
        <v>7</v>
      </c>
    </row>
    <row r="1783" spans="1:3" ht="13.5" thickBot="1" x14ac:dyDescent="0.25">
      <c r="A1783" s="3">
        <v>2123</v>
      </c>
      <c r="B1783" s="27">
        <v>45319.075358796297</v>
      </c>
      <c r="C1783" s="3" t="s">
        <v>3</v>
      </c>
    </row>
    <row r="1784" spans="1:3" ht="13.5" thickBot="1" x14ac:dyDescent="0.25">
      <c r="A1784" s="3">
        <v>6230</v>
      </c>
      <c r="B1784" s="27">
        <v>45319.078449074077</v>
      </c>
      <c r="C1784" s="3" t="s">
        <v>3</v>
      </c>
    </row>
    <row r="1785" spans="1:3" ht="13.5" thickBot="1" x14ac:dyDescent="0.25">
      <c r="A1785" s="3">
        <v>89</v>
      </c>
      <c r="B1785" s="27">
        <v>45319.086516203701</v>
      </c>
      <c r="C1785" s="3" t="s">
        <v>3</v>
      </c>
    </row>
    <row r="1786" spans="1:3" ht="13.5" thickBot="1" x14ac:dyDescent="0.25">
      <c r="A1786" s="3">
        <v>4158</v>
      </c>
      <c r="B1786" s="27">
        <v>45319.125960648147</v>
      </c>
      <c r="C1786" s="3" t="s">
        <v>7</v>
      </c>
    </row>
    <row r="1787" spans="1:3" ht="13.5" thickBot="1" x14ac:dyDescent="0.25">
      <c r="A1787" s="3">
        <v>4699</v>
      </c>
      <c r="B1787" s="27">
        <v>45319.130416666667</v>
      </c>
      <c r="C1787" s="3" t="s">
        <v>4</v>
      </c>
    </row>
    <row r="1788" spans="1:3" ht="13.5" thickBot="1" x14ac:dyDescent="0.25">
      <c r="A1788" s="3">
        <v>682</v>
      </c>
      <c r="B1788" s="27">
        <v>45319.137060185189</v>
      </c>
      <c r="C1788" s="3" t="s">
        <v>5</v>
      </c>
    </row>
    <row r="1789" spans="1:3" ht="13.5" thickBot="1" x14ac:dyDescent="0.25">
      <c r="A1789" s="3">
        <v>7462</v>
      </c>
      <c r="B1789" s="27">
        <v>45319.138831018521</v>
      </c>
      <c r="C1789" s="3" t="s">
        <v>4</v>
      </c>
    </row>
    <row r="1790" spans="1:3" ht="13.5" thickBot="1" x14ac:dyDescent="0.25">
      <c r="A1790" s="3">
        <v>1057</v>
      </c>
      <c r="B1790" s="27">
        <v>45319.139351851853</v>
      </c>
      <c r="C1790" s="3" t="s">
        <v>5</v>
      </c>
    </row>
    <row r="1791" spans="1:3" ht="13.5" thickBot="1" x14ac:dyDescent="0.25">
      <c r="A1791" s="3">
        <v>4526</v>
      </c>
      <c r="B1791" s="27">
        <v>45319.139525462961</v>
      </c>
      <c r="C1791" s="3" t="s">
        <v>3</v>
      </c>
    </row>
    <row r="1792" spans="1:3" ht="13.5" thickBot="1" x14ac:dyDescent="0.25">
      <c r="A1792" s="3">
        <v>6227</v>
      </c>
      <c r="B1792" s="27">
        <v>45319.143113425926</v>
      </c>
      <c r="C1792" s="3" t="s">
        <v>7</v>
      </c>
    </row>
    <row r="1793" spans="1:3" ht="13.5" thickBot="1" x14ac:dyDescent="0.25">
      <c r="A1793" s="3">
        <v>1130</v>
      </c>
      <c r="B1793" s="27">
        <v>45319.148298611108</v>
      </c>
      <c r="C1793" s="3" t="s">
        <v>4</v>
      </c>
    </row>
    <row r="1794" spans="1:3" ht="13.5" thickBot="1" x14ac:dyDescent="0.25">
      <c r="A1794" s="3">
        <v>1827</v>
      </c>
      <c r="B1794" s="27">
        <v>45319.163090277776</v>
      </c>
      <c r="C1794" s="3" t="s">
        <v>3</v>
      </c>
    </row>
    <row r="1795" spans="1:3" ht="13.5" thickBot="1" x14ac:dyDescent="0.25">
      <c r="A1795" s="3">
        <v>2816</v>
      </c>
      <c r="B1795" s="27">
        <v>45319.170648148145</v>
      </c>
      <c r="C1795" s="3" t="s">
        <v>7</v>
      </c>
    </row>
    <row r="1796" spans="1:3" ht="13.5" thickBot="1" x14ac:dyDescent="0.25">
      <c r="A1796" s="3">
        <v>7193</v>
      </c>
      <c r="B1796" s="27">
        <v>45319.171481481484</v>
      </c>
      <c r="C1796" s="3" t="s">
        <v>3</v>
      </c>
    </row>
    <row r="1797" spans="1:3" ht="13.5" thickBot="1" x14ac:dyDescent="0.25">
      <c r="A1797" s="3">
        <v>995</v>
      </c>
      <c r="B1797" s="27">
        <v>45319.199293981481</v>
      </c>
      <c r="C1797" s="3" t="s">
        <v>3</v>
      </c>
    </row>
    <row r="1798" spans="1:3" ht="13.5" thickBot="1" x14ac:dyDescent="0.25">
      <c r="A1798" s="3">
        <v>6932</v>
      </c>
      <c r="B1798" s="27">
        <v>45319.202592592592</v>
      </c>
      <c r="C1798" s="3" t="s">
        <v>4</v>
      </c>
    </row>
    <row r="1799" spans="1:3" ht="13.5" thickBot="1" x14ac:dyDescent="0.25">
      <c r="A1799" s="3">
        <v>1572</v>
      </c>
      <c r="B1799" s="27">
        <v>45319.221076388887</v>
      </c>
      <c r="C1799" s="3" t="s">
        <v>4</v>
      </c>
    </row>
    <row r="1800" spans="1:3" ht="13.5" thickBot="1" x14ac:dyDescent="0.25">
      <c r="A1800" s="3">
        <v>1278</v>
      </c>
      <c r="B1800" s="27">
        <v>45319.223067129627</v>
      </c>
      <c r="C1800" s="3" t="s">
        <v>6</v>
      </c>
    </row>
    <row r="1801" spans="1:3" ht="13.5" thickBot="1" x14ac:dyDescent="0.25">
      <c r="A1801" s="3">
        <v>1612</v>
      </c>
      <c r="B1801" s="27">
        <v>45319.265069444446</v>
      </c>
      <c r="C1801" s="3" t="s">
        <v>3</v>
      </c>
    </row>
    <row r="1802" spans="1:3" ht="13.5" thickBot="1" x14ac:dyDescent="0.25">
      <c r="A1802" s="3">
        <v>1130</v>
      </c>
      <c r="B1802" s="27">
        <v>45319.279803240737</v>
      </c>
      <c r="C1802" s="3" t="s">
        <v>3</v>
      </c>
    </row>
    <row r="1803" spans="1:3" ht="13.5" thickBot="1" x14ac:dyDescent="0.25">
      <c r="A1803" s="3">
        <v>7731</v>
      </c>
      <c r="B1803" s="27">
        <v>45319.301354166666</v>
      </c>
      <c r="C1803" s="3" t="s">
        <v>6</v>
      </c>
    </row>
    <row r="1804" spans="1:3" ht="13.5" thickBot="1" x14ac:dyDescent="0.25">
      <c r="A1804" s="3">
        <v>5666</v>
      </c>
      <c r="B1804" s="27">
        <v>45319.341249999998</v>
      </c>
      <c r="C1804" s="3" t="s">
        <v>3</v>
      </c>
    </row>
    <row r="1805" spans="1:3" ht="13.5" thickBot="1" x14ac:dyDescent="0.25">
      <c r="A1805" s="3">
        <v>5724</v>
      </c>
      <c r="B1805" s="27">
        <v>45319.358101851853</v>
      </c>
      <c r="C1805" s="3" t="s">
        <v>5</v>
      </c>
    </row>
    <row r="1806" spans="1:3" ht="13.5" thickBot="1" x14ac:dyDescent="0.25">
      <c r="A1806" s="3">
        <v>2662</v>
      </c>
      <c r="B1806" s="27">
        <v>45319.358923611115</v>
      </c>
      <c r="C1806" s="3" t="s">
        <v>3</v>
      </c>
    </row>
    <row r="1807" spans="1:3" ht="13.5" thickBot="1" x14ac:dyDescent="0.25">
      <c r="A1807" s="3">
        <v>7242</v>
      </c>
      <c r="B1807" s="27">
        <v>45319.387685185182</v>
      </c>
      <c r="C1807" s="3" t="s">
        <v>3</v>
      </c>
    </row>
    <row r="1808" spans="1:3" ht="13.5" thickBot="1" x14ac:dyDescent="0.25">
      <c r="A1808" s="3">
        <v>3927</v>
      </c>
      <c r="B1808" s="27">
        <v>45319.395451388889</v>
      </c>
      <c r="C1808" s="3" t="s">
        <v>3</v>
      </c>
    </row>
    <row r="1809" spans="1:3" ht="13.5" thickBot="1" x14ac:dyDescent="0.25">
      <c r="A1809" s="3">
        <v>3117</v>
      </c>
      <c r="B1809" s="27">
        <v>45319.426342592589</v>
      </c>
      <c r="C1809" s="3" t="s">
        <v>4</v>
      </c>
    </row>
    <row r="1810" spans="1:3" ht="13.5" thickBot="1" x14ac:dyDescent="0.25">
      <c r="A1810" s="3">
        <v>4457</v>
      </c>
      <c r="B1810" s="27">
        <v>45319.43818287037</v>
      </c>
      <c r="C1810" s="3" t="s">
        <v>3</v>
      </c>
    </row>
    <row r="1811" spans="1:3" ht="13.5" thickBot="1" x14ac:dyDescent="0.25">
      <c r="A1811" s="3">
        <v>89</v>
      </c>
      <c r="B1811" s="27">
        <v>45319.442395833335</v>
      </c>
      <c r="C1811" s="3" t="s">
        <v>5</v>
      </c>
    </row>
    <row r="1812" spans="1:3" ht="13.5" thickBot="1" x14ac:dyDescent="0.25">
      <c r="A1812" s="3">
        <v>4447</v>
      </c>
      <c r="B1812" s="27">
        <v>45319.453240740739</v>
      </c>
      <c r="C1812" s="3" t="s">
        <v>7</v>
      </c>
    </row>
    <row r="1813" spans="1:3" ht="13.5" thickBot="1" x14ac:dyDescent="0.25">
      <c r="A1813" s="3">
        <v>4699</v>
      </c>
      <c r="B1813" s="27">
        <v>45319.473680555559</v>
      </c>
      <c r="C1813" s="3" t="s">
        <v>3</v>
      </c>
    </row>
    <row r="1814" spans="1:3" ht="13.5" thickBot="1" x14ac:dyDescent="0.25">
      <c r="A1814" s="3">
        <v>89</v>
      </c>
      <c r="B1814" s="27">
        <v>45319.496354166666</v>
      </c>
      <c r="C1814" s="3" t="s">
        <v>4</v>
      </c>
    </row>
    <row r="1815" spans="1:3" ht="13.5" thickBot="1" x14ac:dyDescent="0.25">
      <c r="A1815" s="3">
        <v>2557</v>
      </c>
      <c r="B1815" s="27">
        <v>45319.498414351852</v>
      </c>
      <c r="C1815" s="3" t="s">
        <v>3</v>
      </c>
    </row>
    <row r="1816" spans="1:3" ht="13.5" thickBot="1" x14ac:dyDescent="0.25">
      <c r="A1816" s="3">
        <v>2988</v>
      </c>
      <c r="B1816" s="27">
        <v>45319.50068287037</v>
      </c>
      <c r="C1816" s="3" t="s">
        <v>3</v>
      </c>
    </row>
    <row r="1817" spans="1:3" ht="13.5" thickBot="1" x14ac:dyDescent="0.25">
      <c r="A1817" s="3">
        <v>1057</v>
      </c>
      <c r="B1817" s="27">
        <v>45319.524571759262</v>
      </c>
      <c r="C1817" s="3" t="s">
        <v>7</v>
      </c>
    </row>
    <row r="1818" spans="1:3" ht="13.5" thickBot="1" x14ac:dyDescent="0.25">
      <c r="A1818" s="3">
        <v>7933</v>
      </c>
      <c r="B1818" s="27">
        <v>45319.538217592592</v>
      </c>
      <c r="C1818" s="3" t="s">
        <v>3</v>
      </c>
    </row>
    <row r="1819" spans="1:3" ht="13.5" thickBot="1" x14ac:dyDescent="0.25">
      <c r="A1819" s="3">
        <v>1482</v>
      </c>
      <c r="B1819" s="27">
        <v>45319.550393518519</v>
      </c>
      <c r="C1819" s="3" t="s">
        <v>4</v>
      </c>
    </row>
    <row r="1820" spans="1:3" ht="13.5" thickBot="1" x14ac:dyDescent="0.25">
      <c r="A1820" s="3">
        <v>3188</v>
      </c>
      <c r="B1820" s="27">
        <v>45319.572245370371</v>
      </c>
      <c r="C1820" s="3" t="s">
        <v>3</v>
      </c>
    </row>
    <row r="1821" spans="1:3" ht="13.5" thickBot="1" x14ac:dyDescent="0.25">
      <c r="A1821" s="3">
        <v>1677</v>
      </c>
      <c r="B1821" s="27">
        <v>45319.589965277781</v>
      </c>
      <c r="C1821" s="3" t="s">
        <v>3</v>
      </c>
    </row>
    <row r="1822" spans="1:3" ht="13.5" thickBot="1" x14ac:dyDescent="0.25">
      <c r="A1822" s="3">
        <v>4710</v>
      </c>
      <c r="B1822" s="27">
        <v>45319.647326388891</v>
      </c>
      <c r="C1822" s="3" t="s">
        <v>3</v>
      </c>
    </row>
    <row r="1823" spans="1:3" ht="13.5" thickBot="1" x14ac:dyDescent="0.25">
      <c r="A1823" s="3">
        <v>3551</v>
      </c>
      <c r="B1823" s="27">
        <v>45319.65011574074</v>
      </c>
      <c r="C1823" s="3" t="s">
        <v>5</v>
      </c>
    </row>
    <row r="1824" spans="1:3" ht="13.5" thickBot="1" x14ac:dyDescent="0.25">
      <c r="A1824" s="3">
        <v>5840</v>
      </c>
      <c r="B1824" s="27">
        <v>45319.655682870369</v>
      </c>
      <c r="C1824" s="3" t="s">
        <v>4</v>
      </c>
    </row>
    <row r="1825" spans="1:3" ht="13.5" thickBot="1" x14ac:dyDescent="0.25">
      <c r="A1825" s="3">
        <v>5874</v>
      </c>
      <c r="B1825" s="27">
        <v>45319.681643518517</v>
      </c>
      <c r="C1825" s="3" t="s">
        <v>3</v>
      </c>
    </row>
    <row r="1826" spans="1:3" ht="13.5" thickBot="1" x14ac:dyDescent="0.25">
      <c r="A1826" s="3">
        <v>6456</v>
      </c>
      <c r="B1826" s="27">
        <v>45319.719560185185</v>
      </c>
      <c r="C1826" s="3" t="s">
        <v>4</v>
      </c>
    </row>
    <row r="1827" spans="1:3" ht="13.5" thickBot="1" x14ac:dyDescent="0.25">
      <c r="A1827" s="3">
        <v>5036</v>
      </c>
      <c r="B1827" s="27">
        <v>45319.757719907408</v>
      </c>
      <c r="C1827" s="3" t="s">
        <v>3</v>
      </c>
    </row>
    <row r="1828" spans="1:3" ht="13.5" thickBot="1" x14ac:dyDescent="0.25">
      <c r="A1828" s="3">
        <v>4140</v>
      </c>
      <c r="B1828" s="27">
        <v>45319.765335648146</v>
      </c>
      <c r="C1828" s="3" t="s">
        <v>6</v>
      </c>
    </row>
    <row r="1829" spans="1:3" ht="13.5" thickBot="1" x14ac:dyDescent="0.25">
      <c r="A1829" s="3">
        <v>6619</v>
      </c>
      <c r="B1829" s="27">
        <v>45319.785532407404</v>
      </c>
      <c r="C1829" s="3" t="s">
        <v>5</v>
      </c>
    </row>
    <row r="1830" spans="1:3" ht="13.5" thickBot="1" x14ac:dyDescent="0.25">
      <c r="A1830" s="3">
        <v>6640</v>
      </c>
      <c r="B1830" s="27">
        <v>45319.795717592591</v>
      </c>
      <c r="C1830" s="3" t="s">
        <v>5</v>
      </c>
    </row>
    <row r="1831" spans="1:3" ht="13.5" thickBot="1" x14ac:dyDescent="0.25">
      <c r="A1831" s="3">
        <v>6361</v>
      </c>
      <c r="B1831" s="27">
        <v>45319.842962962961</v>
      </c>
      <c r="C1831" s="3" t="s">
        <v>3</v>
      </c>
    </row>
    <row r="1832" spans="1:3" ht="13.5" thickBot="1" x14ac:dyDescent="0.25">
      <c r="A1832" s="3">
        <v>879</v>
      </c>
      <c r="B1832" s="27">
        <v>45319.867303240739</v>
      </c>
      <c r="C1832" s="3" t="s">
        <v>3</v>
      </c>
    </row>
    <row r="1833" spans="1:3" ht="13.5" thickBot="1" x14ac:dyDescent="0.25">
      <c r="A1833" s="3">
        <v>6629</v>
      </c>
      <c r="B1833" s="27">
        <v>45319.900902777779</v>
      </c>
      <c r="C1833" s="3" t="s">
        <v>3</v>
      </c>
    </row>
    <row r="1834" spans="1:3" ht="13.5" thickBot="1" x14ac:dyDescent="0.25">
      <c r="A1834" s="3">
        <v>5134</v>
      </c>
      <c r="B1834" s="27">
        <v>45319.912731481483</v>
      </c>
      <c r="C1834" s="3" t="s">
        <v>4</v>
      </c>
    </row>
    <row r="1835" spans="1:3" ht="13.5" thickBot="1" x14ac:dyDescent="0.25">
      <c r="A1835" s="3">
        <v>4710</v>
      </c>
      <c r="B1835" s="27">
        <v>45319.929780092592</v>
      </c>
      <c r="C1835" s="3" t="s">
        <v>5</v>
      </c>
    </row>
    <row r="1836" spans="1:3" ht="13.5" thickBot="1" x14ac:dyDescent="0.25">
      <c r="A1836" s="3">
        <v>6873</v>
      </c>
      <c r="B1836" s="27">
        <v>45319.938449074078</v>
      </c>
      <c r="C1836" s="3" t="s">
        <v>7</v>
      </c>
    </row>
    <row r="1837" spans="1:3" ht="13.5" thickBot="1" x14ac:dyDescent="0.25">
      <c r="A1837" s="3">
        <v>5161</v>
      </c>
      <c r="B1837" s="27">
        <v>45319.939733796295</v>
      </c>
      <c r="C1837" s="3" t="s">
        <v>3</v>
      </c>
    </row>
    <row r="1838" spans="1:3" ht="13.5" thickBot="1" x14ac:dyDescent="0.25">
      <c r="A1838" s="3">
        <v>2243</v>
      </c>
      <c r="B1838" s="27">
        <v>45319.940254629626</v>
      </c>
      <c r="C1838" s="3" t="s">
        <v>4</v>
      </c>
    </row>
    <row r="1839" spans="1:3" ht="13.5" thickBot="1" x14ac:dyDescent="0.25">
      <c r="A1839" s="3">
        <v>5846</v>
      </c>
      <c r="B1839" s="27">
        <v>45319.953136574077</v>
      </c>
      <c r="C1839" s="3" t="s">
        <v>3</v>
      </c>
    </row>
    <row r="1840" spans="1:3" ht="13.5" thickBot="1" x14ac:dyDescent="0.25">
      <c r="A1840" s="3">
        <v>5642</v>
      </c>
      <c r="B1840" s="27">
        <v>45319.961412037039</v>
      </c>
      <c r="C1840" s="3" t="s">
        <v>3</v>
      </c>
    </row>
    <row r="1841" spans="1:3" ht="13.5" thickBot="1" x14ac:dyDescent="0.25">
      <c r="A1841" s="3">
        <v>2365</v>
      </c>
      <c r="B1841" s="27">
        <v>45319.97515046296</v>
      </c>
      <c r="C1841" s="3" t="s">
        <v>3</v>
      </c>
    </row>
    <row r="1842" spans="1:3" ht="13.5" thickBot="1" x14ac:dyDescent="0.25">
      <c r="A1842" s="3">
        <v>1513</v>
      </c>
      <c r="B1842" s="27">
        <v>45319.991180555553</v>
      </c>
      <c r="C1842" s="3" t="s">
        <v>7</v>
      </c>
    </row>
    <row r="1843" spans="1:3" ht="13.5" thickBot="1" x14ac:dyDescent="0.25">
      <c r="A1843" s="3">
        <v>1572</v>
      </c>
      <c r="B1843" s="27">
        <v>45319.995185185187</v>
      </c>
      <c r="C1843" s="3" t="s">
        <v>3</v>
      </c>
    </row>
    <row r="1844" spans="1:3" ht="13.5" thickBot="1" x14ac:dyDescent="0.25">
      <c r="A1844" s="3">
        <v>2717</v>
      </c>
      <c r="B1844" s="27">
        <v>45319.99895833333</v>
      </c>
      <c r="C1844" s="3" t="s">
        <v>4</v>
      </c>
    </row>
    <row r="1845" spans="1:3" ht="13.5" thickBot="1" x14ac:dyDescent="0.25">
      <c r="A1845" s="3">
        <v>4605</v>
      </c>
      <c r="B1845" s="27">
        <v>45320.009884259256</v>
      </c>
      <c r="C1845" s="3" t="s">
        <v>6</v>
      </c>
    </row>
    <row r="1846" spans="1:3" ht="13.5" thickBot="1" x14ac:dyDescent="0.25">
      <c r="A1846" s="3">
        <v>6703</v>
      </c>
      <c r="B1846" s="27">
        <v>45320.024629629632</v>
      </c>
      <c r="C1846" s="3" t="s">
        <v>3</v>
      </c>
    </row>
    <row r="1847" spans="1:3" ht="13.5" thickBot="1" x14ac:dyDescent="0.25">
      <c r="A1847" s="3">
        <v>1443</v>
      </c>
      <c r="B1847" s="27">
        <v>45320.026678240742</v>
      </c>
      <c r="C1847" s="3" t="s">
        <v>3</v>
      </c>
    </row>
    <row r="1848" spans="1:3" ht="13.5" thickBot="1" x14ac:dyDescent="0.25">
      <c r="A1848" s="3">
        <v>6756</v>
      </c>
      <c r="B1848" s="27">
        <v>45320.038854166669</v>
      </c>
      <c r="C1848" s="3" t="s">
        <v>6</v>
      </c>
    </row>
    <row r="1849" spans="1:3" ht="13.5" thickBot="1" x14ac:dyDescent="0.25">
      <c r="A1849" s="3">
        <v>1758</v>
      </c>
      <c r="B1849" s="27">
        <v>45320.080879629626</v>
      </c>
      <c r="C1849" s="3" t="s">
        <v>3</v>
      </c>
    </row>
    <row r="1850" spans="1:3" ht="13.5" thickBot="1" x14ac:dyDescent="0.25">
      <c r="A1850" s="3">
        <v>2237</v>
      </c>
      <c r="B1850" s="27">
        <v>45320.109756944446</v>
      </c>
      <c r="C1850" s="3" t="s">
        <v>3</v>
      </c>
    </row>
    <row r="1851" spans="1:3" ht="13.5" thickBot="1" x14ac:dyDescent="0.25">
      <c r="A1851" s="3">
        <v>7512</v>
      </c>
      <c r="B1851" s="27">
        <v>45320.147210648145</v>
      </c>
      <c r="C1851" s="3" t="s">
        <v>3</v>
      </c>
    </row>
    <row r="1852" spans="1:3" ht="13.5" thickBot="1" x14ac:dyDescent="0.25">
      <c r="A1852" s="3">
        <v>7951</v>
      </c>
      <c r="B1852" s="27">
        <v>45320.160138888888</v>
      </c>
      <c r="C1852" s="3" t="s">
        <v>3</v>
      </c>
    </row>
    <row r="1853" spans="1:3" ht="13.5" thickBot="1" x14ac:dyDescent="0.25">
      <c r="A1853" s="3">
        <v>2648</v>
      </c>
      <c r="B1853" s="27">
        <v>45320.16715277778</v>
      </c>
      <c r="C1853" s="3" t="s">
        <v>3</v>
      </c>
    </row>
    <row r="1854" spans="1:3" ht="13.5" thickBot="1" x14ac:dyDescent="0.25">
      <c r="A1854" s="3">
        <v>2550</v>
      </c>
      <c r="B1854" s="27">
        <v>45320.176261574074</v>
      </c>
      <c r="C1854" s="3" t="s">
        <v>6</v>
      </c>
    </row>
    <row r="1855" spans="1:3" ht="13.5" thickBot="1" x14ac:dyDescent="0.25">
      <c r="A1855" s="3">
        <v>3996</v>
      </c>
      <c r="B1855" s="27">
        <v>45320.180995370371</v>
      </c>
      <c r="C1855" s="3" t="s">
        <v>3</v>
      </c>
    </row>
    <row r="1856" spans="1:3" ht="13.5" thickBot="1" x14ac:dyDescent="0.25">
      <c r="A1856" s="3">
        <v>3066</v>
      </c>
      <c r="B1856" s="27">
        <v>45320.181388888886</v>
      </c>
      <c r="C1856" s="3" t="s">
        <v>3</v>
      </c>
    </row>
    <row r="1857" spans="1:3" ht="13.5" thickBot="1" x14ac:dyDescent="0.25">
      <c r="A1857" s="3">
        <v>1176</v>
      </c>
      <c r="B1857" s="27">
        <v>45320.193553240744</v>
      </c>
      <c r="C1857" s="3" t="s">
        <v>6</v>
      </c>
    </row>
    <row r="1858" spans="1:3" ht="13.5" thickBot="1" x14ac:dyDescent="0.25">
      <c r="A1858" s="3">
        <v>4952</v>
      </c>
      <c r="B1858" s="27">
        <v>45320.199143518519</v>
      </c>
      <c r="C1858" s="3" t="s">
        <v>3</v>
      </c>
    </row>
    <row r="1859" spans="1:3" ht="13.5" thickBot="1" x14ac:dyDescent="0.25">
      <c r="A1859" s="3">
        <v>6447</v>
      </c>
      <c r="B1859" s="27">
        <v>45320.208958333336</v>
      </c>
      <c r="C1859" s="3" t="s">
        <v>3</v>
      </c>
    </row>
    <row r="1860" spans="1:3" ht="13.5" thickBot="1" x14ac:dyDescent="0.25">
      <c r="A1860" s="3">
        <v>3407</v>
      </c>
      <c r="B1860" s="27">
        <v>45320.23337962963</v>
      </c>
      <c r="C1860" s="3" t="s">
        <v>6</v>
      </c>
    </row>
    <row r="1861" spans="1:3" ht="13.5" thickBot="1" x14ac:dyDescent="0.25">
      <c r="A1861" s="3">
        <v>4205</v>
      </c>
      <c r="B1861" s="27">
        <v>45320.242777777778</v>
      </c>
      <c r="C1861" s="3" t="s">
        <v>6</v>
      </c>
    </row>
    <row r="1862" spans="1:3" ht="13.5" thickBot="1" x14ac:dyDescent="0.25">
      <c r="A1862" s="3">
        <v>7951</v>
      </c>
      <c r="B1862" s="27">
        <v>45320.261493055557</v>
      </c>
      <c r="C1862" s="3" t="s">
        <v>5</v>
      </c>
    </row>
    <row r="1863" spans="1:3" ht="13.5" thickBot="1" x14ac:dyDescent="0.25">
      <c r="A1863" s="3">
        <v>7955</v>
      </c>
      <c r="B1863" s="27">
        <v>45320.270462962966</v>
      </c>
      <c r="C1863" s="3" t="s">
        <v>6</v>
      </c>
    </row>
    <row r="1864" spans="1:3" ht="13.5" thickBot="1" x14ac:dyDescent="0.25">
      <c r="A1864" s="3">
        <v>3722</v>
      </c>
      <c r="B1864" s="27">
        <v>45320.273553240739</v>
      </c>
      <c r="C1864" s="3" t="s">
        <v>3</v>
      </c>
    </row>
    <row r="1865" spans="1:3" ht="13.5" thickBot="1" x14ac:dyDescent="0.25">
      <c r="A1865" s="3">
        <v>5846</v>
      </c>
      <c r="B1865" s="27">
        <v>45320.307858796295</v>
      </c>
      <c r="C1865" s="3" t="s">
        <v>7</v>
      </c>
    </row>
    <row r="1866" spans="1:3" ht="13.5" thickBot="1" x14ac:dyDescent="0.25">
      <c r="A1866" s="3">
        <v>682</v>
      </c>
      <c r="B1866" s="27">
        <v>45320.312893518516</v>
      </c>
      <c r="C1866" s="3" t="s">
        <v>4</v>
      </c>
    </row>
    <row r="1867" spans="1:3" ht="13.5" thickBot="1" x14ac:dyDescent="0.25">
      <c r="A1867" s="3">
        <v>3722</v>
      </c>
      <c r="B1867" s="27">
        <v>45320.331087962964</v>
      </c>
      <c r="C1867" s="3" t="s">
        <v>4</v>
      </c>
    </row>
    <row r="1868" spans="1:3" ht="13.5" thickBot="1" x14ac:dyDescent="0.25">
      <c r="A1868" s="3">
        <v>2267</v>
      </c>
      <c r="B1868" s="27">
        <v>45320.33421296296</v>
      </c>
      <c r="C1868" s="3" t="s">
        <v>6</v>
      </c>
    </row>
    <row r="1869" spans="1:3" ht="13.5" thickBot="1" x14ac:dyDescent="0.25">
      <c r="A1869" s="3">
        <v>757</v>
      </c>
      <c r="B1869" s="27">
        <v>45320.366331018522</v>
      </c>
      <c r="C1869" s="3" t="s">
        <v>6</v>
      </c>
    </row>
    <row r="1870" spans="1:3" ht="13.5" thickBot="1" x14ac:dyDescent="0.25">
      <c r="A1870" s="3">
        <v>6356</v>
      </c>
      <c r="B1870" s="27">
        <v>45320.383263888885</v>
      </c>
      <c r="C1870" s="3" t="s">
        <v>3</v>
      </c>
    </row>
    <row r="1871" spans="1:3" ht="13.5" thickBot="1" x14ac:dyDescent="0.25">
      <c r="A1871" s="3">
        <v>7502</v>
      </c>
      <c r="B1871" s="27">
        <v>45320.414259259262</v>
      </c>
      <c r="C1871" s="3" t="s">
        <v>4</v>
      </c>
    </row>
    <row r="1872" spans="1:3" ht="13.5" thickBot="1" x14ac:dyDescent="0.25">
      <c r="A1872" s="3">
        <v>5959</v>
      </c>
      <c r="B1872" s="27">
        <v>45320.417511574073</v>
      </c>
      <c r="C1872" s="3" t="s">
        <v>3</v>
      </c>
    </row>
    <row r="1873" spans="1:3" ht="13.5" thickBot="1" x14ac:dyDescent="0.25">
      <c r="A1873" s="3">
        <v>5134</v>
      </c>
      <c r="B1873" s="27">
        <v>45320.439398148148</v>
      </c>
      <c r="C1873" s="3" t="s">
        <v>7</v>
      </c>
    </row>
    <row r="1874" spans="1:3" ht="13.5" thickBot="1" x14ac:dyDescent="0.25">
      <c r="A1874" s="3">
        <v>3694</v>
      </c>
      <c r="B1874" s="27">
        <v>45320.489675925928</v>
      </c>
      <c r="C1874" s="3" t="s">
        <v>3</v>
      </c>
    </row>
    <row r="1875" spans="1:3" ht="13.5" thickBot="1" x14ac:dyDescent="0.25">
      <c r="A1875" s="3">
        <v>7283</v>
      </c>
      <c r="B1875" s="27">
        <v>45320.489965277775</v>
      </c>
      <c r="C1875" s="3" t="s">
        <v>6</v>
      </c>
    </row>
    <row r="1876" spans="1:3" ht="13.5" thickBot="1" x14ac:dyDescent="0.25">
      <c r="A1876" s="3">
        <v>6352</v>
      </c>
      <c r="B1876" s="27">
        <v>45320.491249999999</v>
      </c>
      <c r="C1876" s="3" t="s">
        <v>6</v>
      </c>
    </row>
    <row r="1877" spans="1:3" ht="13.5" thickBot="1" x14ac:dyDescent="0.25">
      <c r="A1877" s="3">
        <v>6456</v>
      </c>
      <c r="B1877" s="27">
        <v>45320.496898148151</v>
      </c>
      <c r="C1877" s="3" t="s">
        <v>5</v>
      </c>
    </row>
    <row r="1878" spans="1:3" ht="13.5" thickBot="1" x14ac:dyDescent="0.25">
      <c r="A1878" s="3">
        <v>520</v>
      </c>
      <c r="B1878" s="27">
        <v>45320.569803240738</v>
      </c>
      <c r="C1878" s="3" t="s">
        <v>3</v>
      </c>
    </row>
    <row r="1879" spans="1:3" ht="13.5" thickBot="1" x14ac:dyDescent="0.25">
      <c r="A1879" s="3">
        <v>787</v>
      </c>
      <c r="B1879" s="27">
        <v>45320.573020833333</v>
      </c>
      <c r="C1879" s="3" t="s">
        <v>7</v>
      </c>
    </row>
    <row r="1880" spans="1:3" ht="13.5" thickBot="1" x14ac:dyDescent="0.25">
      <c r="A1880" s="3">
        <v>6703</v>
      </c>
      <c r="B1880" s="27">
        <v>45320.575995370367</v>
      </c>
      <c r="C1880" s="3" t="s">
        <v>4</v>
      </c>
    </row>
    <row r="1881" spans="1:3" ht="13.5" thickBot="1" x14ac:dyDescent="0.25">
      <c r="A1881" s="3">
        <v>7803</v>
      </c>
      <c r="B1881" s="27">
        <v>45320.579675925925</v>
      </c>
      <c r="C1881" s="3" t="s">
        <v>6</v>
      </c>
    </row>
    <row r="1882" spans="1:3" ht="13.5" thickBot="1" x14ac:dyDescent="0.25">
      <c r="A1882" s="3">
        <v>5533</v>
      </c>
      <c r="B1882" s="27">
        <v>45320.588935185187</v>
      </c>
      <c r="C1882" s="3" t="s">
        <v>6</v>
      </c>
    </row>
    <row r="1883" spans="1:3" ht="13.5" thickBot="1" x14ac:dyDescent="0.25">
      <c r="A1883" s="3">
        <v>2816</v>
      </c>
      <c r="B1883" s="27">
        <v>45320.593564814815</v>
      </c>
      <c r="C1883" s="3" t="s">
        <v>6</v>
      </c>
    </row>
    <row r="1884" spans="1:3" ht="13.5" thickBot="1" x14ac:dyDescent="0.25">
      <c r="A1884" s="3">
        <v>5820</v>
      </c>
      <c r="B1884" s="27">
        <v>45320.600138888891</v>
      </c>
      <c r="C1884" s="3" t="s">
        <v>3</v>
      </c>
    </row>
    <row r="1885" spans="1:3" ht="13.5" thickBot="1" x14ac:dyDescent="0.25">
      <c r="A1885" s="3">
        <v>3007</v>
      </c>
      <c r="B1885" s="27">
        <v>45320.610196759262</v>
      </c>
      <c r="C1885" s="3" t="s">
        <v>6</v>
      </c>
    </row>
    <row r="1886" spans="1:3" ht="13.5" thickBot="1" x14ac:dyDescent="0.25">
      <c r="A1886" s="3">
        <v>3066</v>
      </c>
      <c r="B1886" s="27">
        <v>45320.614907407406</v>
      </c>
      <c r="C1886" s="3" t="s">
        <v>4</v>
      </c>
    </row>
    <row r="1887" spans="1:3" ht="13.5" thickBot="1" x14ac:dyDescent="0.25">
      <c r="A1887" s="3">
        <v>5611</v>
      </c>
      <c r="B1887" s="27">
        <v>45320.615578703706</v>
      </c>
      <c r="C1887" s="3" t="s">
        <v>6</v>
      </c>
    </row>
    <row r="1888" spans="1:3" ht="13.5" thickBot="1" x14ac:dyDescent="0.25">
      <c r="A1888" s="3">
        <v>757</v>
      </c>
      <c r="B1888" s="27">
        <v>45320.617025462961</v>
      </c>
      <c r="C1888" s="3" t="s">
        <v>7</v>
      </c>
    </row>
    <row r="1889" spans="1:3" ht="13.5" thickBot="1" x14ac:dyDescent="0.25">
      <c r="A1889" s="3">
        <v>879</v>
      </c>
      <c r="B1889" s="27">
        <v>45320.617418981485</v>
      </c>
      <c r="C1889" s="3" t="s">
        <v>4</v>
      </c>
    </row>
    <row r="1890" spans="1:3" ht="13.5" thickBot="1" x14ac:dyDescent="0.25">
      <c r="A1890" s="3">
        <v>6674</v>
      </c>
      <c r="B1890" s="27">
        <v>45320.626064814816</v>
      </c>
      <c r="C1890" s="3" t="s">
        <v>3</v>
      </c>
    </row>
    <row r="1891" spans="1:3" ht="13.5" thickBot="1" x14ac:dyDescent="0.25">
      <c r="A1891" s="3">
        <v>6640</v>
      </c>
      <c r="B1891" s="27">
        <v>45320.62773148148</v>
      </c>
      <c r="C1891" s="3" t="s">
        <v>7</v>
      </c>
    </row>
    <row r="1892" spans="1:3" ht="13.5" thickBot="1" x14ac:dyDescent="0.25">
      <c r="A1892" s="3">
        <v>7642</v>
      </c>
      <c r="B1892" s="27">
        <v>45320.6405787037</v>
      </c>
      <c r="C1892" s="3" t="s">
        <v>3</v>
      </c>
    </row>
    <row r="1893" spans="1:3" ht="13.5" thickBot="1" x14ac:dyDescent="0.25">
      <c r="A1893" s="3">
        <v>4140</v>
      </c>
      <c r="B1893" s="27">
        <v>45320.649351851855</v>
      </c>
      <c r="C1893" s="3" t="s">
        <v>7</v>
      </c>
    </row>
    <row r="1894" spans="1:3" ht="13.5" thickBot="1" x14ac:dyDescent="0.25">
      <c r="A1894" s="3">
        <v>5036</v>
      </c>
      <c r="B1894" s="27">
        <v>45320.657141203701</v>
      </c>
      <c r="C1894" s="3" t="s">
        <v>6</v>
      </c>
    </row>
    <row r="1895" spans="1:3" ht="13.5" thickBot="1" x14ac:dyDescent="0.25">
      <c r="A1895" s="3">
        <v>7075</v>
      </c>
      <c r="B1895" s="27">
        <v>45320.660196759258</v>
      </c>
      <c r="C1895" s="3" t="s">
        <v>3</v>
      </c>
    </row>
    <row r="1896" spans="1:3" ht="13.5" thickBot="1" x14ac:dyDescent="0.25">
      <c r="A1896" s="3">
        <v>2955</v>
      </c>
      <c r="B1896" s="27">
        <v>45320.672581018516</v>
      </c>
      <c r="C1896" s="3" t="s">
        <v>6</v>
      </c>
    </row>
    <row r="1897" spans="1:3" ht="13.5" thickBot="1" x14ac:dyDescent="0.25">
      <c r="A1897" s="3">
        <v>2037</v>
      </c>
      <c r="B1897" s="27">
        <v>45320.739988425928</v>
      </c>
      <c r="C1897" s="3" t="s">
        <v>6</v>
      </c>
    </row>
    <row r="1898" spans="1:3" ht="13.5" thickBot="1" x14ac:dyDescent="0.25">
      <c r="A1898" s="3">
        <v>1465</v>
      </c>
      <c r="B1898" s="27">
        <v>45320.743935185186</v>
      </c>
      <c r="C1898" s="3" t="s">
        <v>5</v>
      </c>
    </row>
    <row r="1899" spans="1:3" ht="13.5" thickBot="1" x14ac:dyDescent="0.25">
      <c r="A1899" s="3">
        <v>4345</v>
      </c>
      <c r="B1899" s="27">
        <v>45320.746249999997</v>
      </c>
      <c r="C1899" s="3" t="s">
        <v>3</v>
      </c>
    </row>
    <row r="1900" spans="1:3" ht="13.5" thickBot="1" x14ac:dyDescent="0.25">
      <c r="A1900" s="3">
        <v>2988</v>
      </c>
      <c r="B1900" s="27">
        <v>45320.7500462963</v>
      </c>
      <c r="C1900" s="3" t="s">
        <v>5</v>
      </c>
    </row>
    <row r="1901" spans="1:3" ht="13.5" thickBot="1" x14ac:dyDescent="0.25">
      <c r="A1901" s="3">
        <v>3066</v>
      </c>
      <c r="B1901" s="27">
        <v>45320.801261574074</v>
      </c>
      <c r="C1901" s="3" t="s">
        <v>5</v>
      </c>
    </row>
    <row r="1902" spans="1:3" ht="13.5" thickBot="1" x14ac:dyDescent="0.25">
      <c r="A1902" s="3">
        <v>7951</v>
      </c>
      <c r="B1902" s="27">
        <v>45320.807847222219</v>
      </c>
      <c r="C1902" s="3" t="s">
        <v>4</v>
      </c>
    </row>
    <row r="1903" spans="1:3" ht="13.5" thickBot="1" x14ac:dyDescent="0.25">
      <c r="A1903" s="3">
        <v>1202</v>
      </c>
      <c r="B1903" s="27">
        <v>45320.82303240741</v>
      </c>
      <c r="C1903" s="3" t="s">
        <v>3</v>
      </c>
    </row>
    <row r="1904" spans="1:3" ht="13.5" thickBot="1" x14ac:dyDescent="0.25">
      <c r="A1904" s="3">
        <v>6619</v>
      </c>
      <c r="B1904" s="27">
        <v>45320.825046296297</v>
      </c>
      <c r="C1904" s="3" t="s">
        <v>6</v>
      </c>
    </row>
    <row r="1905" spans="1:3" ht="13.5" thickBot="1" x14ac:dyDescent="0.25">
      <c r="A1905" s="3">
        <v>7031</v>
      </c>
      <c r="B1905" s="27">
        <v>45320.835219907407</v>
      </c>
      <c r="C1905" s="3" t="s">
        <v>7</v>
      </c>
    </row>
    <row r="1906" spans="1:3" ht="13.5" thickBot="1" x14ac:dyDescent="0.25">
      <c r="A1906" s="3">
        <v>7777</v>
      </c>
      <c r="B1906" s="27">
        <v>45320.899756944447</v>
      </c>
      <c r="C1906" s="3" t="s">
        <v>3</v>
      </c>
    </row>
    <row r="1907" spans="1:3" ht="13.5" thickBot="1" x14ac:dyDescent="0.25">
      <c r="A1907" s="3">
        <v>2988</v>
      </c>
      <c r="B1907" s="27">
        <v>45320.899953703702</v>
      </c>
      <c r="C1907" s="3" t="s">
        <v>4</v>
      </c>
    </row>
    <row r="1908" spans="1:3" ht="13.5" thickBot="1" x14ac:dyDescent="0.25">
      <c r="A1908" s="3">
        <v>6619</v>
      </c>
      <c r="B1908" s="27">
        <v>45320.905729166669</v>
      </c>
      <c r="C1908" s="3" t="s">
        <v>7</v>
      </c>
    </row>
    <row r="1909" spans="1:3" ht="13.5" thickBot="1" x14ac:dyDescent="0.25">
      <c r="A1909" s="3">
        <v>5611</v>
      </c>
      <c r="B1909" s="27">
        <v>45320.907268518517</v>
      </c>
      <c r="C1909" s="3" t="s">
        <v>5</v>
      </c>
    </row>
    <row r="1910" spans="1:3" ht="13.5" thickBot="1" x14ac:dyDescent="0.25">
      <c r="A1910" s="3">
        <v>3485</v>
      </c>
      <c r="B1910" s="27">
        <v>45320.911296296297</v>
      </c>
      <c r="C1910" s="3" t="s">
        <v>3</v>
      </c>
    </row>
    <row r="1911" spans="1:3" ht="13.5" thickBot="1" x14ac:dyDescent="0.25">
      <c r="A1911" s="3">
        <v>5846</v>
      </c>
      <c r="B1911" s="27">
        <v>45320.923067129632</v>
      </c>
      <c r="C1911" s="3" t="s">
        <v>4</v>
      </c>
    </row>
    <row r="1912" spans="1:3" ht="13.5" thickBot="1" x14ac:dyDescent="0.25">
      <c r="A1912" s="3">
        <v>4553</v>
      </c>
      <c r="B1912" s="27">
        <v>45320.932743055557</v>
      </c>
      <c r="C1912" s="3" t="s">
        <v>6</v>
      </c>
    </row>
    <row r="1913" spans="1:3" ht="13.5" thickBot="1" x14ac:dyDescent="0.25">
      <c r="A1913" s="3">
        <v>7283</v>
      </c>
      <c r="B1913" s="27">
        <v>45320.941527777781</v>
      </c>
      <c r="C1913" s="3" t="s">
        <v>5</v>
      </c>
    </row>
    <row r="1914" spans="1:3" ht="13.5" thickBot="1" x14ac:dyDescent="0.25">
      <c r="A1914" s="3">
        <v>5846</v>
      </c>
      <c r="B1914" s="27">
        <v>45320.970312500001</v>
      </c>
      <c r="C1914" s="3" t="s">
        <v>5</v>
      </c>
    </row>
    <row r="1915" spans="1:3" ht="13.5" thickBot="1" x14ac:dyDescent="0.25">
      <c r="A1915" s="3">
        <v>7242</v>
      </c>
      <c r="B1915" s="27">
        <v>45320.994305555556</v>
      </c>
      <c r="C1915" s="3" t="s">
        <v>5</v>
      </c>
    </row>
    <row r="1916" spans="1:3" ht="13.5" thickBot="1" x14ac:dyDescent="0.25">
      <c r="A1916" s="3">
        <v>5134</v>
      </c>
      <c r="B1916" s="27">
        <v>45321.001747685186</v>
      </c>
      <c r="C1916" s="3" t="s">
        <v>6</v>
      </c>
    </row>
    <row r="1917" spans="1:3" ht="13.5" thickBot="1" x14ac:dyDescent="0.25">
      <c r="A1917" s="3">
        <v>1202</v>
      </c>
      <c r="B1917" s="27">
        <v>45321.010694444441</v>
      </c>
      <c r="C1917" s="3" t="s">
        <v>4</v>
      </c>
    </row>
    <row r="1918" spans="1:3" ht="13.5" thickBot="1" x14ac:dyDescent="0.25">
      <c r="A1918" s="3">
        <v>7951</v>
      </c>
      <c r="B1918" s="27">
        <v>45321.103020833332</v>
      </c>
      <c r="C1918" s="3" t="s">
        <v>6</v>
      </c>
    </row>
    <row r="1919" spans="1:3" ht="13.5" thickBot="1" x14ac:dyDescent="0.25">
      <c r="A1919" s="3">
        <v>740</v>
      </c>
      <c r="B1919" s="27">
        <v>45321.129340277781</v>
      </c>
      <c r="C1919" s="3" t="s">
        <v>3</v>
      </c>
    </row>
    <row r="1920" spans="1:3" ht="13.5" thickBot="1" x14ac:dyDescent="0.25">
      <c r="A1920" s="3">
        <v>4849</v>
      </c>
      <c r="B1920" s="27">
        <v>45321.159178240741</v>
      </c>
      <c r="C1920" s="3" t="s">
        <v>3</v>
      </c>
    </row>
    <row r="1921" spans="1:3" ht="13.5" thickBot="1" x14ac:dyDescent="0.25">
      <c r="A1921" s="3">
        <v>6034</v>
      </c>
      <c r="B1921" s="27">
        <v>45321.22960648148</v>
      </c>
      <c r="C1921" s="3" t="s">
        <v>6</v>
      </c>
    </row>
    <row r="1922" spans="1:3" ht="13.5" thickBot="1" x14ac:dyDescent="0.25">
      <c r="A1922" s="3">
        <v>5241</v>
      </c>
      <c r="B1922" s="27">
        <v>45321.242662037039</v>
      </c>
      <c r="C1922" s="3" t="s">
        <v>3</v>
      </c>
    </row>
    <row r="1923" spans="1:3" ht="13.5" thickBot="1" x14ac:dyDescent="0.25">
      <c r="A1923" s="3">
        <v>7346</v>
      </c>
      <c r="B1923" s="27">
        <v>45321.246539351851</v>
      </c>
      <c r="C1923" s="3" t="s">
        <v>3</v>
      </c>
    </row>
    <row r="1924" spans="1:3" ht="13.5" thickBot="1" x14ac:dyDescent="0.25">
      <c r="A1924" s="3">
        <v>6554</v>
      </c>
      <c r="B1924" s="27">
        <v>45321.261550925927</v>
      </c>
      <c r="C1924" s="3" t="s">
        <v>3</v>
      </c>
    </row>
    <row r="1925" spans="1:3" ht="13.5" thickBot="1" x14ac:dyDescent="0.25">
      <c r="A1925" s="3">
        <v>2894</v>
      </c>
      <c r="B1925" s="27">
        <v>45321.283194444448</v>
      </c>
      <c r="C1925" s="3" t="s">
        <v>3</v>
      </c>
    </row>
    <row r="1926" spans="1:3" ht="13.5" thickBot="1" x14ac:dyDescent="0.25">
      <c r="A1926" s="3">
        <v>6132</v>
      </c>
      <c r="B1926" s="27">
        <v>45321.31523148148</v>
      </c>
      <c r="C1926" s="3" t="s">
        <v>3</v>
      </c>
    </row>
    <row r="1927" spans="1:3" ht="13.5" thickBot="1" x14ac:dyDescent="0.25">
      <c r="A1927" s="3">
        <v>1267</v>
      </c>
      <c r="B1927" s="27">
        <v>45321.328831018516</v>
      </c>
      <c r="C1927" s="3" t="s">
        <v>3</v>
      </c>
    </row>
    <row r="1928" spans="1:3" ht="13.5" thickBot="1" x14ac:dyDescent="0.25">
      <c r="A1928" s="3">
        <v>7266</v>
      </c>
      <c r="B1928" s="27">
        <v>45321.342881944445</v>
      </c>
      <c r="C1928" s="3" t="s">
        <v>3</v>
      </c>
    </row>
    <row r="1929" spans="1:3" ht="13.5" thickBot="1" x14ac:dyDescent="0.25">
      <c r="A1929" s="3">
        <v>5922</v>
      </c>
      <c r="B1929" s="27">
        <v>45321.37972222222</v>
      </c>
      <c r="C1929" s="3" t="s">
        <v>3</v>
      </c>
    </row>
    <row r="1930" spans="1:3" ht="13.5" thickBot="1" x14ac:dyDescent="0.25">
      <c r="A1930" s="3">
        <v>7242</v>
      </c>
      <c r="B1930" s="27">
        <v>45321.388657407406</v>
      </c>
      <c r="C1930" s="3" t="s">
        <v>4</v>
      </c>
    </row>
    <row r="1931" spans="1:3" ht="13.5" thickBot="1" x14ac:dyDescent="0.25">
      <c r="A1931" s="3">
        <v>1769</v>
      </c>
      <c r="B1931" s="27">
        <v>45321.390648148146</v>
      </c>
      <c r="C1931" s="3" t="s">
        <v>3</v>
      </c>
    </row>
    <row r="1932" spans="1:3" ht="13.5" thickBot="1" x14ac:dyDescent="0.25">
      <c r="A1932" s="3">
        <v>3322</v>
      </c>
      <c r="B1932" s="27">
        <v>45321.401550925926</v>
      </c>
      <c r="C1932" s="3" t="s">
        <v>3</v>
      </c>
    </row>
    <row r="1933" spans="1:3" ht="13.5" thickBot="1" x14ac:dyDescent="0.25">
      <c r="A1933" s="3">
        <v>7224</v>
      </c>
      <c r="B1933" s="27">
        <v>45321.409120370372</v>
      </c>
      <c r="C1933" s="3" t="s">
        <v>4</v>
      </c>
    </row>
    <row r="1934" spans="1:3" ht="13.5" thickBot="1" x14ac:dyDescent="0.25">
      <c r="A1934" s="3">
        <v>6756</v>
      </c>
      <c r="B1934" s="27">
        <v>45321.418645833335</v>
      </c>
      <c r="C1934" s="3" t="s">
        <v>7</v>
      </c>
    </row>
    <row r="1935" spans="1:3" ht="13.5" thickBot="1" x14ac:dyDescent="0.25">
      <c r="A1935" s="3">
        <v>1922</v>
      </c>
      <c r="B1935" s="27">
        <v>45321.419664351852</v>
      </c>
      <c r="C1935" s="3" t="s">
        <v>3</v>
      </c>
    </row>
    <row r="1936" spans="1:3" ht="13.5" thickBot="1" x14ac:dyDescent="0.25">
      <c r="A1936" s="3">
        <v>3694</v>
      </c>
      <c r="B1936" s="27">
        <v>45321.44326388889</v>
      </c>
      <c r="C1936" s="3" t="s">
        <v>5</v>
      </c>
    </row>
    <row r="1937" spans="1:3" ht="13.5" thickBot="1" x14ac:dyDescent="0.25">
      <c r="A1937" s="3">
        <v>4002</v>
      </c>
      <c r="B1937" s="27">
        <v>45321.452499999999</v>
      </c>
      <c r="C1937" s="3" t="s">
        <v>3</v>
      </c>
    </row>
    <row r="1938" spans="1:3" ht="13.5" thickBot="1" x14ac:dyDescent="0.25">
      <c r="A1938" s="3">
        <v>341</v>
      </c>
      <c r="B1938" s="27">
        <v>45321.486585648148</v>
      </c>
      <c r="C1938" s="3" t="s">
        <v>3</v>
      </c>
    </row>
    <row r="1939" spans="1:3" ht="13.5" thickBot="1" x14ac:dyDescent="0.25">
      <c r="A1939" s="3">
        <v>4485</v>
      </c>
      <c r="B1939" s="27">
        <v>45321.489270833335</v>
      </c>
      <c r="C1939" s="3" t="s">
        <v>3</v>
      </c>
    </row>
    <row r="1940" spans="1:3" ht="13.5" thickBot="1" x14ac:dyDescent="0.25">
      <c r="A1940" s="3">
        <v>6640</v>
      </c>
      <c r="B1940" s="27">
        <v>45321.502118055556</v>
      </c>
      <c r="C1940" s="3" t="s">
        <v>6</v>
      </c>
    </row>
    <row r="1941" spans="1:3" ht="13.5" thickBot="1" x14ac:dyDescent="0.25">
      <c r="A1941" s="3">
        <v>7979</v>
      </c>
      <c r="B1941" s="27">
        <v>45321.51085648148</v>
      </c>
      <c r="C1941" s="3" t="s">
        <v>3</v>
      </c>
    </row>
    <row r="1942" spans="1:3" ht="13.5" thickBot="1" x14ac:dyDescent="0.25">
      <c r="A1942" s="3">
        <v>3574</v>
      </c>
      <c r="B1942" s="27">
        <v>45321.533530092594</v>
      </c>
      <c r="C1942" s="3" t="s">
        <v>3</v>
      </c>
    </row>
    <row r="1943" spans="1:3" ht="13.5" thickBot="1" x14ac:dyDescent="0.25">
      <c r="A1943" s="3">
        <v>7982</v>
      </c>
      <c r="B1943" s="27">
        <v>45321.590208333335</v>
      </c>
      <c r="C1943" s="3" t="s">
        <v>3</v>
      </c>
    </row>
    <row r="1944" spans="1:3" ht="13.5" thickBot="1" x14ac:dyDescent="0.25">
      <c r="A1944" s="3">
        <v>1202</v>
      </c>
      <c r="B1944" s="27">
        <v>45321.637673611112</v>
      </c>
      <c r="C1944" s="3" t="s">
        <v>5</v>
      </c>
    </row>
    <row r="1945" spans="1:3" ht="13.5" thickBot="1" x14ac:dyDescent="0.25">
      <c r="A1945" s="3">
        <v>1513</v>
      </c>
      <c r="B1945" s="27">
        <v>45321.655138888891</v>
      </c>
      <c r="C1945" s="3" t="s">
        <v>6</v>
      </c>
    </row>
    <row r="1946" spans="1:3" ht="13.5" thickBot="1" x14ac:dyDescent="0.25">
      <c r="A1946" s="3">
        <v>1762</v>
      </c>
      <c r="B1946" s="27">
        <v>45321.658506944441</v>
      </c>
      <c r="C1946" s="3" t="s">
        <v>4</v>
      </c>
    </row>
    <row r="1947" spans="1:3" ht="13.5" thickBot="1" x14ac:dyDescent="0.25">
      <c r="A1947" s="3">
        <v>4952</v>
      </c>
      <c r="B1947" s="27">
        <v>45321.668703703705</v>
      </c>
      <c r="C1947" s="3" t="s">
        <v>6</v>
      </c>
    </row>
    <row r="1948" spans="1:3" ht="13.5" thickBot="1" x14ac:dyDescent="0.25">
      <c r="A1948" s="3">
        <v>348</v>
      </c>
      <c r="B1948" s="27">
        <v>45321.679074074076</v>
      </c>
      <c r="C1948" s="3" t="s">
        <v>7</v>
      </c>
    </row>
    <row r="1949" spans="1:3" ht="13.5" thickBot="1" x14ac:dyDescent="0.25">
      <c r="A1949" s="3">
        <v>618</v>
      </c>
      <c r="B1949" s="27">
        <v>45321.685474537036</v>
      </c>
      <c r="C1949" s="3" t="s">
        <v>3</v>
      </c>
    </row>
    <row r="1950" spans="1:3" ht="13.5" thickBot="1" x14ac:dyDescent="0.25">
      <c r="A1950" s="3">
        <v>3650</v>
      </c>
      <c r="B1950" s="27">
        <v>45321.688067129631</v>
      </c>
      <c r="C1950" s="3" t="s">
        <v>3</v>
      </c>
    </row>
    <row r="1951" spans="1:3" ht="13.5" thickBot="1" x14ac:dyDescent="0.25">
      <c r="A1951" s="3">
        <v>89</v>
      </c>
      <c r="B1951" s="27">
        <v>45321.701863425929</v>
      </c>
      <c r="C1951" s="3" t="s">
        <v>7</v>
      </c>
    </row>
    <row r="1952" spans="1:3" ht="13.5" thickBot="1" x14ac:dyDescent="0.25">
      <c r="A1952" s="3">
        <v>6756</v>
      </c>
      <c r="B1952" s="27">
        <v>45321.706863425927</v>
      </c>
      <c r="C1952" s="3" t="s">
        <v>5</v>
      </c>
    </row>
    <row r="1953" spans="1:3" ht="13.5" thickBot="1" x14ac:dyDescent="0.25">
      <c r="A1953" s="3">
        <v>4849</v>
      </c>
      <c r="B1953" s="27">
        <v>45321.73332175926</v>
      </c>
      <c r="C1953" s="3" t="s">
        <v>4</v>
      </c>
    </row>
    <row r="1954" spans="1:3" ht="13.5" thickBot="1" x14ac:dyDescent="0.25">
      <c r="A1954" s="3">
        <v>2717</v>
      </c>
      <c r="B1954" s="27">
        <v>45321.73978009259</v>
      </c>
      <c r="C1954" s="3" t="s">
        <v>6</v>
      </c>
    </row>
    <row r="1955" spans="1:3" ht="13.5" thickBot="1" x14ac:dyDescent="0.25">
      <c r="A1955" s="3">
        <v>6132</v>
      </c>
      <c r="B1955" s="27">
        <v>45321.752893518518</v>
      </c>
      <c r="C1955" s="3" t="s">
        <v>5</v>
      </c>
    </row>
    <row r="1956" spans="1:3" ht="13.5" thickBot="1" x14ac:dyDescent="0.25">
      <c r="A1956" s="3">
        <v>646</v>
      </c>
      <c r="B1956" s="27">
        <v>45321.764293981483</v>
      </c>
      <c r="C1956" s="3" t="s">
        <v>3</v>
      </c>
    </row>
    <row r="1957" spans="1:3" ht="13.5" thickBot="1" x14ac:dyDescent="0.25">
      <c r="A1957" s="3">
        <v>3545</v>
      </c>
      <c r="B1957" s="27">
        <v>45321.767650462964</v>
      </c>
      <c r="C1957" s="3" t="s">
        <v>3</v>
      </c>
    </row>
    <row r="1958" spans="1:3" ht="13.5" thickBot="1" x14ac:dyDescent="0.25">
      <c r="A1958" s="3">
        <v>3372</v>
      </c>
      <c r="B1958" s="27">
        <v>45321.780682870369</v>
      </c>
      <c r="C1958" s="3" t="s">
        <v>3</v>
      </c>
    </row>
    <row r="1959" spans="1:3" ht="13.5" thickBot="1" x14ac:dyDescent="0.25">
      <c r="A1959" s="3">
        <v>4002</v>
      </c>
      <c r="B1959" s="27">
        <v>45321.781273148146</v>
      </c>
      <c r="C1959" s="3" t="s">
        <v>4</v>
      </c>
    </row>
    <row r="1960" spans="1:3" ht="13.5" thickBot="1" x14ac:dyDescent="0.25">
      <c r="A1960" s="3">
        <v>7224</v>
      </c>
      <c r="B1960" s="27">
        <v>45321.815983796296</v>
      </c>
      <c r="C1960" s="3" t="s">
        <v>3</v>
      </c>
    </row>
    <row r="1961" spans="1:3" ht="13.5" thickBot="1" x14ac:dyDescent="0.25">
      <c r="A1961" s="3">
        <v>1713</v>
      </c>
      <c r="B1961" s="27">
        <v>45321.817858796298</v>
      </c>
      <c r="C1961" s="3" t="s">
        <v>3</v>
      </c>
    </row>
    <row r="1962" spans="1:3" ht="13.5" thickBot="1" x14ac:dyDescent="0.25">
      <c r="A1962" s="3">
        <v>3188</v>
      </c>
      <c r="B1962" s="27">
        <v>45321.823773148149</v>
      </c>
      <c r="C1962" s="3" t="s">
        <v>4</v>
      </c>
    </row>
    <row r="1963" spans="1:3" ht="13.5" thickBot="1" x14ac:dyDescent="0.25">
      <c r="A1963" s="3">
        <v>7096</v>
      </c>
      <c r="B1963" s="27">
        <v>45321.85429398148</v>
      </c>
      <c r="C1963" s="3" t="s">
        <v>3</v>
      </c>
    </row>
    <row r="1964" spans="1:3" ht="13.5" thickBot="1" x14ac:dyDescent="0.25">
      <c r="A1964" s="3">
        <v>7512</v>
      </c>
      <c r="B1964" s="27">
        <v>45321.855543981481</v>
      </c>
      <c r="C1964" s="3" t="s">
        <v>4</v>
      </c>
    </row>
    <row r="1965" spans="1:3" ht="13.5" thickBot="1" x14ac:dyDescent="0.25">
      <c r="A1965" s="3">
        <v>995</v>
      </c>
      <c r="B1965" s="27">
        <v>45321.863738425927</v>
      </c>
      <c r="C1965" s="3" t="s">
        <v>4</v>
      </c>
    </row>
    <row r="1966" spans="1:3" ht="13.5" thickBot="1" x14ac:dyDescent="0.25">
      <c r="A1966" s="3">
        <v>5959</v>
      </c>
      <c r="B1966" s="27">
        <v>45321.865023148152</v>
      </c>
      <c r="C1966" s="3" t="s">
        <v>4</v>
      </c>
    </row>
    <row r="1967" spans="1:3" ht="13.5" thickBot="1" x14ac:dyDescent="0.25">
      <c r="A1967" s="3">
        <v>4261</v>
      </c>
      <c r="B1967" s="27">
        <v>45321.910497685189</v>
      </c>
      <c r="C1967" s="3" t="s">
        <v>3</v>
      </c>
    </row>
    <row r="1968" spans="1:3" ht="13.5" thickBot="1" x14ac:dyDescent="0.25">
      <c r="A1968" s="3">
        <v>7684</v>
      </c>
      <c r="B1968" s="27">
        <v>45321.941145833334</v>
      </c>
      <c r="C1968" s="3" t="s">
        <v>3</v>
      </c>
    </row>
    <row r="1969" spans="1:3" ht="13.5" thickBot="1" x14ac:dyDescent="0.25">
      <c r="A1969" s="3">
        <v>288</v>
      </c>
      <c r="B1969" s="27">
        <v>45321.951701388891</v>
      </c>
      <c r="C1969" s="3" t="s">
        <v>3</v>
      </c>
    </row>
    <row r="1970" spans="1:3" ht="13.5" thickBot="1" x14ac:dyDescent="0.25">
      <c r="A1970" s="3">
        <v>5036</v>
      </c>
      <c r="B1970" s="27">
        <v>45321.974027777775</v>
      </c>
      <c r="C1970" s="3" t="s">
        <v>4</v>
      </c>
    </row>
    <row r="1971" spans="1:3" ht="13.5" thickBot="1" x14ac:dyDescent="0.25">
      <c r="A1971" s="3">
        <v>3066</v>
      </c>
      <c r="B1971" s="27">
        <v>45321.980694444443</v>
      </c>
      <c r="C1971" s="3" t="s">
        <v>7</v>
      </c>
    </row>
    <row r="1972" spans="1:3" ht="13.5" thickBot="1" x14ac:dyDescent="0.25">
      <c r="A1972" s="3">
        <v>3545</v>
      </c>
      <c r="B1972" s="27">
        <v>45321.998020833336</v>
      </c>
      <c r="C1972" s="3" t="s">
        <v>5</v>
      </c>
    </row>
    <row r="1973" spans="1:3" ht="13.5" thickBot="1" x14ac:dyDescent="0.25">
      <c r="A1973" s="3">
        <v>5275</v>
      </c>
      <c r="B1973" s="27">
        <v>45322.000613425924</v>
      </c>
      <c r="C1973" s="3" t="s">
        <v>7</v>
      </c>
    </row>
    <row r="1974" spans="1:3" ht="13.5" thickBot="1" x14ac:dyDescent="0.25">
      <c r="A1974" s="3">
        <v>6125</v>
      </c>
      <c r="B1974" s="27">
        <v>45322.009201388886</v>
      </c>
      <c r="C1974" s="3" t="s">
        <v>3</v>
      </c>
    </row>
    <row r="1975" spans="1:3" ht="13.5" thickBot="1" x14ac:dyDescent="0.25">
      <c r="A1975" s="3">
        <v>6554</v>
      </c>
      <c r="B1975" s="27">
        <v>45322.010601851849</v>
      </c>
      <c r="C1975" s="3" t="s">
        <v>5</v>
      </c>
    </row>
    <row r="1976" spans="1:3" ht="13.5" thickBot="1" x14ac:dyDescent="0.25">
      <c r="A1976" s="3">
        <v>5724</v>
      </c>
      <c r="B1976" s="27">
        <v>45322.028993055559</v>
      </c>
      <c r="C1976" s="3" t="s">
        <v>6</v>
      </c>
    </row>
    <row r="1977" spans="1:3" ht="13.5" thickBot="1" x14ac:dyDescent="0.25">
      <c r="A1977" s="3">
        <v>2127</v>
      </c>
      <c r="B1977" s="27">
        <v>45322.029490740744</v>
      </c>
      <c r="C1977" s="3" t="s">
        <v>3</v>
      </c>
    </row>
    <row r="1978" spans="1:3" ht="13.5" thickBot="1" x14ac:dyDescent="0.25">
      <c r="A1978" s="3">
        <v>4436</v>
      </c>
      <c r="B1978" s="27">
        <v>45322.05672453704</v>
      </c>
      <c r="C1978" s="3" t="s">
        <v>3</v>
      </c>
    </row>
    <row r="1979" spans="1:3" ht="13.5" thickBot="1" x14ac:dyDescent="0.25">
      <c r="A1979" s="3">
        <v>6986</v>
      </c>
      <c r="B1979" s="27">
        <v>45322.057222222225</v>
      </c>
      <c r="C1979" s="3" t="s">
        <v>3</v>
      </c>
    </row>
    <row r="1980" spans="1:3" ht="13.5" thickBot="1" x14ac:dyDescent="0.25">
      <c r="A1980" s="3">
        <v>1146</v>
      </c>
      <c r="B1980" s="27">
        <v>45322.12767361111</v>
      </c>
      <c r="C1980" s="3" t="s">
        <v>3</v>
      </c>
    </row>
    <row r="1981" spans="1:3" ht="13.5" thickBot="1" x14ac:dyDescent="0.25">
      <c r="A1981" s="3">
        <v>3722</v>
      </c>
      <c r="B1981" s="27">
        <v>45322.13076388889</v>
      </c>
      <c r="C1981" s="3" t="s">
        <v>5</v>
      </c>
    </row>
    <row r="1982" spans="1:3" ht="13.5" thickBot="1" x14ac:dyDescent="0.25">
      <c r="A1982" s="3">
        <v>2128</v>
      </c>
      <c r="B1982" s="27">
        <v>45322.14267361111</v>
      </c>
      <c r="C1982" s="3" t="s">
        <v>3</v>
      </c>
    </row>
    <row r="1983" spans="1:3" ht="13.5" thickBot="1" x14ac:dyDescent="0.25">
      <c r="A1983" s="3">
        <v>4494</v>
      </c>
      <c r="B1983" s="27">
        <v>45322.184571759259</v>
      </c>
      <c r="C1983" s="3" t="s">
        <v>3</v>
      </c>
    </row>
    <row r="1984" spans="1:3" ht="13.5" thickBot="1" x14ac:dyDescent="0.25">
      <c r="A1984" s="3">
        <v>2727</v>
      </c>
      <c r="B1984" s="27">
        <v>45322.226493055554</v>
      </c>
      <c r="C1984" s="3" t="s">
        <v>6</v>
      </c>
    </row>
    <row r="1985" spans="1:3" ht="13.5" thickBot="1" x14ac:dyDescent="0.25">
      <c r="A1985" s="3">
        <v>2523</v>
      </c>
      <c r="B1985" s="27">
        <v>45322.233043981483</v>
      </c>
      <c r="C1985" s="3" t="s">
        <v>5</v>
      </c>
    </row>
    <row r="1986" spans="1:3" ht="13.5" thickBot="1" x14ac:dyDescent="0.25">
      <c r="A1986" s="3">
        <v>6629</v>
      </c>
      <c r="B1986" s="27">
        <v>45322.239849537036</v>
      </c>
      <c r="C1986" s="3" t="s">
        <v>4</v>
      </c>
    </row>
    <row r="1987" spans="1:3" ht="13.5" thickBot="1" x14ac:dyDescent="0.25">
      <c r="A1987" s="3">
        <v>2158</v>
      </c>
      <c r="B1987" s="27">
        <v>45322.256574074076</v>
      </c>
      <c r="C1987" s="3" t="s">
        <v>4</v>
      </c>
    </row>
    <row r="1988" spans="1:3" ht="13.5" thickBot="1" x14ac:dyDescent="0.25">
      <c r="A1988" s="3">
        <v>6276</v>
      </c>
      <c r="B1988" s="27">
        <v>45322.26525462963</v>
      </c>
      <c r="C1988" s="3" t="s">
        <v>5</v>
      </c>
    </row>
    <row r="1989" spans="1:3" ht="13.5" thickBot="1" x14ac:dyDescent="0.25">
      <c r="A1989" s="3">
        <v>5289</v>
      </c>
      <c r="B1989" s="27">
        <v>45322.288043981483</v>
      </c>
      <c r="C1989" s="3" t="s">
        <v>3</v>
      </c>
    </row>
    <row r="1990" spans="1:3" ht="13.5" thickBot="1" x14ac:dyDescent="0.25">
      <c r="A1990" s="3">
        <v>1116</v>
      </c>
      <c r="B1990" s="27">
        <v>45322.375810185185</v>
      </c>
      <c r="C1990" s="3" t="s">
        <v>3</v>
      </c>
    </row>
    <row r="1991" spans="1:3" ht="13.5" thickBot="1" x14ac:dyDescent="0.25">
      <c r="A1991" s="3">
        <v>5820</v>
      </c>
      <c r="B1991" s="27">
        <v>45322.386655092596</v>
      </c>
      <c r="C1991" s="3" t="s">
        <v>5</v>
      </c>
    </row>
    <row r="1992" spans="1:3" ht="13.5" thickBot="1" x14ac:dyDescent="0.25">
      <c r="A1992" s="3">
        <v>7509</v>
      </c>
      <c r="B1992" s="27">
        <v>45322.416979166665</v>
      </c>
      <c r="C1992" s="3" t="s">
        <v>4</v>
      </c>
    </row>
    <row r="1993" spans="1:3" ht="13.5" thickBot="1" x14ac:dyDescent="0.25">
      <c r="A1993" s="3">
        <v>7777</v>
      </c>
      <c r="B1993" s="27">
        <v>45322.455694444441</v>
      </c>
      <c r="C1993" s="3" t="s">
        <v>4</v>
      </c>
    </row>
    <row r="1994" spans="1:3" ht="13.5" thickBot="1" x14ac:dyDescent="0.25">
      <c r="A1994" s="3">
        <v>7317</v>
      </c>
      <c r="B1994" s="27">
        <v>45322.486643518518</v>
      </c>
      <c r="C1994" s="3" t="s">
        <v>3</v>
      </c>
    </row>
    <row r="1995" spans="1:3" ht="13.5" thickBot="1" x14ac:dyDescent="0.25">
      <c r="A1995" s="3">
        <v>6352</v>
      </c>
      <c r="B1995" s="27">
        <v>45322.491805555554</v>
      </c>
      <c r="C1995" s="3" t="s">
        <v>7</v>
      </c>
    </row>
    <row r="1996" spans="1:3" ht="13.5" thickBot="1" x14ac:dyDescent="0.25">
      <c r="A1996" s="3">
        <v>2158</v>
      </c>
      <c r="B1996" s="27">
        <v>45322.500428240739</v>
      </c>
      <c r="C1996" s="3" t="s">
        <v>3</v>
      </c>
    </row>
    <row r="1997" spans="1:3" ht="13.5" thickBot="1" x14ac:dyDescent="0.25">
      <c r="A1997" s="3">
        <v>7509</v>
      </c>
      <c r="B1997" s="27">
        <v>45322.523912037039</v>
      </c>
      <c r="C1997" s="3" t="s">
        <v>3</v>
      </c>
    </row>
    <row r="1998" spans="1:3" ht="13.5" thickBot="1" x14ac:dyDescent="0.25">
      <c r="A1998" s="3">
        <v>7266</v>
      </c>
      <c r="B1998" s="27">
        <v>45322.582187499997</v>
      </c>
      <c r="C1998" s="3" t="s">
        <v>5</v>
      </c>
    </row>
    <row r="1999" spans="1:3" ht="13.5" thickBot="1" x14ac:dyDescent="0.25">
      <c r="A1999" s="3">
        <v>99</v>
      </c>
      <c r="B1999" s="27">
        <v>45322.643113425926</v>
      </c>
      <c r="C1999" s="3" t="s">
        <v>3</v>
      </c>
    </row>
    <row r="2000" spans="1:3" ht="13.5" thickBot="1" x14ac:dyDescent="0.25">
      <c r="A2000" s="3">
        <v>6188</v>
      </c>
      <c r="B2000" s="27">
        <v>45322.675300925926</v>
      </c>
      <c r="C2000" s="3" t="s">
        <v>6</v>
      </c>
    </row>
    <row r="2001" spans="1:3" ht="13.5" thickBot="1" x14ac:dyDescent="0.25">
      <c r="A2001" s="3">
        <v>2681</v>
      </c>
      <c r="B2001" s="27">
        <v>45322.747546296298</v>
      </c>
      <c r="C2001" s="3" t="s">
        <v>3</v>
      </c>
    </row>
    <row r="2002" spans="1:3" ht="13.5" thickBot="1" x14ac:dyDescent="0.25">
      <c r="A2002" s="3">
        <v>7982</v>
      </c>
      <c r="B2002" s="27">
        <v>45322.780706018515</v>
      </c>
      <c r="C2002" s="3" t="s">
        <v>5</v>
      </c>
    </row>
    <row r="2003" spans="1:3" ht="13.5" thickBot="1" x14ac:dyDescent="0.25">
      <c r="A2003" s="3">
        <v>7509</v>
      </c>
      <c r="B2003" s="27">
        <v>45322.796249999999</v>
      </c>
      <c r="C2003" s="3" t="s">
        <v>5</v>
      </c>
    </row>
    <row r="2004" spans="1:3" ht="13.5" thickBot="1" x14ac:dyDescent="0.25">
      <c r="A2004" s="3">
        <v>682</v>
      </c>
      <c r="B2004" s="27">
        <v>45322.824120370373</v>
      </c>
      <c r="C2004" s="3" t="s">
        <v>6</v>
      </c>
    </row>
    <row r="2005" spans="1:3" ht="13.5" thickBot="1" x14ac:dyDescent="0.25">
      <c r="A2005" s="3">
        <v>6034</v>
      </c>
      <c r="B2005" s="27">
        <v>45322.827222222222</v>
      </c>
      <c r="C2005" s="3" t="s">
        <v>5</v>
      </c>
    </row>
    <row r="2006" spans="1:3" ht="13.5" thickBot="1" x14ac:dyDescent="0.25">
      <c r="A2006" s="3">
        <v>4952</v>
      </c>
      <c r="B2006" s="27">
        <v>45322.845451388886</v>
      </c>
      <c r="C2006" s="3" t="s">
        <v>4</v>
      </c>
    </row>
    <row r="2007" spans="1:3" ht="13.5" thickBot="1" x14ac:dyDescent="0.25">
      <c r="A2007" s="3">
        <v>4125</v>
      </c>
      <c r="B2007" s="27">
        <v>45322.848796296297</v>
      </c>
      <c r="C2007" s="3" t="s">
        <v>3</v>
      </c>
    </row>
    <row r="2008" spans="1:3" ht="13.5" thickBot="1" x14ac:dyDescent="0.25">
      <c r="A2008" s="3">
        <v>2523</v>
      </c>
      <c r="B2008" s="27">
        <v>45322.86451388889</v>
      </c>
      <c r="C2008" s="3" t="s">
        <v>3</v>
      </c>
    </row>
    <row r="2009" spans="1:3" ht="13.5" thickBot="1" x14ac:dyDescent="0.25">
      <c r="A2009" s="3">
        <v>99</v>
      </c>
      <c r="B2009" s="27">
        <v>45322.888761574075</v>
      </c>
      <c r="C2009" s="3" t="s">
        <v>4</v>
      </c>
    </row>
    <row r="2010" spans="1:3" ht="13.5" thickBot="1" x14ac:dyDescent="0.25">
      <c r="A2010" s="3">
        <v>2717</v>
      </c>
      <c r="B2010" s="27">
        <v>45322.893333333333</v>
      </c>
      <c r="C2010" s="3" t="s">
        <v>7</v>
      </c>
    </row>
    <row r="2011" spans="1:3" ht="13.5" thickBot="1" x14ac:dyDescent="0.25">
      <c r="A2011" s="3">
        <v>2648</v>
      </c>
      <c r="B2011" s="27">
        <v>45322.89508101852</v>
      </c>
      <c r="C2011" s="3" t="s">
        <v>4</v>
      </c>
    </row>
    <row r="2012" spans="1:3" ht="13.5" thickBot="1" x14ac:dyDescent="0.25">
      <c r="A2012" s="3">
        <v>2408</v>
      </c>
      <c r="B2012" s="27">
        <v>45322.898761574077</v>
      </c>
      <c r="C2012" s="3" t="s">
        <v>3</v>
      </c>
    </row>
    <row r="2013" spans="1:3" ht="13.5" thickBot="1" x14ac:dyDescent="0.25">
      <c r="A2013" s="3">
        <v>5707</v>
      </c>
      <c r="B2013" s="27">
        <v>45322.904270833336</v>
      </c>
      <c r="C2013" s="3" t="s">
        <v>4</v>
      </c>
    </row>
    <row r="2014" spans="1:3" ht="13.5" thickBot="1" x14ac:dyDescent="0.25">
      <c r="A2014" s="3">
        <v>3999</v>
      </c>
      <c r="B2014" s="27">
        <v>45322.906342592592</v>
      </c>
      <c r="C2014" s="3" t="s">
        <v>3</v>
      </c>
    </row>
    <row r="2015" spans="1:3" ht="13.5" thickBot="1" x14ac:dyDescent="0.25">
      <c r="A2015" s="3">
        <v>3650</v>
      </c>
      <c r="B2015" s="27">
        <v>45322.909270833334</v>
      </c>
      <c r="C2015" s="3" t="s">
        <v>7</v>
      </c>
    </row>
    <row r="2016" spans="1:3" ht="13.5" thickBot="1" x14ac:dyDescent="0.25">
      <c r="A2016" s="3">
        <v>5707</v>
      </c>
      <c r="B2016" s="27">
        <v>45322.919050925928</v>
      </c>
      <c r="C2016" s="3" t="s">
        <v>3</v>
      </c>
    </row>
    <row r="2017" spans="1:3" ht="13.5" thickBot="1" x14ac:dyDescent="0.25">
      <c r="A2017" s="3">
        <v>5931</v>
      </c>
      <c r="B2017" s="27">
        <v>45322.92491898148</v>
      </c>
      <c r="C2017" s="3" t="s">
        <v>3</v>
      </c>
    </row>
    <row r="2018" spans="1:3" ht="13.5" thickBot="1" x14ac:dyDescent="0.25">
      <c r="A2018" s="3">
        <v>3048</v>
      </c>
      <c r="B2018" s="27">
        <v>45322.935046296298</v>
      </c>
      <c r="C2018" s="3" t="s">
        <v>3</v>
      </c>
    </row>
    <row r="2019" spans="1:3" ht="13.5" thickBot="1" x14ac:dyDescent="0.25">
      <c r="A2019" s="3">
        <v>3545</v>
      </c>
      <c r="B2019" s="27">
        <v>45322.988923611112</v>
      </c>
      <c r="C2019" s="3" t="s">
        <v>4</v>
      </c>
    </row>
    <row r="2020" spans="1:3" ht="13.5" thickBot="1" x14ac:dyDescent="0.25">
      <c r="A2020" s="3">
        <v>5262</v>
      </c>
      <c r="B2020" s="27">
        <v>45322.992384259262</v>
      </c>
      <c r="C2020" s="3" t="s">
        <v>3</v>
      </c>
    </row>
    <row r="2021" spans="1:3" ht="13.5" thickBot="1" x14ac:dyDescent="0.25">
      <c r="A2021" s="3">
        <v>5036</v>
      </c>
      <c r="B2021" s="27">
        <v>45322.994467592594</v>
      </c>
      <c r="C2021" s="3" t="s">
        <v>5</v>
      </c>
    </row>
    <row r="2022" spans="1:3" ht="13.5" thickBot="1" x14ac:dyDescent="0.25">
      <c r="A2022" s="3">
        <v>5820</v>
      </c>
      <c r="B2022" s="27">
        <v>45322.998206018521</v>
      </c>
      <c r="C2022" s="3" t="s">
        <v>4</v>
      </c>
    </row>
    <row r="2023" spans="1:3" ht="13.5" thickBot="1" x14ac:dyDescent="0.25">
      <c r="A2023" s="3">
        <v>4849</v>
      </c>
      <c r="B2023" s="27">
        <v>45323.00984953704</v>
      </c>
      <c r="C2023" s="3" t="s">
        <v>5</v>
      </c>
    </row>
    <row r="2024" spans="1:3" ht="13.5" thickBot="1" x14ac:dyDescent="0.25">
      <c r="A2024" s="3">
        <v>2523</v>
      </c>
      <c r="B2024" s="27">
        <v>45323.053113425929</v>
      </c>
      <c r="C2024" s="3" t="s">
        <v>7</v>
      </c>
    </row>
    <row r="2025" spans="1:3" ht="13.5" thickBot="1" x14ac:dyDescent="0.25">
      <c r="A2025" s="3">
        <v>3689</v>
      </c>
      <c r="B2025" s="27">
        <v>45323.059236111112</v>
      </c>
      <c r="C2025" s="3" t="s">
        <v>6</v>
      </c>
    </row>
    <row r="2026" spans="1:3" ht="13.5" thickBot="1" x14ac:dyDescent="0.25">
      <c r="A2026" s="3">
        <v>1769</v>
      </c>
      <c r="B2026" s="27">
        <v>45323.077523148146</v>
      </c>
      <c r="C2026" s="3" t="s">
        <v>4</v>
      </c>
    </row>
    <row r="2027" spans="1:3" ht="13.5" thickBot="1" x14ac:dyDescent="0.25">
      <c r="A2027" s="3">
        <v>2692</v>
      </c>
      <c r="B2027" s="27">
        <v>45323.094780092593</v>
      </c>
      <c r="C2027" s="3" t="s">
        <v>4</v>
      </c>
    </row>
    <row r="2028" spans="1:3" ht="13.5" thickBot="1" x14ac:dyDescent="0.25">
      <c r="A2028" s="3">
        <v>6456</v>
      </c>
      <c r="B2028" s="27">
        <v>45323.108854166669</v>
      </c>
      <c r="C2028" s="3" t="s">
        <v>6</v>
      </c>
    </row>
    <row r="2029" spans="1:3" ht="13.5" thickBot="1" x14ac:dyDescent="0.25">
      <c r="A2029" s="3">
        <v>2137</v>
      </c>
      <c r="B2029" s="27">
        <v>45323.141828703701</v>
      </c>
      <c r="C2029" s="3" t="s">
        <v>3</v>
      </c>
    </row>
    <row r="2030" spans="1:3" ht="13.5" thickBot="1" x14ac:dyDescent="0.25">
      <c r="A2030" s="3">
        <v>2421</v>
      </c>
      <c r="B2030" s="27">
        <v>45323.153055555558</v>
      </c>
      <c r="C2030" s="3" t="s">
        <v>6</v>
      </c>
    </row>
    <row r="2031" spans="1:3" ht="13.5" thickBot="1" x14ac:dyDescent="0.25">
      <c r="A2031" s="3">
        <v>4866</v>
      </c>
      <c r="B2031" s="27">
        <v>45323.175023148149</v>
      </c>
      <c r="C2031" s="3" t="s">
        <v>3</v>
      </c>
    </row>
    <row r="2032" spans="1:3" ht="13.5" thickBot="1" x14ac:dyDescent="0.25">
      <c r="A2032" s="3">
        <v>6990</v>
      </c>
      <c r="B2032" s="27">
        <v>45323.179918981485</v>
      </c>
      <c r="C2032" s="3" t="s">
        <v>6</v>
      </c>
    </row>
    <row r="2033" spans="1:3" ht="13.5" thickBot="1" x14ac:dyDescent="0.25">
      <c r="A2033" s="3">
        <v>6926</v>
      </c>
      <c r="B2033" s="27">
        <v>45323.183472222219</v>
      </c>
      <c r="C2033" s="3" t="s">
        <v>4</v>
      </c>
    </row>
    <row r="2034" spans="1:3" ht="13.5" thickBot="1" x14ac:dyDescent="0.25">
      <c r="A2034" s="3">
        <v>320</v>
      </c>
      <c r="B2034" s="27">
        <v>45323.190682870372</v>
      </c>
      <c r="C2034" s="3" t="s">
        <v>4</v>
      </c>
    </row>
    <row r="2035" spans="1:3" ht="13.5" thickBot="1" x14ac:dyDescent="0.25">
      <c r="A2035" s="3">
        <v>2988</v>
      </c>
      <c r="B2035" s="27">
        <v>45323.203182870369</v>
      </c>
      <c r="C2035" s="3" t="s">
        <v>6</v>
      </c>
    </row>
    <row r="2036" spans="1:3" ht="13.5" thickBot="1" x14ac:dyDescent="0.25">
      <c r="A2036" s="3">
        <v>1576</v>
      </c>
      <c r="B2036" s="27">
        <v>45323.225497685184</v>
      </c>
      <c r="C2036" s="3" t="s">
        <v>3</v>
      </c>
    </row>
    <row r="2037" spans="1:3" ht="13.5" thickBot="1" x14ac:dyDescent="0.25">
      <c r="A2037" s="3">
        <v>6926</v>
      </c>
      <c r="B2037" s="27">
        <v>45323.228761574072</v>
      </c>
      <c r="C2037" s="3" t="s">
        <v>3</v>
      </c>
    </row>
    <row r="2038" spans="1:3" ht="13.5" thickBot="1" x14ac:dyDescent="0.25">
      <c r="A2038" s="3">
        <v>5289</v>
      </c>
      <c r="B2038" s="27">
        <v>45323.2340625</v>
      </c>
      <c r="C2038" s="3" t="s">
        <v>4</v>
      </c>
    </row>
    <row r="2039" spans="1:3" ht="13.5" thickBot="1" x14ac:dyDescent="0.25">
      <c r="A2039" s="3">
        <v>3066</v>
      </c>
      <c r="B2039" s="27">
        <v>45323.242118055554</v>
      </c>
      <c r="C2039" s="3" t="s">
        <v>6</v>
      </c>
    </row>
    <row r="2040" spans="1:3" ht="13.5" thickBot="1" x14ac:dyDescent="0.25">
      <c r="A2040" s="3">
        <v>3140</v>
      </c>
      <c r="B2040" s="27">
        <v>45323.255428240744</v>
      </c>
      <c r="C2040" s="3" t="s">
        <v>3</v>
      </c>
    </row>
    <row r="2041" spans="1:3" ht="13.5" thickBot="1" x14ac:dyDescent="0.25">
      <c r="A2041" s="3">
        <v>4075</v>
      </c>
      <c r="B2041" s="27">
        <v>45323.256701388891</v>
      </c>
      <c r="C2041" s="3" t="s">
        <v>3</v>
      </c>
    </row>
    <row r="2042" spans="1:3" ht="13.5" thickBot="1" x14ac:dyDescent="0.25">
      <c r="A2042" s="3">
        <v>6125</v>
      </c>
      <c r="B2042" s="27">
        <v>45323.271377314813</v>
      </c>
      <c r="C2042" s="3" t="s">
        <v>4</v>
      </c>
    </row>
    <row r="2043" spans="1:3" ht="13.5" thickBot="1" x14ac:dyDescent="0.25">
      <c r="A2043" s="3">
        <v>3551</v>
      </c>
      <c r="B2043" s="27">
        <v>45323.279652777775</v>
      </c>
      <c r="C2043" s="3" t="s">
        <v>6</v>
      </c>
    </row>
    <row r="2044" spans="1:3" ht="13.5" thickBot="1" x14ac:dyDescent="0.25">
      <c r="A2044" s="3">
        <v>3435</v>
      </c>
      <c r="B2044" s="27">
        <v>45323.28943287037</v>
      </c>
      <c r="C2044" s="3" t="s">
        <v>6</v>
      </c>
    </row>
    <row r="2045" spans="1:3" ht="13.5" thickBot="1" x14ac:dyDescent="0.25">
      <c r="A2045" s="3">
        <v>1343</v>
      </c>
      <c r="B2045" s="27">
        <v>45323.293402777781</v>
      </c>
      <c r="C2045" s="3" t="s">
        <v>3</v>
      </c>
    </row>
    <row r="2046" spans="1:3" ht="13.5" thickBot="1" x14ac:dyDescent="0.25">
      <c r="A2046" s="3">
        <v>2681</v>
      </c>
      <c r="B2046" s="27">
        <v>45323.311284722222</v>
      </c>
      <c r="C2046" s="3" t="s">
        <v>7</v>
      </c>
    </row>
    <row r="2047" spans="1:3" ht="13.5" thickBot="1" x14ac:dyDescent="0.25">
      <c r="A2047" s="3">
        <v>6888</v>
      </c>
      <c r="B2047" s="27">
        <v>45323.317037037035</v>
      </c>
      <c r="C2047" s="3" t="s">
        <v>4</v>
      </c>
    </row>
    <row r="2048" spans="1:3" ht="13.5" thickBot="1" x14ac:dyDescent="0.25">
      <c r="A2048" s="3">
        <v>3653</v>
      </c>
      <c r="B2048" s="27">
        <v>45323.334502314814</v>
      </c>
      <c r="C2048" s="3" t="s">
        <v>3</v>
      </c>
    </row>
    <row r="2049" spans="1:3" ht="13.5" thickBot="1" x14ac:dyDescent="0.25">
      <c r="A2049" s="3">
        <v>2127</v>
      </c>
      <c r="B2049" s="27">
        <v>45323.37059027778</v>
      </c>
      <c r="C2049" s="3" t="s">
        <v>4</v>
      </c>
    </row>
    <row r="2050" spans="1:3" ht="13.5" thickBot="1" x14ac:dyDescent="0.25">
      <c r="A2050" s="3">
        <v>5922</v>
      </c>
      <c r="B2050" s="27">
        <v>45323.37190972222</v>
      </c>
      <c r="C2050" s="3" t="s">
        <v>5</v>
      </c>
    </row>
    <row r="2051" spans="1:3" ht="13.5" thickBot="1" x14ac:dyDescent="0.25">
      <c r="A2051" s="3">
        <v>2692</v>
      </c>
      <c r="B2051" s="27">
        <v>45323.382407407407</v>
      </c>
      <c r="C2051" s="3" t="s">
        <v>3</v>
      </c>
    </row>
    <row r="2052" spans="1:3" ht="13.5" thickBot="1" x14ac:dyDescent="0.25">
      <c r="A2052" s="3">
        <v>2859</v>
      </c>
      <c r="B2052" s="27">
        <v>45323.41306712963</v>
      </c>
      <c r="C2052" s="3" t="s">
        <v>3</v>
      </c>
    </row>
    <row r="2053" spans="1:3" ht="13.5" thickBot="1" x14ac:dyDescent="0.25">
      <c r="A2053" s="3">
        <v>6802</v>
      </c>
      <c r="B2053" s="27">
        <v>45323.422488425924</v>
      </c>
      <c r="C2053" s="3" t="s">
        <v>3</v>
      </c>
    </row>
    <row r="2054" spans="1:3" ht="13.5" thickBot="1" x14ac:dyDescent="0.25">
      <c r="A2054" s="3">
        <v>1612</v>
      </c>
      <c r="B2054" s="27">
        <v>45323.431643518517</v>
      </c>
      <c r="C2054" s="3" t="s">
        <v>4</v>
      </c>
    </row>
    <row r="2055" spans="1:3" ht="13.5" thickBot="1" x14ac:dyDescent="0.25">
      <c r="A2055" s="3">
        <v>1130</v>
      </c>
      <c r="B2055" s="27">
        <v>45323.452025462961</v>
      </c>
      <c r="C2055" s="3" t="s">
        <v>7</v>
      </c>
    </row>
    <row r="2056" spans="1:3" ht="13.5" thickBot="1" x14ac:dyDescent="0.25">
      <c r="A2056" s="3">
        <v>4952</v>
      </c>
      <c r="B2056" s="27">
        <v>45323.452835648146</v>
      </c>
      <c r="C2056" s="3" t="s">
        <v>5</v>
      </c>
    </row>
    <row r="2057" spans="1:3" ht="13.5" thickBot="1" x14ac:dyDescent="0.25">
      <c r="A2057" s="3">
        <v>6727</v>
      </c>
      <c r="B2057" s="27">
        <v>45323.466979166667</v>
      </c>
      <c r="C2057" s="3" t="s">
        <v>3</v>
      </c>
    </row>
    <row r="2058" spans="1:3" ht="13.5" thickBot="1" x14ac:dyDescent="0.25">
      <c r="A2058" s="3">
        <v>7642</v>
      </c>
      <c r="B2058" s="27">
        <v>45323.481539351851</v>
      </c>
      <c r="C2058" s="3" t="s">
        <v>7</v>
      </c>
    </row>
    <row r="2059" spans="1:3" ht="13.5" thickBot="1" x14ac:dyDescent="0.25">
      <c r="A2059" s="3">
        <v>2859</v>
      </c>
      <c r="B2059" s="27">
        <v>45323.492314814815</v>
      </c>
      <c r="C2059" s="3" t="s">
        <v>4</v>
      </c>
    </row>
    <row r="2060" spans="1:3" ht="13.5" thickBot="1" x14ac:dyDescent="0.25">
      <c r="A2060" s="3">
        <v>320</v>
      </c>
      <c r="B2060" s="27">
        <v>45323.505891203706</v>
      </c>
      <c r="C2060" s="3" t="s">
        <v>3</v>
      </c>
    </row>
    <row r="2061" spans="1:3" ht="13.5" thickBot="1" x14ac:dyDescent="0.25">
      <c r="A2061" s="3">
        <v>3188</v>
      </c>
      <c r="B2061" s="27">
        <v>45323.528090277781</v>
      </c>
      <c r="C2061" s="3" t="s">
        <v>5</v>
      </c>
    </row>
    <row r="2062" spans="1:3" ht="13.5" thickBot="1" x14ac:dyDescent="0.25">
      <c r="A2062" s="3">
        <v>6888</v>
      </c>
      <c r="B2062" s="27">
        <v>45323.528668981482</v>
      </c>
      <c r="C2062" s="3" t="s">
        <v>3</v>
      </c>
    </row>
    <row r="2063" spans="1:3" ht="13.5" thickBot="1" x14ac:dyDescent="0.25">
      <c r="A2063" s="3">
        <v>435</v>
      </c>
      <c r="B2063" s="27">
        <v>45323.569004629629</v>
      </c>
      <c r="C2063" s="3" t="s">
        <v>6</v>
      </c>
    </row>
    <row r="2064" spans="1:3" ht="13.5" thickBot="1" x14ac:dyDescent="0.25">
      <c r="A2064" s="3">
        <v>6693</v>
      </c>
      <c r="B2064" s="27">
        <v>45323.618194444447</v>
      </c>
      <c r="C2064" s="3" t="s">
        <v>3</v>
      </c>
    </row>
    <row r="2065" spans="1:3" ht="13.5" thickBot="1" x14ac:dyDescent="0.25">
      <c r="A2065" s="3">
        <v>3140</v>
      </c>
      <c r="B2065" s="27">
        <v>45323.654513888891</v>
      </c>
      <c r="C2065" s="3" t="s">
        <v>4</v>
      </c>
    </row>
    <row r="2066" spans="1:3" ht="13.5" thickBot="1" x14ac:dyDescent="0.25">
      <c r="A2066" s="3">
        <v>5959</v>
      </c>
      <c r="B2066" s="27">
        <v>45323.706504629627</v>
      </c>
      <c r="C2066" s="3" t="s">
        <v>7</v>
      </c>
    </row>
    <row r="2067" spans="1:3" ht="13.5" thickBot="1" x14ac:dyDescent="0.25">
      <c r="A2067" s="3">
        <v>5846</v>
      </c>
      <c r="B2067" s="27">
        <v>45323.710960648146</v>
      </c>
      <c r="C2067" s="3" t="s">
        <v>6</v>
      </c>
    </row>
    <row r="2068" spans="1:3" ht="13.5" thickBot="1" x14ac:dyDescent="0.25">
      <c r="A2068" s="3">
        <v>1422</v>
      </c>
      <c r="B2068" s="27">
        <v>45323.71802083333</v>
      </c>
      <c r="C2068" s="3" t="s">
        <v>3</v>
      </c>
    </row>
    <row r="2069" spans="1:3" ht="13.5" thickBot="1" x14ac:dyDescent="0.25">
      <c r="A2069" s="3">
        <v>2128</v>
      </c>
      <c r="B2069" s="27">
        <v>45323.7187037037</v>
      </c>
      <c r="C2069" s="3" t="s">
        <v>4</v>
      </c>
    </row>
    <row r="2070" spans="1:3" ht="13.5" thickBot="1" x14ac:dyDescent="0.25">
      <c r="A2070" s="3">
        <v>2158</v>
      </c>
      <c r="B2070" s="27">
        <v>45323.72761574074</v>
      </c>
      <c r="C2070" s="3" t="s">
        <v>5</v>
      </c>
    </row>
    <row r="2071" spans="1:3" ht="13.5" thickBot="1" x14ac:dyDescent="0.25">
      <c r="A2071" s="3">
        <v>1116</v>
      </c>
      <c r="B2071" s="27">
        <v>45323.756018518521</v>
      </c>
      <c r="C2071" s="3" t="s">
        <v>4</v>
      </c>
    </row>
    <row r="2072" spans="1:3" ht="13.5" thickBot="1" x14ac:dyDescent="0.25">
      <c r="A2072" s="3">
        <v>1422</v>
      </c>
      <c r="B2072" s="27">
        <v>45323.798020833332</v>
      </c>
      <c r="C2072" s="3" t="s">
        <v>4</v>
      </c>
    </row>
    <row r="2073" spans="1:3" ht="13.5" thickBot="1" x14ac:dyDescent="0.25">
      <c r="A2073" s="3">
        <v>2894</v>
      </c>
      <c r="B2073" s="27">
        <v>45323.812685185185</v>
      </c>
      <c r="C2073" s="3" t="s">
        <v>4</v>
      </c>
    </row>
    <row r="2074" spans="1:3" ht="13.5" thickBot="1" x14ac:dyDescent="0.25">
      <c r="A2074" s="3">
        <v>3650</v>
      </c>
      <c r="B2074" s="27">
        <v>45323.815532407411</v>
      </c>
      <c r="C2074" s="3" t="s">
        <v>5</v>
      </c>
    </row>
    <row r="2075" spans="1:3" ht="13.5" thickBot="1" x14ac:dyDescent="0.25">
      <c r="A2075" s="3">
        <v>7193</v>
      </c>
      <c r="B2075" s="27">
        <v>45323.817812499998</v>
      </c>
      <c r="C2075" s="3" t="s">
        <v>4</v>
      </c>
    </row>
    <row r="2076" spans="1:3" ht="13.5" thickBot="1" x14ac:dyDescent="0.25">
      <c r="A2076" s="3">
        <v>2840</v>
      </c>
      <c r="B2076" s="27">
        <v>45323.874907407408</v>
      </c>
      <c r="C2076" s="3" t="s">
        <v>3</v>
      </c>
    </row>
    <row r="2077" spans="1:3" ht="13.5" thickBot="1" x14ac:dyDescent="0.25">
      <c r="A2077" s="3">
        <v>6839</v>
      </c>
      <c r="B2077" s="27">
        <v>45323.880740740744</v>
      </c>
      <c r="C2077" s="3" t="s">
        <v>3</v>
      </c>
    </row>
    <row r="2078" spans="1:3" ht="13.5" thickBot="1" x14ac:dyDescent="0.25">
      <c r="A2078" s="3">
        <v>6034</v>
      </c>
      <c r="B2078" s="27">
        <v>45323.88082175926</v>
      </c>
      <c r="C2078" s="3" t="s">
        <v>7</v>
      </c>
    </row>
    <row r="2079" spans="1:3" ht="13.5" thickBot="1" x14ac:dyDescent="0.25">
      <c r="A2079" s="3">
        <v>1116</v>
      </c>
      <c r="B2079" s="27">
        <v>45323.891053240739</v>
      </c>
      <c r="C2079" s="3" t="s">
        <v>5</v>
      </c>
    </row>
    <row r="2080" spans="1:3" ht="13.5" thickBot="1" x14ac:dyDescent="0.25">
      <c r="A2080" s="3">
        <v>7283</v>
      </c>
      <c r="B2080" s="27">
        <v>45323.898101851853</v>
      </c>
      <c r="C2080" s="3" t="s">
        <v>7</v>
      </c>
    </row>
    <row r="2081" spans="1:3" ht="13.5" thickBot="1" x14ac:dyDescent="0.25">
      <c r="A2081" s="3">
        <v>6447</v>
      </c>
      <c r="B2081" s="27">
        <v>45323.927673611113</v>
      </c>
      <c r="C2081" s="3" t="s">
        <v>4</v>
      </c>
    </row>
    <row r="2082" spans="1:3" ht="13.5" thickBot="1" x14ac:dyDescent="0.25">
      <c r="A2082" s="3">
        <v>7242</v>
      </c>
      <c r="B2082" s="27">
        <v>45323.932500000003</v>
      </c>
      <c r="C2082" s="3" t="s">
        <v>6</v>
      </c>
    </row>
    <row r="2083" spans="1:3" ht="13.5" thickBot="1" x14ac:dyDescent="0.25">
      <c r="A2083" s="3">
        <v>320</v>
      </c>
      <c r="B2083" s="27">
        <v>45323.9609837963</v>
      </c>
      <c r="C2083" s="3" t="s">
        <v>5</v>
      </c>
    </row>
    <row r="2084" spans="1:3" ht="13.5" thickBot="1" x14ac:dyDescent="0.25">
      <c r="A2084" s="3">
        <v>2089</v>
      </c>
      <c r="B2084" s="27">
        <v>45323.961909722224</v>
      </c>
      <c r="C2084" s="3" t="s">
        <v>3</v>
      </c>
    </row>
    <row r="2085" spans="1:3" ht="13.5" thickBot="1" x14ac:dyDescent="0.25">
      <c r="A2085" s="3">
        <v>747</v>
      </c>
      <c r="B2085" s="27">
        <v>45323.979120370372</v>
      </c>
      <c r="C2085" s="3" t="s">
        <v>3</v>
      </c>
    </row>
    <row r="2086" spans="1:3" ht="13.5" thickBot="1" x14ac:dyDescent="0.25">
      <c r="A2086" s="3">
        <v>4286</v>
      </c>
      <c r="B2086" s="27">
        <v>45323.992893518516</v>
      </c>
      <c r="C2086" s="3" t="s">
        <v>3</v>
      </c>
    </row>
    <row r="2087" spans="1:3" ht="13.5" thickBot="1" x14ac:dyDescent="0.25">
      <c r="A2087" s="3">
        <v>3777</v>
      </c>
      <c r="B2087" s="27">
        <v>45324.006261574075</v>
      </c>
      <c r="C2087" s="3" t="s">
        <v>3</v>
      </c>
    </row>
    <row r="2088" spans="1:3" ht="13.5" thickBot="1" x14ac:dyDescent="0.25">
      <c r="A2088" s="3">
        <v>133</v>
      </c>
      <c r="B2088" s="27">
        <v>45324.009895833333</v>
      </c>
      <c r="C2088" s="3" t="s">
        <v>3</v>
      </c>
    </row>
    <row r="2089" spans="1:3" ht="13.5" thickBot="1" x14ac:dyDescent="0.25">
      <c r="A2089" s="3">
        <v>4406</v>
      </c>
      <c r="B2089" s="27">
        <v>45324.02449074074</v>
      </c>
      <c r="C2089" s="3" t="s">
        <v>3</v>
      </c>
    </row>
    <row r="2090" spans="1:3" ht="13.5" thickBot="1" x14ac:dyDescent="0.25">
      <c r="A2090" s="3">
        <v>716</v>
      </c>
      <c r="B2090" s="27">
        <v>45324.027997685182</v>
      </c>
      <c r="C2090" s="3" t="s">
        <v>3</v>
      </c>
    </row>
    <row r="2091" spans="1:3" ht="13.5" thickBot="1" x14ac:dyDescent="0.25">
      <c r="A2091" s="3">
        <v>1042</v>
      </c>
      <c r="B2091" s="27">
        <v>45324.050729166665</v>
      </c>
      <c r="C2091" s="3" t="s">
        <v>4</v>
      </c>
    </row>
    <row r="2092" spans="1:3" ht="13.5" thickBot="1" x14ac:dyDescent="0.25">
      <c r="A2092" s="3">
        <v>5036</v>
      </c>
      <c r="B2092" s="27">
        <v>45324.051354166666</v>
      </c>
      <c r="C2092" s="3" t="s">
        <v>7</v>
      </c>
    </row>
    <row r="2093" spans="1:3" ht="13.5" thickBot="1" x14ac:dyDescent="0.25">
      <c r="A2093" s="3">
        <v>3574</v>
      </c>
      <c r="B2093" s="27">
        <v>45324.076921296299</v>
      </c>
      <c r="C2093" s="3" t="s">
        <v>4</v>
      </c>
    </row>
    <row r="2094" spans="1:3" ht="13.5" thickBot="1" x14ac:dyDescent="0.25">
      <c r="A2094" s="3">
        <v>5587</v>
      </c>
      <c r="B2094" s="27">
        <v>45324.13175925926</v>
      </c>
      <c r="C2094" s="3" t="s">
        <v>3</v>
      </c>
    </row>
    <row r="2095" spans="1:3" ht="13.5" thickBot="1" x14ac:dyDescent="0.25">
      <c r="A2095" s="3">
        <v>7642</v>
      </c>
      <c r="B2095" s="27">
        <v>45324.134502314817</v>
      </c>
      <c r="C2095" s="3" t="s">
        <v>5</v>
      </c>
    </row>
    <row r="2096" spans="1:3" ht="13.5" thickBot="1" x14ac:dyDescent="0.25">
      <c r="A2096" s="3">
        <v>6276</v>
      </c>
      <c r="B2096" s="27">
        <v>45324.146736111114</v>
      </c>
      <c r="C2096" s="3" t="s">
        <v>6</v>
      </c>
    </row>
    <row r="2097" spans="1:3" ht="13.5" thickBot="1" x14ac:dyDescent="0.25">
      <c r="A2097" s="3">
        <v>7502</v>
      </c>
      <c r="B2097" s="27">
        <v>45324.162569444445</v>
      </c>
      <c r="C2097" s="3" t="s">
        <v>6</v>
      </c>
    </row>
    <row r="2098" spans="1:3" ht="13.5" thickBot="1" x14ac:dyDescent="0.25">
      <c r="A2098" s="3">
        <v>4705</v>
      </c>
      <c r="B2098" s="27">
        <v>45324.194780092592</v>
      </c>
      <c r="C2098" s="3" t="s">
        <v>4</v>
      </c>
    </row>
    <row r="2099" spans="1:3" ht="13.5" thickBot="1" x14ac:dyDescent="0.25">
      <c r="A2099" s="3">
        <v>6726</v>
      </c>
      <c r="B2099" s="27">
        <v>45324.206608796296</v>
      </c>
      <c r="C2099" s="3" t="s">
        <v>3</v>
      </c>
    </row>
    <row r="2100" spans="1:3" ht="13.5" thickBot="1" x14ac:dyDescent="0.25">
      <c r="A2100" s="3">
        <v>5922</v>
      </c>
      <c r="B2100" s="27">
        <v>45324.215092592596</v>
      </c>
      <c r="C2100" s="3" t="s">
        <v>7</v>
      </c>
    </row>
    <row r="2101" spans="1:3" ht="13.5" thickBot="1" x14ac:dyDescent="0.25">
      <c r="A2101" s="3">
        <v>4705</v>
      </c>
      <c r="B2101" s="27">
        <v>45324.225289351853</v>
      </c>
      <c r="C2101" s="3" t="s">
        <v>3</v>
      </c>
    </row>
    <row r="2102" spans="1:3" ht="13.5" thickBot="1" x14ac:dyDescent="0.25">
      <c r="A2102" s="3">
        <v>5306</v>
      </c>
      <c r="B2102" s="27">
        <v>45324.278171296297</v>
      </c>
      <c r="C2102" s="3" t="s">
        <v>3</v>
      </c>
    </row>
    <row r="2103" spans="1:3" ht="13.5" thickBot="1" x14ac:dyDescent="0.25">
      <c r="A2103" s="3">
        <v>1422</v>
      </c>
      <c r="B2103" s="27">
        <v>45324.292037037034</v>
      </c>
      <c r="C2103" s="3" t="s">
        <v>5</v>
      </c>
    </row>
    <row r="2104" spans="1:3" ht="13.5" thickBot="1" x14ac:dyDescent="0.25">
      <c r="A2104" s="3">
        <v>6727</v>
      </c>
      <c r="B2104" s="27">
        <v>45324.293796296297</v>
      </c>
      <c r="C2104" s="3" t="s">
        <v>4</v>
      </c>
    </row>
    <row r="2105" spans="1:3" ht="13.5" thickBot="1" x14ac:dyDescent="0.25">
      <c r="A2105" s="3">
        <v>2523</v>
      </c>
      <c r="B2105" s="27">
        <v>45324.323530092595</v>
      </c>
      <c r="C2105" s="3" t="s">
        <v>4</v>
      </c>
    </row>
    <row r="2106" spans="1:3" ht="13.5" thickBot="1" x14ac:dyDescent="0.25">
      <c r="A2106" s="3">
        <v>747</v>
      </c>
      <c r="B2106" s="27">
        <v>45324.343761574077</v>
      </c>
      <c r="C2106" s="3" t="s">
        <v>4</v>
      </c>
    </row>
    <row r="2107" spans="1:3" ht="13.5" thickBot="1" x14ac:dyDescent="0.25">
      <c r="A2107" s="3">
        <v>7948</v>
      </c>
      <c r="B2107" s="27">
        <v>45324.366770833331</v>
      </c>
      <c r="C2107" s="3" t="s">
        <v>3</v>
      </c>
    </row>
    <row r="2108" spans="1:3" ht="13.5" thickBot="1" x14ac:dyDescent="0.25">
      <c r="A2108" s="3">
        <v>4030</v>
      </c>
      <c r="B2108" s="27">
        <v>45324.372673611113</v>
      </c>
      <c r="C2108" s="3" t="s">
        <v>4</v>
      </c>
    </row>
    <row r="2109" spans="1:3" ht="13.5" thickBot="1" x14ac:dyDescent="0.25">
      <c r="A2109" s="3">
        <v>706</v>
      </c>
      <c r="B2109" s="27">
        <v>45324.37537037037</v>
      </c>
      <c r="C2109" s="3" t="s">
        <v>3</v>
      </c>
    </row>
    <row r="2110" spans="1:3" ht="13.5" thickBot="1" x14ac:dyDescent="0.25">
      <c r="A2110" s="3">
        <v>4030</v>
      </c>
      <c r="B2110" s="27">
        <v>45324.376805555556</v>
      </c>
      <c r="C2110" s="3" t="s">
        <v>3</v>
      </c>
    </row>
    <row r="2111" spans="1:3" ht="13.5" thickBot="1" x14ac:dyDescent="0.25">
      <c r="A2111" s="3">
        <v>3817</v>
      </c>
      <c r="B2111" s="27">
        <v>45324.384756944448</v>
      </c>
      <c r="C2111" s="3" t="s">
        <v>3</v>
      </c>
    </row>
    <row r="2112" spans="1:3" ht="13.5" thickBot="1" x14ac:dyDescent="0.25">
      <c r="A2112" s="3">
        <v>6004</v>
      </c>
      <c r="B2112" s="27">
        <v>45324.38517361111</v>
      </c>
      <c r="C2112" s="3" t="s">
        <v>6</v>
      </c>
    </row>
    <row r="2113" spans="1:3" ht="13.5" thickBot="1" x14ac:dyDescent="0.25">
      <c r="A2113" s="3">
        <v>7754</v>
      </c>
      <c r="B2113" s="27">
        <v>45324.389039351852</v>
      </c>
      <c r="C2113" s="3" t="s">
        <v>7</v>
      </c>
    </row>
    <row r="2114" spans="1:3" ht="13.5" thickBot="1" x14ac:dyDescent="0.25">
      <c r="A2114" s="3">
        <v>7948</v>
      </c>
      <c r="B2114" s="27">
        <v>45324.390868055554</v>
      </c>
      <c r="C2114" s="3" t="s">
        <v>5</v>
      </c>
    </row>
    <row r="2115" spans="1:3" ht="13.5" thickBot="1" x14ac:dyDescent="0.25">
      <c r="A2115" s="3">
        <v>2681</v>
      </c>
      <c r="B2115" s="27">
        <v>45324.395057870373</v>
      </c>
      <c r="C2115" s="3" t="s">
        <v>4</v>
      </c>
    </row>
    <row r="2116" spans="1:3" ht="13.5" thickBot="1" x14ac:dyDescent="0.25">
      <c r="A2116" s="3">
        <v>6191</v>
      </c>
      <c r="B2116" s="27">
        <v>45324.410636574074</v>
      </c>
      <c r="C2116" s="3" t="s">
        <v>3</v>
      </c>
    </row>
    <row r="2117" spans="1:3" ht="13.5" thickBot="1" x14ac:dyDescent="0.25">
      <c r="A2117" s="3">
        <v>7031</v>
      </c>
      <c r="B2117" s="27">
        <v>45324.462280092594</v>
      </c>
      <c r="C2117" s="3" t="s">
        <v>6</v>
      </c>
    </row>
    <row r="2118" spans="1:3" ht="13.5" thickBot="1" x14ac:dyDescent="0.25">
      <c r="A2118" s="3">
        <v>89</v>
      </c>
      <c r="B2118" s="27">
        <v>45324.475335648145</v>
      </c>
      <c r="C2118" s="3" t="s">
        <v>6</v>
      </c>
    </row>
    <row r="2119" spans="1:3" ht="13.5" thickBot="1" x14ac:dyDescent="0.25">
      <c r="A2119" s="3">
        <v>5931</v>
      </c>
      <c r="B2119" s="27">
        <v>45324.48400462963</v>
      </c>
      <c r="C2119" s="3" t="s">
        <v>5</v>
      </c>
    </row>
    <row r="2120" spans="1:3" ht="13.5" thickBot="1" x14ac:dyDescent="0.25">
      <c r="A2120" s="3">
        <v>608</v>
      </c>
      <c r="B2120" s="27">
        <v>45324.484016203707</v>
      </c>
      <c r="C2120" s="3" t="s">
        <v>3</v>
      </c>
    </row>
    <row r="2121" spans="1:3" ht="13.5" thickBot="1" x14ac:dyDescent="0.25">
      <c r="A2121" s="3">
        <v>3188</v>
      </c>
      <c r="B2121" s="27">
        <v>45324.489953703705</v>
      </c>
      <c r="C2121" s="3" t="s">
        <v>7</v>
      </c>
    </row>
    <row r="2122" spans="1:3" ht="13.5" thickBot="1" x14ac:dyDescent="0.25">
      <c r="A2122" s="3">
        <v>3356</v>
      </c>
      <c r="B2122" s="27">
        <v>45324.502152777779</v>
      </c>
      <c r="C2122" s="3" t="s">
        <v>3</v>
      </c>
    </row>
    <row r="2123" spans="1:3" ht="13.5" thickBot="1" x14ac:dyDescent="0.25">
      <c r="A2123" s="3">
        <v>6554</v>
      </c>
      <c r="B2123" s="27">
        <v>45324.50540509259</v>
      </c>
      <c r="C2123" s="3" t="s">
        <v>6</v>
      </c>
    </row>
    <row r="2124" spans="1:3" ht="13.5" thickBot="1" x14ac:dyDescent="0.25">
      <c r="A2124" s="3">
        <v>6589</v>
      </c>
      <c r="B2124" s="27">
        <v>45324.570543981485</v>
      </c>
      <c r="C2124" s="3" t="s">
        <v>3</v>
      </c>
    </row>
    <row r="2125" spans="1:3" ht="13.5" thickBot="1" x14ac:dyDescent="0.25">
      <c r="A2125" s="3">
        <v>6986</v>
      </c>
      <c r="B2125" s="27">
        <v>45324.58834490741</v>
      </c>
      <c r="C2125" s="3" t="s">
        <v>4</v>
      </c>
    </row>
    <row r="2126" spans="1:3" ht="13.5" thickBot="1" x14ac:dyDescent="0.25">
      <c r="A2126" s="3">
        <v>4767</v>
      </c>
      <c r="B2126" s="27">
        <v>45324.590381944443</v>
      </c>
      <c r="C2126" s="3" t="s">
        <v>3</v>
      </c>
    </row>
    <row r="2127" spans="1:3" ht="13.5" thickBot="1" x14ac:dyDescent="0.25">
      <c r="A2127" s="3">
        <v>1494</v>
      </c>
      <c r="B2127" s="27">
        <v>45324.594502314816</v>
      </c>
      <c r="C2127" s="3" t="s">
        <v>3</v>
      </c>
    </row>
    <row r="2128" spans="1:3" ht="13.5" thickBot="1" x14ac:dyDescent="0.25">
      <c r="A2128" s="3">
        <v>3965</v>
      </c>
      <c r="B2128" s="27">
        <v>45324.596296296295</v>
      </c>
      <c r="C2128" s="3" t="s">
        <v>3</v>
      </c>
    </row>
    <row r="2129" spans="1:3" ht="13.5" thickBot="1" x14ac:dyDescent="0.25">
      <c r="A2129" s="3">
        <v>2337</v>
      </c>
      <c r="B2129" s="27">
        <v>45324.615960648145</v>
      </c>
      <c r="C2129" s="3" t="s">
        <v>3</v>
      </c>
    </row>
    <row r="2130" spans="1:3" ht="13.5" thickBot="1" x14ac:dyDescent="0.25">
      <c r="A2130" s="3">
        <v>5275</v>
      </c>
      <c r="B2130" s="27">
        <v>45324.653854166667</v>
      </c>
      <c r="C2130" s="3" t="s">
        <v>6</v>
      </c>
    </row>
    <row r="2131" spans="1:3" ht="13.5" thickBot="1" x14ac:dyDescent="0.25">
      <c r="A2131" s="3">
        <v>1769</v>
      </c>
      <c r="B2131" s="27">
        <v>45324.688402777778</v>
      </c>
      <c r="C2131" s="3" t="s">
        <v>7</v>
      </c>
    </row>
    <row r="2132" spans="1:3" ht="13.5" thickBot="1" x14ac:dyDescent="0.25">
      <c r="A2132" s="3">
        <v>1465</v>
      </c>
      <c r="B2132" s="27">
        <v>45324.704131944447</v>
      </c>
      <c r="C2132" s="3" t="s">
        <v>6</v>
      </c>
    </row>
    <row r="2133" spans="1:3" ht="13.5" thickBot="1" x14ac:dyDescent="0.25">
      <c r="A2133" s="3">
        <v>5712</v>
      </c>
      <c r="B2133" s="27">
        <v>45324.722997685189</v>
      </c>
      <c r="C2133" s="3" t="s">
        <v>3</v>
      </c>
    </row>
    <row r="2134" spans="1:3" ht="13.5" thickBot="1" x14ac:dyDescent="0.25">
      <c r="A2134" s="3">
        <v>1042</v>
      </c>
      <c r="B2134" s="27">
        <v>45324.738761574074</v>
      </c>
      <c r="C2134" s="3" t="s">
        <v>3</v>
      </c>
    </row>
    <row r="2135" spans="1:3" ht="13.5" thickBot="1" x14ac:dyDescent="0.25">
      <c r="A2135" s="3">
        <v>5931</v>
      </c>
      <c r="B2135" s="27">
        <v>45324.758206018516</v>
      </c>
      <c r="C2135" s="3" t="s">
        <v>4</v>
      </c>
    </row>
    <row r="2136" spans="1:3" ht="13.5" thickBot="1" x14ac:dyDescent="0.25">
      <c r="A2136" s="3">
        <v>1042</v>
      </c>
      <c r="B2136" s="27">
        <v>45324.775787037041</v>
      </c>
      <c r="C2136" s="3" t="s">
        <v>5</v>
      </c>
    </row>
    <row r="2137" spans="1:3" ht="13.5" thickBot="1" x14ac:dyDescent="0.25">
      <c r="A2137" s="3">
        <v>6757</v>
      </c>
      <c r="B2137" s="27">
        <v>45324.781168981484</v>
      </c>
      <c r="C2137" s="3" t="s">
        <v>3</v>
      </c>
    </row>
    <row r="2138" spans="1:3" ht="13.5" thickBot="1" x14ac:dyDescent="0.25">
      <c r="A2138" s="3">
        <v>6932</v>
      </c>
      <c r="B2138" s="27">
        <v>45324.825972222221</v>
      </c>
      <c r="C2138" s="3" t="s">
        <v>6</v>
      </c>
    </row>
    <row r="2139" spans="1:3" ht="13.5" thickBot="1" x14ac:dyDescent="0.25">
      <c r="A2139" s="3">
        <v>6191</v>
      </c>
      <c r="B2139" s="27">
        <v>45324.829317129632</v>
      </c>
      <c r="C2139" s="3" t="s">
        <v>4</v>
      </c>
    </row>
    <row r="2140" spans="1:3" ht="13.5" thickBot="1" x14ac:dyDescent="0.25">
      <c r="A2140" s="3">
        <v>3048</v>
      </c>
      <c r="B2140" s="27">
        <v>45324.855532407404</v>
      </c>
      <c r="C2140" s="3" t="s">
        <v>4</v>
      </c>
    </row>
    <row r="2141" spans="1:3" ht="13.5" thickBot="1" x14ac:dyDescent="0.25">
      <c r="A2141" s="3">
        <v>101</v>
      </c>
      <c r="B2141" s="27">
        <v>45324.877754629626</v>
      </c>
      <c r="C2141" s="3" t="s">
        <v>3</v>
      </c>
    </row>
    <row r="2142" spans="1:3" ht="13.5" thickBot="1" x14ac:dyDescent="0.25">
      <c r="A2142" s="3">
        <v>6888</v>
      </c>
      <c r="B2142" s="27">
        <v>45324.891886574071</v>
      </c>
      <c r="C2142" s="3" t="s">
        <v>6</v>
      </c>
    </row>
    <row r="2143" spans="1:3" ht="13.5" thickBot="1" x14ac:dyDescent="0.25">
      <c r="A2143" s="3">
        <v>4710</v>
      </c>
      <c r="B2143" s="27">
        <v>45324.918437499997</v>
      </c>
      <c r="C2143" s="3" t="s">
        <v>7</v>
      </c>
    </row>
    <row r="2144" spans="1:3" ht="13.5" thickBot="1" x14ac:dyDescent="0.25">
      <c r="A2144" s="3">
        <v>5820</v>
      </c>
      <c r="B2144" s="27">
        <v>45324.973020833335</v>
      </c>
      <c r="C2144" s="3" t="s">
        <v>7</v>
      </c>
    </row>
    <row r="2145" spans="1:3" ht="13.5" thickBot="1" x14ac:dyDescent="0.25">
      <c r="A2145" s="3">
        <v>7979</v>
      </c>
      <c r="B2145" s="27">
        <v>45324.974895833337</v>
      </c>
      <c r="C2145" s="3" t="s">
        <v>5</v>
      </c>
    </row>
    <row r="2146" spans="1:3" ht="13.5" thickBot="1" x14ac:dyDescent="0.25">
      <c r="A2146" s="3">
        <v>348</v>
      </c>
      <c r="B2146" s="27">
        <v>45324.993703703702</v>
      </c>
      <c r="C2146" s="3" t="s">
        <v>6</v>
      </c>
    </row>
    <row r="2147" spans="1:3" ht="13.5" thickBot="1" x14ac:dyDescent="0.25">
      <c r="A2147" s="3">
        <v>3654</v>
      </c>
      <c r="B2147" s="27">
        <v>45324.995787037034</v>
      </c>
      <c r="C2147" s="3" t="s">
        <v>3</v>
      </c>
    </row>
    <row r="2148" spans="1:3" ht="13.5" thickBot="1" x14ac:dyDescent="0.25">
      <c r="A2148" s="3">
        <v>3999</v>
      </c>
      <c r="B2148" s="27">
        <v>45325.02034722222</v>
      </c>
      <c r="C2148" s="3" t="s">
        <v>4</v>
      </c>
    </row>
    <row r="2149" spans="1:3" ht="13.5" thickBot="1" x14ac:dyDescent="0.25">
      <c r="A2149" s="3">
        <v>7277</v>
      </c>
      <c r="B2149" s="27">
        <v>45325.025555555556</v>
      </c>
      <c r="C2149" s="3" t="s">
        <v>3</v>
      </c>
    </row>
    <row r="2150" spans="1:3" ht="13.5" thickBot="1" x14ac:dyDescent="0.25">
      <c r="A2150" s="3">
        <v>3039</v>
      </c>
      <c r="B2150" s="27">
        <v>45325.075358796297</v>
      </c>
      <c r="C2150" s="3" t="s">
        <v>5</v>
      </c>
    </row>
    <row r="2151" spans="1:3" ht="13.5" thickBot="1" x14ac:dyDescent="0.25">
      <c r="A2151" s="3">
        <v>3182</v>
      </c>
      <c r="B2151" s="27">
        <v>45325.109050925923</v>
      </c>
      <c r="C2151" s="3" t="s">
        <v>3</v>
      </c>
    </row>
    <row r="2152" spans="1:3" ht="13.5" thickBot="1" x14ac:dyDescent="0.25">
      <c r="A2152" s="3">
        <v>6227</v>
      </c>
      <c r="B2152" s="27">
        <v>45325.129120370373</v>
      </c>
      <c r="C2152" s="3" t="s">
        <v>6</v>
      </c>
    </row>
    <row r="2153" spans="1:3" ht="13.5" thickBot="1" x14ac:dyDescent="0.25">
      <c r="A2153" s="3">
        <v>2224</v>
      </c>
      <c r="B2153" s="27">
        <v>45325.137592592589</v>
      </c>
      <c r="C2153" s="3" t="s">
        <v>3</v>
      </c>
    </row>
    <row r="2154" spans="1:3" ht="13.5" thickBot="1" x14ac:dyDescent="0.25">
      <c r="A2154" s="3">
        <v>828</v>
      </c>
      <c r="B2154" s="27">
        <v>45325.138888888891</v>
      </c>
      <c r="C2154" s="3" t="s">
        <v>3</v>
      </c>
    </row>
    <row r="2155" spans="1:3" ht="13.5" thickBot="1" x14ac:dyDescent="0.25">
      <c r="A2155" s="3">
        <v>4763</v>
      </c>
      <c r="B2155" s="27">
        <v>45325.140949074077</v>
      </c>
      <c r="C2155" s="3" t="s">
        <v>3</v>
      </c>
    </row>
    <row r="2156" spans="1:3" ht="13.5" thickBot="1" x14ac:dyDescent="0.25">
      <c r="A2156" s="3">
        <v>4908</v>
      </c>
      <c r="B2156" s="27">
        <v>45325.151469907411</v>
      </c>
      <c r="C2156" s="3" t="s">
        <v>3</v>
      </c>
    </row>
    <row r="2157" spans="1:3" ht="13.5" thickBot="1" x14ac:dyDescent="0.25">
      <c r="A2157" s="3">
        <v>6726</v>
      </c>
      <c r="B2157" s="27">
        <v>45325.159212962964</v>
      </c>
      <c r="C2157" s="3" t="s">
        <v>4</v>
      </c>
    </row>
    <row r="2158" spans="1:3" ht="13.5" thickBot="1" x14ac:dyDescent="0.25">
      <c r="A2158" s="3">
        <v>2234</v>
      </c>
      <c r="B2158" s="27">
        <v>45325.170393518521</v>
      </c>
      <c r="C2158" s="3" t="s">
        <v>6</v>
      </c>
    </row>
    <row r="2159" spans="1:3" ht="13.5" thickBot="1" x14ac:dyDescent="0.25">
      <c r="A2159" s="3">
        <v>5712</v>
      </c>
      <c r="B2159" s="27">
        <v>45325.183946759258</v>
      </c>
      <c r="C2159" s="3" t="s">
        <v>4</v>
      </c>
    </row>
    <row r="2160" spans="1:3" ht="13.5" thickBot="1" x14ac:dyDescent="0.25">
      <c r="A2160" s="3">
        <v>740</v>
      </c>
      <c r="B2160" s="27">
        <v>45325.204791666663</v>
      </c>
      <c r="C2160" s="3" t="s">
        <v>4</v>
      </c>
    </row>
    <row r="2161" spans="1:3" ht="13.5" thickBot="1" x14ac:dyDescent="0.25">
      <c r="A2161" s="3">
        <v>3356</v>
      </c>
      <c r="B2161" s="27">
        <v>45325.206076388888</v>
      </c>
      <c r="C2161" s="3" t="s">
        <v>4</v>
      </c>
    </row>
    <row r="2162" spans="1:3" ht="13.5" thickBot="1" x14ac:dyDescent="0.25">
      <c r="A2162" s="3">
        <v>7376</v>
      </c>
      <c r="B2162" s="27">
        <v>45325.212361111109</v>
      </c>
      <c r="C2162" s="3" t="s">
        <v>3</v>
      </c>
    </row>
    <row r="2163" spans="1:3" ht="13.5" thickBot="1" x14ac:dyDescent="0.25">
      <c r="A2163" s="3">
        <v>5820</v>
      </c>
      <c r="B2163" s="27">
        <v>45325.228796296295</v>
      </c>
      <c r="C2163" s="3" t="s">
        <v>6</v>
      </c>
    </row>
    <row r="2164" spans="1:3" ht="13.5" thickBot="1" x14ac:dyDescent="0.25">
      <c r="A2164" s="3">
        <v>133</v>
      </c>
      <c r="B2164" s="27">
        <v>45325.23847222222</v>
      </c>
      <c r="C2164" s="3" t="s">
        <v>4</v>
      </c>
    </row>
    <row r="2165" spans="1:3" ht="13.5" thickBot="1" x14ac:dyDescent="0.25">
      <c r="A2165" s="3">
        <v>4085</v>
      </c>
      <c r="B2165" s="27">
        <v>45325.252199074072</v>
      </c>
      <c r="C2165" s="3" t="s">
        <v>3</v>
      </c>
    </row>
    <row r="2166" spans="1:3" ht="13.5" thickBot="1" x14ac:dyDescent="0.25">
      <c r="A2166" s="3">
        <v>1334</v>
      </c>
      <c r="B2166" s="27">
        <v>45325.262557870374</v>
      </c>
      <c r="C2166" s="3" t="s">
        <v>3</v>
      </c>
    </row>
    <row r="2167" spans="1:3" ht="13.5" thickBot="1" x14ac:dyDescent="0.25">
      <c r="A2167" s="3">
        <v>2089</v>
      </c>
      <c r="B2167" s="27">
        <v>45325.269826388889</v>
      </c>
      <c r="C2167" s="3" t="s">
        <v>4</v>
      </c>
    </row>
    <row r="2168" spans="1:3" ht="13.5" thickBot="1" x14ac:dyDescent="0.25">
      <c r="A2168" s="3">
        <v>6833</v>
      </c>
      <c r="B2168" s="27">
        <v>45325.273298611108</v>
      </c>
      <c r="C2168" s="3" t="s">
        <v>6</v>
      </c>
    </row>
    <row r="2169" spans="1:3" ht="13.5" thickBot="1" x14ac:dyDescent="0.25">
      <c r="A2169" s="3">
        <v>4963</v>
      </c>
      <c r="B2169" s="27">
        <v>45325.277187500003</v>
      </c>
      <c r="C2169" s="3" t="s">
        <v>3</v>
      </c>
    </row>
    <row r="2170" spans="1:3" ht="13.5" thickBot="1" x14ac:dyDescent="0.25">
      <c r="A2170" s="3">
        <v>4589</v>
      </c>
      <c r="B2170" s="27">
        <v>45325.294479166667</v>
      </c>
      <c r="C2170" s="3" t="s">
        <v>3</v>
      </c>
    </row>
    <row r="2171" spans="1:3" ht="13.5" thickBot="1" x14ac:dyDescent="0.25">
      <c r="A2171" s="3">
        <v>7646</v>
      </c>
      <c r="B2171" s="27">
        <v>45325.294722222221</v>
      </c>
      <c r="C2171" s="3" t="s">
        <v>3</v>
      </c>
    </row>
    <row r="2172" spans="1:3" ht="13.5" thickBot="1" x14ac:dyDescent="0.25">
      <c r="A2172" s="3">
        <v>5883</v>
      </c>
      <c r="B2172" s="27">
        <v>45325.339085648149</v>
      </c>
      <c r="C2172" s="3" t="s">
        <v>3</v>
      </c>
    </row>
    <row r="2173" spans="1:3" ht="13.5" thickBot="1" x14ac:dyDescent="0.25">
      <c r="A2173" s="3">
        <v>4075</v>
      </c>
      <c r="B2173" s="27">
        <v>45325.355115740742</v>
      </c>
      <c r="C2173" s="3" t="s">
        <v>4</v>
      </c>
    </row>
    <row r="2174" spans="1:3" ht="13.5" thickBot="1" x14ac:dyDescent="0.25">
      <c r="A2174" s="3">
        <v>5289</v>
      </c>
      <c r="B2174" s="27">
        <v>45325.364791666667</v>
      </c>
      <c r="C2174" s="3" t="s">
        <v>6</v>
      </c>
    </row>
    <row r="2175" spans="1:3" ht="13.5" thickBot="1" x14ac:dyDescent="0.25">
      <c r="A2175" s="3">
        <v>2127</v>
      </c>
      <c r="B2175" s="27">
        <v>45325.397013888891</v>
      </c>
      <c r="C2175" s="3" t="s">
        <v>7</v>
      </c>
    </row>
    <row r="2176" spans="1:3" ht="13.5" thickBot="1" x14ac:dyDescent="0.25">
      <c r="A2176" s="3">
        <v>697</v>
      </c>
      <c r="B2176" s="27">
        <v>45325.423252314817</v>
      </c>
      <c r="C2176" s="3" t="s">
        <v>3</v>
      </c>
    </row>
    <row r="2177" spans="1:3" ht="13.5" thickBot="1" x14ac:dyDescent="0.25">
      <c r="A2177" s="3">
        <v>1769</v>
      </c>
      <c r="B2177" s="27">
        <v>45325.431608796294</v>
      </c>
      <c r="C2177" s="3" t="s">
        <v>5</v>
      </c>
    </row>
    <row r="2178" spans="1:3" ht="13.5" thickBot="1" x14ac:dyDescent="0.25">
      <c r="A2178" s="3">
        <v>4261</v>
      </c>
      <c r="B2178" s="27">
        <v>45325.441006944442</v>
      </c>
      <c r="C2178" s="3" t="s">
        <v>4</v>
      </c>
    </row>
    <row r="2179" spans="1:3" ht="13.5" thickBot="1" x14ac:dyDescent="0.25">
      <c r="A2179" s="3">
        <v>2079</v>
      </c>
      <c r="B2179" s="27">
        <v>45325.442407407405</v>
      </c>
      <c r="C2179" s="3" t="s">
        <v>3</v>
      </c>
    </row>
    <row r="2180" spans="1:3" ht="13.5" thickBot="1" x14ac:dyDescent="0.25">
      <c r="A2180" s="3">
        <v>4406</v>
      </c>
      <c r="B2180" s="27">
        <v>45325.452962962961</v>
      </c>
      <c r="C2180" s="3" t="s">
        <v>4</v>
      </c>
    </row>
    <row r="2181" spans="1:3" ht="13.5" thickBot="1" x14ac:dyDescent="0.25">
      <c r="A2181" s="3">
        <v>2224</v>
      </c>
      <c r="B2181" s="27">
        <v>45325.482083333336</v>
      </c>
      <c r="C2181" s="3" t="s">
        <v>4</v>
      </c>
    </row>
    <row r="2182" spans="1:3" ht="13.5" thickBot="1" x14ac:dyDescent="0.25">
      <c r="A2182" s="3">
        <v>2224</v>
      </c>
      <c r="B2182" s="27">
        <v>45325.5158912037</v>
      </c>
      <c r="C2182" s="3" t="s">
        <v>5</v>
      </c>
    </row>
    <row r="2183" spans="1:3" ht="13.5" thickBot="1" x14ac:dyDescent="0.25">
      <c r="A2183" s="3">
        <v>2681</v>
      </c>
      <c r="B2183" s="27">
        <v>45325.537222222221</v>
      </c>
      <c r="C2183" s="3" t="s">
        <v>5</v>
      </c>
    </row>
    <row r="2184" spans="1:3" ht="13.5" thickBot="1" x14ac:dyDescent="0.25">
      <c r="A2184" s="3">
        <v>1889</v>
      </c>
      <c r="B2184" s="27">
        <v>45325.547662037039</v>
      </c>
      <c r="C2184" s="3" t="s">
        <v>5</v>
      </c>
    </row>
    <row r="2185" spans="1:3" ht="13.5" thickBot="1" x14ac:dyDescent="0.25">
      <c r="A2185" s="3">
        <v>1084</v>
      </c>
      <c r="B2185" s="27">
        <v>45325.556250000001</v>
      </c>
      <c r="C2185" s="3" t="s">
        <v>3</v>
      </c>
    </row>
    <row r="2186" spans="1:3" ht="13.5" thickBot="1" x14ac:dyDescent="0.25">
      <c r="A2186" s="3">
        <v>1233</v>
      </c>
      <c r="B2186" s="27">
        <v>45325.558530092596</v>
      </c>
      <c r="C2186" s="3" t="s">
        <v>3</v>
      </c>
    </row>
    <row r="2187" spans="1:3" ht="13.5" thickBot="1" x14ac:dyDescent="0.25">
      <c r="A2187" s="3">
        <v>5590</v>
      </c>
      <c r="B2187" s="27">
        <v>45325.567152777781</v>
      </c>
      <c r="C2187" s="3" t="s">
        <v>3</v>
      </c>
    </row>
    <row r="2188" spans="1:3" ht="13.5" thickBot="1" x14ac:dyDescent="0.25">
      <c r="A2188" s="3">
        <v>2378</v>
      </c>
      <c r="B2188" s="27">
        <v>45325.613796296297</v>
      </c>
      <c r="C2188" s="3" t="s">
        <v>3</v>
      </c>
    </row>
    <row r="2189" spans="1:3" ht="13.5" thickBot="1" x14ac:dyDescent="0.25">
      <c r="A2189" s="3">
        <v>4705</v>
      </c>
      <c r="B2189" s="27">
        <v>45325.621527777781</v>
      </c>
      <c r="C2189" s="3" t="s">
        <v>6</v>
      </c>
    </row>
    <row r="2190" spans="1:3" ht="13.5" thickBot="1" x14ac:dyDescent="0.25">
      <c r="A2190" s="3">
        <v>7979</v>
      </c>
      <c r="B2190" s="27">
        <v>45325.622129629628</v>
      </c>
      <c r="C2190" s="3" t="s">
        <v>7</v>
      </c>
    </row>
    <row r="2191" spans="1:3" ht="13.5" thickBot="1" x14ac:dyDescent="0.25">
      <c r="A2191" s="3">
        <v>5883</v>
      </c>
      <c r="B2191" s="27">
        <v>45325.627465277779</v>
      </c>
      <c r="C2191" s="3" t="s">
        <v>5</v>
      </c>
    </row>
    <row r="2192" spans="1:3" ht="13.5" thickBot="1" x14ac:dyDescent="0.25">
      <c r="A2192" s="3">
        <v>3275</v>
      </c>
      <c r="B2192" s="27">
        <v>45325.636504629627</v>
      </c>
      <c r="C2192" s="3" t="s">
        <v>3</v>
      </c>
    </row>
    <row r="2193" spans="1:3" ht="13.5" thickBot="1" x14ac:dyDescent="0.25">
      <c r="A2193" s="3">
        <v>4085</v>
      </c>
      <c r="B2193" s="27">
        <v>45325.65152777778</v>
      </c>
      <c r="C2193" s="3" t="s">
        <v>4</v>
      </c>
    </row>
    <row r="2194" spans="1:3" ht="13.5" thickBot="1" x14ac:dyDescent="0.25">
      <c r="A2194" s="3">
        <v>1663</v>
      </c>
      <c r="B2194" s="27">
        <v>45325.662986111114</v>
      </c>
      <c r="C2194" s="3" t="s">
        <v>6</v>
      </c>
    </row>
    <row r="2195" spans="1:3" ht="13.5" thickBot="1" x14ac:dyDescent="0.25">
      <c r="A2195" s="3">
        <v>7242</v>
      </c>
      <c r="B2195" s="27">
        <v>45325.67391203704</v>
      </c>
      <c r="C2195" s="3" t="s">
        <v>7</v>
      </c>
    </row>
    <row r="2196" spans="1:3" ht="13.5" thickBot="1" x14ac:dyDescent="0.25">
      <c r="A2196" s="3">
        <v>4002</v>
      </c>
      <c r="B2196" s="27">
        <v>45325.685613425929</v>
      </c>
      <c r="C2196" s="3" t="s">
        <v>5</v>
      </c>
    </row>
    <row r="2197" spans="1:3" ht="13.5" thickBot="1" x14ac:dyDescent="0.25">
      <c r="A2197" s="3">
        <v>6125</v>
      </c>
      <c r="B2197" s="27">
        <v>45325.707233796296</v>
      </c>
      <c r="C2197" s="3" t="s">
        <v>6</v>
      </c>
    </row>
    <row r="2198" spans="1:3" ht="13.5" thickBot="1" x14ac:dyDescent="0.25">
      <c r="A2198" s="3">
        <v>7224</v>
      </c>
      <c r="B2198" s="27">
        <v>45325.718414351853</v>
      </c>
      <c r="C2198" s="3" t="s">
        <v>5</v>
      </c>
    </row>
    <row r="2199" spans="1:3" ht="13.5" thickBot="1" x14ac:dyDescent="0.25">
      <c r="A2199" s="3">
        <v>6888</v>
      </c>
      <c r="B2199" s="27">
        <v>45325.772002314814</v>
      </c>
      <c r="C2199" s="3" t="s">
        <v>5</v>
      </c>
    </row>
    <row r="2200" spans="1:3" ht="13.5" thickBot="1" x14ac:dyDescent="0.25">
      <c r="A2200" s="3">
        <v>7894</v>
      </c>
      <c r="B2200" s="27">
        <v>45325.787280092591</v>
      </c>
      <c r="C2200" s="3" t="s">
        <v>3</v>
      </c>
    </row>
    <row r="2201" spans="1:3" ht="13.5" thickBot="1" x14ac:dyDescent="0.25">
      <c r="A2201" s="3">
        <v>4534</v>
      </c>
      <c r="B2201" s="27">
        <v>45325.789895833332</v>
      </c>
      <c r="C2201" s="3" t="s">
        <v>3</v>
      </c>
    </row>
    <row r="2202" spans="1:3" ht="13.5" thickBot="1" x14ac:dyDescent="0.25">
      <c r="A2202" s="3">
        <v>4955</v>
      </c>
      <c r="B2202" s="27">
        <v>45325.791932870372</v>
      </c>
      <c r="C2202" s="3" t="s">
        <v>3</v>
      </c>
    </row>
    <row r="2203" spans="1:3" ht="13.5" thickBot="1" x14ac:dyDescent="0.25">
      <c r="A2203" s="3">
        <v>4154</v>
      </c>
      <c r="B2203" s="27">
        <v>45325.794293981482</v>
      </c>
      <c r="C2203" s="3" t="s">
        <v>3</v>
      </c>
    </row>
    <row r="2204" spans="1:3" ht="13.5" thickBot="1" x14ac:dyDescent="0.25">
      <c r="A2204" s="3">
        <v>7122</v>
      </c>
      <c r="B2204" s="27">
        <v>45325.796319444446</v>
      </c>
      <c r="C2204" s="3" t="s">
        <v>3</v>
      </c>
    </row>
    <row r="2205" spans="1:3" ht="13.5" thickBot="1" x14ac:dyDescent="0.25">
      <c r="A2205" s="3">
        <v>2523</v>
      </c>
      <c r="B2205" s="27">
        <v>45325.81658564815</v>
      </c>
      <c r="C2205" s="3" t="s">
        <v>6</v>
      </c>
    </row>
    <row r="2206" spans="1:3" ht="13.5" thickBot="1" x14ac:dyDescent="0.25">
      <c r="A2206" s="3">
        <v>1130</v>
      </c>
      <c r="B2206" s="27">
        <v>45325.845810185187</v>
      </c>
      <c r="C2206" s="3" t="s">
        <v>6</v>
      </c>
    </row>
    <row r="2207" spans="1:3" ht="13.5" thickBot="1" x14ac:dyDescent="0.25">
      <c r="A2207" s="3">
        <v>101</v>
      </c>
      <c r="B2207" s="27">
        <v>45325.854513888888</v>
      </c>
      <c r="C2207" s="3" t="s">
        <v>4</v>
      </c>
    </row>
    <row r="2208" spans="1:3" ht="13.5" thickBot="1" x14ac:dyDescent="0.25">
      <c r="A2208" s="3">
        <v>6267</v>
      </c>
      <c r="B2208" s="27">
        <v>45325.86478009259</v>
      </c>
      <c r="C2208" s="3" t="s">
        <v>3</v>
      </c>
    </row>
    <row r="2209" spans="1:3" ht="13.5" thickBot="1" x14ac:dyDescent="0.25">
      <c r="A2209" s="3">
        <v>3039</v>
      </c>
      <c r="B2209" s="27">
        <v>45325.868148148147</v>
      </c>
      <c r="C2209" s="3" t="s">
        <v>3</v>
      </c>
    </row>
    <row r="2210" spans="1:3" ht="13.5" thickBot="1" x14ac:dyDescent="0.25">
      <c r="A2210" s="3">
        <v>6091</v>
      </c>
      <c r="B2210" s="27">
        <v>45325.88349537037</v>
      </c>
      <c r="C2210" s="3" t="s">
        <v>3</v>
      </c>
    </row>
    <row r="2211" spans="1:3" ht="13.5" thickBot="1" x14ac:dyDescent="0.25">
      <c r="A2211" s="3">
        <v>1293</v>
      </c>
      <c r="B2211" s="27">
        <v>45325.883946759262</v>
      </c>
      <c r="C2211" s="3" t="s">
        <v>3</v>
      </c>
    </row>
    <row r="2212" spans="1:3" ht="13.5" thickBot="1" x14ac:dyDescent="0.25">
      <c r="A2212" s="3">
        <v>7979</v>
      </c>
      <c r="B2212" s="27">
        <v>45325.898229166669</v>
      </c>
      <c r="C2212" s="3" t="s">
        <v>6</v>
      </c>
    </row>
    <row r="2213" spans="1:3" ht="13.5" thickBot="1" x14ac:dyDescent="0.25">
      <c r="A2213" s="3">
        <v>6091</v>
      </c>
      <c r="B2213" s="27">
        <v>45325.904791666668</v>
      </c>
      <c r="C2213" s="3" t="s">
        <v>4</v>
      </c>
    </row>
    <row r="2214" spans="1:3" ht="13.5" thickBot="1" x14ac:dyDescent="0.25">
      <c r="A2214" s="3">
        <v>6925</v>
      </c>
      <c r="B2214" s="27">
        <v>45325.937106481484</v>
      </c>
      <c r="C2214" s="3" t="s">
        <v>3</v>
      </c>
    </row>
    <row r="2215" spans="1:3" ht="13.5" thickBot="1" x14ac:dyDescent="0.25">
      <c r="A2215" s="3">
        <v>7266</v>
      </c>
      <c r="B2215" s="27">
        <v>45325.955729166664</v>
      </c>
      <c r="C2215" s="3" t="s">
        <v>7</v>
      </c>
    </row>
    <row r="2216" spans="1:3" ht="13.5" thickBot="1" x14ac:dyDescent="0.25">
      <c r="A2216" s="3">
        <v>1889</v>
      </c>
      <c r="B2216" s="27">
        <v>45325.95684027778</v>
      </c>
      <c r="C2216" s="3" t="s">
        <v>3</v>
      </c>
    </row>
    <row r="2217" spans="1:3" ht="13.5" thickBot="1" x14ac:dyDescent="0.25">
      <c r="A2217" s="3">
        <v>2988</v>
      </c>
      <c r="B2217" s="27">
        <v>45325.988009259258</v>
      </c>
      <c r="C2217" s="3" t="s">
        <v>7</v>
      </c>
    </row>
    <row r="2218" spans="1:3" ht="13.5" thickBot="1" x14ac:dyDescent="0.25">
      <c r="A2218" s="3">
        <v>2648</v>
      </c>
      <c r="B2218" s="27">
        <v>45325.994050925925</v>
      </c>
      <c r="C2218" s="3" t="s">
        <v>6</v>
      </c>
    </row>
    <row r="2219" spans="1:3" ht="13.5" thickBot="1" x14ac:dyDescent="0.25">
      <c r="A2219" s="3">
        <v>1202</v>
      </c>
      <c r="B2219" s="27">
        <v>45326.052685185183</v>
      </c>
      <c r="C2219" s="3" t="s">
        <v>6</v>
      </c>
    </row>
    <row r="2220" spans="1:3" ht="13.5" thickBot="1" x14ac:dyDescent="0.25">
      <c r="A2220" s="3">
        <v>697</v>
      </c>
      <c r="B2220" s="27">
        <v>45326.06181712963</v>
      </c>
      <c r="C2220" s="3" t="s">
        <v>4</v>
      </c>
    </row>
    <row r="2221" spans="1:3" ht="13.5" thickBot="1" x14ac:dyDescent="0.25">
      <c r="A2221" s="3">
        <v>5559</v>
      </c>
      <c r="B2221" s="27">
        <v>45326.073483796295</v>
      </c>
      <c r="C2221" s="3" t="s">
        <v>3</v>
      </c>
    </row>
    <row r="2222" spans="1:3" ht="13.5" thickBot="1" x14ac:dyDescent="0.25">
      <c r="A2222" s="3">
        <v>1351</v>
      </c>
      <c r="B2222" s="27">
        <v>45326.07571759259</v>
      </c>
      <c r="C2222" s="3" t="s">
        <v>3</v>
      </c>
    </row>
    <row r="2223" spans="1:3" ht="13.5" thickBot="1" x14ac:dyDescent="0.25">
      <c r="A2223" s="3">
        <v>1576</v>
      </c>
      <c r="B2223" s="27">
        <v>45326.117685185185</v>
      </c>
      <c r="C2223" s="3" t="s">
        <v>5</v>
      </c>
    </row>
    <row r="2224" spans="1:3" ht="13.5" thickBot="1" x14ac:dyDescent="0.25">
      <c r="A2224" s="3">
        <v>6986</v>
      </c>
      <c r="B2224" s="27">
        <v>45326.119756944441</v>
      </c>
      <c r="C2224" s="3" t="s">
        <v>5</v>
      </c>
    </row>
    <row r="2225" spans="1:3" ht="13.5" thickBot="1" x14ac:dyDescent="0.25">
      <c r="A2225" s="3">
        <v>4090</v>
      </c>
      <c r="B2225" s="27">
        <v>45326.143460648149</v>
      </c>
      <c r="C2225" s="3" t="s">
        <v>3</v>
      </c>
    </row>
    <row r="2226" spans="1:3" ht="13.5" thickBot="1" x14ac:dyDescent="0.25">
      <c r="A2226" s="3">
        <v>2231</v>
      </c>
      <c r="B2226" s="27">
        <v>45326.161909722221</v>
      </c>
      <c r="C2226" s="3" t="s">
        <v>4</v>
      </c>
    </row>
    <row r="2227" spans="1:3" ht="13.5" thickBot="1" x14ac:dyDescent="0.25">
      <c r="A2227" s="3">
        <v>706</v>
      </c>
      <c r="B2227" s="27">
        <v>45326.163148148145</v>
      </c>
      <c r="C2227" s="3" t="s">
        <v>6</v>
      </c>
    </row>
    <row r="2228" spans="1:3" ht="13.5" thickBot="1" x14ac:dyDescent="0.25">
      <c r="A2228" s="3">
        <v>6925</v>
      </c>
      <c r="B2228" s="27">
        <v>45326.169722222221</v>
      </c>
      <c r="C2228" s="3" t="s">
        <v>6</v>
      </c>
    </row>
    <row r="2229" spans="1:3" ht="13.5" thickBot="1" x14ac:dyDescent="0.25">
      <c r="A2229" s="3">
        <v>3817</v>
      </c>
      <c r="B2229" s="27">
        <v>45326.179745370369</v>
      </c>
      <c r="C2229" s="3" t="s">
        <v>4</v>
      </c>
    </row>
    <row r="2230" spans="1:3" ht="13.5" thickBot="1" x14ac:dyDescent="0.25">
      <c r="A2230" s="3">
        <v>2128</v>
      </c>
      <c r="B2230" s="27">
        <v>45326.193993055553</v>
      </c>
      <c r="C2230" s="3" t="s">
        <v>5</v>
      </c>
    </row>
    <row r="2231" spans="1:3" ht="13.5" thickBot="1" x14ac:dyDescent="0.25">
      <c r="A2231" s="3">
        <v>1576</v>
      </c>
      <c r="B2231" s="27">
        <v>45326.197523148148</v>
      </c>
      <c r="C2231" s="3" t="s">
        <v>6</v>
      </c>
    </row>
    <row r="2232" spans="1:3" ht="13.5" thickBot="1" x14ac:dyDescent="0.25">
      <c r="A2232" s="3">
        <v>5883</v>
      </c>
      <c r="B2232" s="27">
        <v>45326.215636574074</v>
      </c>
      <c r="C2232" s="3" t="s">
        <v>7</v>
      </c>
    </row>
    <row r="2233" spans="1:3" ht="13.5" thickBot="1" x14ac:dyDescent="0.25">
      <c r="A2233" s="3">
        <v>2231</v>
      </c>
      <c r="B2233" s="27">
        <v>45326.234502314815</v>
      </c>
      <c r="C2233" s="3" t="s">
        <v>3</v>
      </c>
    </row>
    <row r="2234" spans="1:3" ht="13.5" thickBot="1" x14ac:dyDescent="0.25">
      <c r="A2234" s="3">
        <v>7758</v>
      </c>
      <c r="B2234" s="27">
        <v>45326.247407407405</v>
      </c>
      <c r="C2234" s="3" t="s">
        <v>3</v>
      </c>
    </row>
    <row r="2235" spans="1:3" ht="13.5" thickBot="1" x14ac:dyDescent="0.25">
      <c r="A2235" s="3">
        <v>6727</v>
      </c>
      <c r="B2235" s="27">
        <v>45326.2653125</v>
      </c>
      <c r="C2235" s="3" t="s">
        <v>5</v>
      </c>
    </row>
    <row r="2236" spans="1:3" ht="13.5" thickBot="1" x14ac:dyDescent="0.25">
      <c r="A2236" s="3">
        <v>7948</v>
      </c>
      <c r="B2236" s="27">
        <v>45326.289097222223</v>
      </c>
      <c r="C2236" s="3" t="s">
        <v>4</v>
      </c>
    </row>
    <row r="2237" spans="1:3" ht="13.5" thickBot="1" x14ac:dyDescent="0.25">
      <c r="A2237" s="3">
        <v>3694</v>
      </c>
      <c r="B2237" s="27">
        <v>45326.291921296295</v>
      </c>
      <c r="C2237" s="3" t="s">
        <v>6</v>
      </c>
    </row>
    <row r="2238" spans="1:3" ht="13.5" thickBot="1" x14ac:dyDescent="0.25">
      <c r="A2238" s="3">
        <v>6445</v>
      </c>
      <c r="B2238" s="27">
        <v>45326.299641203703</v>
      </c>
      <c r="C2238" s="3" t="s">
        <v>3</v>
      </c>
    </row>
    <row r="2239" spans="1:3" ht="13.5" thickBot="1" x14ac:dyDescent="0.25">
      <c r="A2239" s="3">
        <v>4866</v>
      </c>
      <c r="B2239" s="27">
        <v>45326.302731481483</v>
      </c>
      <c r="C2239" s="3" t="s">
        <v>4</v>
      </c>
    </row>
    <row r="2240" spans="1:3" ht="13.5" thickBot="1" x14ac:dyDescent="0.25">
      <c r="A2240" s="3">
        <v>5931</v>
      </c>
      <c r="B2240" s="27">
        <v>45326.34107638889</v>
      </c>
      <c r="C2240" s="3" t="s">
        <v>6</v>
      </c>
    </row>
    <row r="2241" spans="1:3" ht="13.5" thickBot="1" x14ac:dyDescent="0.25">
      <c r="A2241" s="3">
        <v>7932</v>
      </c>
      <c r="B2241" s="27">
        <v>45326.360347222224</v>
      </c>
      <c r="C2241" s="3" t="s">
        <v>3</v>
      </c>
    </row>
    <row r="2242" spans="1:3" ht="13.5" thickBot="1" x14ac:dyDescent="0.25">
      <c r="A2242" s="3">
        <v>7019</v>
      </c>
      <c r="B2242" s="27">
        <v>45326.366122685184</v>
      </c>
      <c r="C2242" s="3" t="s">
        <v>3</v>
      </c>
    </row>
    <row r="2243" spans="1:3" ht="13.5" thickBot="1" x14ac:dyDescent="0.25">
      <c r="A2243" s="3">
        <v>2926</v>
      </c>
      <c r="B2243" s="27">
        <v>45326.382743055554</v>
      </c>
      <c r="C2243" s="3" t="s">
        <v>3</v>
      </c>
    </row>
    <row r="2244" spans="1:3" ht="13.5" thickBot="1" x14ac:dyDescent="0.25">
      <c r="A2244" s="3">
        <v>3507</v>
      </c>
      <c r="B2244" s="27">
        <v>45326.402511574073</v>
      </c>
      <c r="C2244" s="3" t="s">
        <v>3</v>
      </c>
    </row>
    <row r="2245" spans="1:3" ht="13.5" thickBot="1" x14ac:dyDescent="0.25">
      <c r="A2245" s="3">
        <v>4963</v>
      </c>
      <c r="B2245" s="27">
        <v>45326.410428240742</v>
      </c>
      <c r="C2245" s="3" t="s">
        <v>7</v>
      </c>
    </row>
    <row r="2246" spans="1:3" ht="13.5" thickBot="1" x14ac:dyDescent="0.25">
      <c r="A2246" s="3">
        <v>2441</v>
      </c>
      <c r="B2246" s="27">
        <v>45326.419178240743</v>
      </c>
      <c r="C2246" s="3" t="s">
        <v>3</v>
      </c>
    </row>
    <row r="2247" spans="1:3" ht="13.5" thickBot="1" x14ac:dyDescent="0.25">
      <c r="A2247" s="3">
        <v>4849</v>
      </c>
      <c r="B2247" s="27">
        <v>45326.455462962964</v>
      </c>
      <c r="C2247" s="3" t="s">
        <v>6</v>
      </c>
    </row>
    <row r="2248" spans="1:3" ht="13.5" thickBot="1" x14ac:dyDescent="0.25">
      <c r="A2248" s="3">
        <v>2127</v>
      </c>
      <c r="B2248" s="27">
        <v>45326.50508101852</v>
      </c>
      <c r="C2248" s="3" t="s">
        <v>6</v>
      </c>
    </row>
    <row r="2249" spans="1:3" ht="13.5" thickBot="1" x14ac:dyDescent="0.25">
      <c r="A2249" s="3">
        <v>995</v>
      </c>
      <c r="B2249" s="27">
        <v>45326.510752314818</v>
      </c>
      <c r="C2249" s="3" t="s">
        <v>6</v>
      </c>
    </row>
    <row r="2250" spans="1:3" ht="13.5" thickBot="1" x14ac:dyDescent="0.25">
      <c r="A2250" s="3">
        <v>101</v>
      </c>
      <c r="B2250" s="27">
        <v>45326.530532407407</v>
      </c>
      <c r="C2250" s="3" t="s">
        <v>7</v>
      </c>
    </row>
    <row r="2251" spans="1:3" ht="13.5" thickBot="1" x14ac:dyDescent="0.25">
      <c r="A2251" s="3">
        <v>4678</v>
      </c>
      <c r="B2251" s="27">
        <v>45326.544039351851</v>
      </c>
      <c r="C2251" s="3" t="s">
        <v>3</v>
      </c>
    </row>
    <row r="2252" spans="1:3" ht="13.5" thickBot="1" x14ac:dyDescent="0.25">
      <c r="A2252" s="3">
        <v>530</v>
      </c>
      <c r="B2252" s="27">
        <v>45326.577800925923</v>
      </c>
      <c r="C2252" s="3" t="s">
        <v>3</v>
      </c>
    </row>
    <row r="2253" spans="1:3" ht="13.5" thickBot="1" x14ac:dyDescent="0.25">
      <c r="A2253" s="3">
        <v>7224</v>
      </c>
      <c r="B2253" s="27">
        <v>45326.579004629632</v>
      </c>
      <c r="C2253" s="3" t="s">
        <v>7</v>
      </c>
    </row>
    <row r="2254" spans="1:3" ht="13.5" thickBot="1" x14ac:dyDescent="0.25">
      <c r="A2254" s="3">
        <v>1741</v>
      </c>
      <c r="B2254" s="27">
        <v>45326.583622685182</v>
      </c>
      <c r="C2254" s="3" t="s">
        <v>3</v>
      </c>
    </row>
    <row r="2255" spans="1:3" ht="13.5" thickBot="1" x14ac:dyDescent="0.25">
      <c r="A2255" s="3">
        <v>2128</v>
      </c>
      <c r="B2255" s="27">
        <v>45326.595023148147</v>
      </c>
      <c r="C2255" s="3" t="s">
        <v>7</v>
      </c>
    </row>
    <row r="2256" spans="1:3" ht="13.5" thickBot="1" x14ac:dyDescent="0.25">
      <c r="A2256" s="3">
        <v>2095</v>
      </c>
      <c r="B2256" s="27">
        <v>45326.622916666667</v>
      </c>
      <c r="C2256" s="3" t="s">
        <v>3</v>
      </c>
    </row>
    <row r="2257" spans="1:3" ht="13.5" thickBot="1" x14ac:dyDescent="0.25">
      <c r="A2257" s="3">
        <v>1451</v>
      </c>
      <c r="B2257" s="27">
        <v>45326.64603009259</v>
      </c>
      <c r="C2257" s="3" t="s">
        <v>3</v>
      </c>
    </row>
    <row r="2258" spans="1:3" ht="13.5" thickBot="1" x14ac:dyDescent="0.25">
      <c r="A2258" s="3">
        <v>7019</v>
      </c>
      <c r="B2258" s="27">
        <v>45326.648912037039</v>
      </c>
      <c r="C2258" s="3" t="s">
        <v>4</v>
      </c>
    </row>
    <row r="2259" spans="1:3" ht="13.5" thickBot="1" x14ac:dyDescent="0.25">
      <c r="A2259" s="3">
        <v>7788</v>
      </c>
      <c r="B2259" s="27">
        <v>45326.653449074074</v>
      </c>
      <c r="C2259" s="3" t="s">
        <v>3</v>
      </c>
    </row>
    <row r="2260" spans="1:3" ht="13.5" thickBot="1" x14ac:dyDescent="0.25">
      <c r="A2260" s="3">
        <v>2156</v>
      </c>
      <c r="B2260" s="27">
        <v>45326.673368055555</v>
      </c>
      <c r="C2260" s="3" t="s">
        <v>3</v>
      </c>
    </row>
    <row r="2261" spans="1:3" ht="13.5" thickBot="1" x14ac:dyDescent="0.25">
      <c r="A2261" s="3">
        <v>3968</v>
      </c>
      <c r="B2261" s="27">
        <v>45326.695856481485</v>
      </c>
      <c r="C2261" s="3" t="s">
        <v>3</v>
      </c>
    </row>
    <row r="2262" spans="1:3" ht="13.5" thickBot="1" x14ac:dyDescent="0.25">
      <c r="A2262" s="3">
        <v>747</v>
      </c>
      <c r="B2262" s="27">
        <v>45326.702314814815</v>
      </c>
      <c r="C2262" s="3" t="s">
        <v>7</v>
      </c>
    </row>
    <row r="2263" spans="1:3" ht="13.5" thickBot="1" x14ac:dyDescent="0.25">
      <c r="A2263" s="3">
        <v>4498</v>
      </c>
      <c r="B2263" s="27">
        <v>45326.718877314815</v>
      </c>
      <c r="C2263" s="3" t="s">
        <v>3</v>
      </c>
    </row>
    <row r="2264" spans="1:3" ht="13.5" thickBot="1" x14ac:dyDescent="0.25">
      <c r="A2264" s="3">
        <v>3586</v>
      </c>
      <c r="B2264" s="27">
        <v>45326.722256944442</v>
      </c>
      <c r="C2264" s="3" t="s">
        <v>3</v>
      </c>
    </row>
    <row r="2265" spans="1:3" ht="13.5" thickBot="1" x14ac:dyDescent="0.25">
      <c r="A2265" s="3">
        <v>5959</v>
      </c>
      <c r="B2265" s="27">
        <v>45326.741979166669</v>
      </c>
      <c r="C2265" s="3" t="s">
        <v>6</v>
      </c>
    </row>
    <row r="2266" spans="1:3" ht="13.5" thickBot="1" x14ac:dyDescent="0.25">
      <c r="A2266" s="3">
        <v>4931</v>
      </c>
      <c r="B2266" s="27">
        <v>45326.759965277779</v>
      </c>
      <c r="C2266" s="3" t="s">
        <v>3</v>
      </c>
    </row>
    <row r="2267" spans="1:3" ht="13.5" thickBot="1" x14ac:dyDescent="0.25">
      <c r="A2267" s="3">
        <v>2347</v>
      </c>
      <c r="B2267" s="27">
        <v>45326.761562500003</v>
      </c>
      <c r="C2267" s="3" t="s">
        <v>3</v>
      </c>
    </row>
    <row r="2268" spans="1:3" ht="13.5" thickBot="1" x14ac:dyDescent="0.25">
      <c r="A2268" s="3">
        <v>5610</v>
      </c>
      <c r="B2268" s="27">
        <v>45326.779826388891</v>
      </c>
      <c r="C2268" s="3" t="s">
        <v>3</v>
      </c>
    </row>
    <row r="2269" spans="1:3" ht="13.5" thickBot="1" x14ac:dyDescent="0.25">
      <c r="A2269" s="3">
        <v>6926</v>
      </c>
      <c r="B2269" s="27">
        <v>45326.801678240743</v>
      </c>
      <c r="C2269" s="3" t="s">
        <v>7</v>
      </c>
    </row>
    <row r="2270" spans="1:3" ht="13.5" thickBot="1" x14ac:dyDescent="0.25">
      <c r="A2270" s="3">
        <v>53</v>
      </c>
      <c r="B2270" s="27">
        <v>45326.816111111111</v>
      </c>
      <c r="C2270" s="3" t="s">
        <v>4</v>
      </c>
    </row>
    <row r="2271" spans="1:3" ht="13.5" thickBot="1" x14ac:dyDescent="0.25">
      <c r="A2271" s="3">
        <v>3039</v>
      </c>
      <c r="B2271" s="27">
        <v>45326.822812500002</v>
      </c>
      <c r="C2271" s="3" t="s">
        <v>4</v>
      </c>
    </row>
    <row r="2272" spans="1:3" ht="13.5" thickBot="1" x14ac:dyDescent="0.25">
      <c r="A2272" s="3">
        <v>6986</v>
      </c>
      <c r="B2272" s="27">
        <v>45326.834756944445</v>
      </c>
      <c r="C2272" s="3" t="s">
        <v>7</v>
      </c>
    </row>
    <row r="2273" spans="1:3" ht="13.5" thickBot="1" x14ac:dyDescent="0.25">
      <c r="A2273" s="3">
        <v>1057</v>
      </c>
      <c r="B2273" s="27">
        <v>45326.845300925925</v>
      </c>
      <c r="C2273" s="3" t="s">
        <v>6</v>
      </c>
    </row>
    <row r="2274" spans="1:3" ht="13.5" thickBot="1" x14ac:dyDescent="0.25">
      <c r="A2274" s="3">
        <v>6125</v>
      </c>
      <c r="B2274" s="27">
        <v>45326.862673611111</v>
      </c>
      <c r="C2274" s="3" t="s">
        <v>7</v>
      </c>
    </row>
    <row r="2275" spans="1:3" ht="13.5" thickBot="1" x14ac:dyDescent="0.25">
      <c r="A2275" s="3">
        <v>3356</v>
      </c>
      <c r="B2275" s="27">
        <v>45326.872453703705</v>
      </c>
      <c r="C2275" s="3" t="s">
        <v>7</v>
      </c>
    </row>
    <row r="2276" spans="1:3" ht="13.5" thickBot="1" x14ac:dyDescent="0.25">
      <c r="A2276" s="3">
        <v>2692</v>
      </c>
      <c r="B2276" s="27">
        <v>45326.877546296295</v>
      </c>
      <c r="C2276" s="3" t="s">
        <v>7</v>
      </c>
    </row>
    <row r="2277" spans="1:3" ht="13.5" thickBot="1" x14ac:dyDescent="0.25">
      <c r="A2277" s="3">
        <v>3817</v>
      </c>
      <c r="B2277" s="27">
        <v>45326.903321759259</v>
      </c>
      <c r="C2277" s="3" t="s">
        <v>7</v>
      </c>
    </row>
    <row r="2278" spans="1:3" ht="13.5" thickBot="1" x14ac:dyDescent="0.25">
      <c r="A2278" s="3">
        <v>7182</v>
      </c>
      <c r="B2278" s="27">
        <v>45326.914398148147</v>
      </c>
      <c r="C2278" s="3" t="s">
        <v>3</v>
      </c>
    </row>
    <row r="2279" spans="1:3" ht="13.5" thickBot="1" x14ac:dyDescent="0.25">
      <c r="A2279" s="3">
        <v>6926</v>
      </c>
      <c r="B2279" s="27">
        <v>45326.922210648147</v>
      </c>
      <c r="C2279" s="3" t="s">
        <v>5</v>
      </c>
    </row>
    <row r="2280" spans="1:3" ht="13.5" thickBot="1" x14ac:dyDescent="0.25">
      <c r="A2280" s="3">
        <v>319</v>
      </c>
      <c r="B2280" s="27">
        <v>45326.93540509259</v>
      </c>
      <c r="C2280" s="3" t="s">
        <v>3</v>
      </c>
    </row>
    <row r="2281" spans="1:3" ht="13.5" thickBot="1" x14ac:dyDescent="0.25">
      <c r="A2281" s="3">
        <v>5976</v>
      </c>
      <c r="B2281" s="27">
        <v>45326.936365740738</v>
      </c>
      <c r="C2281" s="3" t="s">
        <v>3</v>
      </c>
    </row>
    <row r="2282" spans="1:3" ht="13.5" thickBot="1" x14ac:dyDescent="0.25">
      <c r="A2282" s="3">
        <v>3356</v>
      </c>
      <c r="B2282" s="27">
        <v>45326.938113425924</v>
      </c>
      <c r="C2282" s="3" t="s">
        <v>6</v>
      </c>
    </row>
    <row r="2283" spans="1:3" ht="13.5" thickBot="1" x14ac:dyDescent="0.25">
      <c r="A2283" s="3">
        <v>53</v>
      </c>
      <c r="B2283" s="27">
        <v>45326.940300925926</v>
      </c>
      <c r="C2283" s="3" t="s">
        <v>3</v>
      </c>
    </row>
    <row r="2284" spans="1:3" ht="13.5" thickBot="1" x14ac:dyDescent="0.25">
      <c r="A2284" s="3">
        <v>6283</v>
      </c>
      <c r="B2284" s="27">
        <v>45326.977962962963</v>
      </c>
      <c r="C2284" s="3" t="s">
        <v>6</v>
      </c>
    </row>
    <row r="2285" spans="1:3" ht="13.5" thickBot="1" x14ac:dyDescent="0.25">
      <c r="A2285" s="3">
        <v>5863</v>
      </c>
      <c r="B2285" s="27">
        <v>45327.015405092592</v>
      </c>
      <c r="C2285" s="3" t="s">
        <v>5</v>
      </c>
    </row>
    <row r="2286" spans="1:3" ht="13.5" thickBot="1" x14ac:dyDescent="0.25">
      <c r="A2286" s="3">
        <v>4678</v>
      </c>
      <c r="B2286" s="27">
        <v>45327.054189814815</v>
      </c>
      <c r="C2286" s="3" t="s">
        <v>4</v>
      </c>
    </row>
    <row r="2287" spans="1:3" ht="13.5" thickBot="1" x14ac:dyDescent="0.25">
      <c r="A2287" s="3">
        <v>4787</v>
      </c>
      <c r="B2287" s="27">
        <v>45327.057349537034</v>
      </c>
      <c r="C2287" s="3" t="s">
        <v>3</v>
      </c>
    </row>
    <row r="2288" spans="1:3" ht="13.5" thickBot="1" x14ac:dyDescent="0.25">
      <c r="A2288" s="3">
        <v>133</v>
      </c>
      <c r="B2288" s="27">
        <v>45327.060069444444</v>
      </c>
      <c r="C2288" s="3" t="s">
        <v>5</v>
      </c>
    </row>
    <row r="2289" spans="1:3" ht="13.5" thickBot="1" x14ac:dyDescent="0.25">
      <c r="A2289" s="3">
        <v>5547</v>
      </c>
      <c r="B2289" s="27">
        <v>45327.069641203707</v>
      </c>
      <c r="C2289" s="3" t="s">
        <v>3</v>
      </c>
    </row>
    <row r="2290" spans="1:3" ht="13.5" thickBot="1" x14ac:dyDescent="0.25">
      <c r="A2290" s="3">
        <v>3182</v>
      </c>
      <c r="B2290" s="27">
        <v>45327.095578703702</v>
      </c>
      <c r="C2290" s="3" t="s">
        <v>5</v>
      </c>
    </row>
    <row r="2291" spans="1:3" ht="13.5" thickBot="1" x14ac:dyDescent="0.25">
      <c r="A2291" s="3">
        <v>2692</v>
      </c>
      <c r="B2291" s="27">
        <v>45327.123842592591</v>
      </c>
      <c r="C2291" s="3" t="s">
        <v>6</v>
      </c>
    </row>
    <row r="2292" spans="1:3" ht="13.5" thickBot="1" x14ac:dyDescent="0.25">
      <c r="A2292" s="3">
        <v>5858</v>
      </c>
      <c r="B2292" s="27">
        <v>45327.127939814818</v>
      </c>
      <c r="C2292" s="3" t="s">
        <v>4</v>
      </c>
    </row>
    <row r="2293" spans="1:3" ht="13.5" thickBot="1" x14ac:dyDescent="0.25">
      <c r="A2293" s="3">
        <v>7687</v>
      </c>
      <c r="B2293" s="27">
        <v>45327.134398148148</v>
      </c>
      <c r="C2293" s="3" t="s">
        <v>4</v>
      </c>
    </row>
    <row r="2294" spans="1:3" ht="13.5" thickBot="1" x14ac:dyDescent="0.25">
      <c r="A2294" s="3">
        <v>291</v>
      </c>
      <c r="B2294" s="27">
        <v>45327.193969907406</v>
      </c>
      <c r="C2294" s="3" t="s">
        <v>3</v>
      </c>
    </row>
    <row r="2295" spans="1:3" ht="13.5" thickBot="1" x14ac:dyDescent="0.25">
      <c r="A2295" s="3">
        <v>6925</v>
      </c>
      <c r="B2295" s="27">
        <v>45327.197256944448</v>
      </c>
      <c r="C2295" s="3" t="s">
        <v>5</v>
      </c>
    </row>
    <row r="2296" spans="1:3" ht="13.5" thickBot="1" x14ac:dyDescent="0.25">
      <c r="A2296" s="3">
        <v>2926</v>
      </c>
      <c r="B2296" s="27">
        <v>45327.200370370374</v>
      </c>
      <c r="C2296" s="3" t="s">
        <v>6</v>
      </c>
    </row>
    <row r="2297" spans="1:3" ht="13.5" thickBot="1" x14ac:dyDescent="0.25">
      <c r="A2297" s="3">
        <v>1329</v>
      </c>
      <c r="B2297" s="27">
        <v>45327.219340277778</v>
      </c>
      <c r="C2297" s="3" t="s">
        <v>3</v>
      </c>
    </row>
    <row r="2298" spans="1:3" ht="13.5" thickBot="1" x14ac:dyDescent="0.25">
      <c r="A2298" s="3">
        <v>7266</v>
      </c>
      <c r="B2298" s="27">
        <v>45327.242800925924</v>
      </c>
      <c r="C2298" s="3" t="s">
        <v>6</v>
      </c>
    </row>
    <row r="2299" spans="1:3" ht="13.5" thickBot="1" x14ac:dyDescent="0.25">
      <c r="A2299" s="3">
        <v>3182</v>
      </c>
      <c r="B2299" s="27">
        <v>45327.246377314812</v>
      </c>
      <c r="C2299" s="3" t="s">
        <v>4</v>
      </c>
    </row>
    <row r="2300" spans="1:3" ht="13.5" thickBot="1" x14ac:dyDescent="0.25">
      <c r="A2300" s="3">
        <v>5863</v>
      </c>
      <c r="B2300" s="27">
        <v>45327.248541666668</v>
      </c>
      <c r="C2300" s="3" t="s">
        <v>3</v>
      </c>
    </row>
    <row r="2301" spans="1:3" ht="13.5" thickBot="1" x14ac:dyDescent="0.25">
      <c r="A2301" s="3">
        <v>6129</v>
      </c>
      <c r="B2301" s="27">
        <v>45327.26699074074</v>
      </c>
      <c r="C2301" s="3" t="s">
        <v>3</v>
      </c>
    </row>
    <row r="2302" spans="1:3" ht="13.5" thickBot="1" x14ac:dyDescent="0.25">
      <c r="A2302" s="3">
        <v>1081</v>
      </c>
      <c r="B2302" s="27">
        <v>45327.273449074077</v>
      </c>
      <c r="C2302" s="3" t="s">
        <v>3</v>
      </c>
    </row>
    <row r="2303" spans="1:3" ht="13.5" thickBot="1" x14ac:dyDescent="0.25">
      <c r="A2303" s="3">
        <v>464</v>
      </c>
      <c r="B2303" s="27">
        <v>45327.304270833331</v>
      </c>
      <c r="C2303" s="3" t="s">
        <v>3</v>
      </c>
    </row>
    <row r="2304" spans="1:3" ht="13.5" thickBot="1" x14ac:dyDescent="0.25">
      <c r="A2304" s="3">
        <v>6478</v>
      </c>
      <c r="B2304" s="27">
        <v>45327.313125000001</v>
      </c>
      <c r="C2304" s="3" t="s">
        <v>3</v>
      </c>
    </row>
    <row r="2305" spans="1:3" ht="13.5" thickBot="1" x14ac:dyDescent="0.25">
      <c r="A2305" s="3">
        <v>5035</v>
      </c>
      <c r="B2305" s="27">
        <v>45327.337893518517</v>
      </c>
      <c r="C2305" s="3" t="s">
        <v>3</v>
      </c>
    </row>
    <row r="2306" spans="1:3" ht="13.5" thickBot="1" x14ac:dyDescent="0.25">
      <c r="A2306" s="3">
        <v>4471</v>
      </c>
      <c r="B2306" s="27">
        <v>45327.348969907405</v>
      </c>
      <c r="C2306" s="3" t="s">
        <v>3</v>
      </c>
    </row>
    <row r="2307" spans="1:3" ht="13.5" thickBot="1" x14ac:dyDescent="0.25">
      <c r="A2307" s="3">
        <v>4002</v>
      </c>
      <c r="B2307" s="27">
        <v>45327.352013888885</v>
      </c>
      <c r="C2307" s="3" t="s">
        <v>6</v>
      </c>
    </row>
    <row r="2308" spans="1:3" ht="13.5" thickBot="1" x14ac:dyDescent="0.25">
      <c r="A2308" s="3">
        <v>7642</v>
      </c>
      <c r="B2308" s="27">
        <v>45327.358414351853</v>
      </c>
      <c r="C2308" s="3" t="s">
        <v>6</v>
      </c>
    </row>
    <row r="2309" spans="1:3" ht="13.5" thickBot="1" x14ac:dyDescent="0.25">
      <c r="A2309" s="3">
        <v>7758</v>
      </c>
      <c r="B2309" s="27">
        <v>45327.382488425923</v>
      </c>
      <c r="C2309" s="3" t="s">
        <v>4</v>
      </c>
    </row>
    <row r="2310" spans="1:3" ht="13.5" thickBot="1" x14ac:dyDescent="0.25">
      <c r="A2310" s="3">
        <v>7277</v>
      </c>
      <c r="B2310" s="27">
        <v>45327.387615740743</v>
      </c>
      <c r="C2310" s="3" t="s">
        <v>4</v>
      </c>
    </row>
    <row r="2311" spans="1:3" ht="13.5" thickBot="1" x14ac:dyDescent="0.25">
      <c r="A2311" s="3">
        <v>320</v>
      </c>
      <c r="B2311" s="27">
        <v>45327.399236111109</v>
      </c>
      <c r="C2311" s="3" t="s">
        <v>6</v>
      </c>
    </row>
    <row r="2312" spans="1:3" ht="13.5" thickBot="1" x14ac:dyDescent="0.25">
      <c r="A2312" s="3">
        <v>203</v>
      </c>
      <c r="B2312" s="27">
        <v>45327.413495370369</v>
      </c>
      <c r="C2312" s="3" t="s">
        <v>3</v>
      </c>
    </row>
    <row r="2313" spans="1:3" ht="13.5" thickBot="1" x14ac:dyDescent="0.25">
      <c r="A2313" s="3">
        <v>1060</v>
      </c>
      <c r="B2313" s="27">
        <v>45327.417719907404</v>
      </c>
      <c r="C2313" s="3" t="s">
        <v>4</v>
      </c>
    </row>
    <row r="2314" spans="1:3" ht="13.5" thickBot="1" x14ac:dyDescent="0.25">
      <c r="A2314" s="3">
        <v>1824</v>
      </c>
      <c r="B2314" s="27">
        <v>45327.4374537037</v>
      </c>
      <c r="C2314" s="3" t="s">
        <v>3</v>
      </c>
    </row>
    <row r="2315" spans="1:3" ht="13.5" thickBot="1" x14ac:dyDescent="0.25">
      <c r="A2315" s="3">
        <v>7687</v>
      </c>
      <c r="B2315" s="27">
        <v>45327.440763888888</v>
      </c>
      <c r="C2315" s="3" t="s">
        <v>3</v>
      </c>
    </row>
    <row r="2316" spans="1:3" ht="13.5" thickBot="1" x14ac:dyDescent="0.25">
      <c r="A2316" s="3">
        <v>1889</v>
      </c>
      <c r="B2316" s="27">
        <v>45327.449675925927</v>
      </c>
      <c r="C2316" s="3" t="s">
        <v>4</v>
      </c>
    </row>
    <row r="2317" spans="1:3" ht="13.5" thickBot="1" x14ac:dyDescent="0.25">
      <c r="A2317" s="3">
        <v>4090</v>
      </c>
      <c r="B2317" s="27">
        <v>45327.474895833337</v>
      </c>
      <c r="C2317" s="3" t="s">
        <v>4</v>
      </c>
    </row>
    <row r="2318" spans="1:3" ht="13.5" thickBot="1" x14ac:dyDescent="0.25">
      <c r="A2318" s="3">
        <v>3356</v>
      </c>
      <c r="B2318" s="27">
        <v>45327.482175925928</v>
      </c>
      <c r="C2318" s="3" t="s">
        <v>5</v>
      </c>
    </row>
    <row r="2319" spans="1:3" ht="13.5" thickBot="1" x14ac:dyDescent="0.25">
      <c r="A2319" s="3">
        <v>1012</v>
      </c>
      <c r="B2319" s="27">
        <v>45327.488553240742</v>
      </c>
      <c r="C2319" s="3" t="s">
        <v>3</v>
      </c>
    </row>
    <row r="2320" spans="1:3" ht="13.5" thickBot="1" x14ac:dyDescent="0.25">
      <c r="A2320" s="3">
        <v>4787</v>
      </c>
      <c r="B2320" s="27">
        <v>45327.498240740744</v>
      </c>
      <c r="C2320" s="3" t="s">
        <v>4</v>
      </c>
    </row>
    <row r="2321" spans="1:3" ht="13.5" thickBot="1" x14ac:dyDescent="0.25">
      <c r="A2321" s="3">
        <v>3817</v>
      </c>
      <c r="B2321" s="27">
        <v>45327.513796296298</v>
      </c>
      <c r="C2321" s="3" t="s">
        <v>5</v>
      </c>
    </row>
    <row r="2322" spans="1:3" ht="13.5" thickBot="1" x14ac:dyDescent="0.25">
      <c r="A2322" s="3">
        <v>1741</v>
      </c>
      <c r="B2322" s="27">
        <v>45327.598587962966</v>
      </c>
      <c r="C2322" s="3" t="s">
        <v>4</v>
      </c>
    </row>
    <row r="2323" spans="1:3" ht="13.5" thickBot="1" x14ac:dyDescent="0.25">
      <c r="A2323" s="3">
        <v>6060</v>
      </c>
      <c r="B2323" s="27">
        <v>45327.611539351848</v>
      </c>
      <c r="C2323" s="3" t="s">
        <v>3</v>
      </c>
    </row>
    <row r="2324" spans="1:3" ht="13.5" thickBot="1" x14ac:dyDescent="0.25">
      <c r="A2324" s="3">
        <v>1601</v>
      </c>
      <c r="B2324" s="27">
        <v>45327.621180555558</v>
      </c>
      <c r="C2324" s="3" t="s">
        <v>3</v>
      </c>
    </row>
    <row r="2325" spans="1:3" ht="13.5" thickBot="1" x14ac:dyDescent="0.25">
      <c r="A2325" s="3">
        <v>3188</v>
      </c>
      <c r="B2325" s="27">
        <v>45327.634027777778</v>
      </c>
      <c r="C2325" s="3" t="s">
        <v>6</v>
      </c>
    </row>
    <row r="2326" spans="1:3" ht="13.5" thickBot="1" x14ac:dyDescent="0.25">
      <c r="A2326" s="3">
        <v>2692</v>
      </c>
      <c r="B2326" s="27">
        <v>45327.645428240743</v>
      </c>
      <c r="C2326" s="3" t="s">
        <v>5</v>
      </c>
    </row>
    <row r="2327" spans="1:3" ht="13.5" thickBot="1" x14ac:dyDescent="0.25">
      <c r="A2327" s="3">
        <v>7758</v>
      </c>
      <c r="B2327" s="27">
        <v>45327.662002314813</v>
      </c>
      <c r="C2327" s="3" t="s">
        <v>6</v>
      </c>
    </row>
    <row r="2328" spans="1:3" ht="13.5" thickBot="1" x14ac:dyDescent="0.25">
      <c r="A2328" s="3">
        <v>5547</v>
      </c>
      <c r="B2328" s="27">
        <v>45327.681956018518</v>
      </c>
      <c r="C2328" s="3" t="s">
        <v>5</v>
      </c>
    </row>
    <row r="2329" spans="1:3" ht="13.5" thickBot="1" x14ac:dyDescent="0.25">
      <c r="A2329" s="3">
        <v>7754</v>
      </c>
      <c r="B2329" s="27">
        <v>45327.685567129629</v>
      </c>
      <c r="C2329" s="3" t="s">
        <v>6</v>
      </c>
    </row>
    <row r="2330" spans="1:3" ht="13.5" thickBot="1" x14ac:dyDescent="0.25">
      <c r="A2330" s="3">
        <v>101</v>
      </c>
      <c r="B2330" s="27">
        <v>45327.687986111108</v>
      </c>
      <c r="C2330" s="3" t="s">
        <v>5</v>
      </c>
    </row>
    <row r="2331" spans="1:3" ht="13.5" thickBot="1" x14ac:dyDescent="0.25">
      <c r="A2331" s="3">
        <v>1233</v>
      </c>
      <c r="B2331" s="27">
        <v>45327.700381944444</v>
      </c>
      <c r="C2331" s="3" t="s">
        <v>4</v>
      </c>
    </row>
    <row r="2332" spans="1:3" ht="13.5" thickBot="1" x14ac:dyDescent="0.25">
      <c r="A2332" s="3">
        <v>3296</v>
      </c>
      <c r="B2332" s="27">
        <v>45327.701874999999</v>
      </c>
      <c r="C2332" s="3" t="s">
        <v>3</v>
      </c>
    </row>
    <row r="2333" spans="1:3" ht="13.5" thickBot="1" x14ac:dyDescent="0.25">
      <c r="A2333" s="3">
        <v>1451</v>
      </c>
      <c r="B2333" s="27">
        <v>45327.72216435185</v>
      </c>
      <c r="C2333" s="3" t="s">
        <v>5</v>
      </c>
    </row>
    <row r="2334" spans="1:3" ht="13.5" thickBot="1" x14ac:dyDescent="0.25">
      <c r="A2334" s="3">
        <v>6986</v>
      </c>
      <c r="B2334" s="27">
        <v>45327.725972222222</v>
      </c>
      <c r="C2334" s="3" t="s">
        <v>6</v>
      </c>
    </row>
    <row r="2335" spans="1:3" ht="13.5" thickBot="1" x14ac:dyDescent="0.25">
      <c r="A2335" s="3">
        <v>5858</v>
      </c>
      <c r="B2335" s="27">
        <v>45327.735937500001</v>
      </c>
      <c r="C2335" s="3" t="s">
        <v>3</v>
      </c>
    </row>
    <row r="2336" spans="1:3" ht="13.5" thickBot="1" x14ac:dyDescent="0.25">
      <c r="A2336" s="3">
        <v>4075</v>
      </c>
      <c r="B2336" s="27">
        <v>45327.742303240739</v>
      </c>
      <c r="C2336" s="3" t="s">
        <v>5</v>
      </c>
    </row>
    <row r="2337" spans="1:3" ht="13.5" thickBot="1" x14ac:dyDescent="0.25">
      <c r="A2337" s="3">
        <v>3275</v>
      </c>
      <c r="B2337" s="27">
        <v>45327.742766203701</v>
      </c>
      <c r="C2337" s="3" t="s">
        <v>4</v>
      </c>
    </row>
    <row r="2338" spans="1:3" ht="13.5" thickBot="1" x14ac:dyDescent="0.25">
      <c r="A2338" s="3">
        <v>5863</v>
      </c>
      <c r="B2338" s="27">
        <v>45327.743020833332</v>
      </c>
      <c r="C2338" s="3" t="s">
        <v>4</v>
      </c>
    </row>
    <row r="2339" spans="1:3" ht="13.5" thickBot="1" x14ac:dyDescent="0.25">
      <c r="A2339" s="3">
        <v>1060</v>
      </c>
      <c r="B2339" s="27">
        <v>45327.771238425928</v>
      </c>
      <c r="C2339" s="3" t="s">
        <v>3</v>
      </c>
    </row>
    <row r="2340" spans="1:3" ht="13.5" thickBot="1" x14ac:dyDescent="0.25">
      <c r="A2340" s="3">
        <v>3275</v>
      </c>
      <c r="B2340" s="27">
        <v>45327.77851851852</v>
      </c>
      <c r="C2340" s="3" t="s">
        <v>5</v>
      </c>
    </row>
    <row r="2341" spans="1:3" ht="13.5" thickBot="1" x14ac:dyDescent="0.25">
      <c r="A2341" s="3">
        <v>4767</v>
      </c>
      <c r="B2341" s="27">
        <v>45327.846759259257</v>
      </c>
      <c r="C2341" s="3" t="s">
        <v>6</v>
      </c>
    </row>
    <row r="2342" spans="1:3" ht="13.5" thickBot="1" x14ac:dyDescent="0.25">
      <c r="A2342" s="3">
        <v>2089</v>
      </c>
      <c r="B2342" s="27">
        <v>45327.854259259257</v>
      </c>
      <c r="C2342" s="3" t="s">
        <v>5</v>
      </c>
    </row>
    <row r="2343" spans="1:3" ht="13.5" thickBot="1" x14ac:dyDescent="0.25">
      <c r="A2343" s="3">
        <v>6703</v>
      </c>
      <c r="B2343" s="27">
        <v>45327.86136574074</v>
      </c>
      <c r="C2343" s="3" t="s">
        <v>6</v>
      </c>
    </row>
    <row r="2344" spans="1:3" ht="13.5" thickBot="1" x14ac:dyDescent="0.25">
      <c r="A2344" s="3">
        <v>5860</v>
      </c>
      <c r="B2344" s="27">
        <v>45327.869791666664</v>
      </c>
      <c r="C2344" s="3" t="s">
        <v>3</v>
      </c>
    </row>
    <row r="2345" spans="1:3" ht="13.5" thickBot="1" x14ac:dyDescent="0.25">
      <c r="A2345" s="3">
        <v>2859</v>
      </c>
      <c r="B2345" s="27">
        <v>45327.876620370371</v>
      </c>
      <c r="C2345" s="3" t="s">
        <v>5</v>
      </c>
    </row>
    <row r="2346" spans="1:3" ht="13.5" thickBot="1" x14ac:dyDescent="0.25">
      <c r="A2346" s="3">
        <v>4702</v>
      </c>
      <c r="B2346" s="27">
        <v>45327.882349537038</v>
      </c>
      <c r="C2346" s="3" t="s">
        <v>4</v>
      </c>
    </row>
    <row r="2347" spans="1:3" ht="13.5" thickBot="1" x14ac:dyDescent="0.25">
      <c r="A2347" s="3">
        <v>1293</v>
      </c>
      <c r="B2347" s="27">
        <v>45327.886400462965</v>
      </c>
      <c r="C2347" s="3" t="s">
        <v>4</v>
      </c>
    </row>
    <row r="2348" spans="1:3" ht="13.5" thickBot="1" x14ac:dyDescent="0.25">
      <c r="A2348" s="3">
        <v>4702</v>
      </c>
      <c r="B2348" s="27">
        <v>45327.886516203704</v>
      </c>
      <c r="C2348" s="3" t="s">
        <v>3</v>
      </c>
    </row>
    <row r="2349" spans="1:3" ht="13.5" thickBot="1" x14ac:dyDescent="0.25">
      <c r="A2349" s="3">
        <v>747</v>
      </c>
      <c r="B2349" s="27">
        <v>45327.888159722221</v>
      </c>
      <c r="C2349" s="3" t="s">
        <v>6</v>
      </c>
    </row>
    <row r="2350" spans="1:3" ht="13.5" thickBot="1" x14ac:dyDescent="0.25">
      <c r="A2350" s="3">
        <v>3722</v>
      </c>
      <c r="B2350" s="27">
        <v>45327.909780092596</v>
      </c>
      <c r="C2350" s="3" t="s">
        <v>6</v>
      </c>
    </row>
    <row r="2351" spans="1:3" ht="13.5" thickBot="1" x14ac:dyDescent="0.25">
      <c r="A2351" s="3">
        <v>7758</v>
      </c>
      <c r="B2351" s="27">
        <v>45327.913136574076</v>
      </c>
      <c r="C2351" s="3" t="s">
        <v>5</v>
      </c>
    </row>
    <row r="2352" spans="1:3" ht="13.5" thickBot="1" x14ac:dyDescent="0.25">
      <c r="A2352" s="3">
        <v>790</v>
      </c>
      <c r="B2352" s="27">
        <v>45327.915844907409</v>
      </c>
      <c r="C2352" s="3" t="s">
        <v>3</v>
      </c>
    </row>
    <row r="2353" spans="1:3" ht="13.5" thickBot="1" x14ac:dyDescent="0.25">
      <c r="A2353" s="3">
        <v>2189</v>
      </c>
      <c r="B2353" s="27">
        <v>45327.918865740743</v>
      </c>
      <c r="C2353" s="3" t="s">
        <v>3</v>
      </c>
    </row>
    <row r="2354" spans="1:3" ht="13.5" thickBot="1" x14ac:dyDescent="0.25">
      <c r="A2354" s="3">
        <v>1343</v>
      </c>
      <c r="B2354" s="27">
        <v>45327.92597222222</v>
      </c>
      <c r="C2354" s="3" t="s">
        <v>4</v>
      </c>
    </row>
    <row r="2355" spans="1:3" ht="13.5" thickBot="1" x14ac:dyDescent="0.25">
      <c r="A2355" s="3">
        <v>1081</v>
      </c>
      <c r="B2355" s="27">
        <v>45327.930763888886</v>
      </c>
      <c r="C2355" s="3" t="s">
        <v>4</v>
      </c>
    </row>
    <row r="2356" spans="1:3" ht="13.5" thickBot="1" x14ac:dyDescent="0.25">
      <c r="A2356" s="3">
        <v>4589</v>
      </c>
      <c r="B2356" s="27">
        <v>45327.936932870369</v>
      </c>
      <c r="C2356" s="3" t="s">
        <v>7</v>
      </c>
    </row>
    <row r="2357" spans="1:3" ht="13.5" thickBot="1" x14ac:dyDescent="0.25">
      <c r="A2357" s="3">
        <v>5860</v>
      </c>
      <c r="B2357" s="27">
        <v>45327.942407407405</v>
      </c>
      <c r="C2357" s="3" t="s">
        <v>4</v>
      </c>
    </row>
    <row r="2358" spans="1:3" ht="13.5" thickBot="1" x14ac:dyDescent="0.25">
      <c r="A2358" s="3">
        <v>3777</v>
      </c>
      <c r="B2358" s="27">
        <v>45327.951689814814</v>
      </c>
      <c r="C2358" s="3" t="s">
        <v>4</v>
      </c>
    </row>
    <row r="2359" spans="1:3" ht="13.5" thickBot="1" x14ac:dyDescent="0.25">
      <c r="A2359" s="3">
        <v>203</v>
      </c>
      <c r="B2359" s="27">
        <v>45328.024722222224</v>
      </c>
      <c r="C2359" s="3" t="s">
        <v>4</v>
      </c>
    </row>
    <row r="2360" spans="1:3" ht="13.5" thickBot="1" x14ac:dyDescent="0.25">
      <c r="A2360" s="3">
        <v>697</v>
      </c>
      <c r="B2360" s="27">
        <v>45328.036192129628</v>
      </c>
      <c r="C2360" s="3" t="s">
        <v>5</v>
      </c>
    </row>
    <row r="2361" spans="1:3" ht="13.5" thickBot="1" x14ac:dyDescent="0.25">
      <c r="A2361" s="3">
        <v>2224</v>
      </c>
      <c r="B2361" s="27">
        <v>45328.054479166669</v>
      </c>
      <c r="C2361" s="3" t="s">
        <v>7</v>
      </c>
    </row>
    <row r="2362" spans="1:3" ht="13.5" thickBot="1" x14ac:dyDescent="0.25">
      <c r="A2362" s="3">
        <v>1601</v>
      </c>
      <c r="B2362" s="27">
        <v>45328.064340277779</v>
      </c>
      <c r="C2362" s="3" t="s">
        <v>6</v>
      </c>
    </row>
    <row r="2363" spans="1:3" ht="13.5" thickBot="1" x14ac:dyDescent="0.25">
      <c r="A2363" s="3">
        <v>3976</v>
      </c>
      <c r="B2363" s="27">
        <v>45328.069918981484</v>
      </c>
      <c r="C2363" s="3" t="s">
        <v>3</v>
      </c>
    </row>
    <row r="2364" spans="1:3" ht="13.5" thickBot="1" x14ac:dyDescent="0.25">
      <c r="A2364" s="3">
        <v>1741</v>
      </c>
      <c r="B2364" s="27">
        <v>45328.095011574071</v>
      </c>
      <c r="C2364" s="3" t="s">
        <v>6</v>
      </c>
    </row>
    <row r="2365" spans="1:3" ht="13.5" thickBot="1" x14ac:dyDescent="0.25">
      <c r="A2365" s="3">
        <v>7788</v>
      </c>
      <c r="B2365" s="27">
        <v>45328.099895833337</v>
      </c>
      <c r="C2365" s="3" t="s">
        <v>5</v>
      </c>
    </row>
    <row r="2366" spans="1:3" ht="13.5" thickBot="1" x14ac:dyDescent="0.25">
      <c r="A2366" s="3">
        <v>7932</v>
      </c>
      <c r="B2366" s="27">
        <v>45328.102407407408</v>
      </c>
      <c r="C2366" s="3" t="s">
        <v>5</v>
      </c>
    </row>
    <row r="2367" spans="1:3" ht="13.5" thickBot="1" x14ac:dyDescent="0.25">
      <c r="A2367" s="3">
        <v>1451</v>
      </c>
      <c r="B2367" s="27">
        <v>45328.132361111115</v>
      </c>
      <c r="C2367" s="3" t="s">
        <v>4</v>
      </c>
    </row>
    <row r="2368" spans="1:3" ht="13.5" thickBot="1" x14ac:dyDescent="0.25">
      <c r="A2368" s="3">
        <v>1359</v>
      </c>
      <c r="B2368" s="27">
        <v>45328.135567129626</v>
      </c>
      <c r="C2368" s="3" t="s">
        <v>3</v>
      </c>
    </row>
    <row r="2369" spans="1:3" ht="13.5" thickBot="1" x14ac:dyDescent="0.25">
      <c r="A2369" s="3">
        <v>1601</v>
      </c>
      <c r="B2369" s="27">
        <v>45328.13653935185</v>
      </c>
      <c r="C2369" s="3" t="s">
        <v>4</v>
      </c>
    </row>
    <row r="2370" spans="1:3" ht="13.5" thickBot="1" x14ac:dyDescent="0.25">
      <c r="A2370" s="3">
        <v>6129</v>
      </c>
      <c r="B2370" s="27">
        <v>45328.138715277775</v>
      </c>
      <c r="C2370" s="3" t="s">
        <v>4</v>
      </c>
    </row>
    <row r="2371" spans="1:3" ht="13.5" thickBot="1" x14ac:dyDescent="0.25">
      <c r="A2371" s="3">
        <v>3097</v>
      </c>
      <c r="B2371" s="27">
        <v>45328.150578703702</v>
      </c>
      <c r="C2371" s="3" t="s">
        <v>3</v>
      </c>
    </row>
    <row r="2372" spans="1:3" ht="13.5" thickBot="1" x14ac:dyDescent="0.25">
      <c r="A2372" s="3">
        <v>1494</v>
      </c>
      <c r="B2372" s="27">
        <v>45328.168449074074</v>
      </c>
      <c r="C2372" s="3" t="s">
        <v>4</v>
      </c>
    </row>
    <row r="2373" spans="1:3" ht="13.5" thickBot="1" x14ac:dyDescent="0.25">
      <c r="A2373" s="3">
        <v>5904</v>
      </c>
      <c r="B2373" s="27">
        <v>45328.187696759262</v>
      </c>
      <c r="C2373" s="3" t="s">
        <v>3</v>
      </c>
    </row>
    <row r="2374" spans="1:3" ht="13.5" thickBot="1" x14ac:dyDescent="0.25">
      <c r="A2374" s="3">
        <v>2079</v>
      </c>
      <c r="B2374" s="27">
        <v>45328.204907407409</v>
      </c>
      <c r="C2374" s="3" t="s">
        <v>4</v>
      </c>
    </row>
    <row r="2375" spans="1:3" ht="13.5" thickBot="1" x14ac:dyDescent="0.25">
      <c r="A2375" s="3">
        <v>249</v>
      </c>
      <c r="B2375" s="27">
        <v>45328.211145833331</v>
      </c>
      <c r="C2375" s="3" t="s">
        <v>3</v>
      </c>
    </row>
    <row r="2376" spans="1:3" ht="13.5" thickBot="1" x14ac:dyDescent="0.25">
      <c r="A2376" s="3">
        <v>3976</v>
      </c>
      <c r="B2376" s="27">
        <v>45328.233935185184</v>
      </c>
      <c r="C2376" s="3" t="s">
        <v>4</v>
      </c>
    </row>
    <row r="2377" spans="1:3" ht="13.5" thickBot="1" x14ac:dyDescent="0.25">
      <c r="A2377" s="3">
        <v>1692</v>
      </c>
      <c r="B2377" s="27">
        <v>45328.240590277775</v>
      </c>
      <c r="C2377" s="3" t="s">
        <v>3</v>
      </c>
    </row>
    <row r="2378" spans="1:3" ht="13.5" thickBot="1" x14ac:dyDescent="0.25">
      <c r="A2378" s="3">
        <v>6129</v>
      </c>
      <c r="B2378" s="27">
        <v>45328.273888888885</v>
      </c>
      <c r="C2378" s="3" t="s">
        <v>5</v>
      </c>
    </row>
    <row r="2379" spans="1:3" ht="13.5" thickBot="1" x14ac:dyDescent="0.25">
      <c r="A2379" s="3">
        <v>4085</v>
      </c>
      <c r="B2379" s="27">
        <v>45328.275775462964</v>
      </c>
      <c r="C2379" s="3" t="s">
        <v>6</v>
      </c>
    </row>
    <row r="2380" spans="1:3" ht="13.5" thickBot="1" x14ac:dyDescent="0.25">
      <c r="A2380" s="3">
        <v>7699</v>
      </c>
      <c r="B2380" s="27">
        <v>45328.280335648145</v>
      </c>
      <c r="C2380" s="3" t="s">
        <v>5</v>
      </c>
    </row>
    <row r="2381" spans="1:3" ht="13.5" thickBot="1" x14ac:dyDescent="0.25">
      <c r="A2381" s="3">
        <v>4589</v>
      </c>
      <c r="B2381" s="27">
        <v>45328.293576388889</v>
      </c>
      <c r="C2381" s="3" t="s">
        <v>5</v>
      </c>
    </row>
    <row r="2382" spans="1:3" ht="13.5" thickBot="1" x14ac:dyDescent="0.25">
      <c r="A2382" s="3">
        <v>2752</v>
      </c>
      <c r="B2382" s="27">
        <v>45328.306076388886</v>
      </c>
      <c r="C2382" s="3" t="s">
        <v>3</v>
      </c>
    </row>
    <row r="2383" spans="1:3" ht="13.5" thickBot="1" x14ac:dyDescent="0.25">
      <c r="A2383" s="3">
        <v>7699</v>
      </c>
      <c r="B2383" s="27">
        <v>45328.310254629629</v>
      </c>
      <c r="C2383" s="3" t="s">
        <v>3</v>
      </c>
    </row>
    <row r="2384" spans="1:3" ht="13.5" thickBot="1" x14ac:dyDescent="0.25">
      <c r="A2384" s="3">
        <v>3140</v>
      </c>
      <c r="B2384" s="27">
        <v>45328.314351851855</v>
      </c>
      <c r="C2384" s="3" t="s">
        <v>6</v>
      </c>
    </row>
    <row r="2385" spans="1:3" ht="13.5" thickBot="1" x14ac:dyDescent="0.25">
      <c r="A2385" s="3">
        <v>4710</v>
      </c>
      <c r="B2385" s="27">
        <v>45328.35460648148</v>
      </c>
      <c r="C2385" s="3" t="s">
        <v>6</v>
      </c>
    </row>
    <row r="2386" spans="1:3" ht="13.5" thickBot="1" x14ac:dyDescent="0.25">
      <c r="A2386" s="3">
        <v>3507</v>
      </c>
      <c r="B2386" s="27">
        <v>45328.361701388887</v>
      </c>
      <c r="C2386" s="3" t="s">
        <v>4</v>
      </c>
    </row>
    <row r="2387" spans="1:3" ht="13.5" thickBot="1" x14ac:dyDescent="0.25">
      <c r="A2387" s="3">
        <v>2732</v>
      </c>
      <c r="B2387" s="27">
        <v>45328.36954861111</v>
      </c>
      <c r="C2387" s="3" t="s">
        <v>3</v>
      </c>
    </row>
    <row r="2388" spans="1:3" ht="13.5" thickBot="1" x14ac:dyDescent="0.25">
      <c r="A2388" s="3">
        <v>5364</v>
      </c>
      <c r="B2388" s="27">
        <v>45328.374699074076</v>
      </c>
      <c r="C2388" s="3" t="s">
        <v>3</v>
      </c>
    </row>
    <row r="2389" spans="1:3" ht="13.5" thickBot="1" x14ac:dyDescent="0.25">
      <c r="A2389" s="3">
        <v>187</v>
      </c>
      <c r="B2389" s="27">
        <v>45328.397511574076</v>
      </c>
      <c r="C2389" s="3" t="s">
        <v>3</v>
      </c>
    </row>
    <row r="2390" spans="1:3" ht="13.5" thickBot="1" x14ac:dyDescent="0.25">
      <c r="A2390" s="3">
        <v>5931</v>
      </c>
      <c r="B2390" s="27">
        <v>45328.431030092594</v>
      </c>
      <c r="C2390" s="3" t="s">
        <v>7</v>
      </c>
    </row>
    <row r="2391" spans="1:3" ht="13.5" thickBot="1" x14ac:dyDescent="0.25">
      <c r="A2391" s="3">
        <v>4075</v>
      </c>
      <c r="B2391" s="27">
        <v>45328.431608796294</v>
      </c>
      <c r="C2391" s="3" t="s">
        <v>6</v>
      </c>
    </row>
    <row r="2392" spans="1:3" ht="13.5" thickBot="1" x14ac:dyDescent="0.25">
      <c r="A2392" s="3">
        <v>1188</v>
      </c>
      <c r="B2392" s="27">
        <v>45328.46056712963</v>
      </c>
      <c r="C2392" s="3" t="s">
        <v>3</v>
      </c>
    </row>
    <row r="2393" spans="1:3" ht="13.5" thickBot="1" x14ac:dyDescent="0.25">
      <c r="A2393" s="3">
        <v>7769</v>
      </c>
      <c r="B2393" s="27">
        <v>45328.462430555555</v>
      </c>
      <c r="C2393" s="3" t="s">
        <v>3</v>
      </c>
    </row>
    <row r="2394" spans="1:3" ht="13.5" thickBot="1" x14ac:dyDescent="0.25">
      <c r="A2394" s="3">
        <v>7687</v>
      </c>
      <c r="B2394" s="27">
        <v>45328.473171296297</v>
      </c>
      <c r="C2394" s="3" t="s">
        <v>7</v>
      </c>
    </row>
    <row r="2395" spans="1:3" ht="13.5" thickBot="1" x14ac:dyDescent="0.25">
      <c r="A2395" s="3">
        <v>7932</v>
      </c>
      <c r="B2395" s="27">
        <v>45328.491631944446</v>
      </c>
      <c r="C2395" s="3" t="s">
        <v>4</v>
      </c>
    </row>
    <row r="2396" spans="1:3" ht="13.5" thickBot="1" x14ac:dyDescent="0.25">
      <c r="A2396" s="3">
        <v>2337</v>
      </c>
      <c r="B2396" s="27">
        <v>45328.492800925924</v>
      </c>
      <c r="C2396" s="3" t="s">
        <v>4</v>
      </c>
    </row>
    <row r="2397" spans="1:3" ht="13.5" thickBot="1" x14ac:dyDescent="0.25">
      <c r="A2397" s="3">
        <v>1859</v>
      </c>
      <c r="B2397" s="27">
        <v>45328.49722222222</v>
      </c>
      <c r="C2397" s="3" t="s">
        <v>3</v>
      </c>
    </row>
    <row r="2398" spans="1:3" ht="13.5" thickBot="1" x14ac:dyDescent="0.25">
      <c r="A2398" s="3">
        <v>4702</v>
      </c>
      <c r="B2398" s="27">
        <v>45328.515636574077</v>
      </c>
      <c r="C2398" s="3" t="s">
        <v>7</v>
      </c>
    </row>
    <row r="2399" spans="1:3" ht="13.5" thickBot="1" x14ac:dyDescent="0.25">
      <c r="A2399" s="3">
        <v>2684</v>
      </c>
      <c r="B2399" s="27">
        <v>45328.539317129631</v>
      </c>
      <c r="C2399" s="3" t="s">
        <v>3</v>
      </c>
    </row>
    <row r="2400" spans="1:3" ht="13.5" thickBot="1" x14ac:dyDescent="0.25">
      <c r="A2400" s="3">
        <v>706</v>
      </c>
      <c r="B2400" s="27">
        <v>45328.545208333337</v>
      </c>
      <c r="C2400" s="3" t="s">
        <v>5</v>
      </c>
    </row>
    <row r="2401" spans="1:3" ht="13.5" thickBot="1" x14ac:dyDescent="0.25">
      <c r="A2401" s="3">
        <v>4702</v>
      </c>
      <c r="B2401" s="27">
        <v>45328.553900462961</v>
      </c>
      <c r="C2401" s="3" t="s">
        <v>5</v>
      </c>
    </row>
    <row r="2402" spans="1:3" ht="13.5" thickBot="1" x14ac:dyDescent="0.25">
      <c r="A2402" s="3">
        <v>6463</v>
      </c>
      <c r="B2402" s="27">
        <v>45328.574456018519</v>
      </c>
      <c r="C2402" s="3" t="s">
        <v>3</v>
      </c>
    </row>
    <row r="2403" spans="1:3" ht="13.5" thickBot="1" x14ac:dyDescent="0.25">
      <c r="A2403" s="3">
        <v>17</v>
      </c>
      <c r="B2403" s="27">
        <v>45328.595000000001</v>
      </c>
      <c r="C2403" s="3" t="s">
        <v>3</v>
      </c>
    </row>
    <row r="2404" spans="1:3" ht="13.5" thickBot="1" x14ac:dyDescent="0.25">
      <c r="A2404" s="3">
        <v>7224</v>
      </c>
      <c r="B2404" s="27">
        <v>45328.596134259256</v>
      </c>
      <c r="C2404" s="3" t="s">
        <v>6</v>
      </c>
    </row>
    <row r="2405" spans="1:3" ht="13.5" thickBot="1" x14ac:dyDescent="0.25">
      <c r="A2405" s="3">
        <v>4953</v>
      </c>
      <c r="B2405" s="27">
        <v>45328.601956018516</v>
      </c>
      <c r="C2405" s="3" t="s">
        <v>3</v>
      </c>
    </row>
    <row r="2406" spans="1:3" ht="13.5" thickBot="1" x14ac:dyDescent="0.25">
      <c r="A2406" s="3">
        <v>3833</v>
      </c>
      <c r="B2406" s="27">
        <v>45328.650127314817</v>
      </c>
      <c r="C2406" s="3" t="s">
        <v>3</v>
      </c>
    </row>
    <row r="2407" spans="1:3" ht="13.5" thickBot="1" x14ac:dyDescent="0.25">
      <c r="A2407" s="3">
        <v>2681</v>
      </c>
      <c r="B2407" s="27">
        <v>45328.651041666664</v>
      </c>
      <c r="C2407" s="3" t="s">
        <v>6</v>
      </c>
    </row>
    <row r="2408" spans="1:3" ht="13.5" thickBot="1" x14ac:dyDescent="0.25">
      <c r="A2408" s="3">
        <v>6719</v>
      </c>
      <c r="B2408" s="27">
        <v>45328.661238425928</v>
      </c>
      <c r="C2408" s="3" t="s">
        <v>3</v>
      </c>
    </row>
    <row r="2409" spans="1:3" ht="13.5" thickBot="1" x14ac:dyDescent="0.25">
      <c r="A2409" s="3">
        <v>2089</v>
      </c>
      <c r="B2409" s="27">
        <v>45328.671620370369</v>
      </c>
      <c r="C2409" s="3" t="s">
        <v>7</v>
      </c>
    </row>
    <row r="2410" spans="1:3" ht="13.5" thickBot="1" x14ac:dyDescent="0.25">
      <c r="A2410" s="3">
        <v>5329</v>
      </c>
      <c r="B2410" s="27">
        <v>45328.694594907407</v>
      </c>
      <c r="C2410" s="3" t="s">
        <v>4</v>
      </c>
    </row>
    <row r="2411" spans="1:3" ht="13.5" thickBot="1" x14ac:dyDescent="0.25">
      <c r="A2411" s="3">
        <v>3296</v>
      </c>
      <c r="B2411" s="27">
        <v>45328.736527777779</v>
      </c>
      <c r="C2411" s="3" t="s">
        <v>4</v>
      </c>
    </row>
    <row r="2412" spans="1:3" ht="13.5" thickBot="1" x14ac:dyDescent="0.25">
      <c r="A2412" s="3">
        <v>5329</v>
      </c>
      <c r="B2412" s="27">
        <v>45328.767268518517</v>
      </c>
      <c r="C2412" s="3" t="s">
        <v>3</v>
      </c>
    </row>
    <row r="2413" spans="1:3" ht="13.5" thickBot="1" x14ac:dyDescent="0.25">
      <c r="A2413" s="3">
        <v>2992</v>
      </c>
      <c r="B2413" s="27">
        <v>45328.84270833333</v>
      </c>
      <c r="C2413" s="3" t="s">
        <v>3</v>
      </c>
    </row>
    <row r="2414" spans="1:3" ht="13.5" thickBot="1" x14ac:dyDescent="0.25">
      <c r="A2414" s="3">
        <v>2128</v>
      </c>
      <c r="B2414" s="27">
        <v>45328.861990740741</v>
      </c>
      <c r="C2414" s="3" t="s">
        <v>6</v>
      </c>
    </row>
    <row r="2415" spans="1:3" ht="13.5" thickBot="1" x14ac:dyDescent="0.25">
      <c r="A2415" s="3">
        <v>6719</v>
      </c>
      <c r="B2415" s="27">
        <v>45328.873124999998</v>
      </c>
      <c r="C2415" s="3" t="s">
        <v>4</v>
      </c>
    </row>
    <row r="2416" spans="1:3" ht="13.5" thickBot="1" x14ac:dyDescent="0.25">
      <c r="A2416" s="3">
        <v>5712</v>
      </c>
      <c r="B2416" s="27">
        <v>45328.894571759258</v>
      </c>
      <c r="C2416" s="3" t="s">
        <v>5</v>
      </c>
    </row>
    <row r="2417" spans="1:3" ht="13.5" thickBot="1" x14ac:dyDescent="0.25">
      <c r="A2417" s="3">
        <v>2776</v>
      </c>
      <c r="B2417" s="27">
        <v>45328.896840277775</v>
      </c>
      <c r="C2417" s="3" t="s">
        <v>3</v>
      </c>
    </row>
    <row r="2418" spans="1:3" ht="13.5" thickBot="1" x14ac:dyDescent="0.25">
      <c r="A2418" s="3">
        <v>2926</v>
      </c>
      <c r="B2418" s="27">
        <v>45328.905729166669</v>
      </c>
      <c r="C2418" s="3" t="s">
        <v>4</v>
      </c>
    </row>
    <row r="2419" spans="1:3" ht="13.5" thickBot="1" x14ac:dyDescent="0.25">
      <c r="A2419" s="3">
        <v>4955</v>
      </c>
      <c r="B2419" s="27">
        <v>45328.942384259259</v>
      </c>
      <c r="C2419" s="3" t="s">
        <v>4</v>
      </c>
    </row>
    <row r="2420" spans="1:3" ht="13.5" thickBot="1" x14ac:dyDescent="0.25">
      <c r="A2420" s="3">
        <v>4498</v>
      </c>
      <c r="B2420" s="27">
        <v>45328.953993055555</v>
      </c>
      <c r="C2420" s="3" t="s">
        <v>4</v>
      </c>
    </row>
    <row r="2421" spans="1:3" ht="13.5" thickBot="1" x14ac:dyDescent="0.25">
      <c r="A2421" s="3">
        <v>2158</v>
      </c>
      <c r="B2421" s="27">
        <v>45328.967638888891</v>
      </c>
      <c r="C2421" s="3" t="s">
        <v>7</v>
      </c>
    </row>
    <row r="2422" spans="1:3" ht="13.5" thickBot="1" x14ac:dyDescent="0.25">
      <c r="A2422" s="3">
        <v>3097</v>
      </c>
      <c r="B2422" s="27">
        <v>45328.968900462962</v>
      </c>
      <c r="C2422" s="3" t="s">
        <v>5</v>
      </c>
    </row>
    <row r="2423" spans="1:3" ht="13.5" thickBot="1" x14ac:dyDescent="0.25">
      <c r="A2423" s="3">
        <v>7894</v>
      </c>
      <c r="B2423" s="27">
        <v>45328.974930555552</v>
      </c>
      <c r="C2423" s="3" t="s">
        <v>5</v>
      </c>
    </row>
    <row r="2424" spans="1:3" ht="13.5" thickBot="1" x14ac:dyDescent="0.25">
      <c r="A2424" s="3">
        <v>6727</v>
      </c>
      <c r="B2424" s="27">
        <v>45328.986122685186</v>
      </c>
      <c r="C2424" s="3" t="s">
        <v>6</v>
      </c>
    </row>
    <row r="2425" spans="1:3" ht="13.5" thickBot="1" x14ac:dyDescent="0.25">
      <c r="A2425" s="3">
        <v>88</v>
      </c>
      <c r="B2425" s="27">
        <v>45329.00440972222</v>
      </c>
      <c r="C2425" s="3" t="s">
        <v>5</v>
      </c>
    </row>
    <row r="2426" spans="1:3" ht="13.5" thickBot="1" x14ac:dyDescent="0.25">
      <c r="A2426" s="3">
        <v>4921</v>
      </c>
      <c r="B2426" s="27">
        <v>45329.006666666668</v>
      </c>
      <c r="C2426" s="3" t="s">
        <v>3</v>
      </c>
    </row>
    <row r="2427" spans="1:3" ht="13.5" thickBot="1" x14ac:dyDescent="0.25">
      <c r="A2427" s="3">
        <v>2352</v>
      </c>
      <c r="B2427" s="27">
        <v>45329.035844907405</v>
      </c>
      <c r="C2427" s="3" t="s">
        <v>3</v>
      </c>
    </row>
    <row r="2428" spans="1:3" ht="13.5" thickBot="1" x14ac:dyDescent="0.25">
      <c r="A2428" s="3">
        <v>611</v>
      </c>
      <c r="B2428" s="27">
        <v>45329.057395833333</v>
      </c>
      <c r="C2428" s="3" t="s">
        <v>3</v>
      </c>
    </row>
    <row r="2429" spans="1:3" ht="13.5" thickBot="1" x14ac:dyDescent="0.25">
      <c r="A2429" s="3">
        <v>3545</v>
      </c>
      <c r="B2429" s="27">
        <v>45329.063425925924</v>
      </c>
      <c r="C2429" s="3" t="s">
        <v>6</v>
      </c>
    </row>
    <row r="2430" spans="1:3" ht="13.5" thickBot="1" x14ac:dyDescent="0.25">
      <c r="A2430" s="3">
        <v>790</v>
      </c>
      <c r="B2430" s="27">
        <v>45329.091597222221</v>
      </c>
      <c r="C2430" s="3" t="s">
        <v>6</v>
      </c>
    </row>
    <row r="2431" spans="1:3" ht="13.5" thickBot="1" x14ac:dyDescent="0.25">
      <c r="A2431" s="3">
        <v>5372</v>
      </c>
      <c r="B2431" s="27">
        <v>45329.124224537038</v>
      </c>
      <c r="C2431" s="3" t="s">
        <v>3</v>
      </c>
    </row>
    <row r="2432" spans="1:3" ht="13.5" thickBot="1" x14ac:dyDescent="0.25">
      <c r="A2432" s="3">
        <v>173</v>
      </c>
      <c r="B2432" s="27">
        <v>45329.151261574072</v>
      </c>
      <c r="C2432" s="3" t="s">
        <v>3</v>
      </c>
    </row>
    <row r="2433" spans="1:3" ht="13.5" thickBot="1" x14ac:dyDescent="0.25">
      <c r="A2433" s="3">
        <v>7687</v>
      </c>
      <c r="B2433" s="27">
        <v>45329.165798611109</v>
      </c>
      <c r="C2433" s="3" t="s">
        <v>6</v>
      </c>
    </row>
    <row r="2434" spans="1:3" ht="13.5" thickBot="1" x14ac:dyDescent="0.25">
      <c r="A2434" s="3">
        <v>3182</v>
      </c>
      <c r="B2434" s="27">
        <v>45329.168171296296</v>
      </c>
      <c r="C2434" s="3" t="s">
        <v>7</v>
      </c>
    </row>
    <row r="2435" spans="1:3" ht="13.5" thickBot="1" x14ac:dyDescent="0.25">
      <c r="A2435" s="3">
        <v>3914</v>
      </c>
      <c r="B2435" s="27">
        <v>45329.189733796295</v>
      </c>
      <c r="C2435" s="3" t="s">
        <v>3</v>
      </c>
    </row>
    <row r="2436" spans="1:3" ht="13.5" thickBot="1" x14ac:dyDescent="0.25">
      <c r="A2436" s="3">
        <v>3059</v>
      </c>
      <c r="B2436" s="27">
        <v>45329.206423611111</v>
      </c>
      <c r="C2436" s="3" t="s">
        <v>3</v>
      </c>
    </row>
    <row r="2437" spans="1:3" ht="13.5" thickBot="1" x14ac:dyDescent="0.25">
      <c r="A2437" s="3">
        <v>3227</v>
      </c>
      <c r="B2437" s="27">
        <v>45329.215462962966</v>
      </c>
      <c r="C2437" s="3" t="s">
        <v>3</v>
      </c>
    </row>
    <row r="2438" spans="1:3" ht="13.5" thickBot="1" x14ac:dyDescent="0.25">
      <c r="A2438" s="3">
        <v>2026</v>
      </c>
      <c r="B2438" s="27">
        <v>45329.218622685185</v>
      </c>
      <c r="C2438" s="3" t="s">
        <v>3</v>
      </c>
    </row>
    <row r="2439" spans="1:3" ht="13.5" thickBot="1" x14ac:dyDescent="0.25">
      <c r="A2439" s="3">
        <v>2185</v>
      </c>
      <c r="B2439" s="27">
        <v>45329.224675925929</v>
      </c>
      <c r="C2439" s="3" t="s">
        <v>4</v>
      </c>
    </row>
    <row r="2440" spans="1:3" ht="13.5" thickBot="1" x14ac:dyDescent="0.25">
      <c r="A2440" s="3">
        <v>7894</v>
      </c>
      <c r="B2440" s="27">
        <v>45329.256909722222</v>
      </c>
      <c r="C2440" s="3" t="s">
        <v>6</v>
      </c>
    </row>
    <row r="2441" spans="1:3" ht="13.5" thickBot="1" x14ac:dyDescent="0.25">
      <c r="A2441" s="3">
        <v>3914</v>
      </c>
      <c r="B2441" s="27">
        <v>45329.263310185182</v>
      </c>
      <c r="C2441" s="3" t="s">
        <v>4</v>
      </c>
    </row>
    <row r="2442" spans="1:3" ht="13.5" thickBot="1" x14ac:dyDescent="0.25">
      <c r="A2442" s="3">
        <v>4551</v>
      </c>
      <c r="B2442" s="27">
        <v>45329.288831018515</v>
      </c>
      <c r="C2442" s="3" t="s">
        <v>3</v>
      </c>
    </row>
    <row r="2443" spans="1:3" ht="13.5" thickBot="1" x14ac:dyDescent="0.25">
      <c r="A2443" s="3">
        <v>2752</v>
      </c>
      <c r="B2443" s="27">
        <v>45329.314791666664</v>
      </c>
      <c r="C2443" s="3" t="s">
        <v>4</v>
      </c>
    </row>
    <row r="2444" spans="1:3" ht="13.5" thickBot="1" x14ac:dyDescent="0.25">
      <c r="A2444" s="3">
        <v>3846</v>
      </c>
      <c r="B2444" s="27">
        <v>45329.336689814816</v>
      </c>
      <c r="C2444" s="3" t="s">
        <v>4</v>
      </c>
    </row>
    <row r="2445" spans="1:3" ht="13.5" thickBot="1" x14ac:dyDescent="0.25">
      <c r="A2445" s="3">
        <v>6925</v>
      </c>
      <c r="B2445" s="27">
        <v>45329.343287037038</v>
      </c>
      <c r="C2445" s="3" t="s">
        <v>7</v>
      </c>
    </row>
    <row r="2446" spans="1:3" ht="13.5" thickBot="1" x14ac:dyDescent="0.25">
      <c r="A2446" s="3">
        <v>4817</v>
      </c>
      <c r="B2446" s="27">
        <v>45329.363553240742</v>
      </c>
      <c r="C2446" s="3" t="s">
        <v>5</v>
      </c>
    </row>
    <row r="2447" spans="1:3" ht="13.5" thickBot="1" x14ac:dyDescent="0.25">
      <c r="A2447" s="3">
        <v>4492</v>
      </c>
      <c r="B2447" s="27">
        <v>45329.363749999997</v>
      </c>
      <c r="C2447" s="3" t="s">
        <v>3</v>
      </c>
    </row>
    <row r="2448" spans="1:3" ht="13.5" thickBot="1" x14ac:dyDescent="0.25">
      <c r="A2448" s="3">
        <v>7982</v>
      </c>
      <c r="B2448" s="27">
        <v>45329.381076388891</v>
      </c>
      <c r="C2448" s="3" t="s">
        <v>6</v>
      </c>
    </row>
    <row r="2449" spans="1:3" ht="13.5" thickBot="1" x14ac:dyDescent="0.25">
      <c r="A2449" s="3">
        <v>6926</v>
      </c>
      <c r="B2449" s="27">
        <v>45329.382361111115</v>
      </c>
      <c r="C2449" s="3" t="s">
        <v>6</v>
      </c>
    </row>
    <row r="2450" spans="1:3" ht="13.5" thickBot="1" x14ac:dyDescent="0.25">
      <c r="A2450" s="3">
        <v>2185</v>
      </c>
      <c r="B2450" s="27">
        <v>45329.38553240741</v>
      </c>
      <c r="C2450" s="3" t="s">
        <v>3</v>
      </c>
    </row>
    <row r="2451" spans="1:3" ht="13.5" thickBot="1" x14ac:dyDescent="0.25">
      <c r="A2451" s="3">
        <v>3039</v>
      </c>
      <c r="B2451" s="27">
        <v>45329.39806712963</v>
      </c>
      <c r="C2451" s="3" t="s">
        <v>6</v>
      </c>
    </row>
    <row r="2452" spans="1:3" ht="13.5" thickBot="1" x14ac:dyDescent="0.25">
      <c r="A2452" s="3">
        <v>4787</v>
      </c>
      <c r="B2452" s="27">
        <v>45329.398414351854</v>
      </c>
      <c r="C2452" s="3" t="s">
        <v>5</v>
      </c>
    </row>
    <row r="2453" spans="1:3" ht="13.5" thickBot="1" x14ac:dyDescent="0.25">
      <c r="A2453" s="3">
        <v>17</v>
      </c>
      <c r="B2453" s="27">
        <v>45329.412569444445</v>
      </c>
      <c r="C2453" s="3" t="s">
        <v>4</v>
      </c>
    </row>
    <row r="2454" spans="1:3" ht="13.5" thickBot="1" x14ac:dyDescent="0.25">
      <c r="A2454" s="3">
        <v>2032</v>
      </c>
      <c r="B2454" s="27">
        <v>45329.418217592596</v>
      </c>
      <c r="C2454" s="3" t="s">
        <v>3</v>
      </c>
    </row>
    <row r="2455" spans="1:3" ht="13.5" thickBot="1" x14ac:dyDescent="0.25">
      <c r="A2455" s="3">
        <v>4053</v>
      </c>
      <c r="B2455" s="27">
        <v>45329.427824074075</v>
      </c>
      <c r="C2455" s="3" t="s">
        <v>4</v>
      </c>
    </row>
    <row r="2456" spans="1:3" ht="13.5" thickBot="1" x14ac:dyDescent="0.25">
      <c r="A2456" s="3">
        <v>2926</v>
      </c>
      <c r="B2456" s="27">
        <v>45329.43209490741</v>
      </c>
      <c r="C2456" s="3" t="s">
        <v>5</v>
      </c>
    </row>
    <row r="2457" spans="1:3" ht="13.5" thickBot="1" x14ac:dyDescent="0.25">
      <c r="A2457" s="3">
        <v>4963</v>
      </c>
      <c r="B2457" s="27">
        <v>45329.442233796297</v>
      </c>
      <c r="C2457" s="3" t="s">
        <v>6</v>
      </c>
    </row>
    <row r="2458" spans="1:3" ht="13.5" thickBot="1" x14ac:dyDescent="0.25">
      <c r="A2458" s="3">
        <v>790</v>
      </c>
      <c r="B2458" s="27">
        <v>45329.477199074077</v>
      </c>
      <c r="C2458" s="3" t="s">
        <v>4</v>
      </c>
    </row>
    <row r="2459" spans="1:3" ht="13.5" thickBot="1" x14ac:dyDescent="0.25">
      <c r="A2459" s="3">
        <v>3846</v>
      </c>
      <c r="B2459" s="27">
        <v>45329.491712962961</v>
      </c>
      <c r="C2459" s="3" t="s">
        <v>3</v>
      </c>
    </row>
    <row r="2460" spans="1:3" ht="13.5" thickBot="1" x14ac:dyDescent="0.25">
      <c r="A2460" s="3">
        <v>5745</v>
      </c>
      <c r="B2460" s="27">
        <v>45329.499814814815</v>
      </c>
      <c r="C2460" s="3" t="s">
        <v>3</v>
      </c>
    </row>
    <row r="2461" spans="1:3" ht="13.5" thickBot="1" x14ac:dyDescent="0.25">
      <c r="A2461" s="3">
        <v>2378</v>
      </c>
      <c r="B2461" s="27">
        <v>45329.501956018517</v>
      </c>
      <c r="C2461" s="3" t="s">
        <v>4</v>
      </c>
    </row>
    <row r="2462" spans="1:3" ht="13.5" thickBot="1" x14ac:dyDescent="0.25">
      <c r="A2462" s="3">
        <v>3039</v>
      </c>
      <c r="B2462" s="27">
        <v>45329.511689814812</v>
      </c>
      <c r="C2462" s="3" t="s">
        <v>7</v>
      </c>
    </row>
    <row r="2463" spans="1:3" ht="13.5" thickBot="1" x14ac:dyDescent="0.25">
      <c r="A2463" s="3">
        <v>3414</v>
      </c>
      <c r="B2463" s="27">
        <v>45329.52207175926</v>
      </c>
      <c r="C2463" s="3" t="s">
        <v>3</v>
      </c>
    </row>
    <row r="2464" spans="1:3" ht="13.5" thickBot="1" x14ac:dyDescent="0.25">
      <c r="A2464" s="3">
        <v>7699</v>
      </c>
      <c r="B2464" s="27">
        <v>45329.530069444445</v>
      </c>
      <c r="C2464" s="3" t="s">
        <v>4</v>
      </c>
    </row>
    <row r="2465" spans="1:3" ht="13.5" thickBot="1" x14ac:dyDescent="0.25">
      <c r="A2465" s="3">
        <v>7509</v>
      </c>
      <c r="B2465" s="27">
        <v>45329.531087962961</v>
      </c>
      <c r="C2465" s="3" t="s">
        <v>6</v>
      </c>
    </row>
    <row r="2466" spans="1:3" ht="13.5" thickBot="1" x14ac:dyDescent="0.25">
      <c r="A2466" s="3">
        <v>249</v>
      </c>
      <c r="B2466" s="27">
        <v>45329.550682870373</v>
      </c>
      <c r="C2466" s="3" t="s">
        <v>4</v>
      </c>
    </row>
    <row r="2467" spans="1:3" ht="13.5" thickBot="1" x14ac:dyDescent="0.25">
      <c r="A2467" s="3">
        <v>5412</v>
      </c>
      <c r="B2467" s="27">
        <v>45329.557627314818</v>
      </c>
      <c r="C2467" s="3" t="s">
        <v>5</v>
      </c>
    </row>
    <row r="2468" spans="1:3" ht="13.5" thickBot="1" x14ac:dyDescent="0.25">
      <c r="A2468" s="3">
        <v>5904</v>
      </c>
      <c r="B2468" s="27">
        <v>45329.581134259257</v>
      </c>
      <c r="C2468" s="3" t="s">
        <v>5</v>
      </c>
    </row>
    <row r="2469" spans="1:3" ht="13.5" thickBot="1" x14ac:dyDescent="0.25">
      <c r="A2469" s="3">
        <v>7392</v>
      </c>
      <c r="B2469" s="27">
        <v>45329.587372685186</v>
      </c>
      <c r="C2469" s="3" t="s">
        <v>3</v>
      </c>
    </row>
    <row r="2470" spans="1:3" ht="13.5" thickBot="1" x14ac:dyDescent="0.25">
      <c r="A2470" s="3">
        <v>6060</v>
      </c>
      <c r="B2470" s="27">
        <v>45329.603356481479</v>
      </c>
      <c r="C2470" s="3" t="s">
        <v>4</v>
      </c>
    </row>
    <row r="2471" spans="1:3" ht="13.5" thickBot="1" x14ac:dyDescent="0.25">
      <c r="A2471" s="3">
        <v>4817</v>
      </c>
      <c r="B2471" s="27">
        <v>45329.615717592591</v>
      </c>
      <c r="C2471" s="3" t="s">
        <v>3</v>
      </c>
    </row>
    <row r="2472" spans="1:3" ht="13.5" thickBot="1" x14ac:dyDescent="0.25">
      <c r="A2472" s="3">
        <v>2992</v>
      </c>
      <c r="B2472" s="27">
        <v>45329.618495370371</v>
      </c>
      <c r="C2472" s="3" t="s">
        <v>6</v>
      </c>
    </row>
    <row r="2473" spans="1:3" ht="13.5" thickBot="1" x14ac:dyDescent="0.25">
      <c r="A2473" s="3">
        <v>6727</v>
      </c>
      <c r="B2473" s="27">
        <v>45329.623842592591</v>
      </c>
      <c r="C2473" s="3" t="s">
        <v>7</v>
      </c>
    </row>
    <row r="2474" spans="1:3" ht="13.5" thickBot="1" x14ac:dyDescent="0.25">
      <c r="A2474" s="3">
        <v>4953</v>
      </c>
      <c r="B2474" s="27">
        <v>45329.63181712963</v>
      </c>
      <c r="C2474" s="3" t="s">
        <v>5</v>
      </c>
    </row>
    <row r="2475" spans="1:3" ht="13.5" thickBot="1" x14ac:dyDescent="0.25">
      <c r="A2475" s="3">
        <v>4534</v>
      </c>
      <c r="B2475" s="27">
        <v>45329.642361111109</v>
      </c>
      <c r="C2475" s="3" t="s">
        <v>4</v>
      </c>
    </row>
    <row r="2476" spans="1:3" ht="13.5" thickBot="1" x14ac:dyDescent="0.25">
      <c r="A2476" s="3">
        <v>5364</v>
      </c>
      <c r="B2476" s="27">
        <v>45329.65179398148</v>
      </c>
      <c r="C2476" s="3" t="s">
        <v>6</v>
      </c>
    </row>
    <row r="2477" spans="1:3" ht="13.5" thickBot="1" x14ac:dyDescent="0.25">
      <c r="A2477" s="3">
        <v>319</v>
      </c>
      <c r="B2477" s="27">
        <v>45329.652800925927</v>
      </c>
      <c r="C2477" s="3" t="s">
        <v>7</v>
      </c>
    </row>
    <row r="2478" spans="1:3" ht="13.5" thickBot="1" x14ac:dyDescent="0.25">
      <c r="A2478" s="3">
        <v>2032</v>
      </c>
      <c r="B2478" s="27">
        <v>45329.688287037039</v>
      </c>
      <c r="C2478" s="3" t="s">
        <v>4</v>
      </c>
    </row>
    <row r="2479" spans="1:3" ht="13.5" thickBot="1" x14ac:dyDescent="0.25">
      <c r="A2479" s="3">
        <v>5883</v>
      </c>
      <c r="B2479" s="27">
        <v>45329.691180555557</v>
      </c>
      <c r="C2479" s="3" t="s">
        <v>6</v>
      </c>
    </row>
    <row r="2480" spans="1:3" ht="13.5" thickBot="1" x14ac:dyDescent="0.25">
      <c r="A2480" s="3">
        <v>1042</v>
      </c>
      <c r="B2480" s="27">
        <v>45329.745868055557</v>
      </c>
      <c r="C2480" s="3" t="s">
        <v>7</v>
      </c>
    </row>
    <row r="2481" spans="1:3" ht="13.5" thickBot="1" x14ac:dyDescent="0.25">
      <c r="A2481" s="3">
        <v>2926</v>
      </c>
      <c r="B2481" s="27">
        <v>45329.765231481484</v>
      </c>
      <c r="C2481" s="3" t="s">
        <v>7</v>
      </c>
    </row>
    <row r="2482" spans="1:3" ht="13.5" thickBot="1" x14ac:dyDescent="0.25">
      <c r="A2482" s="3">
        <v>6132</v>
      </c>
      <c r="B2482" s="27">
        <v>45329.7655787037</v>
      </c>
      <c r="C2482" s="3" t="s">
        <v>6</v>
      </c>
    </row>
    <row r="2483" spans="1:3" ht="13.5" thickBot="1" x14ac:dyDescent="0.25">
      <c r="A2483" s="3">
        <v>7758</v>
      </c>
      <c r="B2483" s="27">
        <v>45329.773553240739</v>
      </c>
      <c r="C2483" s="3" t="s">
        <v>7</v>
      </c>
    </row>
    <row r="2484" spans="1:3" ht="13.5" thickBot="1" x14ac:dyDescent="0.25">
      <c r="A2484" s="3">
        <v>2992</v>
      </c>
      <c r="B2484" s="27">
        <v>45329.77847222222</v>
      </c>
      <c r="C2484" s="3" t="s">
        <v>4</v>
      </c>
    </row>
    <row r="2485" spans="1:3" ht="13.5" thickBot="1" x14ac:dyDescent="0.25">
      <c r="A2485" s="3">
        <v>1116</v>
      </c>
      <c r="B2485" s="27">
        <v>45329.803182870368</v>
      </c>
      <c r="C2485" s="3" t="s">
        <v>6</v>
      </c>
    </row>
    <row r="2486" spans="1:3" ht="13.5" thickBot="1" x14ac:dyDescent="0.25">
      <c r="A2486" s="3">
        <v>3671</v>
      </c>
      <c r="B2486" s="27">
        <v>45329.804375</v>
      </c>
      <c r="C2486" s="3" t="s">
        <v>3</v>
      </c>
    </row>
    <row r="2487" spans="1:3" ht="13.5" thickBot="1" x14ac:dyDescent="0.25">
      <c r="A2487" s="3">
        <v>4408</v>
      </c>
      <c r="B2487" s="27">
        <v>45329.805706018517</v>
      </c>
      <c r="C2487" s="3" t="s">
        <v>3</v>
      </c>
    </row>
    <row r="2488" spans="1:3" ht="13.5" thickBot="1" x14ac:dyDescent="0.25">
      <c r="A2488" s="3">
        <v>6993</v>
      </c>
      <c r="B2488" s="27">
        <v>45329.80972222222</v>
      </c>
      <c r="C2488" s="3" t="s">
        <v>3</v>
      </c>
    </row>
    <row r="2489" spans="1:3" ht="13.5" thickBot="1" x14ac:dyDescent="0.25">
      <c r="A2489" s="3">
        <v>88</v>
      </c>
      <c r="B2489" s="27">
        <v>45329.825254629628</v>
      </c>
      <c r="C2489" s="3" t="s">
        <v>3</v>
      </c>
    </row>
    <row r="2490" spans="1:3" ht="13.5" thickBot="1" x14ac:dyDescent="0.25">
      <c r="A2490" s="3">
        <v>3097</v>
      </c>
      <c r="B2490" s="27">
        <v>45329.829826388886</v>
      </c>
      <c r="C2490" s="3" t="s">
        <v>6</v>
      </c>
    </row>
    <row r="2491" spans="1:3" ht="13.5" thickBot="1" x14ac:dyDescent="0.25">
      <c r="A2491" s="3">
        <v>4589</v>
      </c>
      <c r="B2491" s="27">
        <v>45329.831712962965</v>
      </c>
      <c r="C2491" s="3" t="s">
        <v>6</v>
      </c>
    </row>
    <row r="2492" spans="1:3" ht="13.5" thickBot="1" x14ac:dyDescent="0.25">
      <c r="A2492" s="3">
        <v>7788</v>
      </c>
      <c r="B2492" s="27">
        <v>45329.833831018521</v>
      </c>
      <c r="C2492" s="3" t="s">
        <v>7</v>
      </c>
    </row>
    <row r="2493" spans="1:3" ht="13.5" thickBot="1" x14ac:dyDescent="0.25">
      <c r="A2493" s="3">
        <v>1732</v>
      </c>
      <c r="B2493" s="27">
        <v>45329.865081018521</v>
      </c>
      <c r="C2493" s="3" t="s">
        <v>3</v>
      </c>
    </row>
    <row r="2494" spans="1:3" ht="13.5" thickBot="1" x14ac:dyDescent="0.25">
      <c r="A2494" s="3">
        <v>5412</v>
      </c>
      <c r="B2494" s="27">
        <v>45329.865648148145</v>
      </c>
      <c r="C2494" s="3" t="s">
        <v>4</v>
      </c>
    </row>
    <row r="2495" spans="1:3" ht="13.5" thickBot="1" x14ac:dyDescent="0.25">
      <c r="A2495" s="3">
        <v>3650</v>
      </c>
      <c r="B2495" s="27">
        <v>45329.88071759259</v>
      </c>
      <c r="C2495" s="3" t="s">
        <v>6</v>
      </c>
    </row>
    <row r="2496" spans="1:3" ht="13.5" thickBot="1" x14ac:dyDescent="0.25">
      <c r="A2496" s="3">
        <v>5364</v>
      </c>
      <c r="B2496" s="27">
        <v>45329.887835648151</v>
      </c>
      <c r="C2496" s="3" t="s">
        <v>5</v>
      </c>
    </row>
    <row r="2497" spans="1:3" ht="13.5" thickBot="1" x14ac:dyDescent="0.25">
      <c r="A2497" s="3">
        <v>6060</v>
      </c>
      <c r="B2497" s="27">
        <v>45329.898796296293</v>
      </c>
      <c r="C2497" s="3" t="s">
        <v>6</v>
      </c>
    </row>
    <row r="2498" spans="1:3" ht="13.5" thickBot="1" x14ac:dyDescent="0.25">
      <c r="A2498" s="3">
        <v>4053</v>
      </c>
      <c r="B2498" s="27">
        <v>45329.898969907408</v>
      </c>
      <c r="C2498" s="3" t="s">
        <v>3</v>
      </c>
    </row>
    <row r="2499" spans="1:3" ht="13.5" thickBot="1" x14ac:dyDescent="0.25">
      <c r="A2499" s="3">
        <v>823</v>
      </c>
      <c r="B2499" s="27">
        <v>45329.900694444441</v>
      </c>
      <c r="C2499" s="3" t="s">
        <v>3</v>
      </c>
    </row>
    <row r="2500" spans="1:3" ht="13.5" thickBot="1" x14ac:dyDescent="0.25">
      <c r="A2500" s="3">
        <v>822</v>
      </c>
      <c r="B2500" s="27">
        <v>45329.927361111113</v>
      </c>
      <c r="C2500" s="3" t="s">
        <v>3</v>
      </c>
    </row>
    <row r="2501" spans="1:3" ht="13.5" thickBot="1" x14ac:dyDescent="0.25">
      <c r="A2501" s="3">
        <v>5698</v>
      </c>
      <c r="B2501" s="27">
        <v>45329.92869212963</v>
      </c>
      <c r="C2501" s="3" t="s">
        <v>3</v>
      </c>
    </row>
    <row r="2502" spans="1:3" ht="13.5" thickBot="1" x14ac:dyDescent="0.25">
      <c r="A2502" s="3">
        <v>6267</v>
      </c>
      <c r="B2502" s="27">
        <v>45329.931944444441</v>
      </c>
      <c r="C2502" s="3" t="s">
        <v>5</v>
      </c>
    </row>
    <row r="2503" spans="1:3" ht="13.5" thickBot="1" x14ac:dyDescent="0.25">
      <c r="A2503" s="3">
        <v>7165</v>
      </c>
      <c r="B2503" s="27">
        <v>45329.935578703706</v>
      </c>
      <c r="C2503" s="3" t="s">
        <v>3</v>
      </c>
    </row>
    <row r="2504" spans="1:3" ht="13.5" thickBot="1" x14ac:dyDescent="0.25">
      <c r="A2504" s="3">
        <v>3979</v>
      </c>
      <c r="B2504" s="27">
        <v>45329.955300925925</v>
      </c>
      <c r="C2504" s="3" t="s">
        <v>3</v>
      </c>
    </row>
    <row r="2505" spans="1:3" ht="13.5" thickBot="1" x14ac:dyDescent="0.25">
      <c r="A2505" s="3">
        <v>136</v>
      </c>
      <c r="B2505" s="27">
        <v>45329.959155092591</v>
      </c>
      <c r="C2505" s="3" t="s">
        <v>3</v>
      </c>
    </row>
    <row r="2506" spans="1:3" ht="13.5" thickBot="1" x14ac:dyDescent="0.25">
      <c r="A2506" s="3">
        <v>5329</v>
      </c>
      <c r="B2506" s="27">
        <v>45329.968599537038</v>
      </c>
      <c r="C2506" s="3" t="s">
        <v>5</v>
      </c>
    </row>
    <row r="2507" spans="1:3" ht="13.5" thickBot="1" x14ac:dyDescent="0.25">
      <c r="A2507" s="3">
        <v>145</v>
      </c>
      <c r="B2507" s="27">
        <v>45329.979594907411</v>
      </c>
      <c r="C2507" s="3" t="s">
        <v>3</v>
      </c>
    </row>
    <row r="2508" spans="1:3" ht="13.5" thickBot="1" x14ac:dyDescent="0.25">
      <c r="A2508" s="3">
        <v>5412</v>
      </c>
      <c r="B2508" s="27">
        <v>45329.980671296296</v>
      </c>
      <c r="C2508" s="3" t="s">
        <v>3</v>
      </c>
    </row>
    <row r="2509" spans="1:3" ht="13.5" thickBot="1" x14ac:dyDescent="0.25">
      <c r="A2509" s="3">
        <v>1042</v>
      </c>
      <c r="B2509" s="27">
        <v>45329.981458333335</v>
      </c>
      <c r="C2509" s="3" t="s">
        <v>6</v>
      </c>
    </row>
    <row r="2510" spans="1:3" ht="13.5" thickBot="1" x14ac:dyDescent="0.25">
      <c r="A2510" s="3">
        <v>7932</v>
      </c>
      <c r="B2510" s="27">
        <v>45330.014664351853</v>
      </c>
      <c r="C2510" s="3" t="s">
        <v>6</v>
      </c>
    </row>
    <row r="2511" spans="1:3" ht="13.5" thickBot="1" x14ac:dyDescent="0.25">
      <c r="A2511" s="3">
        <v>7019</v>
      </c>
      <c r="B2511" s="27">
        <v>45330.045914351853</v>
      </c>
      <c r="C2511" s="3" t="s">
        <v>5</v>
      </c>
    </row>
    <row r="2512" spans="1:3" ht="13.5" thickBot="1" x14ac:dyDescent="0.25">
      <c r="A2512" s="3">
        <v>5922</v>
      </c>
      <c r="B2512" s="27">
        <v>45330.048020833332</v>
      </c>
      <c r="C2512" s="3" t="s">
        <v>6</v>
      </c>
    </row>
    <row r="2513" spans="1:3" ht="13.5" thickBot="1" x14ac:dyDescent="0.25">
      <c r="A2513" s="3">
        <v>2945</v>
      </c>
      <c r="B2513" s="27">
        <v>45330.091041666667</v>
      </c>
      <c r="C2513" s="3" t="s">
        <v>3</v>
      </c>
    </row>
    <row r="2514" spans="1:3" ht="13.5" thickBot="1" x14ac:dyDescent="0.25">
      <c r="A2514" s="3">
        <v>790</v>
      </c>
      <c r="B2514" s="27">
        <v>45330.113356481481</v>
      </c>
      <c r="C2514" s="3" t="s">
        <v>5</v>
      </c>
    </row>
    <row r="2515" spans="1:3" ht="13.5" thickBot="1" x14ac:dyDescent="0.25">
      <c r="A2515" s="3">
        <v>7948</v>
      </c>
      <c r="B2515" s="27">
        <v>45330.128240740742</v>
      </c>
      <c r="C2515" s="3" t="s">
        <v>6</v>
      </c>
    </row>
    <row r="2516" spans="1:3" ht="13.5" thickBot="1" x14ac:dyDescent="0.25">
      <c r="A2516" s="3">
        <v>6899</v>
      </c>
      <c r="B2516" s="27">
        <v>45330.145567129628</v>
      </c>
      <c r="C2516" s="3" t="s">
        <v>3</v>
      </c>
    </row>
    <row r="2517" spans="1:3" ht="13.5" thickBot="1" x14ac:dyDescent="0.25">
      <c r="A2517" s="3">
        <v>6058</v>
      </c>
      <c r="B2517" s="27">
        <v>45330.19027777778</v>
      </c>
      <c r="C2517" s="3" t="s">
        <v>3</v>
      </c>
    </row>
    <row r="2518" spans="1:3" ht="13.5" thickBot="1" x14ac:dyDescent="0.25">
      <c r="A2518" s="3">
        <v>4767</v>
      </c>
      <c r="B2518" s="27">
        <v>45330.20171296296</v>
      </c>
      <c r="C2518" s="3" t="s">
        <v>7</v>
      </c>
    </row>
    <row r="2519" spans="1:3" ht="13.5" thickBot="1" x14ac:dyDescent="0.25">
      <c r="A2519" s="3">
        <v>4953</v>
      </c>
      <c r="B2519" s="27">
        <v>45330.206655092596</v>
      </c>
      <c r="C2519" s="3" t="s">
        <v>4</v>
      </c>
    </row>
    <row r="2520" spans="1:3" ht="13.5" thickBot="1" x14ac:dyDescent="0.25">
      <c r="A2520" s="3">
        <v>3414</v>
      </c>
      <c r="B2520" s="27">
        <v>45330.227581018517</v>
      </c>
      <c r="C2520" s="3" t="s">
        <v>5</v>
      </c>
    </row>
    <row r="2521" spans="1:3" ht="13.5" thickBot="1" x14ac:dyDescent="0.25">
      <c r="A2521" s="3">
        <v>1262</v>
      </c>
      <c r="B2521" s="27">
        <v>45330.270370370374</v>
      </c>
      <c r="C2521" s="3" t="s">
        <v>3</v>
      </c>
    </row>
    <row r="2522" spans="1:3" ht="13.5" thickBot="1" x14ac:dyDescent="0.25">
      <c r="A2522" s="3">
        <v>1741</v>
      </c>
      <c r="B2522" s="27">
        <v>45330.289212962962</v>
      </c>
      <c r="C2522" s="3" t="s">
        <v>5</v>
      </c>
    </row>
    <row r="2523" spans="1:3" ht="13.5" thickBot="1" x14ac:dyDescent="0.25">
      <c r="A2523" s="3">
        <v>5863</v>
      </c>
      <c r="B2523" s="27">
        <v>45330.293611111112</v>
      </c>
      <c r="C2523" s="3" t="s">
        <v>7</v>
      </c>
    </row>
    <row r="2524" spans="1:3" ht="13.5" thickBot="1" x14ac:dyDescent="0.25">
      <c r="A2524" s="3">
        <v>5418</v>
      </c>
      <c r="B2524" s="27">
        <v>45330.29378472222</v>
      </c>
      <c r="C2524" s="3" t="s">
        <v>3</v>
      </c>
    </row>
    <row r="2525" spans="1:3" ht="13.5" thickBot="1" x14ac:dyDescent="0.25">
      <c r="A2525" s="3">
        <v>1769</v>
      </c>
      <c r="B2525" s="27">
        <v>45330.327384259261</v>
      </c>
      <c r="C2525" s="3" t="s">
        <v>6</v>
      </c>
    </row>
    <row r="2526" spans="1:3" ht="13.5" thickBot="1" x14ac:dyDescent="0.25">
      <c r="A2526" s="3">
        <v>4817</v>
      </c>
      <c r="B2526" s="27">
        <v>45330.335150462961</v>
      </c>
      <c r="C2526" s="3" t="s">
        <v>4</v>
      </c>
    </row>
    <row r="2527" spans="1:3" ht="13.5" thickBot="1" x14ac:dyDescent="0.25">
      <c r="A2527" s="3">
        <v>1845</v>
      </c>
      <c r="B2527" s="27">
        <v>45330.350798611114</v>
      </c>
      <c r="C2527" s="3" t="s">
        <v>4</v>
      </c>
    </row>
    <row r="2528" spans="1:3" ht="13.5" thickBot="1" x14ac:dyDescent="0.25">
      <c r="A2528" s="3">
        <v>2095</v>
      </c>
      <c r="B2528" s="27">
        <v>45330.359247685185</v>
      </c>
      <c r="C2528" s="3" t="s">
        <v>6</v>
      </c>
    </row>
    <row r="2529" spans="1:3" ht="13.5" thickBot="1" x14ac:dyDescent="0.25">
      <c r="A2529" s="3">
        <v>5494</v>
      </c>
      <c r="B2529" s="27">
        <v>45330.390543981484</v>
      </c>
      <c r="C2529" s="3" t="s">
        <v>3</v>
      </c>
    </row>
    <row r="2530" spans="1:3" ht="13.5" thickBot="1" x14ac:dyDescent="0.25">
      <c r="A2530" s="3">
        <v>2035</v>
      </c>
      <c r="B2530" s="27">
        <v>45330.413854166669</v>
      </c>
      <c r="C2530" s="3" t="s">
        <v>3</v>
      </c>
    </row>
    <row r="2531" spans="1:3" ht="13.5" thickBot="1" x14ac:dyDescent="0.25">
      <c r="A2531" s="3">
        <v>697</v>
      </c>
      <c r="B2531" s="27">
        <v>45330.46329861111</v>
      </c>
      <c r="C2531" s="3" t="s">
        <v>6</v>
      </c>
    </row>
    <row r="2532" spans="1:3" ht="13.5" thickBot="1" x14ac:dyDescent="0.25">
      <c r="A2532" s="3">
        <v>790</v>
      </c>
      <c r="B2532" s="27">
        <v>45330.463472222225</v>
      </c>
      <c r="C2532" s="3" t="s">
        <v>7</v>
      </c>
    </row>
    <row r="2533" spans="1:3" ht="13.5" thickBot="1" x14ac:dyDescent="0.25">
      <c r="A2533" s="3">
        <v>5169</v>
      </c>
      <c r="B2533" s="27">
        <v>45330.488229166665</v>
      </c>
      <c r="C2533" s="3" t="s">
        <v>3</v>
      </c>
    </row>
    <row r="2534" spans="1:3" ht="13.5" thickBot="1" x14ac:dyDescent="0.25">
      <c r="A2534" s="3">
        <v>5372</v>
      </c>
      <c r="B2534" s="27">
        <v>45330.536759259259</v>
      </c>
      <c r="C2534" s="3" t="s">
        <v>4</v>
      </c>
    </row>
    <row r="2535" spans="1:3" ht="13.5" thickBot="1" x14ac:dyDescent="0.25">
      <c r="A2535" s="3">
        <v>6373</v>
      </c>
      <c r="B2535" s="27">
        <v>45330.578287037039</v>
      </c>
      <c r="C2535" s="3" t="s">
        <v>4</v>
      </c>
    </row>
    <row r="2536" spans="1:3" ht="13.5" thickBot="1" x14ac:dyDescent="0.25">
      <c r="A2536" s="3">
        <v>1845</v>
      </c>
      <c r="B2536" s="27">
        <v>45330.578993055555</v>
      </c>
      <c r="C2536" s="3" t="s">
        <v>3</v>
      </c>
    </row>
    <row r="2537" spans="1:3" ht="13.5" thickBot="1" x14ac:dyDescent="0.25">
      <c r="A2537" s="3">
        <v>5608</v>
      </c>
      <c r="B2537" s="27">
        <v>45330.592326388891</v>
      </c>
      <c r="C2537" s="3" t="s">
        <v>3</v>
      </c>
    </row>
    <row r="2538" spans="1:3" ht="13.5" thickBot="1" x14ac:dyDescent="0.25">
      <c r="A2538" s="3">
        <v>1613</v>
      </c>
      <c r="B2538" s="27">
        <v>45330.60019675926</v>
      </c>
      <c r="C2538" s="3" t="s">
        <v>3</v>
      </c>
    </row>
    <row r="2539" spans="1:3" ht="13.5" thickBot="1" x14ac:dyDescent="0.25">
      <c r="A2539" s="3">
        <v>4492</v>
      </c>
      <c r="B2539" s="27">
        <v>45330.631458333337</v>
      </c>
      <c r="C2539" s="3" t="s">
        <v>4</v>
      </c>
    </row>
    <row r="2540" spans="1:3" ht="13.5" thickBot="1" x14ac:dyDescent="0.25">
      <c r="A2540" s="3">
        <v>6373</v>
      </c>
      <c r="B2540" s="27">
        <v>45330.637152777781</v>
      </c>
      <c r="C2540" s="3" t="s">
        <v>3</v>
      </c>
    </row>
    <row r="2541" spans="1:3" ht="13.5" thickBot="1" x14ac:dyDescent="0.25">
      <c r="A2541" s="3">
        <v>939</v>
      </c>
      <c r="B2541" s="27">
        <v>45330.653402777774</v>
      </c>
      <c r="C2541" s="3" t="s">
        <v>3</v>
      </c>
    </row>
    <row r="2542" spans="1:3" ht="13.5" thickBot="1" x14ac:dyDescent="0.25">
      <c r="A2542" s="3">
        <v>6478</v>
      </c>
      <c r="B2542" s="27">
        <v>45330.740486111114</v>
      </c>
      <c r="C2542" s="3" t="s">
        <v>4</v>
      </c>
    </row>
    <row r="2543" spans="1:3" ht="13.5" thickBot="1" x14ac:dyDescent="0.25">
      <c r="A2543" s="3">
        <v>1889</v>
      </c>
      <c r="B2543" s="27">
        <v>45330.774664351855</v>
      </c>
      <c r="C2543" s="3" t="s">
        <v>7</v>
      </c>
    </row>
    <row r="2544" spans="1:3" ht="13.5" thickBot="1" x14ac:dyDescent="0.25">
      <c r="A2544" s="3">
        <v>1262</v>
      </c>
      <c r="B2544" s="27">
        <v>45330.780532407407</v>
      </c>
      <c r="C2544" s="3" t="s">
        <v>5</v>
      </c>
    </row>
    <row r="2545" spans="1:3" ht="13.5" thickBot="1" x14ac:dyDescent="0.25">
      <c r="A2545" s="3">
        <v>2330</v>
      </c>
      <c r="B2545" s="27">
        <v>45330.797708333332</v>
      </c>
      <c r="C2545" s="3" t="s">
        <v>3</v>
      </c>
    </row>
    <row r="2546" spans="1:3" ht="13.5" thickBot="1" x14ac:dyDescent="0.25">
      <c r="A2546" s="3">
        <v>1618</v>
      </c>
      <c r="B2546" s="27">
        <v>45330.813171296293</v>
      </c>
      <c r="C2546" s="3" t="s">
        <v>3</v>
      </c>
    </row>
    <row r="2547" spans="1:3" ht="13.5" thickBot="1" x14ac:dyDescent="0.25">
      <c r="A2547" s="3">
        <v>7245</v>
      </c>
      <c r="B2547" s="27">
        <v>45330.850844907407</v>
      </c>
      <c r="C2547" s="3" t="s">
        <v>3</v>
      </c>
    </row>
    <row r="2548" spans="1:3" ht="13.5" thickBot="1" x14ac:dyDescent="0.25">
      <c r="A2548" s="3">
        <v>3235</v>
      </c>
      <c r="B2548" s="27">
        <v>45330.866689814815</v>
      </c>
      <c r="C2548" s="3" t="s">
        <v>3</v>
      </c>
    </row>
    <row r="2549" spans="1:3" ht="13.5" thickBot="1" x14ac:dyDescent="0.25">
      <c r="A2549" s="3">
        <v>5785</v>
      </c>
      <c r="B2549" s="27">
        <v>45330.912164351852</v>
      </c>
      <c r="C2549" s="3" t="s">
        <v>3</v>
      </c>
    </row>
    <row r="2550" spans="1:3" ht="13.5" thickBot="1" x14ac:dyDescent="0.25">
      <c r="A2550" s="3">
        <v>7815</v>
      </c>
      <c r="B2550" s="27">
        <v>45330.93378472222</v>
      </c>
      <c r="C2550" s="3" t="s">
        <v>3</v>
      </c>
    </row>
    <row r="2551" spans="1:3" ht="13.5" thickBot="1" x14ac:dyDescent="0.25">
      <c r="A2551" s="3">
        <v>1518</v>
      </c>
      <c r="B2551" s="27">
        <v>45330.938530092593</v>
      </c>
      <c r="C2551" s="3" t="s">
        <v>3</v>
      </c>
    </row>
    <row r="2552" spans="1:3" ht="13.5" thickBot="1" x14ac:dyDescent="0.25">
      <c r="A2552" s="3">
        <v>4702</v>
      </c>
      <c r="B2552" s="27">
        <v>45330.946504629632</v>
      </c>
      <c r="C2552" s="3" t="s">
        <v>6</v>
      </c>
    </row>
    <row r="2553" spans="1:3" ht="13.5" thickBot="1" x14ac:dyDescent="0.25">
      <c r="A2553" s="3">
        <v>2330</v>
      </c>
      <c r="B2553" s="27">
        <v>45330.946967592594</v>
      </c>
      <c r="C2553" s="3" t="s">
        <v>4</v>
      </c>
    </row>
    <row r="2554" spans="1:3" ht="13.5" thickBot="1" x14ac:dyDescent="0.25">
      <c r="A2554" s="3">
        <v>4649</v>
      </c>
      <c r="B2554" s="27">
        <v>45330.993020833332</v>
      </c>
      <c r="C2554" s="3" t="s">
        <v>3</v>
      </c>
    </row>
    <row r="2555" spans="1:3" ht="13.5" thickBot="1" x14ac:dyDescent="0.25">
      <c r="A2555" s="3">
        <v>7245</v>
      </c>
      <c r="B2555" s="27">
        <v>45330.995173611111</v>
      </c>
      <c r="C2555" s="3" t="s">
        <v>4</v>
      </c>
    </row>
    <row r="2556" spans="1:3" ht="13.5" thickBot="1" x14ac:dyDescent="0.25">
      <c r="A2556" s="3">
        <v>2776</v>
      </c>
      <c r="B2556" s="27">
        <v>45331.003587962965</v>
      </c>
      <c r="C2556" s="3" t="s">
        <v>4</v>
      </c>
    </row>
    <row r="2557" spans="1:3" ht="13.5" thickBot="1" x14ac:dyDescent="0.25">
      <c r="A2557" s="3">
        <v>185</v>
      </c>
      <c r="B2557" s="27">
        <v>45331.006030092591</v>
      </c>
      <c r="C2557" s="3" t="s">
        <v>3</v>
      </c>
    </row>
    <row r="2558" spans="1:3" ht="13.5" thickBot="1" x14ac:dyDescent="0.25">
      <c r="A2558" s="3">
        <v>7597</v>
      </c>
      <c r="B2558" s="27">
        <v>45331.012916666667</v>
      </c>
      <c r="C2558" s="3" t="s">
        <v>4</v>
      </c>
    </row>
    <row r="2559" spans="1:3" ht="13.5" thickBot="1" x14ac:dyDescent="0.25">
      <c r="A2559" s="3">
        <v>6773</v>
      </c>
      <c r="B2559" s="27">
        <v>45331.038437499999</v>
      </c>
      <c r="C2559" s="3" t="s">
        <v>3</v>
      </c>
    </row>
    <row r="2560" spans="1:3" ht="13.5" thickBot="1" x14ac:dyDescent="0.25">
      <c r="A2560" s="3">
        <v>3902</v>
      </c>
      <c r="B2560" s="27">
        <v>45331.044317129628</v>
      </c>
      <c r="C2560" s="3" t="s">
        <v>3</v>
      </c>
    </row>
    <row r="2561" spans="1:3" ht="13.5" thickBot="1" x14ac:dyDescent="0.25">
      <c r="A2561" s="3">
        <v>1199</v>
      </c>
      <c r="B2561" s="27">
        <v>45331.058472222219</v>
      </c>
      <c r="C2561" s="3" t="s">
        <v>3</v>
      </c>
    </row>
    <row r="2562" spans="1:3" ht="13.5" thickBot="1" x14ac:dyDescent="0.25">
      <c r="A2562" s="3">
        <v>2038</v>
      </c>
      <c r="B2562" s="27">
        <v>45331.068240740744</v>
      </c>
      <c r="C2562" s="3" t="s">
        <v>4</v>
      </c>
    </row>
    <row r="2563" spans="1:3" ht="13.5" thickBot="1" x14ac:dyDescent="0.25">
      <c r="A2563" s="3">
        <v>3414</v>
      </c>
      <c r="B2563" s="27">
        <v>45331.072777777779</v>
      </c>
      <c r="C2563" s="3" t="s">
        <v>4</v>
      </c>
    </row>
    <row r="2564" spans="1:3" ht="13.5" thickBot="1" x14ac:dyDescent="0.25">
      <c r="A2564" s="3">
        <v>101</v>
      </c>
      <c r="B2564" s="27">
        <v>45331.085729166669</v>
      </c>
      <c r="C2564" s="3" t="s">
        <v>6</v>
      </c>
    </row>
    <row r="2565" spans="1:3" ht="13.5" thickBot="1" x14ac:dyDescent="0.25">
      <c r="A2565" s="3">
        <v>4094</v>
      </c>
      <c r="B2565" s="27">
        <v>45331.096377314818</v>
      </c>
      <c r="C2565" s="3" t="s">
        <v>3</v>
      </c>
    </row>
    <row r="2566" spans="1:3" ht="13.5" thickBot="1" x14ac:dyDescent="0.25">
      <c r="A2566" s="3">
        <v>2729</v>
      </c>
      <c r="B2566" s="27">
        <v>45331.151967592596</v>
      </c>
      <c r="C2566" s="3" t="s">
        <v>3</v>
      </c>
    </row>
    <row r="2567" spans="1:3" ht="13.5" thickBot="1" x14ac:dyDescent="0.25">
      <c r="A2567" s="3">
        <v>1741</v>
      </c>
      <c r="B2567" s="27">
        <v>45331.168993055559</v>
      </c>
      <c r="C2567" s="3" t="s">
        <v>7</v>
      </c>
    </row>
    <row r="2568" spans="1:3" ht="13.5" thickBot="1" x14ac:dyDescent="0.25">
      <c r="A2568" s="3">
        <v>5494</v>
      </c>
      <c r="B2568" s="27">
        <v>45331.192152777781</v>
      </c>
      <c r="C2568" s="3" t="s">
        <v>4</v>
      </c>
    </row>
    <row r="2569" spans="1:3" ht="13.5" thickBot="1" x14ac:dyDescent="0.25">
      <c r="A2569" s="3">
        <v>7662</v>
      </c>
      <c r="B2569" s="27">
        <v>45331.204918981479</v>
      </c>
      <c r="C2569" s="3" t="s">
        <v>3</v>
      </c>
    </row>
    <row r="2570" spans="1:3" ht="13.5" thickBot="1" x14ac:dyDescent="0.25">
      <c r="A2570" s="3">
        <v>7788</v>
      </c>
      <c r="B2570" s="27">
        <v>45331.23510416667</v>
      </c>
      <c r="C2570" s="3" t="s">
        <v>6</v>
      </c>
    </row>
    <row r="2571" spans="1:3" ht="13.5" thickBot="1" x14ac:dyDescent="0.25">
      <c r="A2571" s="3">
        <v>6892</v>
      </c>
      <c r="B2571" s="27">
        <v>45331.2421875</v>
      </c>
      <c r="C2571" s="3" t="s">
        <v>3</v>
      </c>
    </row>
    <row r="2572" spans="1:3" ht="13.5" thickBot="1" x14ac:dyDescent="0.25">
      <c r="A2572" s="3">
        <v>514</v>
      </c>
      <c r="B2572" s="27">
        <v>45331.250625000001</v>
      </c>
      <c r="C2572" s="3" t="s">
        <v>3</v>
      </c>
    </row>
    <row r="2573" spans="1:3" ht="13.5" thickBot="1" x14ac:dyDescent="0.25">
      <c r="A2573" s="3">
        <v>1732</v>
      </c>
      <c r="B2573" s="27">
        <v>45331.253275462965</v>
      </c>
      <c r="C2573" s="3" t="s">
        <v>4</v>
      </c>
    </row>
    <row r="2574" spans="1:3" ht="13.5" thickBot="1" x14ac:dyDescent="0.25">
      <c r="A2574" s="3">
        <v>2248</v>
      </c>
      <c r="B2574" s="27">
        <v>45331.2575462963</v>
      </c>
      <c r="C2574" s="3" t="s">
        <v>3</v>
      </c>
    </row>
    <row r="2575" spans="1:3" ht="13.5" thickBot="1" x14ac:dyDescent="0.25">
      <c r="A2575" s="3">
        <v>7650</v>
      </c>
      <c r="B2575" s="27">
        <v>45331.268495370372</v>
      </c>
      <c r="C2575" s="3" t="s">
        <v>3</v>
      </c>
    </row>
    <row r="2576" spans="1:3" ht="13.5" thickBot="1" x14ac:dyDescent="0.25">
      <c r="A2576" s="3">
        <v>5841</v>
      </c>
      <c r="B2576" s="27">
        <v>45331.281504629631</v>
      </c>
      <c r="C2576" s="3" t="s">
        <v>3</v>
      </c>
    </row>
    <row r="2577" spans="1:3" ht="13.5" thickBot="1" x14ac:dyDescent="0.25">
      <c r="A2577" s="3">
        <v>871</v>
      </c>
      <c r="B2577" s="27">
        <v>45331.309837962966</v>
      </c>
      <c r="C2577" s="3" t="s">
        <v>3</v>
      </c>
    </row>
    <row r="2578" spans="1:3" ht="13.5" thickBot="1" x14ac:dyDescent="0.25">
      <c r="A2578" s="3">
        <v>88</v>
      </c>
      <c r="B2578" s="27">
        <v>45331.330972222226</v>
      </c>
      <c r="C2578" s="3" t="s">
        <v>4</v>
      </c>
    </row>
    <row r="2579" spans="1:3" ht="13.5" thickBot="1" x14ac:dyDescent="0.25">
      <c r="A2579" s="3">
        <v>3222</v>
      </c>
      <c r="B2579" s="27">
        <v>45331.335763888892</v>
      </c>
      <c r="C2579" s="3" t="s">
        <v>4</v>
      </c>
    </row>
    <row r="2580" spans="1:3" ht="13.5" thickBot="1" x14ac:dyDescent="0.25">
      <c r="A2580" s="3">
        <v>2945</v>
      </c>
      <c r="B2580" s="27">
        <v>45331.337858796294</v>
      </c>
      <c r="C2580" s="3" t="s">
        <v>5</v>
      </c>
    </row>
    <row r="2581" spans="1:3" ht="13.5" thickBot="1" x14ac:dyDescent="0.25">
      <c r="A2581" s="3">
        <v>2859</v>
      </c>
      <c r="B2581" s="27">
        <v>45331.376377314817</v>
      </c>
      <c r="C2581" s="3" t="s">
        <v>6</v>
      </c>
    </row>
    <row r="2582" spans="1:3" ht="13.5" thickBot="1" x14ac:dyDescent="0.25">
      <c r="A2582" s="3">
        <v>448</v>
      </c>
      <c r="B2582" s="27">
        <v>45331.380381944444</v>
      </c>
      <c r="C2582" s="3" t="s">
        <v>3</v>
      </c>
    </row>
    <row r="2583" spans="1:3" ht="13.5" thickBot="1" x14ac:dyDescent="0.25">
      <c r="A2583" s="3">
        <v>7815</v>
      </c>
      <c r="B2583" s="27">
        <v>45331.416747685187</v>
      </c>
      <c r="C2583" s="3" t="s">
        <v>4</v>
      </c>
    </row>
    <row r="2584" spans="1:3" ht="13.5" thickBot="1" x14ac:dyDescent="0.25">
      <c r="A2584" s="3">
        <v>5364</v>
      </c>
      <c r="B2584" s="27">
        <v>45331.423958333333</v>
      </c>
      <c r="C2584" s="3" t="s">
        <v>7</v>
      </c>
    </row>
    <row r="2585" spans="1:3" ht="13.5" thickBot="1" x14ac:dyDescent="0.25">
      <c r="A2585" s="3">
        <v>4921</v>
      </c>
      <c r="B2585" s="27">
        <v>45331.432905092595</v>
      </c>
      <c r="C2585" s="3" t="s">
        <v>4</v>
      </c>
    </row>
    <row r="2586" spans="1:3" ht="13.5" thickBot="1" x14ac:dyDescent="0.25">
      <c r="A2586" s="3">
        <v>2038</v>
      </c>
      <c r="B2586" s="27">
        <v>45331.452337962961</v>
      </c>
      <c r="C2586" s="3" t="s">
        <v>3</v>
      </c>
    </row>
    <row r="2587" spans="1:3" ht="13.5" thickBot="1" x14ac:dyDescent="0.25">
      <c r="A2587" s="3">
        <v>4295</v>
      </c>
      <c r="B2587" s="27">
        <v>45331.46980324074</v>
      </c>
      <c r="C2587" s="3" t="s">
        <v>3</v>
      </c>
    </row>
    <row r="2588" spans="1:3" ht="13.5" thickBot="1" x14ac:dyDescent="0.25">
      <c r="A2588" s="3">
        <v>2185</v>
      </c>
      <c r="B2588" s="27">
        <v>45331.496828703705</v>
      </c>
      <c r="C2588" s="3" t="s">
        <v>5</v>
      </c>
    </row>
    <row r="2589" spans="1:3" ht="13.5" thickBot="1" x14ac:dyDescent="0.25">
      <c r="A2589" s="3">
        <v>7832</v>
      </c>
      <c r="B2589" s="27">
        <v>45331.500289351854</v>
      </c>
      <c r="C2589" s="3" t="s">
        <v>3</v>
      </c>
    </row>
    <row r="2590" spans="1:3" ht="13.5" thickBot="1" x14ac:dyDescent="0.25">
      <c r="A2590" s="3">
        <v>3978</v>
      </c>
      <c r="B2590" s="27">
        <v>45331.50509259259</v>
      </c>
      <c r="C2590" s="3" t="s">
        <v>3</v>
      </c>
    </row>
    <row r="2591" spans="1:3" ht="13.5" thickBot="1" x14ac:dyDescent="0.25">
      <c r="A2591" s="3">
        <v>2440</v>
      </c>
      <c r="B2591" s="27">
        <v>45331.506261574075</v>
      </c>
      <c r="C2591" s="3" t="s">
        <v>3</v>
      </c>
    </row>
    <row r="2592" spans="1:3" ht="13.5" thickBot="1" x14ac:dyDescent="0.25">
      <c r="A2592" s="3">
        <v>1451</v>
      </c>
      <c r="B2592" s="27">
        <v>45331.511388888888</v>
      </c>
      <c r="C2592" s="3" t="s">
        <v>7</v>
      </c>
    </row>
    <row r="2593" spans="1:3" ht="13.5" thickBot="1" x14ac:dyDescent="0.25">
      <c r="A2593" s="3">
        <v>6985</v>
      </c>
      <c r="B2593" s="27">
        <v>45331.514745370368</v>
      </c>
      <c r="C2593" s="3" t="s">
        <v>3</v>
      </c>
    </row>
    <row r="2594" spans="1:3" ht="13.5" thickBot="1" x14ac:dyDescent="0.25">
      <c r="A2594" s="3">
        <v>2185</v>
      </c>
      <c r="B2594" s="27">
        <v>45331.527013888888</v>
      </c>
      <c r="C2594" s="3" t="s">
        <v>7</v>
      </c>
    </row>
    <row r="2595" spans="1:3" ht="13.5" thickBot="1" x14ac:dyDescent="0.25">
      <c r="A2595" s="3">
        <v>669</v>
      </c>
      <c r="B2595" s="27">
        <v>45331.52715277778</v>
      </c>
      <c r="C2595" s="3" t="s">
        <v>3</v>
      </c>
    </row>
    <row r="2596" spans="1:3" ht="13.5" thickBot="1" x14ac:dyDescent="0.25">
      <c r="A2596" s="3">
        <v>4700</v>
      </c>
      <c r="B2596" s="27">
        <v>45331.541030092594</v>
      </c>
      <c r="C2596" s="3" t="s">
        <v>3</v>
      </c>
    </row>
    <row r="2597" spans="1:3" ht="13.5" thickBot="1" x14ac:dyDescent="0.25">
      <c r="A2597" s="3">
        <v>3668</v>
      </c>
      <c r="B2597" s="27">
        <v>45331.544108796297</v>
      </c>
      <c r="C2597" s="3" t="s">
        <v>3</v>
      </c>
    </row>
    <row r="2598" spans="1:3" ht="13.5" thickBot="1" x14ac:dyDescent="0.25">
      <c r="A2598" s="3">
        <v>1746</v>
      </c>
      <c r="B2598" s="27">
        <v>45331.550069444442</v>
      </c>
      <c r="C2598" s="3" t="s">
        <v>3</v>
      </c>
    </row>
    <row r="2599" spans="1:3" ht="13.5" thickBot="1" x14ac:dyDescent="0.25">
      <c r="A2599" s="3">
        <v>5035</v>
      </c>
      <c r="B2599" s="27">
        <v>45331.561574074076</v>
      </c>
      <c r="C2599" s="3" t="s">
        <v>4</v>
      </c>
    </row>
    <row r="2600" spans="1:3" ht="13.5" thickBot="1" x14ac:dyDescent="0.25">
      <c r="A2600" s="3">
        <v>2352</v>
      </c>
      <c r="B2600" s="27">
        <v>45331.574525462966</v>
      </c>
      <c r="C2600" s="3" t="s">
        <v>4</v>
      </c>
    </row>
    <row r="2601" spans="1:3" ht="13.5" thickBot="1" x14ac:dyDescent="0.25">
      <c r="A2601" s="3">
        <v>1601</v>
      </c>
      <c r="B2601" s="27">
        <v>45331.586793981478</v>
      </c>
      <c r="C2601" s="3" t="s">
        <v>5</v>
      </c>
    </row>
    <row r="2602" spans="1:3" ht="13.5" thickBot="1" x14ac:dyDescent="0.25">
      <c r="A2602" s="3">
        <v>5169</v>
      </c>
      <c r="B2602" s="27">
        <v>45331.627071759256</v>
      </c>
      <c r="C2602" s="3" t="s">
        <v>6</v>
      </c>
    </row>
    <row r="2603" spans="1:3" ht="13.5" thickBot="1" x14ac:dyDescent="0.25">
      <c r="A2603" s="3">
        <v>5575</v>
      </c>
      <c r="B2603" s="27">
        <v>45331.632245370369</v>
      </c>
      <c r="C2603" s="3" t="s">
        <v>3</v>
      </c>
    </row>
    <row r="2604" spans="1:3" ht="13.5" thickBot="1" x14ac:dyDescent="0.25">
      <c r="A2604" s="3">
        <v>5605</v>
      </c>
      <c r="B2604" s="27">
        <v>45331.632638888892</v>
      </c>
      <c r="C2604" s="3" t="s">
        <v>3</v>
      </c>
    </row>
    <row r="2605" spans="1:3" ht="13.5" thickBot="1" x14ac:dyDescent="0.25">
      <c r="A2605" s="3">
        <v>5502</v>
      </c>
      <c r="B2605" s="27">
        <v>45331.640833333331</v>
      </c>
      <c r="C2605" s="3" t="s">
        <v>3</v>
      </c>
    </row>
    <row r="2606" spans="1:3" ht="13.5" thickBot="1" x14ac:dyDescent="0.25">
      <c r="A2606" s="3">
        <v>7019</v>
      </c>
      <c r="B2606" s="27">
        <v>45331.644791666666</v>
      </c>
      <c r="C2606" s="3" t="s">
        <v>7</v>
      </c>
    </row>
    <row r="2607" spans="1:3" ht="13.5" thickBot="1" x14ac:dyDescent="0.25">
      <c r="A2607" s="3">
        <v>3365</v>
      </c>
      <c r="B2607" s="27">
        <v>45331.651400462964</v>
      </c>
      <c r="C2607" s="3" t="s">
        <v>4</v>
      </c>
    </row>
    <row r="2608" spans="1:3" ht="13.5" thickBot="1" x14ac:dyDescent="0.25">
      <c r="A2608" s="3">
        <v>6519</v>
      </c>
      <c r="B2608" s="27">
        <v>45331.663136574076</v>
      </c>
      <c r="C2608" s="3" t="s">
        <v>3</v>
      </c>
    </row>
    <row r="2609" spans="1:3" ht="13.5" thickBot="1" x14ac:dyDescent="0.25">
      <c r="A2609" s="3">
        <v>3414</v>
      </c>
      <c r="B2609" s="27">
        <v>45331.68204861111</v>
      </c>
      <c r="C2609" s="3" t="s">
        <v>6</v>
      </c>
    </row>
    <row r="2610" spans="1:3" ht="13.5" thickBot="1" x14ac:dyDescent="0.25">
      <c r="A2610" s="3">
        <v>5707</v>
      </c>
      <c r="B2610" s="27">
        <v>45331.690960648149</v>
      </c>
      <c r="C2610" s="3" t="s">
        <v>6</v>
      </c>
    </row>
    <row r="2611" spans="1:3" ht="13.5" thickBot="1" x14ac:dyDescent="0.25">
      <c r="A2611" s="3">
        <v>738</v>
      </c>
      <c r="B2611" s="27">
        <v>45331.704097222224</v>
      </c>
      <c r="C2611" s="3" t="s">
        <v>3</v>
      </c>
    </row>
    <row r="2612" spans="1:3" ht="13.5" thickBot="1" x14ac:dyDescent="0.25">
      <c r="A2612" s="3">
        <v>165</v>
      </c>
      <c r="B2612" s="27">
        <v>45331.712245370371</v>
      </c>
      <c r="C2612" s="3" t="s">
        <v>3</v>
      </c>
    </row>
    <row r="2613" spans="1:3" ht="13.5" thickBot="1" x14ac:dyDescent="0.25">
      <c r="A2613" s="3">
        <v>3365</v>
      </c>
      <c r="B2613" s="27">
        <v>45331.729189814818</v>
      </c>
      <c r="C2613" s="3" t="s">
        <v>3</v>
      </c>
    </row>
    <row r="2614" spans="1:3" ht="13.5" thickBot="1" x14ac:dyDescent="0.25">
      <c r="A2614" s="3">
        <v>3976</v>
      </c>
      <c r="B2614" s="27">
        <v>45331.731747685182</v>
      </c>
      <c r="C2614" s="3" t="s">
        <v>5</v>
      </c>
    </row>
    <row r="2615" spans="1:3" ht="13.5" thickBot="1" x14ac:dyDescent="0.25">
      <c r="A2615" s="3">
        <v>2288</v>
      </c>
      <c r="B2615" s="27">
        <v>45331.763553240744</v>
      </c>
      <c r="C2615" s="3" t="s">
        <v>3</v>
      </c>
    </row>
    <row r="2616" spans="1:3" ht="13.5" thickBot="1" x14ac:dyDescent="0.25">
      <c r="A2616" s="3">
        <v>7050</v>
      </c>
      <c r="B2616" s="27">
        <v>45331.780995370369</v>
      </c>
      <c r="C2616" s="3" t="s">
        <v>3</v>
      </c>
    </row>
    <row r="2617" spans="1:3" ht="13.5" thickBot="1" x14ac:dyDescent="0.25">
      <c r="A2617" s="3">
        <v>7597</v>
      </c>
      <c r="B2617" s="27">
        <v>45331.784502314818</v>
      </c>
      <c r="C2617" s="3" t="s">
        <v>3</v>
      </c>
    </row>
    <row r="2618" spans="1:3" ht="13.5" thickBot="1" x14ac:dyDescent="0.25">
      <c r="A2618" s="3">
        <v>133</v>
      </c>
      <c r="B2618" s="27">
        <v>45331.797685185185</v>
      </c>
      <c r="C2618" s="3" t="s">
        <v>6</v>
      </c>
    </row>
    <row r="2619" spans="1:3" ht="13.5" thickBot="1" x14ac:dyDescent="0.25">
      <c r="A2619" s="3">
        <v>319</v>
      </c>
      <c r="B2619" s="27">
        <v>45331.801377314812</v>
      </c>
      <c r="C2619" s="3" t="s">
        <v>6</v>
      </c>
    </row>
    <row r="2620" spans="1:3" ht="13.5" thickBot="1" x14ac:dyDescent="0.25">
      <c r="A2620" s="3">
        <v>1211</v>
      </c>
      <c r="B2620" s="27">
        <v>45331.801840277774</v>
      </c>
      <c r="C2620" s="3" t="s">
        <v>3</v>
      </c>
    </row>
    <row r="2621" spans="1:3" ht="13.5" thickBot="1" x14ac:dyDescent="0.25">
      <c r="A2621" s="3">
        <v>4547</v>
      </c>
      <c r="B2621" s="27">
        <v>45331.816689814812</v>
      </c>
      <c r="C2621" s="3" t="s">
        <v>3</v>
      </c>
    </row>
    <row r="2622" spans="1:3" ht="13.5" thickBot="1" x14ac:dyDescent="0.25">
      <c r="A2622" s="3">
        <v>3222</v>
      </c>
      <c r="B2622" s="27">
        <v>45331.824780092589</v>
      </c>
      <c r="C2622" s="3" t="s">
        <v>3</v>
      </c>
    </row>
    <row r="2623" spans="1:3" ht="13.5" thickBot="1" x14ac:dyDescent="0.25">
      <c r="A2623" s="3">
        <v>738</v>
      </c>
      <c r="B2623" s="27">
        <v>45331.860023148147</v>
      </c>
      <c r="C2623" s="3" t="s">
        <v>4</v>
      </c>
    </row>
    <row r="2624" spans="1:3" ht="13.5" thickBot="1" x14ac:dyDescent="0.25">
      <c r="A2624" s="3">
        <v>2766</v>
      </c>
      <c r="B2624" s="27">
        <v>45331.882615740738</v>
      </c>
      <c r="C2624" s="3" t="s">
        <v>3</v>
      </c>
    </row>
    <row r="2625" spans="1:3" ht="13.5" thickBot="1" x14ac:dyDescent="0.25">
      <c r="A2625" s="3">
        <v>2158</v>
      </c>
      <c r="B2625" s="27">
        <v>45331.897164351853</v>
      </c>
      <c r="C2625" s="3" t="s">
        <v>6</v>
      </c>
    </row>
    <row r="2626" spans="1:3" ht="13.5" thickBot="1" x14ac:dyDescent="0.25">
      <c r="A2626" s="3">
        <v>448</v>
      </c>
      <c r="B2626" s="27">
        <v>45331.903113425928</v>
      </c>
      <c r="C2626" s="3" t="s">
        <v>4</v>
      </c>
    </row>
    <row r="2627" spans="1:3" ht="13.5" thickBot="1" x14ac:dyDescent="0.25">
      <c r="A2627" s="3">
        <v>1845</v>
      </c>
      <c r="B2627" s="27">
        <v>45331.923715277779</v>
      </c>
      <c r="C2627" s="3" t="s">
        <v>5</v>
      </c>
    </row>
    <row r="2628" spans="1:3" ht="13.5" thickBot="1" x14ac:dyDescent="0.25">
      <c r="A2628" s="3">
        <v>2785</v>
      </c>
      <c r="B2628" s="27">
        <v>45331.925057870372</v>
      </c>
      <c r="C2628" s="3" t="s">
        <v>3</v>
      </c>
    </row>
    <row r="2629" spans="1:3" ht="13.5" thickBot="1" x14ac:dyDescent="0.25">
      <c r="A2629" s="3">
        <v>2400</v>
      </c>
      <c r="B2629" s="27">
        <v>45331.934224537035</v>
      </c>
      <c r="C2629" s="3" t="s">
        <v>3</v>
      </c>
    </row>
    <row r="2630" spans="1:3" ht="13.5" thickBot="1" x14ac:dyDescent="0.25">
      <c r="A2630" s="3">
        <v>2026</v>
      </c>
      <c r="B2630" s="27">
        <v>45332.021608796298</v>
      </c>
      <c r="C2630" s="3" t="s">
        <v>4</v>
      </c>
    </row>
    <row r="2631" spans="1:3" ht="13.5" thickBot="1" x14ac:dyDescent="0.25">
      <c r="A2631" s="3">
        <v>7131</v>
      </c>
      <c r="B2631" s="27">
        <v>45332.045046296298</v>
      </c>
      <c r="C2631" s="3" t="s">
        <v>3</v>
      </c>
    </row>
    <row r="2632" spans="1:3" ht="13.5" thickBot="1" x14ac:dyDescent="0.25">
      <c r="A2632" s="3">
        <v>5575</v>
      </c>
      <c r="B2632" s="27">
        <v>45332.046967592592</v>
      </c>
      <c r="C2632" s="3" t="s">
        <v>4</v>
      </c>
    </row>
    <row r="2633" spans="1:3" ht="13.5" thickBot="1" x14ac:dyDescent="0.25">
      <c r="A2633" s="3">
        <v>2095</v>
      </c>
      <c r="B2633" s="27">
        <v>45332.099178240744</v>
      </c>
      <c r="C2633" s="3" t="s">
        <v>7</v>
      </c>
    </row>
    <row r="2634" spans="1:3" ht="13.5" thickBot="1" x14ac:dyDescent="0.25">
      <c r="A2634" s="3">
        <v>6988</v>
      </c>
      <c r="B2634" s="27">
        <v>45332.126111111109</v>
      </c>
      <c r="C2634" s="3" t="s">
        <v>3</v>
      </c>
    </row>
    <row r="2635" spans="1:3" ht="13.5" thickBot="1" x14ac:dyDescent="0.25">
      <c r="A2635" s="3">
        <v>7769</v>
      </c>
      <c r="B2635" s="27">
        <v>45332.136631944442</v>
      </c>
      <c r="C2635" s="3" t="s">
        <v>4</v>
      </c>
    </row>
    <row r="2636" spans="1:3" ht="13.5" thickBot="1" x14ac:dyDescent="0.25">
      <c r="A2636" s="3">
        <v>5014</v>
      </c>
      <c r="B2636" s="27">
        <v>45332.171909722223</v>
      </c>
      <c r="C2636" s="3" t="s">
        <v>3</v>
      </c>
    </row>
    <row r="2637" spans="1:3" ht="13.5" thickBot="1" x14ac:dyDescent="0.25">
      <c r="A2637" s="3">
        <v>2752</v>
      </c>
      <c r="B2637" s="27">
        <v>45332.183622685188</v>
      </c>
      <c r="C2637" s="3" t="s">
        <v>5</v>
      </c>
    </row>
    <row r="2638" spans="1:3" ht="13.5" thickBot="1" x14ac:dyDescent="0.25">
      <c r="A2638" s="3">
        <v>3275</v>
      </c>
      <c r="B2638" s="27">
        <v>45332.202210648145</v>
      </c>
      <c r="C2638" s="3" t="s">
        <v>6</v>
      </c>
    </row>
    <row r="2639" spans="1:3" ht="13.5" thickBot="1" x14ac:dyDescent="0.25">
      <c r="A2639" s="3">
        <v>3901</v>
      </c>
      <c r="B2639" s="27">
        <v>45332.21292824074</v>
      </c>
      <c r="C2639" s="3" t="s">
        <v>3</v>
      </c>
    </row>
    <row r="2640" spans="1:3" ht="13.5" thickBot="1" x14ac:dyDescent="0.25">
      <c r="A2640" s="3">
        <v>5468</v>
      </c>
      <c r="B2640" s="27">
        <v>45332.246666666666</v>
      </c>
      <c r="C2640" s="3" t="s">
        <v>3</v>
      </c>
    </row>
    <row r="2641" spans="1:3" ht="13.5" thickBot="1" x14ac:dyDescent="0.25">
      <c r="A2641" s="3">
        <v>6329</v>
      </c>
      <c r="B2641" s="27">
        <v>45332.272175925929</v>
      </c>
      <c r="C2641" s="3" t="s">
        <v>3</v>
      </c>
    </row>
    <row r="2642" spans="1:3" ht="13.5" thickBot="1" x14ac:dyDescent="0.25">
      <c r="A2642" s="3">
        <v>7320</v>
      </c>
      <c r="B2642" s="27">
        <v>45332.277418981481</v>
      </c>
      <c r="C2642" s="3" t="s">
        <v>4</v>
      </c>
    </row>
    <row r="2643" spans="1:3" ht="13.5" thickBot="1" x14ac:dyDescent="0.25">
      <c r="A2643" s="3">
        <v>6373</v>
      </c>
      <c r="B2643" s="27">
        <v>45332.280231481483</v>
      </c>
      <c r="C2643" s="3" t="s">
        <v>6</v>
      </c>
    </row>
    <row r="2644" spans="1:3" ht="13.5" thickBot="1" x14ac:dyDescent="0.25">
      <c r="A2644" s="3">
        <v>1262</v>
      </c>
      <c r="B2644" s="27">
        <v>45332.29478009259</v>
      </c>
      <c r="C2644" s="3" t="s">
        <v>4</v>
      </c>
    </row>
    <row r="2645" spans="1:3" ht="13.5" thickBot="1" x14ac:dyDescent="0.25">
      <c r="A2645" s="3">
        <v>2089</v>
      </c>
      <c r="B2645" s="27">
        <v>45332.324895833335</v>
      </c>
      <c r="C2645" s="3" t="s">
        <v>6</v>
      </c>
    </row>
    <row r="2646" spans="1:3" ht="13.5" thickBot="1" x14ac:dyDescent="0.25">
      <c r="A2646" s="3">
        <v>2224</v>
      </c>
      <c r="B2646" s="27">
        <v>45332.325509259259</v>
      </c>
      <c r="C2646" s="3" t="s">
        <v>6</v>
      </c>
    </row>
    <row r="2647" spans="1:3" ht="13.5" thickBot="1" x14ac:dyDescent="0.25">
      <c r="A2647" s="3">
        <v>6730</v>
      </c>
      <c r="B2647" s="27">
        <v>45332.331701388888</v>
      </c>
      <c r="C2647" s="3" t="s">
        <v>3</v>
      </c>
    </row>
    <row r="2648" spans="1:3" ht="13.5" thickBot="1" x14ac:dyDescent="0.25">
      <c r="A2648" s="3">
        <v>3167</v>
      </c>
      <c r="B2648" s="27">
        <v>45332.334548611114</v>
      </c>
      <c r="C2648" s="3" t="s">
        <v>3</v>
      </c>
    </row>
    <row r="2649" spans="1:3" ht="13.5" thickBot="1" x14ac:dyDescent="0.25">
      <c r="A2649" s="3">
        <v>7832</v>
      </c>
      <c r="B2649" s="27">
        <v>45332.353368055556</v>
      </c>
      <c r="C2649" s="3" t="s">
        <v>4</v>
      </c>
    </row>
    <row r="2650" spans="1:3" ht="13.5" thickBot="1" x14ac:dyDescent="0.25">
      <c r="A2650" s="3">
        <v>312</v>
      </c>
      <c r="B2650" s="27">
        <v>45332.362974537034</v>
      </c>
      <c r="C2650" s="3" t="s">
        <v>3</v>
      </c>
    </row>
    <row r="2651" spans="1:3" ht="13.5" thickBot="1" x14ac:dyDescent="0.25">
      <c r="A2651" s="3">
        <v>2992</v>
      </c>
      <c r="B2651" s="27">
        <v>45332.374502314815</v>
      </c>
      <c r="C2651" s="3" t="s">
        <v>7</v>
      </c>
    </row>
    <row r="2652" spans="1:3" ht="13.5" thickBot="1" x14ac:dyDescent="0.25">
      <c r="A2652" s="3">
        <v>1790</v>
      </c>
      <c r="B2652" s="27">
        <v>45332.384826388887</v>
      </c>
      <c r="C2652" s="3" t="s">
        <v>4</v>
      </c>
    </row>
    <row r="2653" spans="1:3" ht="13.5" thickBot="1" x14ac:dyDescent="0.25">
      <c r="A2653" s="3">
        <v>1509</v>
      </c>
      <c r="B2653" s="27">
        <v>45332.419942129629</v>
      </c>
      <c r="C2653" s="3" t="s">
        <v>3</v>
      </c>
    </row>
    <row r="2654" spans="1:3" ht="13.5" thickBot="1" x14ac:dyDescent="0.25">
      <c r="A2654" s="3">
        <v>1618</v>
      </c>
      <c r="B2654" s="27">
        <v>45332.419942129629</v>
      </c>
      <c r="C2654" s="3" t="s">
        <v>4</v>
      </c>
    </row>
    <row r="2655" spans="1:3" ht="13.5" thickBot="1" x14ac:dyDescent="0.25">
      <c r="A2655" s="3">
        <v>2794</v>
      </c>
      <c r="B2655" s="27">
        <v>45332.439467592594</v>
      </c>
      <c r="C2655" s="3" t="s">
        <v>3</v>
      </c>
    </row>
    <row r="2656" spans="1:3" ht="13.5" thickBot="1" x14ac:dyDescent="0.25">
      <c r="A2656" s="3">
        <v>7699</v>
      </c>
      <c r="B2656" s="27">
        <v>45332.441180555557</v>
      </c>
      <c r="C2656" s="3" t="s">
        <v>7</v>
      </c>
    </row>
    <row r="2657" spans="1:3" ht="13.5" thickBot="1" x14ac:dyDescent="0.25">
      <c r="A2657" s="3">
        <v>5347</v>
      </c>
      <c r="B2657" s="27">
        <v>45332.448449074072</v>
      </c>
      <c r="C2657" s="3" t="s">
        <v>3</v>
      </c>
    </row>
    <row r="2658" spans="1:3" ht="13.5" thickBot="1" x14ac:dyDescent="0.25">
      <c r="A2658" s="3">
        <v>2400</v>
      </c>
      <c r="B2658" s="27">
        <v>45332.450069444443</v>
      </c>
      <c r="C2658" s="3" t="s">
        <v>4</v>
      </c>
    </row>
    <row r="2659" spans="1:3" ht="13.5" thickBot="1" x14ac:dyDescent="0.25">
      <c r="A2659" s="3">
        <v>5063</v>
      </c>
      <c r="B2659" s="27">
        <v>45332.47246527778</v>
      </c>
      <c r="C2659" s="3" t="s">
        <v>3</v>
      </c>
    </row>
    <row r="2660" spans="1:3" ht="13.5" thickBot="1" x14ac:dyDescent="0.25">
      <c r="A2660" s="3">
        <v>2575</v>
      </c>
      <c r="B2660" s="27">
        <v>45332.478055555555</v>
      </c>
      <c r="C2660" s="3" t="s">
        <v>3</v>
      </c>
    </row>
    <row r="2661" spans="1:3" ht="13.5" thickBot="1" x14ac:dyDescent="0.25">
      <c r="A2661" s="3">
        <v>5096</v>
      </c>
      <c r="B2661" s="27">
        <v>45332.482199074075</v>
      </c>
      <c r="C2661" s="3" t="s">
        <v>3</v>
      </c>
    </row>
    <row r="2662" spans="1:3" ht="13.5" thickBot="1" x14ac:dyDescent="0.25">
      <c r="A2662" s="3">
        <v>1317</v>
      </c>
      <c r="B2662" s="27">
        <v>45332.503298611111</v>
      </c>
      <c r="C2662" s="3" t="s">
        <v>3</v>
      </c>
    </row>
    <row r="2663" spans="1:3" ht="13.5" thickBot="1" x14ac:dyDescent="0.25">
      <c r="A2663" s="3">
        <v>2271</v>
      </c>
      <c r="B2663" s="27">
        <v>45332.510775462964</v>
      </c>
      <c r="C2663" s="3" t="s">
        <v>3</v>
      </c>
    </row>
    <row r="2664" spans="1:3" ht="13.5" thickBot="1" x14ac:dyDescent="0.25">
      <c r="A2664" s="3">
        <v>5841</v>
      </c>
      <c r="B2664" s="27">
        <v>45332.513888888891</v>
      </c>
      <c r="C2664" s="3" t="s">
        <v>4</v>
      </c>
    </row>
    <row r="2665" spans="1:3" ht="13.5" thickBot="1" x14ac:dyDescent="0.25">
      <c r="A2665" s="3">
        <v>136</v>
      </c>
      <c r="B2665" s="27">
        <v>45332.520925925928</v>
      </c>
      <c r="C2665" s="3" t="s">
        <v>4</v>
      </c>
    </row>
    <row r="2666" spans="1:3" ht="13.5" thickBot="1" x14ac:dyDescent="0.25">
      <c r="A2666" s="3">
        <v>6267</v>
      </c>
      <c r="B2666" s="27">
        <v>45332.521840277775</v>
      </c>
      <c r="C2666" s="3" t="s">
        <v>6</v>
      </c>
    </row>
    <row r="2667" spans="1:3" ht="13.5" thickBot="1" x14ac:dyDescent="0.25">
      <c r="A2667" s="3">
        <v>1329</v>
      </c>
      <c r="B2667" s="27">
        <v>45332.529722222222</v>
      </c>
      <c r="C2667" s="3" t="s">
        <v>7</v>
      </c>
    </row>
    <row r="2668" spans="1:3" ht="13.5" thickBot="1" x14ac:dyDescent="0.25">
      <c r="A2668" s="3">
        <v>6995</v>
      </c>
      <c r="B2668" s="27">
        <v>45332.53733796296</v>
      </c>
      <c r="C2668" s="3" t="s">
        <v>3</v>
      </c>
    </row>
    <row r="2669" spans="1:3" ht="13.5" thickBot="1" x14ac:dyDescent="0.25">
      <c r="A2669" s="3">
        <v>869</v>
      </c>
      <c r="B2669" s="27">
        <v>45332.544131944444</v>
      </c>
      <c r="C2669" s="3" t="s">
        <v>3</v>
      </c>
    </row>
    <row r="2670" spans="1:3" ht="13.5" thickBot="1" x14ac:dyDescent="0.25">
      <c r="A2670" s="3">
        <v>157</v>
      </c>
      <c r="B2670" s="27">
        <v>45332.585057870368</v>
      </c>
      <c r="C2670" s="3" t="s">
        <v>3</v>
      </c>
    </row>
    <row r="2671" spans="1:3" ht="13.5" thickBot="1" x14ac:dyDescent="0.25">
      <c r="A2671" s="3">
        <v>1329</v>
      </c>
      <c r="B2671" s="27">
        <v>45332.592835648145</v>
      </c>
      <c r="C2671" s="3" t="s">
        <v>6</v>
      </c>
    </row>
    <row r="2672" spans="1:3" ht="13.5" thickBot="1" x14ac:dyDescent="0.25">
      <c r="A2672" s="3">
        <v>3978</v>
      </c>
      <c r="B2672" s="27">
        <v>45332.60052083333</v>
      </c>
      <c r="C2672" s="3" t="s">
        <v>4</v>
      </c>
    </row>
    <row r="2673" spans="1:3" ht="13.5" thickBot="1" x14ac:dyDescent="0.25">
      <c r="A2673" s="3">
        <v>1618</v>
      </c>
      <c r="B2673" s="27">
        <v>45332.622395833336</v>
      </c>
      <c r="C2673" s="3" t="s">
        <v>5</v>
      </c>
    </row>
    <row r="2674" spans="1:3" ht="13.5" thickBot="1" x14ac:dyDescent="0.25">
      <c r="A2674" s="3">
        <v>1422</v>
      </c>
      <c r="B2674" s="27">
        <v>45332.628159722219</v>
      </c>
      <c r="C2674" s="3" t="s">
        <v>6</v>
      </c>
    </row>
    <row r="2675" spans="1:3" ht="13.5" thickBot="1" x14ac:dyDescent="0.25">
      <c r="A2675" s="3">
        <v>85</v>
      </c>
      <c r="B2675" s="27">
        <v>45332.629687499997</v>
      </c>
      <c r="C2675" s="3" t="s">
        <v>4</v>
      </c>
    </row>
    <row r="2676" spans="1:3" ht="13.5" thickBot="1" x14ac:dyDescent="0.25">
      <c r="A2676" s="3">
        <v>6060</v>
      </c>
      <c r="B2676" s="27">
        <v>45332.633703703701</v>
      </c>
      <c r="C2676" s="3" t="s">
        <v>7</v>
      </c>
    </row>
    <row r="2677" spans="1:3" ht="13.5" thickBot="1" x14ac:dyDescent="0.25">
      <c r="A2677" s="3">
        <v>5494</v>
      </c>
      <c r="B2677" s="27">
        <v>45332.634212962963</v>
      </c>
      <c r="C2677" s="3" t="s">
        <v>6</v>
      </c>
    </row>
    <row r="2678" spans="1:3" ht="13.5" thickBot="1" x14ac:dyDescent="0.25">
      <c r="A2678" s="3">
        <v>2752</v>
      </c>
      <c r="B2678" s="27">
        <v>45332.657812500001</v>
      </c>
      <c r="C2678" s="3" t="s">
        <v>6</v>
      </c>
    </row>
    <row r="2679" spans="1:3" ht="13.5" thickBot="1" x14ac:dyDescent="0.25">
      <c r="A2679" s="3">
        <v>5608</v>
      </c>
      <c r="B2679" s="27">
        <v>45332.663124999999</v>
      </c>
      <c r="C2679" s="3" t="s">
        <v>4</v>
      </c>
    </row>
    <row r="2680" spans="1:3" ht="13.5" thickBot="1" x14ac:dyDescent="0.25">
      <c r="A2680" s="3">
        <v>1188</v>
      </c>
      <c r="B2680" s="27">
        <v>45332.680543981478</v>
      </c>
      <c r="C2680" s="3" t="s">
        <v>4</v>
      </c>
    </row>
    <row r="2681" spans="1:3" ht="13.5" thickBot="1" x14ac:dyDescent="0.25">
      <c r="A2681" s="3">
        <v>1451</v>
      </c>
      <c r="B2681" s="27">
        <v>45332.68445601852</v>
      </c>
      <c r="C2681" s="3" t="s">
        <v>6</v>
      </c>
    </row>
    <row r="2682" spans="1:3" ht="13.5" thickBot="1" x14ac:dyDescent="0.25">
      <c r="A2682" s="3">
        <v>5547</v>
      </c>
      <c r="B2682" s="27">
        <v>45332.689780092594</v>
      </c>
      <c r="C2682" s="3" t="s">
        <v>6</v>
      </c>
    </row>
    <row r="2683" spans="1:3" ht="13.5" thickBot="1" x14ac:dyDescent="0.25">
      <c r="A2683" s="3">
        <v>2032</v>
      </c>
      <c r="B2683" s="27">
        <v>45332.690995370373</v>
      </c>
      <c r="C2683" s="3" t="s">
        <v>6</v>
      </c>
    </row>
    <row r="2684" spans="1:3" ht="13.5" thickBot="1" x14ac:dyDescent="0.25">
      <c r="A2684" s="3">
        <v>2440</v>
      </c>
      <c r="B2684" s="27">
        <v>45332.692870370367</v>
      </c>
      <c r="C2684" s="3" t="s">
        <v>4</v>
      </c>
    </row>
    <row r="2685" spans="1:3" ht="13.5" thickBot="1" x14ac:dyDescent="0.25">
      <c r="A2685" s="3">
        <v>2785</v>
      </c>
      <c r="B2685" s="27">
        <v>45332.693518518521</v>
      </c>
      <c r="C2685" s="3" t="s">
        <v>4</v>
      </c>
    </row>
    <row r="2686" spans="1:3" ht="13.5" thickBot="1" x14ac:dyDescent="0.25">
      <c r="A2686" s="3">
        <v>1859</v>
      </c>
      <c r="B2686" s="27">
        <v>45332.695821759262</v>
      </c>
      <c r="C2686" s="3" t="s">
        <v>7</v>
      </c>
    </row>
    <row r="2687" spans="1:3" ht="13.5" thickBot="1" x14ac:dyDescent="0.25">
      <c r="A2687" s="3">
        <v>2689</v>
      </c>
      <c r="B2687" s="27">
        <v>45332.70894675926</v>
      </c>
      <c r="C2687" s="3" t="s">
        <v>3</v>
      </c>
    </row>
    <row r="2688" spans="1:3" ht="13.5" thickBot="1" x14ac:dyDescent="0.25">
      <c r="A2688" s="3">
        <v>5929</v>
      </c>
      <c r="B2688" s="27">
        <v>45332.710312499999</v>
      </c>
      <c r="C2688" s="3" t="s">
        <v>3</v>
      </c>
    </row>
    <row r="2689" spans="1:3" ht="13.5" thickBot="1" x14ac:dyDescent="0.25">
      <c r="A2689" s="3">
        <v>7392</v>
      </c>
      <c r="B2689" s="27">
        <v>45332.712233796294</v>
      </c>
      <c r="C2689" s="3" t="s">
        <v>4</v>
      </c>
    </row>
    <row r="2690" spans="1:3" ht="13.5" thickBot="1" x14ac:dyDescent="0.25">
      <c r="A2690" s="3">
        <v>1546</v>
      </c>
      <c r="B2690" s="27">
        <v>45332.743761574071</v>
      </c>
      <c r="C2690" s="3" t="s">
        <v>3</v>
      </c>
    </row>
    <row r="2691" spans="1:3" ht="13.5" thickBot="1" x14ac:dyDescent="0.25">
      <c r="A2691" s="3">
        <v>5716</v>
      </c>
      <c r="B2691" s="27">
        <v>45332.749166666668</v>
      </c>
      <c r="C2691" s="3" t="s">
        <v>3</v>
      </c>
    </row>
    <row r="2692" spans="1:3" ht="13.5" thickBot="1" x14ac:dyDescent="0.25">
      <c r="A2692" s="3">
        <v>4649</v>
      </c>
      <c r="B2692" s="27">
        <v>45332.764097222222</v>
      </c>
      <c r="C2692" s="3" t="s">
        <v>4</v>
      </c>
    </row>
    <row r="2693" spans="1:3" ht="13.5" thickBot="1" x14ac:dyDescent="0.25">
      <c r="A2693" s="3">
        <v>3717</v>
      </c>
      <c r="B2693" s="27">
        <v>45332.769803240742</v>
      </c>
      <c r="C2693" s="3" t="s">
        <v>3</v>
      </c>
    </row>
    <row r="2694" spans="1:3" ht="13.5" thickBot="1" x14ac:dyDescent="0.25">
      <c r="A2694" s="3">
        <v>4425</v>
      </c>
      <c r="B2694" s="27">
        <v>45332.790694444448</v>
      </c>
      <c r="C2694" s="3" t="s">
        <v>3</v>
      </c>
    </row>
    <row r="2695" spans="1:3" ht="13.5" thickBot="1" x14ac:dyDescent="0.25">
      <c r="A2695" s="3">
        <v>5014</v>
      </c>
      <c r="B2695" s="27">
        <v>45332.827152777776</v>
      </c>
      <c r="C2695" s="3" t="s">
        <v>4</v>
      </c>
    </row>
    <row r="2696" spans="1:3" ht="13.5" thickBot="1" x14ac:dyDescent="0.25">
      <c r="A2696" s="3">
        <v>1746</v>
      </c>
      <c r="B2696" s="27">
        <v>45332.827499999999</v>
      </c>
      <c r="C2696" s="3" t="s">
        <v>4</v>
      </c>
    </row>
    <row r="2697" spans="1:3" ht="13.5" thickBot="1" x14ac:dyDescent="0.25">
      <c r="A2697" s="3">
        <v>3976</v>
      </c>
      <c r="B2697" s="27">
        <v>45332.829571759263</v>
      </c>
      <c r="C2697" s="3" t="s">
        <v>7</v>
      </c>
    </row>
    <row r="2698" spans="1:3" ht="13.5" thickBot="1" x14ac:dyDescent="0.25">
      <c r="A2698" s="3">
        <v>7019</v>
      </c>
      <c r="B2698" s="27">
        <v>45332.839618055557</v>
      </c>
      <c r="C2698" s="3" t="s">
        <v>6</v>
      </c>
    </row>
    <row r="2699" spans="1:3" ht="13.5" thickBot="1" x14ac:dyDescent="0.25">
      <c r="A2699" s="3">
        <v>2440</v>
      </c>
      <c r="B2699" s="27">
        <v>45332.840219907404</v>
      </c>
      <c r="C2699" s="3" t="s">
        <v>5</v>
      </c>
    </row>
    <row r="2700" spans="1:3" ht="13.5" thickBot="1" x14ac:dyDescent="0.25">
      <c r="A2700" s="3">
        <v>3901</v>
      </c>
      <c r="B2700" s="27">
        <v>45332.85229166667</v>
      </c>
      <c r="C2700" s="3" t="s">
        <v>4</v>
      </c>
    </row>
    <row r="2701" spans="1:3" ht="13.5" thickBot="1" x14ac:dyDescent="0.25">
      <c r="A2701" s="3">
        <v>3543</v>
      </c>
      <c r="B2701" s="27">
        <v>45332.852835648147</v>
      </c>
      <c r="C2701" s="3" t="s">
        <v>3</v>
      </c>
    </row>
    <row r="2702" spans="1:3" ht="13.5" thickBot="1" x14ac:dyDescent="0.25">
      <c r="A2702" s="3">
        <v>2945</v>
      </c>
      <c r="B2702" s="27">
        <v>45332.857997685183</v>
      </c>
      <c r="C2702" s="3" t="s">
        <v>6</v>
      </c>
    </row>
    <row r="2703" spans="1:3" ht="13.5" thickBot="1" x14ac:dyDescent="0.25">
      <c r="A2703" s="3">
        <v>1088</v>
      </c>
      <c r="B2703" s="27">
        <v>45332.8749537037</v>
      </c>
      <c r="C2703" s="3" t="s">
        <v>3</v>
      </c>
    </row>
    <row r="2704" spans="1:3" ht="13.5" thickBot="1" x14ac:dyDescent="0.25">
      <c r="A2704" s="3">
        <v>6150</v>
      </c>
      <c r="B2704" s="27">
        <v>45332.87636574074</v>
      </c>
      <c r="C2704" s="3" t="s">
        <v>3</v>
      </c>
    </row>
    <row r="2705" spans="1:3" ht="13.5" thickBot="1" x14ac:dyDescent="0.25">
      <c r="A2705" s="3">
        <v>2575</v>
      </c>
      <c r="B2705" s="27">
        <v>45332.89199074074</v>
      </c>
      <c r="C2705" s="3" t="s">
        <v>4</v>
      </c>
    </row>
    <row r="2706" spans="1:3" ht="13.5" thickBot="1" x14ac:dyDescent="0.25">
      <c r="A2706" s="3">
        <v>5929</v>
      </c>
      <c r="B2706" s="27">
        <v>45332.893692129626</v>
      </c>
      <c r="C2706" s="3" t="s">
        <v>4</v>
      </c>
    </row>
    <row r="2707" spans="1:3" ht="13.5" thickBot="1" x14ac:dyDescent="0.25">
      <c r="A2707" s="3">
        <v>1790</v>
      </c>
      <c r="B2707" s="27">
        <v>45332.898877314816</v>
      </c>
      <c r="C2707" s="3" t="s">
        <v>3</v>
      </c>
    </row>
    <row r="2708" spans="1:3" ht="13.5" thickBot="1" x14ac:dyDescent="0.25">
      <c r="A2708" s="3">
        <v>85</v>
      </c>
      <c r="B2708" s="27">
        <v>45332.913553240738</v>
      </c>
      <c r="C2708" s="3" t="s">
        <v>3</v>
      </c>
    </row>
    <row r="2709" spans="1:3" ht="13.5" thickBot="1" x14ac:dyDescent="0.25">
      <c r="A2709" s="3">
        <v>4399</v>
      </c>
      <c r="B2709" s="27">
        <v>45332.930219907408</v>
      </c>
      <c r="C2709" s="3" t="s">
        <v>3</v>
      </c>
    </row>
    <row r="2710" spans="1:3" ht="13.5" thickBot="1" x14ac:dyDescent="0.25">
      <c r="A2710" s="3">
        <v>5575</v>
      </c>
      <c r="B2710" s="27">
        <v>45332.935231481482</v>
      </c>
      <c r="C2710" s="3" t="s">
        <v>5</v>
      </c>
    </row>
    <row r="2711" spans="1:3" ht="13.5" thickBot="1" x14ac:dyDescent="0.25">
      <c r="A2711" s="3">
        <v>2069</v>
      </c>
      <c r="B2711" s="27">
        <v>45332.935752314814</v>
      </c>
      <c r="C2711" s="3" t="s">
        <v>3</v>
      </c>
    </row>
    <row r="2712" spans="1:3" ht="13.5" thickBot="1" x14ac:dyDescent="0.25">
      <c r="A2712" s="3">
        <v>1889</v>
      </c>
      <c r="B2712" s="27">
        <v>45332.935914351852</v>
      </c>
      <c r="C2712" s="3" t="s">
        <v>6</v>
      </c>
    </row>
    <row r="2713" spans="1:3" ht="13.5" thickBot="1" x14ac:dyDescent="0.25">
      <c r="A2713" s="3">
        <v>7320</v>
      </c>
      <c r="B2713" s="27">
        <v>45332.956516203703</v>
      </c>
      <c r="C2713" s="3" t="s">
        <v>3</v>
      </c>
    </row>
    <row r="2714" spans="1:3" ht="13.5" thickBot="1" x14ac:dyDescent="0.25">
      <c r="A2714" s="3">
        <v>3414</v>
      </c>
      <c r="B2714" s="27">
        <v>45332.971666666665</v>
      </c>
      <c r="C2714" s="3" t="s">
        <v>7</v>
      </c>
    </row>
    <row r="2715" spans="1:3" ht="13.5" thickBot="1" x14ac:dyDescent="0.25">
      <c r="A2715" s="3">
        <v>3543</v>
      </c>
      <c r="B2715" s="27">
        <v>45332.975173611114</v>
      </c>
      <c r="C2715" s="3" t="s">
        <v>4</v>
      </c>
    </row>
    <row r="2716" spans="1:3" ht="13.5" thickBot="1" x14ac:dyDescent="0.25">
      <c r="A2716" s="3">
        <v>2400</v>
      </c>
      <c r="B2716" s="27">
        <v>45332.982083333336</v>
      </c>
      <c r="C2716" s="3" t="s">
        <v>5</v>
      </c>
    </row>
    <row r="2717" spans="1:3" ht="13.5" thickBot="1" x14ac:dyDescent="0.25">
      <c r="A2717" s="3">
        <v>1358</v>
      </c>
      <c r="B2717" s="27">
        <v>45332.992407407408</v>
      </c>
      <c r="C2717" s="3" t="s">
        <v>3</v>
      </c>
    </row>
    <row r="2718" spans="1:3" ht="13.5" thickBot="1" x14ac:dyDescent="0.25">
      <c r="A2718" s="3">
        <v>3817</v>
      </c>
      <c r="B2718" s="27">
        <v>45332.992708333331</v>
      </c>
      <c r="C2718" s="3" t="s">
        <v>6</v>
      </c>
    </row>
    <row r="2719" spans="1:3" ht="13.5" thickBot="1" x14ac:dyDescent="0.25">
      <c r="A2719" s="3">
        <v>2423</v>
      </c>
      <c r="B2719" s="27">
        <v>45333.010555555556</v>
      </c>
      <c r="C2719" s="3" t="s">
        <v>3</v>
      </c>
    </row>
    <row r="2720" spans="1:3" ht="13.5" thickBot="1" x14ac:dyDescent="0.25">
      <c r="A2720" s="3">
        <v>2492</v>
      </c>
      <c r="B2720" s="27">
        <v>45333.017280092594</v>
      </c>
      <c r="C2720" s="3" t="s">
        <v>3</v>
      </c>
    </row>
    <row r="2721" spans="1:3" ht="13.5" thickBot="1" x14ac:dyDescent="0.25">
      <c r="A2721" s="3">
        <v>3052</v>
      </c>
      <c r="B2721" s="27">
        <v>45333.023148148146</v>
      </c>
      <c r="C2721" s="3" t="s">
        <v>3</v>
      </c>
    </row>
    <row r="2722" spans="1:3" ht="13.5" thickBot="1" x14ac:dyDescent="0.25">
      <c r="A2722" s="3">
        <v>1211</v>
      </c>
      <c r="B2722" s="27">
        <v>45333.027719907404</v>
      </c>
      <c r="C2722" s="3" t="s">
        <v>4</v>
      </c>
    </row>
    <row r="2723" spans="1:3" ht="13.5" thickBot="1" x14ac:dyDescent="0.25">
      <c r="A2723" s="3">
        <v>4121</v>
      </c>
      <c r="B2723" s="27">
        <v>45333.146354166667</v>
      </c>
      <c r="C2723" s="3" t="s">
        <v>3</v>
      </c>
    </row>
    <row r="2724" spans="1:3" ht="13.5" thickBot="1" x14ac:dyDescent="0.25">
      <c r="A2724" s="3">
        <v>2459</v>
      </c>
      <c r="B2724" s="27">
        <v>45333.156805555554</v>
      </c>
      <c r="C2724" s="3" t="s">
        <v>4</v>
      </c>
    </row>
    <row r="2725" spans="1:3" ht="13.5" thickBot="1" x14ac:dyDescent="0.25">
      <c r="A2725" s="3">
        <v>6345</v>
      </c>
      <c r="B2725" s="27">
        <v>45333.179745370369</v>
      </c>
      <c r="C2725" s="3" t="s">
        <v>3</v>
      </c>
    </row>
    <row r="2726" spans="1:3" ht="13.5" thickBot="1" x14ac:dyDescent="0.25">
      <c r="A2726" s="3">
        <v>1573</v>
      </c>
      <c r="B2726" s="27">
        <v>45333.180173611108</v>
      </c>
      <c r="C2726" s="3" t="s">
        <v>3</v>
      </c>
    </row>
    <row r="2727" spans="1:3" ht="13.5" thickBot="1" x14ac:dyDescent="0.25">
      <c r="A2727" s="3">
        <v>4895</v>
      </c>
      <c r="B2727" s="27">
        <v>45333.196145833332</v>
      </c>
      <c r="C2727" s="3" t="s">
        <v>3</v>
      </c>
    </row>
    <row r="2728" spans="1:3" ht="13.5" thickBot="1" x14ac:dyDescent="0.25">
      <c r="A2728" s="3">
        <v>4425</v>
      </c>
      <c r="B2728" s="27">
        <v>45333.197696759256</v>
      </c>
      <c r="C2728" s="3" t="s">
        <v>6</v>
      </c>
    </row>
    <row r="2729" spans="1:3" ht="13.5" thickBot="1" x14ac:dyDescent="0.25">
      <c r="A2729" s="3">
        <v>6707</v>
      </c>
      <c r="B2729" s="27">
        <v>45333.199583333335</v>
      </c>
      <c r="C2729" s="3" t="s">
        <v>3</v>
      </c>
    </row>
    <row r="2730" spans="1:3" ht="13.5" thickBot="1" x14ac:dyDescent="0.25">
      <c r="A2730" s="3">
        <v>514</v>
      </c>
      <c r="B2730" s="27">
        <v>45333.205474537041</v>
      </c>
      <c r="C2730" s="3" t="s">
        <v>4</v>
      </c>
    </row>
    <row r="2731" spans="1:3" ht="13.5" thickBot="1" x14ac:dyDescent="0.25">
      <c r="A2731" s="3">
        <v>6988</v>
      </c>
      <c r="B2731" s="27">
        <v>45333.225810185184</v>
      </c>
      <c r="C2731" s="3" t="s">
        <v>4</v>
      </c>
    </row>
    <row r="2732" spans="1:3" ht="13.5" thickBot="1" x14ac:dyDescent="0.25">
      <c r="A2732" s="3">
        <v>7547</v>
      </c>
      <c r="B2732" s="27">
        <v>45333.2346412037</v>
      </c>
      <c r="C2732" s="3" t="s">
        <v>3</v>
      </c>
    </row>
    <row r="2733" spans="1:3" ht="13.5" thickBot="1" x14ac:dyDescent="0.25">
      <c r="A2733" s="3">
        <v>4408</v>
      </c>
      <c r="B2733" s="27">
        <v>45333.236018518517</v>
      </c>
      <c r="C2733" s="3" t="s">
        <v>4</v>
      </c>
    </row>
    <row r="2734" spans="1:3" ht="13.5" thickBot="1" x14ac:dyDescent="0.25">
      <c r="A2734" s="3">
        <v>2288</v>
      </c>
      <c r="B2734" s="27">
        <v>45333.238854166666</v>
      </c>
      <c r="C2734" s="3" t="s">
        <v>6</v>
      </c>
    </row>
    <row r="2735" spans="1:3" ht="13.5" thickBot="1" x14ac:dyDescent="0.25">
      <c r="A2735" s="3">
        <v>738</v>
      </c>
      <c r="B2735" s="27">
        <v>45333.246203703704</v>
      </c>
      <c r="C2735" s="3" t="s">
        <v>5</v>
      </c>
    </row>
    <row r="2736" spans="1:3" ht="13.5" thickBot="1" x14ac:dyDescent="0.25">
      <c r="A2736" s="3">
        <v>6855</v>
      </c>
      <c r="B2736" s="27">
        <v>45333.292592592596</v>
      </c>
      <c r="C2736" s="3" t="s">
        <v>3</v>
      </c>
    </row>
    <row r="2737" spans="1:3" ht="13.5" thickBot="1" x14ac:dyDescent="0.25">
      <c r="A2737" s="3">
        <v>7815</v>
      </c>
      <c r="B2737" s="27">
        <v>45333.358194444445</v>
      </c>
      <c r="C2737" s="3" t="s">
        <v>5</v>
      </c>
    </row>
    <row r="2738" spans="1:3" ht="13.5" thickBot="1" x14ac:dyDescent="0.25">
      <c r="A2738" s="3">
        <v>387</v>
      </c>
      <c r="B2738" s="27">
        <v>45333.372407407405</v>
      </c>
      <c r="C2738" s="3" t="s">
        <v>3</v>
      </c>
    </row>
    <row r="2739" spans="1:3" ht="13.5" thickBot="1" x14ac:dyDescent="0.25">
      <c r="A2739" s="3">
        <v>7131</v>
      </c>
      <c r="B2739" s="27">
        <v>45333.377210648148</v>
      </c>
      <c r="C2739" s="3" t="s">
        <v>4</v>
      </c>
    </row>
    <row r="2740" spans="1:3" ht="13.5" thickBot="1" x14ac:dyDescent="0.25">
      <c r="A2740" s="3">
        <v>2459</v>
      </c>
      <c r="B2740" s="27">
        <v>45333.383877314816</v>
      </c>
      <c r="C2740" s="3" t="s">
        <v>3</v>
      </c>
    </row>
    <row r="2741" spans="1:3" ht="13.5" thickBot="1" x14ac:dyDescent="0.25">
      <c r="A2741" s="3">
        <v>3902</v>
      </c>
      <c r="B2741" s="27">
        <v>45333.398252314815</v>
      </c>
      <c r="C2741" s="3" t="s">
        <v>6</v>
      </c>
    </row>
    <row r="2742" spans="1:3" ht="13.5" thickBot="1" x14ac:dyDescent="0.25">
      <c r="A2742" s="3">
        <v>1618</v>
      </c>
      <c r="B2742" s="27">
        <v>45333.398506944446</v>
      </c>
      <c r="C2742" s="3" t="s">
        <v>7</v>
      </c>
    </row>
    <row r="2743" spans="1:3" ht="13.5" thickBot="1" x14ac:dyDescent="0.25">
      <c r="A2743" s="3">
        <v>2032</v>
      </c>
      <c r="B2743" s="27">
        <v>45333.436701388891</v>
      </c>
      <c r="C2743" s="3" t="s">
        <v>5</v>
      </c>
    </row>
    <row r="2744" spans="1:3" ht="13.5" thickBot="1" x14ac:dyDescent="0.25">
      <c r="A2744" s="3">
        <v>4922</v>
      </c>
      <c r="B2744" s="27">
        <v>45333.4372337963</v>
      </c>
      <c r="C2744" s="3" t="s">
        <v>3</v>
      </c>
    </row>
    <row r="2745" spans="1:3" ht="13.5" thickBot="1" x14ac:dyDescent="0.25">
      <c r="A2745" s="3">
        <v>3465</v>
      </c>
      <c r="B2745" s="27">
        <v>45333.453148148146</v>
      </c>
      <c r="C2745" s="3" t="s">
        <v>3</v>
      </c>
    </row>
    <row r="2746" spans="1:3" ht="13.5" thickBot="1" x14ac:dyDescent="0.25">
      <c r="A2746" s="3">
        <v>7597</v>
      </c>
      <c r="B2746" s="27">
        <v>45333.463240740741</v>
      </c>
      <c r="C2746" s="3" t="s">
        <v>7</v>
      </c>
    </row>
    <row r="2747" spans="1:3" ht="13.5" thickBot="1" x14ac:dyDescent="0.25">
      <c r="A2747" s="3">
        <v>3833</v>
      </c>
      <c r="B2747" s="27">
        <v>45333.482499999998</v>
      </c>
      <c r="C2747" s="3" t="s">
        <v>6</v>
      </c>
    </row>
    <row r="2748" spans="1:3" ht="13.5" thickBot="1" x14ac:dyDescent="0.25">
      <c r="A2748" s="3">
        <v>6985</v>
      </c>
      <c r="B2748" s="27">
        <v>45333.491249999999</v>
      </c>
      <c r="C2748" s="3" t="s">
        <v>4</v>
      </c>
    </row>
    <row r="2749" spans="1:3" ht="13.5" thickBot="1" x14ac:dyDescent="0.25">
      <c r="A2749" s="3">
        <v>4551</v>
      </c>
      <c r="B2749" s="27">
        <v>45333.493344907409</v>
      </c>
      <c r="C2749" s="3" t="s">
        <v>5</v>
      </c>
    </row>
    <row r="2750" spans="1:3" ht="13.5" thickBot="1" x14ac:dyDescent="0.25">
      <c r="A2750" s="3">
        <v>4953</v>
      </c>
      <c r="B2750" s="27">
        <v>45333.5</v>
      </c>
      <c r="C2750" s="3" t="s">
        <v>6</v>
      </c>
    </row>
    <row r="2751" spans="1:3" ht="13.5" thickBot="1" x14ac:dyDescent="0.25">
      <c r="A2751" s="3">
        <v>4568</v>
      </c>
      <c r="B2751" s="27">
        <v>45333.534166666665</v>
      </c>
      <c r="C2751" s="3" t="s">
        <v>3</v>
      </c>
    </row>
    <row r="2752" spans="1:3" ht="13.5" thickBot="1" x14ac:dyDescent="0.25">
      <c r="A2752" s="3">
        <v>7245</v>
      </c>
      <c r="B2752" s="27">
        <v>45333.535763888889</v>
      </c>
      <c r="C2752" s="3" t="s">
        <v>6</v>
      </c>
    </row>
    <row r="2753" spans="1:3" ht="13.5" thickBot="1" x14ac:dyDescent="0.25">
      <c r="A2753" s="3">
        <v>869</v>
      </c>
      <c r="B2753" s="27">
        <v>45333.547708333332</v>
      </c>
      <c r="C2753" s="3" t="s">
        <v>4</v>
      </c>
    </row>
    <row r="2754" spans="1:3" ht="13.5" thickBot="1" x14ac:dyDescent="0.25">
      <c r="A2754" s="3">
        <v>6927</v>
      </c>
      <c r="B2754" s="27">
        <v>45333.564988425926</v>
      </c>
      <c r="C2754" s="3" t="s">
        <v>3</v>
      </c>
    </row>
    <row r="2755" spans="1:3" ht="13.5" thickBot="1" x14ac:dyDescent="0.25">
      <c r="A2755" s="3">
        <v>2527</v>
      </c>
      <c r="B2755" s="27">
        <v>45333.574687499997</v>
      </c>
      <c r="C2755" s="3" t="s">
        <v>3</v>
      </c>
    </row>
    <row r="2756" spans="1:3" ht="13.5" thickBot="1" x14ac:dyDescent="0.25">
      <c r="A2756" s="3">
        <v>1517</v>
      </c>
      <c r="B2756" s="27">
        <v>45333.577199074076</v>
      </c>
      <c r="C2756" s="3" t="s">
        <v>3</v>
      </c>
    </row>
    <row r="2757" spans="1:3" ht="13.5" thickBot="1" x14ac:dyDescent="0.25">
      <c r="A2757" s="3">
        <v>173</v>
      </c>
      <c r="B2757" s="27">
        <v>45333.591134259259</v>
      </c>
      <c r="C2757" s="3" t="s">
        <v>7</v>
      </c>
    </row>
    <row r="2758" spans="1:3" ht="13.5" thickBot="1" x14ac:dyDescent="0.25">
      <c r="A2758" s="3">
        <v>5608</v>
      </c>
      <c r="B2758" s="27">
        <v>45333.602476851855</v>
      </c>
      <c r="C2758" s="3" t="s">
        <v>7</v>
      </c>
    </row>
    <row r="2759" spans="1:3" ht="13.5" thickBot="1" x14ac:dyDescent="0.25">
      <c r="A2759" s="3">
        <v>5575</v>
      </c>
      <c r="B2759" s="27">
        <v>45333.625069444446</v>
      </c>
      <c r="C2759" s="3" t="s">
        <v>7</v>
      </c>
    </row>
    <row r="2760" spans="1:3" ht="13.5" thickBot="1" x14ac:dyDescent="0.25">
      <c r="A2760" s="3">
        <v>4376</v>
      </c>
      <c r="B2760" s="27">
        <v>45333.643275462964</v>
      </c>
      <c r="C2760" s="3" t="s">
        <v>3</v>
      </c>
    </row>
    <row r="2761" spans="1:3" ht="13.5" thickBot="1" x14ac:dyDescent="0.25">
      <c r="A2761" s="3">
        <v>4921</v>
      </c>
      <c r="B2761" s="27">
        <v>45333.657106481478</v>
      </c>
      <c r="C2761" s="3" t="s">
        <v>7</v>
      </c>
    </row>
    <row r="2762" spans="1:3" ht="13.5" thickBot="1" x14ac:dyDescent="0.25">
      <c r="A2762" s="3">
        <v>6037</v>
      </c>
      <c r="B2762" s="27">
        <v>45333.696655092594</v>
      </c>
      <c r="C2762" s="3" t="s">
        <v>3</v>
      </c>
    </row>
    <row r="2763" spans="1:3" ht="13.5" thickBot="1" x14ac:dyDescent="0.25">
      <c r="A2763" s="3">
        <v>1601</v>
      </c>
      <c r="B2763" s="27">
        <v>45333.70590277778</v>
      </c>
      <c r="C2763" s="3" t="s">
        <v>7</v>
      </c>
    </row>
    <row r="2764" spans="1:3" ht="13.5" thickBot="1" x14ac:dyDescent="0.25">
      <c r="A2764" s="3">
        <v>6373</v>
      </c>
      <c r="B2764" s="27">
        <v>45333.708831018521</v>
      </c>
      <c r="C2764" s="3" t="s">
        <v>7</v>
      </c>
    </row>
    <row r="2765" spans="1:3" ht="13.5" thickBot="1" x14ac:dyDescent="0.25">
      <c r="A2765" s="3">
        <v>7131</v>
      </c>
      <c r="B2765" s="27">
        <v>45333.732291666667</v>
      </c>
      <c r="C2765" s="3" t="s">
        <v>7</v>
      </c>
    </row>
    <row r="2766" spans="1:3" ht="13.5" thickBot="1" x14ac:dyDescent="0.25">
      <c r="A2766" s="3">
        <v>6927</v>
      </c>
      <c r="B2766" s="27">
        <v>45333.752997685187</v>
      </c>
      <c r="C2766" s="3" t="s">
        <v>4</v>
      </c>
    </row>
    <row r="2767" spans="1:3" ht="13.5" thickBot="1" x14ac:dyDescent="0.25">
      <c r="A2767" s="3">
        <v>7206</v>
      </c>
      <c r="B2767" s="27">
        <v>45333.757060185184</v>
      </c>
      <c r="C2767" s="3" t="s">
        <v>3</v>
      </c>
    </row>
    <row r="2768" spans="1:3" ht="13.5" thickBot="1" x14ac:dyDescent="0.25">
      <c r="A2768" s="3">
        <v>6899</v>
      </c>
      <c r="B2768" s="27">
        <v>45333.763055555559</v>
      </c>
      <c r="C2768" s="3" t="s">
        <v>4</v>
      </c>
    </row>
    <row r="2769" spans="1:3" ht="13.5" thickBot="1" x14ac:dyDescent="0.25">
      <c r="A2769" s="3">
        <v>3833</v>
      </c>
      <c r="B2769" s="27">
        <v>45333.763449074075</v>
      </c>
      <c r="C2769" s="3" t="s">
        <v>7</v>
      </c>
    </row>
    <row r="2770" spans="1:3" ht="13.5" thickBot="1" x14ac:dyDescent="0.25">
      <c r="A2770" s="3">
        <v>3222</v>
      </c>
      <c r="B2770" s="27">
        <v>45333.766192129631</v>
      </c>
      <c r="C2770" s="3" t="s">
        <v>7</v>
      </c>
    </row>
    <row r="2771" spans="1:3" ht="13.5" thickBot="1" x14ac:dyDescent="0.25">
      <c r="A2771" s="3">
        <v>2288</v>
      </c>
      <c r="B2771" s="27">
        <v>45333.808842592596</v>
      </c>
      <c r="C2771" s="3" t="s">
        <v>4</v>
      </c>
    </row>
    <row r="2772" spans="1:3" ht="13.5" thickBot="1" x14ac:dyDescent="0.25">
      <c r="A2772" s="3">
        <v>5000</v>
      </c>
      <c r="B2772" s="27">
        <v>45333.817256944443</v>
      </c>
      <c r="C2772" s="3" t="s">
        <v>3</v>
      </c>
    </row>
    <row r="2773" spans="1:3" ht="13.5" thickBot="1" x14ac:dyDescent="0.25">
      <c r="A2773" s="3">
        <v>4295</v>
      </c>
      <c r="B2773" s="27">
        <v>45333.817407407405</v>
      </c>
      <c r="C2773" s="3" t="s">
        <v>4</v>
      </c>
    </row>
    <row r="2774" spans="1:3" ht="13.5" thickBot="1" x14ac:dyDescent="0.25">
      <c r="A2774" s="3">
        <v>4921</v>
      </c>
      <c r="B2774" s="27">
        <v>45333.827881944446</v>
      </c>
      <c r="C2774" s="3" t="s">
        <v>5</v>
      </c>
    </row>
    <row r="2775" spans="1:3" ht="13.5" thickBot="1" x14ac:dyDescent="0.25">
      <c r="A2775" s="3">
        <v>5665</v>
      </c>
      <c r="B2775" s="27">
        <v>45333.86005787037</v>
      </c>
      <c r="C2775" s="3" t="s">
        <v>3</v>
      </c>
    </row>
    <row r="2776" spans="1:3" ht="13.5" thickBot="1" x14ac:dyDescent="0.25">
      <c r="A2776" s="3">
        <v>932</v>
      </c>
      <c r="B2776" s="27">
        <v>45333.860509259262</v>
      </c>
      <c r="C2776" s="3" t="s">
        <v>3</v>
      </c>
    </row>
    <row r="2777" spans="1:3" ht="13.5" thickBot="1" x14ac:dyDescent="0.25">
      <c r="A2777" s="3">
        <v>92</v>
      </c>
      <c r="B2777" s="27">
        <v>45333.86886574074</v>
      </c>
      <c r="C2777" s="3" t="s">
        <v>3</v>
      </c>
    </row>
    <row r="2778" spans="1:3" ht="13.5" thickBot="1" x14ac:dyDescent="0.25">
      <c r="A2778" s="3">
        <v>823</v>
      </c>
      <c r="B2778" s="27">
        <v>45333.88789351852</v>
      </c>
      <c r="C2778" s="3" t="s">
        <v>4</v>
      </c>
    </row>
    <row r="2779" spans="1:3" ht="13.5" thickBot="1" x14ac:dyDescent="0.25">
      <c r="A2779" s="3">
        <v>2032</v>
      </c>
      <c r="B2779" s="27">
        <v>45333.888819444444</v>
      </c>
      <c r="C2779" s="3" t="s">
        <v>7</v>
      </c>
    </row>
    <row r="2780" spans="1:3" ht="13.5" thickBot="1" x14ac:dyDescent="0.25">
      <c r="A2780" s="3">
        <v>7249</v>
      </c>
      <c r="B2780" s="27">
        <v>45333.897094907406</v>
      </c>
      <c r="C2780" s="3" t="s">
        <v>3</v>
      </c>
    </row>
    <row r="2781" spans="1:3" ht="13.5" thickBot="1" x14ac:dyDescent="0.25">
      <c r="A2781" s="3">
        <v>5712</v>
      </c>
      <c r="B2781" s="27">
        <v>45333.923460648148</v>
      </c>
      <c r="C2781" s="3" t="s">
        <v>6</v>
      </c>
    </row>
    <row r="2782" spans="1:3" ht="13.5" thickBot="1" x14ac:dyDescent="0.25">
      <c r="A2782" s="3">
        <v>1517</v>
      </c>
      <c r="B2782" s="27">
        <v>45333.954398148147</v>
      </c>
      <c r="C2782" s="3" t="s">
        <v>4</v>
      </c>
    </row>
    <row r="2783" spans="1:3" ht="13.5" thickBot="1" x14ac:dyDescent="0.25">
      <c r="A2783" s="3">
        <v>3296</v>
      </c>
      <c r="B2783" s="27">
        <v>45333.973067129627</v>
      </c>
      <c r="C2783" s="3" t="s">
        <v>7</v>
      </c>
    </row>
    <row r="2784" spans="1:3" ht="13.5" thickBot="1" x14ac:dyDescent="0.25">
      <c r="A2784" s="3">
        <v>7206</v>
      </c>
      <c r="B2784" s="27">
        <v>45334.008171296293</v>
      </c>
      <c r="C2784" s="3" t="s">
        <v>4</v>
      </c>
    </row>
    <row r="2785" spans="1:3" ht="13.5" thickBot="1" x14ac:dyDescent="0.25">
      <c r="A2785" s="3">
        <v>4787</v>
      </c>
      <c r="B2785" s="27">
        <v>45334.012199074074</v>
      </c>
      <c r="C2785" s="3" t="s">
        <v>6</v>
      </c>
    </row>
    <row r="2786" spans="1:3" ht="13.5" thickBot="1" x14ac:dyDescent="0.25">
      <c r="A2786" s="3">
        <v>5615</v>
      </c>
      <c r="B2786" s="27">
        <v>45334.073449074072</v>
      </c>
      <c r="C2786" s="3" t="s">
        <v>3</v>
      </c>
    </row>
    <row r="2787" spans="1:3" ht="13.5" thickBot="1" x14ac:dyDescent="0.25">
      <c r="A2787" s="3">
        <v>7050</v>
      </c>
      <c r="B2787" s="27">
        <v>45334.091805555552</v>
      </c>
      <c r="C2787" s="3" t="s">
        <v>5</v>
      </c>
    </row>
    <row r="2788" spans="1:3" ht="13.5" thickBot="1" x14ac:dyDescent="0.25">
      <c r="A2788" s="3">
        <v>2528</v>
      </c>
      <c r="B2788" s="27">
        <v>45334.099594907406</v>
      </c>
      <c r="C2788" s="3" t="s">
        <v>3</v>
      </c>
    </row>
    <row r="2789" spans="1:3" ht="13.5" thickBot="1" x14ac:dyDescent="0.25">
      <c r="A2789" s="3">
        <v>6590</v>
      </c>
      <c r="B2789" s="27">
        <v>45334.110046296293</v>
      </c>
      <c r="C2789" s="3" t="s">
        <v>3</v>
      </c>
    </row>
    <row r="2790" spans="1:3" ht="13.5" thickBot="1" x14ac:dyDescent="0.25">
      <c r="A2790" s="3">
        <v>1546</v>
      </c>
      <c r="B2790" s="27">
        <v>45334.110462962963</v>
      </c>
      <c r="C2790" s="3" t="s">
        <v>5</v>
      </c>
    </row>
    <row r="2791" spans="1:3" ht="13.5" thickBot="1" x14ac:dyDescent="0.25">
      <c r="A2791" s="3">
        <v>1678</v>
      </c>
      <c r="B2791" s="27">
        <v>45334.120763888888</v>
      </c>
      <c r="C2791" s="3" t="s">
        <v>5</v>
      </c>
    </row>
    <row r="2792" spans="1:3" ht="13.5" thickBot="1" x14ac:dyDescent="0.25">
      <c r="A2792" s="3">
        <v>3182</v>
      </c>
      <c r="B2792" s="27">
        <v>45334.12777777778</v>
      </c>
      <c r="C2792" s="3" t="s">
        <v>6</v>
      </c>
    </row>
    <row r="2793" spans="1:3" ht="13.5" thickBot="1" x14ac:dyDescent="0.25">
      <c r="A2793" s="3">
        <v>5928</v>
      </c>
      <c r="B2793" s="27">
        <v>45334.142731481479</v>
      </c>
      <c r="C2793" s="3" t="s">
        <v>3</v>
      </c>
    </row>
    <row r="2794" spans="1:3" ht="13.5" thickBot="1" x14ac:dyDescent="0.25">
      <c r="A2794" s="3">
        <v>4922</v>
      </c>
      <c r="B2794" s="27">
        <v>45334.144976851851</v>
      </c>
      <c r="C2794" s="3" t="s">
        <v>7</v>
      </c>
    </row>
    <row r="2795" spans="1:3" ht="13.5" thickBot="1" x14ac:dyDescent="0.25">
      <c r="A2795" s="3">
        <v>4895</v>
      </c>
      <c r="B2795" s="27">
        <v>45334.17690972222</v>
      </c>
      <c r="C2795" s="3" t="s">
        <v>4</v>
      </c>
    </row>
    <row r="2796" spans="1:3" ht="13.5" thickBot="1" x14ac:dyDescent="0.25">
      <c r="A2796" s="3">
        <v>3994</v>
      </c>
      <c r="B2796" s="27">
        <v>45334.177025462966</v>
      </c>
      <c r="C2796" s="3" t="s">
        <v>3</v>
      </c>
    </row>
    <row r="2797" spans="1:3" ht="13.5" thickBot="1" x14ac:dyDescent="0.25">
      <c r="A2797" s="3">
        <v>6855</v>
      </c>
      <c r="B2797" s="27">
        <v>45334.204085648147</v>
      </c>
      <c r="C2797" s="3" t="s">
        <v>4</v>
      </c>
    </row>
    <row r="2798" spans="1:3" ht="13.5" thickBot="1" x14ac:dyDescent="0.25">
      <c r="A2798" s="3">
        <v>2216</v>
      </c>
      <c r="B2798" s="27">
        <v>45334.221550925926</v>
      </c>
      <c r="C2798" s="3" t="s">
        <v>3</v>
      </c>
    </row>
    <row r="2799" spans="1:3" ht="13.5" thickBot="1" x14ac:dyDescent="0.25">
      <c r="A2799" s="3">
        <v>7249</v>
      </c>
      <c r="B2799" s="27">
        <v>45334.2346412037</v>
      </c>
      <c r="C2799" s="3" t="s">
        <v>4</v>
      </c>
    </row>
    <row r="2800" spans="1:3" ht="13.5" thickBot="1" x14ac:dyDescent="0.25">
      <c r="A2800" s="3">
        <v>85</v>
      </c>
      <c r="B2800" s="27">
        <v>45334.235300925924</v>
      </c>
      <c r="C2800" s="3" t="s">
        <v>6</v>
      </c>
    </row>
    <row r="2801" spans="1:3" ht="13.5" thickBot="1" x14ac:dyDescent="0.25">
      <c r="A2801" s="3">
        <v>7336</v>
      </c>
      <c r="B2801" s="27">
        <v>45334.237511574072</v>
      </c>
      <c r="C2801" s="3" t="s">
        <v>4</v>
      </c>
    </row>
    <row r="2802" spans="1:3" ht="13.5" thickBot="1" x14ac:dyDescent="0.25">
      <c r="A2802" s="3">
        <v>873</v>
      </c>
      <c r="B2802" s="27">
        <v>45334.241643518515</v>
      </c>
      <c r="C2802" s="3" t="s">
        <v>3</v>
      </c>
    </row>
    <row r="2803" spans="1:3" ht="13.5" thickBot="1" x14ac:dyDescent="0.25">
      <c r="A2803" s="3">
        <v>5665</v>
      </c>
      <c r="B2803" s="27">
        <v>45334.242534722223</v>
      </c>
      <c r="C2803" s="3" t="s">
        <v>7</v>
      </c>
    </row>
    <row r="2804" spans="1:3" ht="13.5" thickBot="1" x14ac:dyDescent="0.25">
      <c r="A2804" s="3">
        <v>6923</v>
      </c>
      <c r="B2804" s="27">
        <v>45334.258472222224</v>
      </c>
      <c r="C2804" s="3" t="s">
        <v>3</v>
      </c>
    </row>
    <row r="2805" spans="1:3" ht="13.5" thickBot="1" x14ac:dyDescent="0.25">
      <c r="A2805" s="3">
        <v>6995</v>
      </c>
      <c r="B2805" s="27">
        <v>45334.310081018521</v>
      </c>
      <c r="C2805" s="3" t="s">
        <v>4</v>
      </c>
    </row>
    <row r="2806" spans="1:3" ht="13.5" thickBot="1" x14ac:dyDescent="0.25">
      <c r="A2806" s="3">
        <v>2185</v>
      </c>
      <c r="B2806" s="27">
        <v>45334.312407407408</v>
      </c>
      <c r="C2806" s="3" t="s">
        <v>6</v>
      </c>
    </row>
    <row r="2807" spans="1:3" ht="13.5" thickBot="1" x14ac:dyDescent="0.25">
      <c r="A2807" s="3">
        <v>2575</v>
      </c>
      <c r="B2807" s="27">
        <v>45334.316076388888</v>
      </c>
      <c r="C2807" s="3" t="s">
        <v>7</v>
      </c>
    </row>
    <row r="2808" spans="1:3" ht="13.5" thickBot="1" x14ac:dyDescent="0.25">
      <c r="A2808" s="3">
        <v>1088</v>
      </c>
      <c r="B2808" s="27">
        <v>45334.321631944447</v>
      </c>
      <c r="C2808" s="3" t="s">
        <v>4</v>
      </c>
    </row>
    <row r="2809" spans="1:3" ht="13.5" thickBot="1" x14ac:dyDescent="0.25">
      <c r="A2809" s="3">
        <v>92</v>
      </c>
      <c r="B2809" s="27">
        <v>45334.330474537041</v>
      </c>
      <c r="C2809" s="3" t="s">
        <v>4</v>
      </c>
    </row>
    <row r="2810" spans="1:3" ht="13.5" thickBot="1" x14ac:dyDescent="0.25">
      <c r="A2810" s="3">
        <v>7699</v>
      </c>
      <c r="B2810" s="27">
        <v>45334.346631944441</v>
      </c>
      <c r="C2810" s="3" t="s">
        <v>6</v>
      </c>
    </row>
    <row r="2811" spans="1:3" ht="13.5" thickBot="1" x14ac:dyDescent="0.25">
      <c r="A2811" s="3">
        <v>4463</v>
      </c>
      <c r="B2811" s="27">
        <v>45334.364618055559</v>
      </c>
      <c r="C2811" s="3" t="s">
        <v>3</v>
      </c>
    </row>
    <row r="2812" spans="1:3" ht="13.5" thickBot="1" x14ac:dyDescent="0.25">
      <c r="A2812" s="3">
        <v>173</v>
      </c>
      <c r="B2812" s="27">
        <v>45334.383298611108</v>
      </c>
      <c r="C2812" s="3" t="s">
        <v>6</v>
      </c>
    </row>
    <row r="2813" spans="1:3" ht="13.5" thickBot="1" x14ac:dyDescent="0.25">
      <c r="A2813" s="3">
        <v>4768</v>
      </c>
      <c r="B2813" s="27">
        <v>45334.402280092596</v>
      </c>
      <c r="C2813" s="3" t="s">
        <v>5</v>
      </c>
    </row>
    <row r="2814" spans="1:3" ht="13.5" thickBot="1" x14ac:dyDescent="0.25">
      <c r="A2814" s="3">
        <v>4463</v>
      </c>
      <c r="B2814" s="27">
        <v>45334.417407407411</v>
      </c>
      <c r="C2814" s="3" t="s">
        <v>5</v>
      </c>
    </row>
    <row r="2815" spans="1:3" ht="13.5" thickBot="1" x14ac:dyDescent="0.25">
      <c r="A2815" s="3">
        <v>4376</v>
      </c>
      <c r="B2815" s="27">
        <v>45334.426828703705</v>
      </c>
      <c r="C2815" s="3" t="s">
        <v>4</v>
      </c>
    </row>
    <row r="2816" spans="1:3" ht="13.5" thickBot="1" x14ac:dyDescent="0.25">
      <c r="A2816" s="3">
        <v>5665</v>
      </c>
      <c r="B2816" s="27">
        <v>45334.448842592596</v>
      </c>
      <c r="C2816" s="3" t="s">
        <v>4</v>
      </c>
    </row>
    <row r="2817" spans="1:3" ht="13.5" thickBot="1" x14ac:dyDescent="0.25">
      <c r="A2817" s="3">
        <v>7336</v>
      </c>
      <c r="B2817" s="27">
        <v>45334.460219907407</v>
      </c>
      <c r="C2817" s="3" t="s">
        <v>3</v>
      </c>
    </row>
    <row r="2818" spans="1:3" ht="13.5" thickBot="1" x14ac:dyDescent="0.25">
      <c r="A2818" s="3">
        <v>3222</v>
      </c>
      <c r="B2818" s="27">
        <v>45334.490856481483</v>
      </c>
      <c r="C2818" s="3" t="s">
        <v>5</v>
      </c>
    </row>
    <row r="2819" spans="1:3" ht="13.5" thickBot="1" x14ac:dyDescent="0.25">
      <c r="A2819" s="3">
        <v>6480</v>
      </c>
      <c r="B2819" s="27">
        <v>45334.511342592596</v>
      </c>
      <c r="C2819" s="3" t="s">
        <v>3</v>
      </c>
    </row>
    <row r="2820" spans="1:3" ht="13.5" thickBot="1" x14ac:dyDescent="0.25">
      <c r="A2820" s="3">
        <v>6935</v>
      </c>
      <c r="B2820" s="27">
        <v>45334.522361111114</v>
      </c>
      <c r="C2820" s="3" t="s">
        <v>3</v>
      </c>
    </row>
    <row r="2821" spans="1:3" ht="13.5" thickBot="1" x14ac:dyDescent="0.25">
      <c r="A2821" s="3">
        <v>4922</v>
      </c>
      <c r="B2821" s="27">
        <v>45334.530439814815</v>
      </c>
      <c r="C2821" s="3" t="s">
        <v>4</v>
      </c>
    </row>
    <row r="2822" spans="1:3" ht="13.5" thickBot="1" x14ac:dyDescent="0.25">
      <c r="A2822" s="3">
        <v>6892</v>
      </c>
      <c r="B2822" s="27">
        <v>45334.54383101852</v>
      </c>
      <c r="C2822" s="3" t="s">
        <v>4</v>
      </c>
    </row>
    <row r="2823" spans="1:3" ht="13.5" thickBot="1" x14ac:dyDescent="0.25">
      <c r="A2823" s="3">
        <v>3296</v>
      </c>
      <c r="B2823" s="27">
        <v>45334.543946759259</v>
      </c>
      <c r="C2823" s="3" t="s">
        <v>6</v>
      </c>
    </row>
    <row r="2824" spans="1:3" ht="13.5" thickBot="1" x14ac:dyDescent="0.25">
      <c r="A2824" s="3">
        <v>1678</v>
      </c>
      <c r="B2824" s="27">
        <v>45334.647546296299</v>
      </c>
      <c r="C2824" s="3" t="s">
        <v>3</v>
      </c>
    </row>
    <row r="2825" spans="1:3" ht="13.5" thickBot="1" x14ac:dyDescent="0.25">
      <c r="A2825" s="3">
        <v>4817</v>
      </c>
      <c r="B2825" s="27">
        <v>45334.686990740738</v>
      </c>
      <c r="C2825" s="3" t="s">
        <v>7</v>
      </c>
    </row>
    <row r="2826" spans="1:3" ht="13.5" thickBot="1" x14ac:dyDescent="0.25">
      <c r="A2826" s="3">
        <v>7206</v>
      </c>
      <c r="B2826" s="27">
        <v>45334.693784722222</v>
      </c>
      <c r="C2826" s="3" t="s">
        <v>6</v>
      </c>
    </row>
    <row r="2827" spans="1:3" ht="13.5" thickBot="1" x14ac:dyDescent="0.25">
      <c r="A2827" s="3">
        <v>88</v>
      </c>
      <c r="B2827" s="27">
        <v>45334.705428240741</v>
      </c>
      <c r="C2827" s="3" t="s">
        <v>6</v>
      </c>
    </row>
    <row r="2828" spans="1:3" ht="13.5" thickBot="1" x14ac:dyDescent="0.25">
      <c r="A2828" s="3">
        <v>4768</v>
      </c>
      <c r="B2828" s="27">
        <v>45334.715185185189</v>
      </c>
      <c r="C2828" s="3" t="s">
        <v>3</v>
      </c>
    </row>
    <row r="2829" spans="1:3" ht="13.5" thickBot="1" x14ac:dyDescent="0.25">
      <c r="A2829" s="3">
        <v>5226</v>
      </c>
      <c r="B2829" s="27">
        <v>45334.719502314816</v>
      </c>
      <c r="C2829" s="3" t="s">
        <v>3</v>
      </c>
    </row>
    <row r="2830" spans="1:3" ht="13.5" thickBot="1" x14ac:dyDescent="0.25">
      <c r="A2830" s="3">
        <v>1211</v>
      </c>
      <c r="B2830" s="27">
        <v>45334.719525462962</v>
      </c>
      <c r="C2830" s="3" t="s">
        <v>5</v>
      </c>
    </row>
    <row r="2831" spans="1:3" ht="13.5" thickBot="1" x14ac:dyDescent="0.25">
      <c r="A2831" s="3">
        <v>1702</v>
      </c>
      <c r="B2831" s="27">
        <v>45334.735949074071</v>
      </c>
      <c r="C2831" s="3" t="s">
        <v>3</v>
      </c>
    </row>
    <row r="2832" spans="1:3" ht="13.5" thickBot="1" x14ac:dyDescent="0.25">
      <c r="A2832" s="3">
        <v>7571</v>
      </c>
      <c r="B2832" s="27">
        <v>45334.780578703707</v>
      </c>
      <c r="C2832" s="3" t="s">
        <v>3</v>
      </c>
    </row>
    <row r="2833" spans="1:3" ht="13.5" thickBot="1" x14ac:dyDescent="0.25">
      <c r="A2833" s="3">
        <v>6150</v>
      </c>
      <c r="B2833" s="27">
        <v>45334.788043981483</v>
      </c>
      <c r="C2833" s="3" t="s">
        <v>4</v>
      </c>
    </row>
    <row r="2834" spans="1:3" ht="13.5" thickBot="1" x14ac:dyDescent="0.25">
      <c r="A2834" s="3">
        <v>4456</v>
      </c>
      <c r="B2834" s="27">
        <v>45334.790277777778</v>
      </c>
      <c r="C2834" s="3" t="s">
        <v>3</v>
      </c>
    </row>
    <row r="2835" spans="1:3" ht="13.5" thickBot="1" x14ac:dyDescent="0.25">
      <c r="A2835" s="3">
        <v>2764</v>
      </c>
      <c r="B2835" s="27">
        <v>45334.81590277778</v>
      </c>
      <c r="C2835" s="3" t="s">
        <v>3</v>
      </c>
    </row>
    <row r="2836" spans="1:3" ht="13.5" thickBot="1" x14ac:dyDescent="0.25">
      <c r="A2836" s="3">
        <v>5928</v>
      </c>
      <c r="B2836" s="27">
        <v>45334.819525462961</v>
      </c>
      <c r="C2836" s="3" t="s">
        <v>4</v>
      </c>
    </row>
    <row r="2837" spans="1:3" ht="13.5" thickBot="1" x14ac:dyDescent="0.25">
      <c r="A2837" s="3">
        <v>7537</v>
      </c>
      <c r="B2837" s="27">
        <v>45334.823067129626</v>
      </c>
      <c r="C2837" s="3" t="s">
        <v>3</v>
      </c>
    </row>
    <row r="2838" spans="1:3" ht="13.5" thickBot="1" x14ac:dyDescent="0.25">
      <c r="A2838" s="3">
        <v>5494</v>
      </c>
      <c r="B2838" s="27">
        <v>45334.838263888887</v>
      </c>
      <c r="C2838" s="3" t="s">
        <v>5</v>
      </c>
    </row>
    <row r="2839" spans="1:3" ht="13.5" thickBot="1" x14ac:dyDescent="0.25">
      <c r="A2839" s="3">
        <v>151</v>
      </c>
      <c r="B2839" s="27">
        <v>45334.842662037037</v>
      </c>
      <c r="C2839" s="3" t="s">
        <v>3</v>
      </c>
    </row>
    <row r="2840" spans="1:3" ht="13.5" thickBot="1" x14ac:dyDescent="0.25">
      <c r="A2840" s="3">
        <v>7484</v>
      </c>
      <c r="B2840" s="27">
        <v>45334.893379629626</v>
      </c>
      <c r="C2840" s="3" t="s">
        <v>3</v>
      </c>
    </row>
    <row r="2841" spans="1:3" ht="13.5" thickBot="1" x14ac:dyDescent="0.25">
      <c r="A2841" s="3">
        <v>5575</v>
      </c>
      <c r="B2841" s="27">
        <v>45334.907997685186</v>
      </c>
      <c r="C2841" s="3" t="s">
        <v>6</v>
      </c>
    </row>
    <row r="2842" spans="1:3" ht="13.5" thickBot="1" x14ac:dyDescent="0.25">
      <c r="A2842" s="3">
        <v>5904</v>
      </c>
      <c r="B2842" s="27">
        <v>45334.941041666665</v>
      </c>
      <c r="C2842" s="3" t="s">
        <v>7</v>
      </c>
    </row>
    <row r="2843" spans="1:3" ht="13.5" thickBot="1" x14ac:dyDescent="0.25">
      <c r="A2843" s="3">
        <v>1262</v>
      </c>
      <c r="B2843" s="27">
        <v>45334.946828703702</v>
      </c>
      <c r="C2843" s="3" t="s">
        <v>7</v>
      </c>
    </row>
    <row r="2844" spans="1:3" ht="13.5" thickBot="1" x14ac:dyDescent="0.25">
      <c r="A2844" s="3">
        <v>5096</v>
      </c>
      <c r="B2844" s="27">
        <v>45334.956666666665</v>
      </c>
      <c r="C2844" s="3" t="s">
        <v>4</v>
      </c>
    </row>
    <row r="2845" spans="1:3" ht="13.5" thickBot="1" x14ac:dyDescent="0.25">
      <c r="A2845" s="3">
        <v>6707</v>
      </c>
      <c r="B2845" s="27">
        <v>45334.97828703704</v>
      </c>
      <c r="C2845" s="3" t="s">
        <v>4</v>
      </c>
    </row>
    <row r="2846" spans="1:3" ht="13.5" thickBot="1" x14ac:dyDescent="0.25">
      <c r="A2846" s="3">
        <v>5841</v>
      </c>
      <c r="B2846" s="27">
        <v>45335.002557870372</v>
      </c>
      <c r="C2846" s="3" t="s">
        <v>5</v>
      </c>
    </row>
    <row r="2847" spans="1:3" ht="13.5" thickBot="1" x14ac:dyDescent="0.25">
      <c r="A2847" s="3">
        <v>2382</v>
      </c>
      <c r="B2847" s="27">
        <v>45335.007199074076</v>
      </c>
      <c r="C2847" s="3" t="s">
        <v>3</v>
      </c>
    </row>
    <row r="2848" spans="1:3" ht="13.5" thickBot="1" x14ac:dyDescent="0.25">
      <c r="A2848" s="3">
        <v>6011</v>
      </c>
      <c r="B2848" s="27">
        <v>45335.026238425926</v>
      </c>
      <c r="C2848" s="3" t="s">
        <v>3</v>
      </c>
    </row>
    <row r="2849" spans="1:3" ht="13.5" thickBot="1" x14ac:dyDescent="0.25">
      <c r="A2849" s="3">
        <v>3297</v>
      </c>
      <c r="B2849" s="27">
        <v>45335.03802083333</v>
      </c>
      <c r="C2849" s="3" t="s">
        <v>3</v>
      </c>
    </row>
    <row r="2850" spans="1:3" ht="13.5" thickBot="1" x14ac:dyDescent="0.25">
      <c r="A2850" s="3">
        <v>4547</v>
      </c>
      <c r="B2850" s="27">
        <v>45335.048506944448</v>
      </c>
      <c r="C2850" s="3" t="s">
        <v>4</v>
      </c>
    </row>
    <row r="2851" spans="1:3" ht="13.5" thickBot="1" x14ac:dyDescent="0.25">
      <c r="A2851" s="3">
        <v>2665</v>
      </c>
      <c r="B2851" s="27">
        <v>45335.065428240741</v>
      </c>
      <c r="C2851" s="3" t="s">
        <v>3</v>
      </c>
    </row>
    <row r="2852" spans="1:3" ht="13.5" thickBot="1" x14ac:dyDescent="0.25">
      <c r="A2852" s="3">
        <v>3622</v>
      </c>
      <c r="B2852" s="27">
        <v>45335.070532407408</v>
      </c>
      <c r="C2852" s="3" t="s">
        <v>3</v>
      </c>
    </row>
    <row r="2853" spans="1:3" ht="13.5" thickBot="1" x14ac:dyDescent="0.25">
      <c r="A2853" s="3">
        <v>3222</v>
      </c>
      <c r="B2853" s="27">
        <v>45335.073912037034</v>
      </c>
      <c r="C2853" s="3" t="s">
        <v>6</v>
      </c>
    </row>
    <row r="2854" spans="1:3" ht="13.5" thickBot="1" x14ac:dyDescent="0.25">
      <c r="A2854" s="3">
        <v>2216</v>
      </c>
      <c r="B2854" s="27">
        <v>45335.083067129628</v>
      </c>
      <c r="C2854" s="3" t="s">
        <v>5</v>
      </c>
    </row>
    <row r="2855" spans="1:3" ht="13.5" thickBot="1" x14ac:dyDescent="0.25">
      <c r="A2855" s="3">
        <v>574</v>
      </c>
      <c r="B2855" s="27">
        <v>45335.097754629627</v>
      </c>
      <c r="C2855" s="3" t="s">
        <v>3</v>
      </c>
    </row>
    <row r="2856" spans="1:3" ht="13.5" thickBot="1" x14ac:dyDescent="0.25">
      <c r="A2856" s="3">
        <v>1841</v>
      </c>
      <c r="B2856" s="27">
        <v>45335.15828703704</v>
      </c>
      <c r="C2856" s="3" t="s">
        <v>3</v>
      </c>
    </row>
    <row r="2857" spans="1:3" ht="13.5" thickBot="1" x14ac:dyDescent="0.25">
      <c r="A2857" s="3">
        <v>6129</v>
      </c>
      <c r="B2857" s="27">
        <v>45335.178425925929</v>
      </c>
      <c r="C2857" s="3" t="s">
        <v>6</v>
      </c>
    </row>
    <row r="2858" spans="1:3" ht="13.5" thickBot="1" x14ac:dyDescent="0.25">
      <c r="A2858" s="3">
        <v>4922</v>
      </c>
      <c r="B2858" s="27">
        <v>45335.183923611112</v>
      </c>
      <c r="C2858" s="3" t="s">
        <v>5</v>
      </c>
    </row>
    <row r="2859" spans="1:3" ht="13.5" thickBot="1" x14ac:dyDescent="0.25">
      <c r="A2859" s="3">
        <v>6751</v>
      </c>
      <c r="B2859" s="27">
        <v>45335.187291666669</v>
      </c>
      <c r="C2859" s="3" t="s">
        <v>3</v>
      </c>
    </row>
    <row r="2860" spans="1:3" ht="13.5" thickBot="1" x14ac:dyDescent="0.25">
      <c r="A2860" s="3">
        <v>4177</v>
      </c>
      <c r="B2860" s="27">
        <v>45335.199583333335</v>
      </c>
      <c r="C2860" s="3" t="s">
        <v>3</v>
      </c>
    </row>
    <row r="2861" spans="1:3" ht="13.5" thickBot="1" x14ac:dyDescent="0.25">
      <c r="A2861" s="3">
        <v>3465</v>
      </c>
      <c r="B2861" s="27">
        <v>45335.219571759262</v>
      </c>
      <c r="C2861" s="3" t="s">
        <v>4</v>
      </c>
    </row>
    <row r="2862" spans="1:3" ht="13.5" thickBot="1" x14ac:dyDescent="0.25">
      <c r="A2862" s="3">
        <v>5169</v>
      </c>
      <c r="B2862" s="27">
        <v>45335.230636574073</v>
      </c>
      <c r="C2862" s="3" t="s">
        <v>7</v>
      </c>
    </row>
    <row r="2863" spans="1:3" ht="13.5" thickBot="1" x14ac:dyDescent="0.25">
      <c r="A2863" s="3">
        <v>6980</v>
      </c>
      <c r="B2863" s="27">
        <v>45335.244675925926</v>
      </c>
      <c r="C2863" s="3" t="s">
        <v>3</v>
      </c>
    </row>
    <row r="2864" spans="1:3" ht="13.5" thickBot="1" x14ac:dyDescent="0.25">
      <c r="A2864" s="3">
        <v>6927</v>
      </c>
      <c r="B2864" s="27">
        <v>45335.246145833335</v>
      </c>
      <c r="C2864" s="3" t="s">
        <v>6</v>
      </c>
    </row>
    <row r="2865" spans="1:3" ht="13.5" thickBot="1" x14ac:dyDescent="0.25">
      <c r="A2865" s="3">
        <v>6855</v>
      </c>
      <c r="B2865" s="27">
        <v>45335.256354166668</v>
      </c>
      <c r="C2865" s="3" t="s">
        <v>6</v>
      </c>
    </row>
    <row r="2866" spans="1:3" ht="13.5" thickBot="1" x14ac:dyDescent="0.25">
      <c r="A2866" s="3">
        <v>1603</v>
      </c>
      <c r="B2866" s="27">
        <v>45335.280092592591</v>
      </c>
      <c r="C2866" s="3" t="s">
        <v>4</v>
      </c>
    </row>
    <row r="2867" spans="1:3" ht="13.5" thickBot="1" x14ac:dyDescent="0.25">
      <c r="A2867" s="3">
        <v>3346</v>
      </c>
      <c r="B2867" s="27">
        <v>45335.293900462966</v>
      </c>
      <c r="C2867" s="3" t="s">
        <v>3</v>
      </c>
    </row>
    <row r="2868" spans="1:3" ht="13.5" thickBot="1" x14ac:dyDescent="0.25">
      <c r="A2868" s="3">
        <v>2665</v>
      </c>
      <c r="B2868" s="27">
        <v>45335.334236111114</v>
      </c>
      <c r="C2868" s="3" t="s">
        <v>4</v>
      </c>
    </row>
    <row r="2869" spans="1:3" ht="13.5" thickBot="1" x14ac:dyDescent="0.25">
      <c r="A2869" s="3">
        <v>2440</v>
      </c>
      <c r="B2869" s="27">
        <v>45335.335856481484</v>
      </c>
      <c r="C2869" s="3" t="s">
        <v>7</v>
      </c>
    </row>
    <row r="2870" spans="1:3" ht="13.5" thickBot="1" x14ac:dyDescent="0.25">
      <c r="A2870" s="3">
        <v>991</v>
      </c>
      <c r="B2870" s="27">
        <v>45335.353472222225</v>
      </c>
      <c r="C2870" s="3" t="s">
        <v>3</v>
      </c>
    </row>
    <row r="2871" spans="1:3" ht="13.5" thickBot="1" x14ac:dyDescent="0.25">
      <c r="A2871" s="3">
        <v>5841</v>
      </c>
      <c r="B2871" s="27">
        <v>45335.357256944444</v>
      </c>
      <c r="C2871" s="3" t="s">
        <v>6</v>
      </c>
    </row>
    <row r="2872" spans="1:3" ht="13.5" thickBot="1" x14ac:dyDescent="0.25">
      <c r="A2872" s="3">
        <v>4700</v>
      </c>
      <c r="B2872" s="27">
        <v>45335.373402777775</v>
      </c>
      <c r="C2872" s="3" t="s">
        <v>4</v>
      </c>
    </row>
    <row r="2873" spans="1:3" ht="13.5" thickBot="1" x14ac:dyDescent="0.25">
      <c r="A2873" s="3">
        <v>1678</v>
      </c>
      <c r="B2873" s="27">
        <v>45335.37395833333</v>
      </c>
      <c r="C2873" s="3" t="s">
        <v>4</v>
      </c>
    </row>
    <row r="2874" spans="1:3" ht="13.5" thickBot="1" x14ac:dyDescent="0.25">
      <c r="A2874" s="3">
        <v>5000</v>
      </c>
      <c r="B2874" s="27">
        <v>45335.379178240742</v>
      </c>
      <c r="C2874" s="3" t="s">
        <v>4</v>
      </c>
    </row>
    <row r="2875" spans="1:3" ht="13.5" thickBot="1" x14ac:dyDescent="0.25">
      <c r="A2875" s="3">
        <v>6707</v>
      </c>
      <c r="B2875" s="27">
        <v>45335.381053240744</v>
      </c>
      <c r="C2875" s="3" t="s">
        <v>5</v>
      </c>
    </row>
    <row r="2876" spans="1:3" ht="13.5" thickBot="1" x14ac:dyDescent="0.25">
      <c r="A2876" s="3">
        <v>7815</v>
      </c>
      <c r="B2876" s="27">
        <v>45335.415775462963</v>
      </c>
      <c r="C2876" s="3" t="s">
        <v>7</v>
      </c>
    </row>
    <row r="2877" spans="1:3" ht="13.5" thickBot="1" x14ac:dyDescent="0.25">
      <c r="A2877" s="3">
        <v>1211</v>
      </c>
      <c r="B2877" s="27">
        <v>45335.437106481484</v>
      </c>
      <c r="C2877" s="3" t="s">
        <v>6</v>
      </c>
    </row>
    <row r="2878" spans="1:3" ht="13.5" thickBot="1" x14ac:dyDescent="0.25">
      <c r="A2878" s="3">
        <v>1603</v>
      </c>
      <c r="B2878" s="27">
        <v>45335.453113425923</v>
      </c>
      <c r="C2878" s="3" t="s">
        <v>3</v>
      </c>
    </row>
    <row r="2879" spans="1:3" ht="13.5" thickBot="1" x14ac:dyDescent="0.25">
      <c r="A2879" s="3">
        <v>3447</v>
      </c>
      <c r="B2879" s="27">
        <v>45335.459236111114</v>
      </c>
      <c r="C2879" s="3" t="s">
        <v>3</v>
      </c>
    </row>
    <row r="2880" spans="1:3" ht="13.5" thickBot="1" x14ac:dyDescent="0.25">
      <c r="A2880" s="3">
        <v>1732</v>
      </c>
      <c r="B2880" s="27">
        <v>45335.470208333332</v>
      </c>
      <c r="C2880" s="3" t="s">
        <v>7</v>
      </c>
    </row>
    <row r="2881" spans="1:3" ht="13.5" thickBot="1" x14ac:dyDescent="0.25">
      <c r="A2881" s="3">
        <v>5329</v>
      </c>
      <c r="B2881" s="27">
        <v>45335.47142361111</v>
      </c>
      <c r="C2881" s="3" t="s">
        <v>6</v>
      </c>
    </row>
    <row r="2882" spans="1:3" ht="13.5" thickBot="1" x14ac:dyDescent="0.25">
      <c r="A2882" s="3">
        <v>69</v>
      </c>
      <c r="B2882" s="27">
        <v>45335.475601851853</v>
      </c>
      <c r="C2882" s="3" t="s">
        <v>3</v>
      </c>
    </row>
    <row r="2883" spans="1:3" ht="13.5" thickBot="1" x14ac:dyDescent="0.25">
      <c r="A2883" s="3">
        <v>3523</v>
      </c>
      <c r="B2883" s="27">
        <v>45335.478726851848</v>
      </c>
      <c r="C2883" s="3" t="s">
        <v>3</v>
      </c>
    </row>
    <row r="2884" spans="1:3" ht="13.5" thickBot="1" x14ac:dyDescent="0.25">
      <c r="A2884" s="3">
        <v>2207</v>
      </c>
      <c r="B2884" s="27">
        <v>45335.510937500003</v>
      </c>
      <c r="C2884" s="3" t="s">
        <v>3</v>
      </c>
    </row>
    <row r="2885" spans="1:3" ht="13.5" thickBot="1" x14ac:dyDescent="0.25">
      <c r="A2885" s="3">
        <v>4463</v>
      </c>
      <c r="B2885" s="27">
        <v>45335.516689814816</v>
      </c>
      <c r="C2885" s="3" t="s">
        <v>4</v>
      </c>
    </row>
    <row r="2886" spans="1:3" ht="13.5" thickBot="1" x14ac:dyDescent="0.25">
      <c r="A2886" s="3">
        <v>1335</v>
      </c>
      <c r="B2886" s="27">
        <v>45335.55673611111</v>
      </c>
      <c r="C2886" s="3" t="s">
        <v>3</v>
      </c>
    </row>
    <row r="2887" spans="1:3" ht="13.5" thickBot="1" x14ac:dyDescent="0.25">
      <c r="A2887" s="3">
        <v>2575</v>
      </c>
      <c r="B2887" s="27">
        <v>45335.573344907411</v>
      </c>
      <c r="C2887" s="3" t="s">
        <v>5</v>
      </c>
    </row>
    <row r="2888" spans="1:3" ht="13.5" thickBot="1" x14ac:dyDescent="0.25">
      <c r="A2888" s="3">
        <v>7547</v>
      </c>
      <c r="B2888" s="27">
        <v>45335.578634259262</v>
      </c>
      <c r="C2888" s="3" t="s">
        <v>5</v>
      </c>
    </row>
    <row r="2889" spans="1:3" ht="13.5" thickBot="1" x14ac:dyDescent="0.25">
      <c r="A2889" s="3">
        <v>4817</v>
      </c>
      <c r="B2889" s="27">
        <v>45335.583472222221</v>
      </c>
      <c r="C2889" s="3" t="s">
        <v>6</v>
      </c>
    </row>
    <row r="2890" spans="1:3" ht="13.5" thickBot="1" x14ac:dyDescent="0.25">
      <c r="A2890" s="3">
        <v>1678</v>
      </c>
      <c r="B2890" s="27">
        <v>45335.584293981483</v>
      </c>
      <c r="C2890" s="3" t="s">
        <v>7</v>
      </c>
    </row>
    <row r="2891" spans="1:3" ht="13.5" thickBot="1" x14ac:dyDescent="0.25">
      <c r="A2891" s="3">
        <v>3978</v>
      </c>
      <c r="B2891" s="27">
        <v>45335.588449074072</v>
      </c>
      <c r="C2891" s="3" t="s">
        <v>5</v>
      </c>
    </row>
    <row r="2892" spans="1:3" ht="13.5" thickBot="1" x14ac:dyDescent="0.25">
      <c r="A2892" s="3">
        <v>7041</v>
      </c>
      <c r="B2892" s="27">
        <v>45335.610555555555</v>
      </c>
      <c r="C2892" s="3" t="s">
        <v>3</v>
      </c>
    </row>
    <row r="2893" spans="1:3" ht="13.5" thickBot="1" x14ac:dyDescent="0.25">
      <c r="A2893" s="3">
        <v>6943</v>
      </c>
      <c r="B2893" s="27">
        <v>45335.614953703705</v>
      </c>
      <c r="C2893" s="3" t="s">
        <v>3</v>
      </c>
    </row>
    <row r="2894" spans="1:3" ht="13.5" thickBot="1" x14ac:dyDescent="0.25">
      <c r="A2894" s="3">
        <v>6345</v>
      </c>
      <c r="B2894" s="27">
        <v>45335.628333333334</v>
      </c>
      <c r="C2894" s="3" t="s">
        <v>4</v>
      </c>
    </row>
    <row r="2895" spans="1:3" ht="13.5" thickBot="1" x14ac:dyDescent="0.25">
      <c r="A2895" s="3">
        <v>6855</v>
      </c>
      <c r="B2895" s="27">
        <v>45335.6487037037</v>
      </c>
      <c r="C2895" s="3" t="s">
        <v>5</v>
      </c>
    </row>
    <row r="2896" spans="1:3" ht="13.5" thickBot="1" x14ac:dyDescent="0.25">
      <c r="A2896" s="3">
        <v>448</v>
      </c>
      <c r="B2896" s="27">
        <v>45335.650219907409</v>
      </c>
      <c r="C2896" s="3" t="s">
        <v>5</v>
      </c>
    </row>
    <row r="2897" spans="1:3" ht="13.5" thickBot="1" x14ac:dyDescent="0.25">
      <c r="A2897" s="3">
        <v>7206</v>
      </c>
      <c r="B2897" s="27">
        <v>45335.65079861111</v>
      </c>
      <c r="C2897" s="3" t="s">
        <v>7</v>
      </c>
    </row>
    <row r="2898" spans="1:3" ht="13.5" thickBot="1" x14ac:dyDescent="0.25">
      <c r="A2898" s="3">
        <v>6011</v>
      </c>
      <c r="B2898" s="27">
        <v>45335.654710648145</v>
      </c>
      <c r="C2898" s="3" t="s">
        <v>4</v>
      </c>
    </row>
    <row r="2899" spans="1:3" ht="13.5" thickBot="1" x14ac:dyDescent="0.25">
      <c r="A2899" s="3">
        <v>1088</v>
      </c>
      <c r="B2899" s="27">
        <v>45335.660844907405</v>
      </c>
      <c r="C2899" s="3" t="s">
        <v>5</v>
      </c>
    </row>
    <row r="2900" spans="1:3" ht="13.5" thickBot="1" x14ac:dyDescent="0.25">
      <c r="A2900" s="3">
        <v>1452</v>
      </c>
      <c r="B2900" s="27">
        <v>45335.661979166667</v>
      </c>
      <c r="C2900" s="3" t="s">
        <v>3</v>
      </c>
    </row>
    <row r="2901" spans="1:3" ht="13.5" thickBot="1" x14ac:dyDescent="0.25">
      <c r="A2901" s="3">
        <v>2288</v>
      </c>
      <c r="B2901" s="27">
        <v>45335.666851851849</v>
      </c>
      <c r="C2901" s="3" t="s">
        <v>7</v>
      </c>
    </row>
    <row r="2902" spans="1:3" ht="13.5" thickBot="1" x14ac:dyDescent="0.25">
      <c r="A2902" s="3">
        <v>7547</v>
      </c>
      <c r="B2902" s="27">
        <v>45335.667557870373</v>
      </c>
      <c r="C2902" s="3" t="s">
        <v>4</v>
      </c>
    </row>
    <row r="2903" spans="1:3" ht="13.5" thickBot="1" x14ac:dyDescent="0.25">
      <c r="A2903" s="3">
        <v>7050</v>
      </c>
      <c r="B2903" s="27">
        <v>45335.672731481478</v>
      </c>
      <c r="C2903" s="3" t="s">
        <v>6</v>
      </c>
    </row>
    <row r="2904" spans="1:3" ht="13.5" thickBot="1" x14ac:dyDescent="0.25">
      <c r="A2904" s="3">
        <v>7537</v>
      </c>
      <c r="B2904" s="27">
        <v>45335.676712962966</v>
      </c>
      <c r="C2904" s="3" t="s">
        <v>4</v>
      </c>
    </row>
    <row r="2905" spans="1:3" ht="13.5" thickBot="1" x14ac:dyDescent="0.25">
      <c r="A2905" s="3">
        <v>7431</v>
      </c>
      <c r="B2905" s="27">
        <v>45335.677673611113</v>
      </c>
      <c r="C2905" s="3" t="s">
        <v>3</v>
      </c>
    </row>
    <row r="2906" spans="1:3" ht="13.5" thickBot="1" x14ac:dyDescent="0.25">
      <c r="A2906" s="3">
        <v>6095</v>
      </c>
      <c r="B2906" s="27">
        <v>45335.693333333336</v>
      </c>
      <c r="C2906" s="3" t="s">
        <v>3</v>
      </c>
    </row>
    <row r="2907" spans="1:3" ht="13.5" thickBot="1" x14ac:dyDescent="0.25">
      <c r="A2907" s="3">
        <v>5096</v>
      </c>
      <c r="B2907" s="27">
        <v>45335.699641203704</v>
      </c>
      <c r="C2907" s="3" t="s">
        <v>6</v>
      </c>
    </row>
    <row r="2908" spans="1:3" ht="13.5" thickBot="1" x14ac:dyDescent="0.25">
      <c r="A2908" s="3">
        <v>7131</v>
      </c>
      <c r="B2908" s="27">
        <v>45335.724351851852</v>
      </c>
      <c r="C2908" s="3" t="s">
        <v>5</v>
      </c>
    </row>
    <row r="2909" spans="1:3" ht="13.5" thickBot="1" x14ac:dyDescent="0.25">
      <c r="A2909" s="3">
        <v>5494</v>
      </c>
      <c r="B2909" s="27">
        <v>45335.724768518521</v>
      </c>
      <c r="C2909" s="3" t="s">
        <v>7</v>
      </c>
    </row>
    <row r="2910" spans="1:3" ht="13.5" thickBot="1" x14ac:dyDescent="0.25">
      <c r="A2910" s="3">
        <v>2216</v>
      </c>
      <c r="B2910" s="27">
        <v>45335.738298611112</v>
      </c>
      <c r="C2910" s="3" t="s">
        <v>4</v>
      </c>
    </row>
    <row r="2911" spans="1:3" ht="13.5" thickBot="1" x14ac:dyDescent="0.25">
      <c r="A2911" s="3">
        <v>5665</v>
      </c>
      <c r="B2911" s="27">
        <v>45335.750648148147</v>
      </c>
      <c r="C2911" s="3" t="s">
        <v>6</v>
      </c>
    </row>
    <row r="2912" spans="1:3" ht="13.5" thickBot="1" x14ac:dyDescent="0.25">
      <c r="A2912" s="3">
        <v>6305</v>
      </c>
      <c r="B2912" s="27">
        <v>45335.793368055558</v>
      </c>
      <c r="C2912" s="3" t="s">
        <v>3</v>
      </c>
    </row>
    <row r="2913" spans="1:3" ht="13.5" thickBot="1" x14ac:dyDescent="0.25">
      <c r="A2913" s="3">
        <v>551</v>
      </c>
      <c r="B2913" s="27">
        <v>45335.794768518521</v>
      </c>
      <c r="C2913" s="3" t="s">
        <v>3</v>
      </c>
    </row>
    <row r="2914" spans="1:3" ht="13.5" thickBot="1" x14ac:dyDescent="0.25">
      <c r="A2914" s="3">
        <v>7667</v>
      </c>
      <c r="B2914" s="27">
        <v>45335.799189814818</v>
      </c>
      <c r="C2914" s="3" t="s">
        <v>3</v>
      </c>
    </row>
    <row r="2915" spans="1:3" ht="13.5" thickBot="1" x14ac:dyDescent="0.25">
      <c r="A2915" s="3">
        <v>7815</v>
      </c>
      <c r="B2915" s="27">
        <v>45335.817361111112</v>
      </c>
      <c r="C2915" s="3" t="s">
        <v>6</v>
      </c>
    </row>
    <row r="2916" spans="1:3" ht="13.5" thickBot="1" x14ac:dyDescent="0.25">
      <c r="A2916" s="3">
        <v>738</v>
      </c>
      <c r="B2916" s="27">
        <v>45335.82267361111</v>
      </c>
      <c r="C2916" s="3" t="s">
        <v>7</v>
      </c>
    </row>
    <row r="2917" spans="1:3" ht="13.5" thickBot="1" x14ac:dyDescent="0.25">
      <c r="A2917" s="3">
        <v>2288</v>
      </c>
      <c r="B2917" s="27">
        <v>45335.824745370373</v>
      </c>
      <c r="C2917" s="3" t="s">
        <v>5</v>
      </c>
    </row>
    <row r="2918" spans="1:3" ht="13.5" thickBot="1" x14ac:dyDescent="0.25">
      <c r="A2918" s="3">
        <v>4295</v>
      </c>
      <c r="B2918" s="27">
        <v>45335.843078703707</v>
      </c>
      <c r="C2918" s="3" t="s">
        <v>5</v>
      </c>
    </row>
    <row r="2919" spans="1:3" ht="13.5" thickBot="1" x14ac:dyDescent="0.25">
      <c r="A2919" s="3">
        <v>5716</v>
      </c>
      <c r="B2919" s="27">
        <v>45335.850763888891</v>
      </c>
      <c r="C2919" s="3" t="s">
        <v>4</v>
      </c>
    </row>
    <row r="2920" spans="1:3" ht="13.5" thickBot="1" x14ac:dyDescent="0.25">
      <c r="A2920" s="3">
        <v>5640</v>
      </c>
      <c r="B2920" s="27">
        <v>45335.857349537036</v>
      </c>
      <c r="C2920" s="3" t="s">
        <v>3</v>
      </c>
    </row>
    <row r="2921" spans="1:3" ht="13.5" thickBot="1" x14ac:dyDescent="0.25">
      <c r="A2921" s="3">
        <v>4727</v>
      </c>
      <c r="B2921" s="27">
        <v>45335.867060185185</v>
      </c>
      <c r="C2921" s="3" t="s">
        <v>3</v>
      </c>
    </row>
    <row r="2922" spans="1:3" ht="13.5" thickBot="1" x14ac:dyDescent="0.25">
      <c r="A2922" s="3">
        <v>185</v>
      </c>
      <c r="B2922" s="27">
        <v>45335.905636574076</v>
      </c>
      <c r="C2922" s="3" t="s">
        <v>4</v>
      </c>
    </row>
    <row r="2923" spans="1:3" ht="13.5" thickBot="1" x14ac:dyDescent="0.25">
      <c r="A2923" s="3">
        <v>1262</v>
      </c>
      <c r="B2923" s="27">
        <v>45335.90797453704</v>
      </c>
      <c r="C2923" s="3" t="s">
        <v>6</v>
      </c>
    </row>
    <row r="2924" spans="1:3" ht="13.5" thickBot="1" x14ac:dyDescent="0.25">
      <c r="A2924" s="3">
        <v>1452</v>
      </c>
      <c r="B2924" s="27">
        <v>45335.910092592596</v>
      </c>
      <c r="C2924" s="3" t="s">
        <v>4</v>
      </c>
    </row>
    <row r="2925" spans="1:3" ht="13.5" thickBot="1" x14ac:dyDescent="0.25">
      <c r="A2925" s="3">
        <v>5787</v>
      </c>
      <c r="B2925" s="27">
        <v>45335.921030092592</v>
      </c>
      <c r="C2925" s="3" t="s">
        <v>3</v>
      </c>
    </row>
    <row r="2926" spans="1:3" ht="13.5" thickBot="1" x14ac:dyDescent="0.25">
      <c r="A2926" s="3">
        <v>1618</v>
      </c>
      <c r="B2926" s="27">
        <v>45335.954444444447</v>
      </c>
      <c r="C2926" s="3" t="s">
        <v>6</v>
      </c>
    </row>
    <row r="2927" spans="1:3" ht="13.5" thickBot="1" x14ac:dyDescent="0.25">
      <c r="A2927" s="3">
        <v>1528</v>
      </c>
      <c r="B2927" s="27">
        <v>45335.959537037037</v>
      </c>
      <c r="C2927" s="3" t="s">
        <v>3</v>
      </c>
    </row>
    <row r="2928" spans="1:3" ht="13.5" thickBot="1" x14ac:dyDescent="0.25">
      <c r="A2928" s="3">
        <v>4551</v>
      </c>
      <c r="B2928" s="27">
        <v>45336.004895833335</v>
      </c>
      <c r="C2928" s="3" t="s">
        <v>6</v>
      </c>
    </row>
    <row r="2929" spans="1:3" ht="13.5" thickBot="1" x14ac:dyDescent="0.25">
      <c r="A2929" s="3">
        <v>5090</v>
      </c>
      <c r="B2929" s="27">
        <v>45336.012939814813</v>
      </c>
      <c r="C2929" s="3" t="s">
        <v>3</v>
      </c>
    </row>
    <row r="2930" spans="1:3" ht="13.5" thickBot="1" x14ac:dyDescent="0.25">
      <c r="A2930" s="3">
        <v>7249</v>
      </c>
      <c r="B2930" s="27">
        <v>45336.01939814815</v>
      </c>
      <c r="C2930" s="3" t="s">
        <v>7</v>
      </c>
    </row>
    <row r="2931" spans="1:3" ht="13.5" thickBot="1" x14ac:dyDescent="0.25">
      <c r="A2931" s="3">
        <v>6722</v>
      </c>
      <c r="B2931" s="27">
        <v>45336.019525462965</v>
      </c>
      <c r="C2931" s="3" t="s">
        <v>3</v>
      </c>
    </row>
    <row r="2932" spans="1:3" ht="13.5" thickBot="1" x14ac:dyDescent="0.25">
      <c r="A2932" s="3">
        <v>7050</v>
      </c>
      <c r="B2932" s="27">
        <v>45336.027499999997</v>
      </c>
      <c r="C2932" s="3" t="s">
        <v>7</v>
      </c>
    </row>
    <row r="2933" spans="1:3" ht="13.5" thickBot="1" x14ac:dyDescent="0.25">
      <c r="A2933" s="3">
        <v>3219</v>
      </c>
      <c r="B2933" s="27">
        <v>45336.034641203703</v>
      </c>
      <c r="C2933" s="3" t="s">
        <v>3</v>
      </c>
    </row>
    <row r="2934" spans="1:3" ht="13.5" thickBot="1" x14ac:dyDescent="0.25">
      <c r="A2934" s="3">
        <v>1732</v>
      </c>
      <c r="B2934" s="27">
        <v>45336.04078703704</v>
      </c>
      <c r="C2934" s="3" t="s">
        <v>6</v>
      </c>
    </row>
    <row r="2935" spans="1:3" ht="13.5" thickBot="1" x14ac:dyDescent="0.25">
      <c r="A2935" s="3">
        <v>1665</v>
      </c>
      <c r="B2935" s="27">
        <v>45336.054282407407</v>
      </c>
      <c r="C2935" s="3" t="s">
        <v>3</v>
      </c>
    </row>
    <row r="2936" spans="1:3" ht="13.5" thickBot="1" x14ac:dyDescent="0.25">
      <c r="A2936" s="3">
        <v>3866</v>
      </c>
      <c r="B2936" s="27">
        <v>45336.075532407405</v>
      </c>
      <c r="C2936" s="3" t="s">
        <v>3</v>
      </c>
    </row>
    <row r="2937" spans="1:3" ht="13.5" thickBot="1" x14ac:dyDescent="0.25">
      <c r="A2937" s="3">
        <v>6595</v>
      </c>
      <c r="B2937" s="27">
        <v>45336.084560185183</v>
      </c>
      <c r="C2937" s="3" t="s">
        <v>3</v>
      </c>
    </row>
    <row r="2938" spans="1:3" ht="13.5" thickBot="1" x14ac:dyDescent="0.25">
      <c r="A2938" s="3">
        <v>2689</v>
      </c>
      <c r="B2938" s="27">
        <v>45336.144988425927</v>
      </c>
      <c r="C2938" s="3" t="s">
        <v>6</v>
      </c>
    </row>
    <row r="2939" spans="1:3" ht="13.5" thickBot="1" x14ac:dyDescent="0.25">
      <c r="A2939" s="3">
        <v>1101</v>
      </c>
      <c r="B2939" s="27">
        <v>45336.17627314815</v>
      </c>
      <c r="C2939" s="3" t="s">
        <v>3</v>
      </c>
    </row>
    <row r="2940" spans="1:3" ht="13.5" thickBot="1" x14ac:dyDescent="0.25">
      <c r="A2940" s="3">
        <v>4895</v>
      </c>
      <c r="B2940" s="27">
        <v>45336.176851851851</v>
      </c>
      <c r="C2940" s="3" t="s">
        <v>5</v>
      </c>
    </row>
    <row r="2941" spans="1:3" ht="13.5" thickBot="1" x14ac:dyDescent="0.25">
      <c r="A2941" s="3">
        <v>922</v>
      </c>
      <c r="B2941" s="27">
        <v>45336.197743055556</v>
      </c>
      <c r="C2941" s="3" t="s">
        <v>4</v>
      </c>
    </row>
    <row r="2942" spans="1:3" ht="13.5" thickBot="1" x14ac:dyDescent="0.25">
      <c r="A2942" s="3">
        <v>7597</v>
      </c>
      <c r="B2942" s="27">
        <v>45336.200289351851</v>
      </c>
      <c r="C2942" s="3" t="s">
        <v>6</v>
      </c>
    </row>
    <row r="2943" spans="1:3" ht="13.5" thickBot="1" x14ac:dyDescent="0.25">
      <c r="A2943" s="3">
        <v>1452</v>
      </c>
      <c r="B2943" s="27">
        <v>45336.234525462962</v>
      </c>
      <c r="C2943" s="3" t="s">
        <v>5</v>
      </c>
    </row>
    <row r="2944" spans="1:3" ht="13.5" thickBot="1" x14ac:dyDescent="0.25">
      <c r="A2944" s="3">
        <v>4425</v>
      </c>
      <c r="B2944" s="27">
        <v>45336.259652777779</v>
      </c>
      <c r="C2944" s="3" t="s">
        <v>5</v>
      </c>
    </row>
    <row r="2945" spans="1:3" ht="13.5" thickBot="1" x14ac:dyDescent="0.25">
      <c r="A2945" s="3">
        <v>574</v>
      </c>
      <c r="B2945" s="27">
        <v>45336.261238425926</v>
      </c>
      <c r="C2945" s="3" t="s">
        <v>4</v>
      </c>
    </row>
    <row r="2946" spans="1:3" ht="13.5" thickBot="1" x14ac:dyDescent="0.25">
      <c r="A2946" s="3">
        <v>462</v>
      </c>
      <c r="B2946" s="27">
        <v>45336.262048611112</v>
      </c>
      <c r="C2946" s="3" t="s">
        <v>3</v>
      </c>
    </row>
    <row r="2947" spans="1:3" ht="13.5" thickBot="1" x14ac:dyDescent="0.25">
      <c r="A2947" s="3">
        <v>122</v>
      </c>
      <c r="B2947" s="27">
        <v>45336.31355324074</v>
      </c>
      <c r="C2947" s="3" t="s">
        <v>3</v>
      </c>
    </row>
    <row r="2948" spans="1:3" ht="13.5" thickBot="1" x14ac:dyDescent="0.25">
      <c r="A2948" s="3">
        <v>4768</v>
      </c>
      <c r="B2948" s="27">
        <v>45336.315000000002</v>
      </c>
      <c r="C2948" s="3" t="s">
        <v>4</v>
      </c>
    </row>
    <row r="2949" spans="1:3" ht="13.5" thickBot="1" x14ac:dyDescent="0.25">
      <c r="A2949" s="3">
        <v>7001</v>
      </c>
      <c r="B2949" s="27">
        <v>45336.334282407406</v>
      </c>
      <c r="C2949" s="3" t="s">
        <v>3</v>
      </c>
    </row>
    <row r="2950" spans="1:3" ht="13.5" thickBot="1" x14ac:dyDescent="0.25">
      <c r="A2950" s="3">
        <v>3978</v>
      </c>
      <c r="B2950" s="27">
        <v>45336.346550925926</v>
      </c>
      <c r="C2950" s="3" t="s">
        <v>7</v>
      </c>
    </row>
    <row r="2951" spans="1:3" ht="13.5" thickBot="1" x14ac:dyDescent="0.25">
      <c r="A2951" s="3">
        <v>4295</v>
      </c>
      <c r="B2951" s="27">
        <v>45336.349166666667</v>
      </c>
      <c r="C2951" s="3" t="s">
        <v>6</v>
      </c>
    </row>
    <row r="2952" spans="1:3" ht="13.5" thickBot="1" x14ac:dyDescent="0.25">
      <c r="A2952" s="3">
        <v>563</v>
      </c>
      <c r="B2952" s="27">
        <v>45336.364247685182</v>
      </c>
      <c r="C2952" s="3" t="s">
        <v>3</v>
      </c>
    </row>
    <row r="2953" spans="1:3" ht="13.5" thickBot="1" x14ac:dyDescent="0.25">
      <c r="A2953" s="3">
        <v>1845</v>
      </c>
      <c r="B2953" s="27">
        <v>45336.374444444446</v>
      </c>
      <c r="C2953" s="3" t="s">
        <v>7</v>
      </c>
    </row>
    <row r="2954" spans="1:3" ht="13.5" thickBot="1" x14ac:dyDescent="0.25">
      <c r="A2954" s="3">
        <v>2432</v>
      </c>
      <c r="B2954" s="27">
        <v>45336.386886574073</v>
      </c>
      <c r="C2954" s="3" t="s">
        <v>3</v>
      </c>
    </row>
    <row r="2955" spans="1:3" ht="13.5" thickBot="1" x14ac:dyDescent="0.25">
      <c r="A2955" s="3">
        <v>157</v>
      </c>
      <c r="B2955" s="27">
        <v>45336.413321759261</v>
      </c>
      <c r="C2955" s="3" t="s">
        <v>7</v>
      </c>
    </row>
    <row r="2956" spans="1:3" ht="13.5" thickBot="1" x14ac:dyDescent="0.25">
      <c r="A2956" s="3">
        <v>1845</v>
      </c>
      <c r="B2956" s="27">
        <v>45336.416967592595</v>
      </c>
      <c r="C2956" s="3" t="s">
        <v>6</v>
      </c>
    </row>
    <row r="2957" spans="1:3" ht="13.5" thickBot="1" x14ac:dyDescent="0.25">
      <c r="A2957" s="3">
        <v>2054</v>
      </c>
      <c r="B2957" s="27">
        <v>45336.418194444443</v>
      </c>
      <c r="C2957" s="3" t="s">
        <v>3</v>
      </c>
    </row>
    <row r="2958" spans="1:3" ht="13.5" thickBot="1" x14ac:dyDescent="0.25">
      <c r="A2958" s="3">
        <v>5936</v>
      </c>
      <c r="B2958" s="27">
        <v>45336.41878472222</v>
      </c>
      <c r="C2958" s="3" t="s">
        <v>3</v>
      </c>
    </row>
    <row r="2959" spans="1:3" ht="13.5" thickBot="1" x14ac:dyDescent="0.25">
      <c r="A2959" s="3">
        <v>1495</v>
      </c>
      <c r="B2959" s="27">
        <v>45336.427743055552</v>
      </c>
      <c r="C2959" s="3" t="s">
        <v>3</v>
      </c>
    </row>
    <row r="2960" spans="1:3" ht="13.5" thickBot="1" x14ac:dyDescent="0.25">
      <c r="A2960" s="3">
        <v>2271</v>
      </c>
      <c r="B2960" s="27">
        <v>45336.430717592593</v>
      </c>
      <c r="C2960" s="3" t="s">
        <v>4</v>
      </c>
    </row>
    <row r="2961" spans="1:3" ht="13.5" thickBot="1" x14ac:dyDescent="0.25">
      <c r="A2961" s="3">
        <v>1818</v>
      </c>
      <c r="B2961" s="27">
        <v>45336.433622685188</v>
      </c>
      <c r="C2961" s="3" t="s">
        <v>4</v>
      </c>
    </row>
    <row r="2962" spans="1:3" ht="13.5" thickBot="1" x14ac:dyDescent="0.25">
      <c r="A2962" s="3">
        <v>5420</v>
      </c>
      <c r="B2962" s="27">
        <v>45336.455925925926</v>
      </c>
      <c r="C2962" s="3" t="s">
        <v>3</v>
      </c>
    </row>
    <row r="2963" spans="1:3" ht="13.5" thickBot="1" x14ac:dyDescent="0.25">
      <c r="A2963" s="3">
        <v>1672</v>
      </c>
      <c r="B2963" s="27">
        <v>45336.461805555555</v>
      </c>
      <c r="C2963" s="3" t="s">
        <v>5</v>
      </c>
    </row>
    <row r="2964" spans="1:3" ht="13.5" thickBot="1" x14ac:dyDescent="0.25">
      <c r="A2964" s="3">
        <v>4177</v>
      </c>
      <c r="B2964" s="27">
        <v>45336.480891203704</v>
      </c>
      <c r="C2964" s="3" t="s">
        <v>5</v>
      </c>
    </row>
    <row r="2965" spans="1:3" ht="13.5" thickBot="1" x14ac:dyDescent="0.25">
      <c r="A2965" s="3">
        <v>2216</v>
      </c>
      <c r="B2965" s="27">
        <v>45336.483252314814</v>
      </c>
      <c r="C2965" s="3" t="s">
        <v>6</v>
      </c>
    </row>
    <row r="2966" spans="1:3" ht="13.5" thickBot="1" x14ac:dyDescent="0.25">
      <c r="A2966" s="3">
        <v>1614</v>
      </c>
      <c r="B2966" s="27">
        <v>45336.498668981483</v>
      </c>
      <c r="C2966" s="3" t="s">
        <v>3</v>
      </c>
    </row>
    <row r="2967" spans="1:3" ht="13.5" thickBot="1" x14ac:dyDescent="0.25">
      <c r="A2967" s="3">
        <v>5863</v>
      </c>
      <c r="B2967" s="27">
        <v>45336.506435185183</v>
      </c>
      <c r="C2967" s="3" t="s">
        <v>6</v>
      </c>
    </row>
    <row r="2968" spans="1:3" ht="13.5" thickBot="1" x14ac:dyDescent="0.25">
      <c r="A2968" s="3">
        <v>6718</v>
      </c>
      <c r="B2968" s="27">
        <v>45336.512326388889</v>
      </c>
      <c r="C2968" s="3" t="s">
        <v>3</v>
      </c>
    </row>
    <row r="2969" spans="1:3" ht="13.5" thickBot="1" x14ac:dyDescent="0.25">
      <c r="A2969" s="3">
        <v>311</v>
      </c>
      <c r="B2969" s="27">
        <v>45336.517858796295</v>
      </c>
      <c r="C2969" s="3" t="s">
        <v>3</v>
      </c>
    </row>
    <row r="2970" spans="1:3" ht="13.5" thickBot="1" x14ac:dyDescent="0.25">
      <c r="A2970" s="3">
        <v>5904</v>
      </c>
      <c r="B2970" s="27">
        <v>45336.52857638889</v>
      </c>
      <c r="C2970" s="3" t="s">
        <v>6</v>
      </c>
    </row>
    <row r="2971" spans="1:3" ht="13.5" thickBot="1" x14ac:dyDescent="0.25">
      <c r="A2971" s="3">
        <v>1672</v>
      </c>
      <c r="B2971" s="27">
        <v>45336.590949074074</v>
      </c>
      <c r="C2971" s="3" t="s">
        <v>3</v>
      </c>
    </row>
    <row r="2972" spans="1:3" ht="13.5" thickBot="1" x14ac:dyDescent="0.25">
      <c r="A2972" s="3">
        <v>5014</v>
      </c>
      <c r="B2972" s="27">
        <v>45336.595150462963</v>
      </c>
      <c r="C2972" s="3" t="s">
        <v>5</v>
      </c>
    </row>
    <row r="2973" spans="1:3" ht="13.5" thickBot="1" x14ac:dyDescent="0.25">
      <c r="A2973" s="3">
        <v>122</v>
      </c>
      <c r="B2973" s="27">
        <v>45336.617581018516</v>
      </c>
      <c r="C2973" s="3" t="s">
        <v>4</v>
      </c>
    </row>
    <row r="2974" spans="1:3" ht="13.5" thickBot="1" x14ac:dyDescent="0.25">
      <c r="A2974" s="3">
        <v>1900</v>
      </c>
      <c r="B2974" s="27">
        <v>45336.672800925924</v>
      </c>
      <c r="C2974" s="3" t="s">
        <v>3</v>
      </c>
    </row>
    <row r="2975" spans="1:3" ht="13.5" thickBot="1" x14ac:dyDescent="0.25">
      <c r="A2975" s="3">
        <v>2459</v>
      </c>
      <c r="B2975" s="27">
        <v>45336.678668981483</v>
      </c>
      <c r="C2975" s="3" t="s">
        <v>7</v>
      </c>
    </row>
    <row r="2976" spans="1:3" ht="13.5" thickBot="1" x14ac:dyDescent="0.25">
      <c r="A2976" s="3">
        <v>1231</v>
      </c>
      <c r="B2976" s="27">
        <v>45336.687361111108</v>
      </c>
      <c r="C2976" s="3" t="s">
        <v>3</v>
      </c>
    </row>
    <row r="2977" spans="1:3" ht="13.5" thickBot="1" x14ac:dyDescent="0.25">
      <c r="A2977" s="3">
        <v>2061</v>
      </c>
      <c r="B2977" s="27">
        <v>45336.702766203707</v>
      </c>
      <c r="C2977" s="3" t="s">
        <v>3</v>
      </c>
    </row>
    <row r="2978" spans="1:3" ht="13.5" thickBot="1" x14ac:dyDescent="0.25">
      <c r="A2978" s="3">
        <v>7249</v>
      </c>
      <c r="B2978" s="27">
        <v>45336.726307870369</v>
      </c>
      <c r="C2978" s="3" t="s">
        <v>6</v>
      </c>
    </row>
    <row r="2979" spans="1:3" ht="13.5" thickBot="1" x14ac:dyDescent="0.25">
      <c r="A2979" s="3">
        <v>1818</v>
      </c>
      <c r="B2979" s="27">
        <v>45336.741516203707</v>
      </c>
      <c r="C2979" s="3" t="s">
        <v>3</v>
      </c>
    </row>
    <row r="2980" spans="1:3" ht="13.5" thickBot="1" x14ac:dyDescent="0.25">
      <c r="A2980" s="3">
        <v>5127</v>
      </c>
      <c r="B2980" s="27">
        <v>45336.766145833331</v>
      </c>
      <c r="C2980" s="3" t="s">
        <v>3</v>
      </c>
    </row>
    <row r="2981" spans="1:3" ht="13.5" thickBot="1" x14ac:dyDescent="0.25">
      <c r="A2981" s="3">
        <v>2400</v>
      </c>
      <c r="B2981" s="27">
        <v>45336.769687499997</v>
      </c>
      <c r="C2981" s="3" t="s">
        <v>7</v>
      </c>
    </row>
    <row r="2982" spans="1:3" ht="13.5" thickBot="1" x14ac:dyDescent="0.25">
      <c r="A2982" s="3">
        <v>1840</v>
      </c>
      <c r="B2982" s="27">
        <v>45336.7971875</v>
      </c>
      <c r="C2982" s="3" t="s">
        <v>3</v>
      </c>
    </row>
    <row r="2983" spans="1:3" ht="13.5" thickBot="1" x14ac:dyDescent="0.25">
      <c r="A2983" s="3">
        <v>922</v>
      </c>
      <c r="B2983" s="27">
        <v>45336.801608796297</v>
      </c>
      <c r="C2983" s="3" t="s">
        <v>5</v>
      </c>
    </row>
    <row r="2984" spans="1:3" ht="13.5" thickBot="1" x14ac:dyDescent="0.25">
      <c r="A2984" s="3">
        <v>5000</v>
      </c>
      <c r="B2984" s="27">
        <v>45336.807129629633</v>
      </c>
      <c r="C2984" s="3" t="s">
        <v>6</v>
      </c>
    </row>
    <row r="2985" spans="1:3" ht="13.5" thickBot="1" x14ac:dyDescent="0.25">
      <c r="A2985" s="3">
        <v>3543</v>
      </c>
      <c r="B2985" s="27">
        <v>45336.835798611108</v>
      </c>
      <c r="C2985" s="3" t="s">
        <v>5</v>
      </c>
    </row>
    <row r="2986" spans="1:3" ht="13.5" thickBot="1" x14ac:dyDescent="0.25">
      <c r="A2986" s="3">
        <v>7484</v>
      </c>
      <c r="B2986" s="27">
        <v>45336.839189814818</v>
      </c>
      <c r="C2986" s="3" t="s">
        <v>4</v>
      </c>
    </row>
    <row r="2987" spans="1:3" ht="13.5" thickBot="1" x14ac:dyDescent="0.25">
      <c r="A2987" s="3">
        <v>4295</v>
      </c>
      <c r="B2987" s="27">
        <v>45336.847199074073</v>
      </c>
      <c r="C2987" s="3" t="s">
        <v>7</v>
      </c>
    </row>
    <row r="2988" spans="1:3" ht="13.5" thickBot="1" x14ac:dyDescent="0.25">
      <c r="A2988" s="3">
        <v>3241</v>
      </c>
      <c r="B2988" s="27">
        <v>45336.862314814818</v>
      </c>
      <c r="C2988" s="3" t="s">
        <v>3</v>
      </c>
    </row>
    <row r="2989" spans="1:3" ht="13.5" thickBot="1" x14ac:dyDescent="0.25">
      <c r="A2989" s="3">
        <v>6590</v>
      </c>
      <c r="B2989" s="27">
        <v>45336.866076388891</v>
      </c>
      <c r="C2989" s="3" t="s">
        <v>4</v>
      </c>
    </row>
    <row r="2990" spans="1:3" ht="13.5" thickBot="1" x14ac:dyDescent="0.25">
      <c r="A2990" s="3">
        <v>3622</v>
      </c>
      <c r="B2990" s="27">
        <v>45336.875416666669</v>
      </c>
      <c r="C2990" s="3" t="s">
        <v>4</v>
      </c>
    </row>
    <row r="2991" spans="1:3" ht="13.5" thickBot="1" x14ac:dyDescent="0.25">
      <c r="A2991" s="3">
        <v>5331</v>
      </c>
      <c r="B2991" s="27">
        <v>45336.880752314813</v>
      </c>
      <c r="C2991" s="3" t="s">
        <v>3</v>
      </c>
    </row>
    <row r="2992" spans="1:3" ht="13.5" thickBot="1" x14ac:dyDescent="0.25">
      <c r="A2992" s="3">
        <v>6718</v>
      </c>
      <c r="B2992" s="27">
        <v>45336.885937500003</v>
      </c>
      <c r="C2992" s="3" t="s">
        <v>4</v>
      </c>
    </row>
    <row r="2993" spans="1:3" ht="13.5" thickBot="1" x14ac:dyDescent="0.25">
      <c r="A2993" s="3">
        <v>2373</v>
      </c>
      <c r="B2993" s="27">
        <v>45336.891701388886</v>
      </c>
      <c r="C2993" s="3" t="s">
        <v>3</v>
      </c>
    </row>
    <row r="2994" spans="1:3" ht="13.5" thickBot="1" x14ac:dyDescent="0.25">
      <c r="A2994" s="3">
        <v>5000</v>
      </c>
      <c r="B2994" s="27">
        <v>45336.895462962966</v>
      </c>
      <c r="C2994" s="3" t="s">
        <v>5</v>
      </c>
    </row>
    <row r="2995" spans="1:3" ht="13.5" thickBot="1" x14ac:dyDescent="0.25">
      <c r="A2995" s="3">
        <v>5063</v>
      </c>
      <c r="B2995" s="27">
        <v>45336.900150462963</v>
      </c>
      <c r="C2995" s="3" t="s">
        <v>4</v>
      </c>
    </row>
    <row r="2996" spans="1:3" ht="13.5" thickBot="1" x14ac:dyDescent="0.25">
      <c r="A2996" s="3">
        <v>4922</v>
      </c>
      <c r="B2996" s="27">
        <v>45336.921469907407</v>
      </c>
      <c r="C2996" s="3" t="s">
        <v>6</v>
      </c>
    </row>
    <row r="2997" spans="1:3" ht="13.5" thickBot="1" x14ac:dyDescent="0.25">
      <c r="A2997" s="3">
        <v>922</v>
      </c>
      <c r="B2997" s="27">
        <v>45336.922025462962</v>
      </c>
      <c r="C2997" s="3" t="s">
        <v>3</v>
      </c>
    </row>
    <row r="2998" spans="1:3" ht="13.5" thickBot="1" x14ac:dyDescent="0.25">
      <c r="A2998" s="3">
        <v>2689</v>
      </c>
      <c r="B2998" s="27">
        <v>45336.944814814815</v>
      </c>
      <c r="C2998" s="3" t="s">
        <v>5</v>
      </c>
    </row>
    <row r="2999" spans="1:3" ht="13.5" thickBot="1" x14ac:dyDescent="0.25">
      <c r="A2999" s="3">
        <v>5269</v>
      </c>
      <c r="B2999" s="27">
        <v>45336.962222222224</v>
      </c>
      <c r="C2999" s="3" t="s">
        <v>3</v>
      </c>
    </row>
    <row r="3000" spans="1:3" ht="13.5" thickBot="1" x14ac:dyDescent="0.25">
      <c r="A3000" s="3">
        <v>249</v>
      </c>
      <c r="B3000" s="27">
        <v>45336.964282407411</v>
      </c>
      <c r="C3000" s="3" t="s">
        <v>6</v>
      </c>
    </row>
    <row r="3001" spans="1:3" ht="13.5" thickBot="1" x14ac:dyDescent="0.25">
      <c r="A3001" s="3">
        <v>4568</v>
      </c>
      <c r="B3001" s="28"/>
      <c r="C3001" s="3" t="s">
        <v>4</v>
      </c>
    </row>
    <row r="3002" spans="1:3" ht="13.5" thickBot="1" x14ac:dyDescent="0.25">
      <c r="A3002" s="3">
        <v>6022</v>
      </c>
      <c r="B3002" s="28"/>
      <c r="C3002" s="3" t="s">
        <v>4</v>
      </c>
    </row>
    <row r="3003" spans="1:3" ht="13.5" thickBot="1" x14ac:dyDescent="0.25">
      <c r="A3003" s="3">
        <v>9</v>
      </c>
      <c r="B3003" s="28"/>
      <c r="C3003" s="3" t="s">
        <v>3</v>
      </c>
    </row>
    <row r="3004" spans="1:3" ht="13.5" thickBot="1" x14ac:dyDescent="0.25">
      <c r="A3004" s="3">
        <v>2352</v>
      </c>
      <c r="B3004" s="28"/>
      <c r="C3004" s="3" t="s">
        <v>6</v>
      </c>
    </row>
    <row r="3005" spans="1:3" ht="13.5" thickBot="1" x14ac:dyDescent="0.25">
      <c r="A3005" s="3">
        <v>6345</v>
      </c>
      <c r="B3005" s="28"/>
      <c r="C3005" s="3" t="s">
        <v>6</v>
      </c>
    </row>
    <row r="3006" spans="1:3" ht="13.5" thickBot="1" x14ac:dyDescent="0.25">
      <c r="A3006" s="3">
        <v>5127</v>
      </c>
      <c r="B3006" s="28"/>
      <c r="C3006" s="3" t="s">
        <v>4</v>
      </c>
    </row>
    <row r="3007" spans="1:3" ht="13.5" thickBot="1" x14ac:dyDescent="0.25">
      <c r="A3007" s="3">
        <v>738</v>
      </c>
      <c r="B3007" s="28"/>
      <c r="C3007" s="3" t="s">
        <v>6</v>
      </c>
    </row>
    <row r="3008" spans="1:3" ht="13.5" thickBot="1" x14ac:dyDescent="0.25">
      <c r="A3008" s="3">
        <v>6996</v>
      </c>
      <c r="B3008" s="28"/>
      <c r="C3008" s="3" t="s">
        <v>3</v>
      </c>
    </row>
    <row r="3009" spans="1:3" ht="13.5" thickBot="1" x14ac:dyDescent="0.25">
      <c r="A3009" s="3">
        <v>551</v>
      </c>
      <c r="B3009" s="28"/>
      <c r="C3009" s="3" t="s">
        <v>4</v>
      </c>
    </row>
    <row r="3010" spans="1:3" ht="13.5" thickBot="1" x14ac:dyDescent="0.25">
      <c r="A3010" s="3">
        <v>2459</v>
      </c>
      <c r="B3010" s="28"/>
      <c r="C3010" s="3" t="s">
        <v>5</v>
      </c>
    </row>
    <row r="3011" spans="1:3" ht="13.5" thickBot="1" x14ac:dyDescent="0.25">
      <c r="A3011" s="3">
        <v>2978</v>
      </c>
      <c r="B3011" s="28"/>
      <c r="C3011" s="3" t="s">
        <v>3</v>
      </c>
    </row>
    <row r="3012" spans="1:3" ht="13.5" thickBot="1" x14ac:dyDescent="0.25">
      <c r="A3012" s="3">
        <v>1818</v>
      </c>
      <c r="B3012" s="28"/>
      <c r="C3012" s="3" t="s">
        <v>7</v>
      </c>
    </row>
    <row r="3013" spans="1:3" ht="13.5" thickBot="1" x14ac:dyDescent="0.25">
      <c r="A3013" s="3">
        <v>7537</v>
      </c>
      <c r="B3013" s="28"/>
      <c r="C3013" s="3" t="s">
        <v>7</v>
      </c>
    </row>
    <row r="3014" spans="1:3" ht="13.5" thickBot="1" x14ac:dyDescent="0.25">
      <c r="A3014" s="3">
        <v>1684</v>
      </c>
      <c r="B3014" s="28"/>
      <c r="C3014" s="3" t="s">
        <v>3</v>
      </c>
    </row>
    <row r="3015" spans="1:3" ht="13.5" thickBot="1" x14ac:dyDescent="0.25">
      <c r="A3015" s="3">
        <v>6814</v>
      </c>
      <c r="B3015" s="28"/>
      <c r="C3015" s="3" t="s">
        <v>3</v>
      </c>
    </row>
    <row r="3016" spans="1:3" ht="13.5" thickBot="1" x14ac:dyDescent="0.25">
      <c r="A3016" s="3">
        <v>6099</v>
      </c>
      <c r="B3016" s="28"/>
      <c r="C3016" s="3" t="s">
        <v>3</v>
      </c>
    </row>
    <row r="3017" spans="1:3" ht="13.5" thickBot="1" x14ac:dyDescent="0.25">
      <c r="A3017" s="3">
        <v>6935</v>
      </c>
      <c r="B3017" s="28"/>
      <c r="C3017" s="3" t="s">
        <v>4</v>
      </c>
    </row>
    <row r="3018" spans="1:3" ht="13.5" thickBot="1" x14ac:dyDescent="0.25">
      <c r="A3018" s="3">
        <v>1010</v>
      </c>
      <c r="B3018" s="28"/>
      <c r="C3018" s="3" t="s">
        <v>3</v>
      </c>
    </row>
    <row r="3019" spans="1:3" ht="13.5" thickBot="1" x14ac:dyDescent="0.25">
      <c r="A3019" s="3">
        <v>151</v>
      </c>
      <c r="B3019" s="28"/>
      <c r="C3019" s="3" t="s">
        <v>4</v>
      </c>
    </row>
    <row r="3020" spans="1:3" ht="13.5" thickBot="1" x14ac:dyDescent="0.25">
      <c r="A3020" s="3">
        <v>2253</v>
      </c>
      <c r="B3020" s="28"/>
      <c r="C3020" s="3" t="s">
        <v>3</v>
      </c>
    </row>
    <row r="3021" spans="1:3" ht="13.5" thickBot="1" x14ac:dyDescent="0.25">
      <c r="A3021" s="3">
        <v>3471</v>
      </c>
      <c r="B3021" s="28"/>
      <c r="C3021" s="3" t="s">
        <v>3</v>
      </c>
    </row>
    <row r="3022" spans="1:3" ht="13.5" thickBot="1" x14ac:dyDescent="0.25">
      <c r="A3022" s="3">
        <v>7249</v>
      </c>
      <c r="B3022" s="28"/>
      <c r="C3022" s="3" t="s">
        <v>5</v>
      </c>
    </row>
    <row r="3023" spans="1:3" ht="13.5" thickBot="1" x14ac:dyDescent="0.25">
      <c r="A3023" s="3">
        <v>5090</v>
      </c>
      <c r="B3023" s="28"/>
      <c r="C3023" s="3" t="s">
        <v>4</v>
      </c>
    </row>
    <row r="3024" spans="1:3" ht="13.5" thickBot="1" x14ac:dyDescent="0.25">
      <c r="A3024" s="3">
        <v>4007</v>
      </c>
      <c r="B3024" s="28"/>
      <c r="C3024" s="3" t="s">
        <v>3</v>
      </c>
    </row>
    <row r="3025" spans="1:3" ht="13.5" thickBot="1" x14ac:dyDescent="0.25">
      <c r="A3025" s="3">
        <v>6022</v>
      </c>
      <c r="B3025" s="28"/>
      <c r="C3025" s="3" t="s">
        <v>3</v>
      </c>
    </row>
    <row r="3026" spans="1:3" ht="13.5" thickBot="1" x14ac:dyDescent="0.25">
      <c r="A3026" s="3">
        <v>4921</v>
      </c>
      <c r="B3026" s="28"/>
      <c r="C3026" s="3" t="s">
        <v>6</v>
      </c>
    </row>
    <row r="3027" spans="1:3" ht="13.5" thickBot="1" x14ac:dyDescent="0.25">
      <c r="A3027" s="3">
        <v>157</v>
      </c>
      <c r="B3027" s="28"/>
      <c r="C3027" s="3" t="s">
        <v>6</v>
      </c>
    </row>
    <row r="3028" spans="1:3" ht="13.5" thickBot="1" x14ac:dyDescent="0.25">
      <c r="A3028" s="3">
        <v>3976</v>
      </c>
      <c r="B3028" s="28"/>
      <c r="C3028" s="3" t="s">
        <v>6</v>
      </c>
    </row>
    <row r="3029" spans="1:3" ht="13.5" thickBot="1" x14ac:dyDescent="0.25">
      <c r="A3029" s="3">
        <v>213</v>
      </c>
      <c r="B3029" s="28"/>
      <c r="C3029" s="3" t="s">
        <v>3</v>
      </c>
    </row>
    <row r="3030" spans="1:3" ht="13.5" thickBot="1" x14ac:dyDescent="0.25">
      <c r="A3030" s="3">
        <v>6485</v>
      </c>
      <c r="B3030" s="28"/>
      <c r="C3030" s="3" t="s">
        <v>3</v>
      </c>
    </row>
    <row r="3031" spans="1:3" ht="13.5" thickBot="1" x14ac:dyDescent="0.25">
      <c r="A3031" s="3">
        <v>6305</v>
      </c>
      <c r="B3031" s="28"/>
      <c r="C3031" s="3" t="s">
        <v>5</v>
      </c>
    </row>
    <row r="3032" spans="1:3" ht="13.5" thickBot="1" x14ac:dyDescent="0.25">
      <c r="A3032" s="3">
        <v>3190</v>
      </c>
      <c r="B3032" s="28"/>
      <c r="C3032" s="3" t="s">
        <v>3</v>
      </c>
    </row>
    <row r="3033" spans="1:3" ht="13.5" thickBot="1" x14ac:dyDescent="0.25">
      <c r="A3033" s="3">
        <v>7260</v>
      </c>
      <c r="B3033" s="28"/>
      <c r="C3033" s="3" t="s">
        <v>4</v>
      </c>
    </row>
    <row r="3034" spans="1:3" ht="13.5" thickBot="1" x14ac:dyDescent="0.25">
      <c r="A3034" s="3">
        <v>1841</v>
      </c>
      <c r="B3034" s="28"/>
      <c r="C3034" s="3" t="s">
        <v>6</v>
      </c>
    </row>
    <row r="3035" spans="1:3" ht="13.5" thickBot="1" x14ac:dyDescent="0.25">
      <c r="A3035" s="3">
        <v>5787</v>
      </c>
      <c r="B3035" s="28"/>
      <c r="C3035" s="3" t="s">
        <v>4</v>
      </c>
    </row>
    <row r="3036" spans="1:3" ht="13.5" thickBot="1" x14ac:dyDescent="0.25">
      <c r="A3036" s="3">
        <v>2382</v>
      </c>
      <c r="B3036" s="28"/>
      <c r="C3036" s="3" t="s">
        <v>4</v>
      </c>
    </row>
    <row r="3037" spans="1:3" ht="13.5" thickBot="1" x14ac:dyDescent="0.25">
      <c r="A3037" s="3">
        <v>5014</v>
      </c>
      <c r="B3037" s="28"/>
      <c r="C3037" s="3" t="s">
        <v>6</v>
      </c>
    </row>
    <row r="3038" spans="1:3" ht="13.5" thickBot="1" x14ac:dyDescent="0.25">
      <c r="A3038" s="3">
        <v>6095</v>
      </c>
      <c r="B3038" s="28"/>
      <c r="C3038" s="3" t="s">
        <v>4</v>
      </c>
    </row>
    <row r="3039" spans="1:3" ht="13.5" thickBot="1" x14ac:dyDescent="0.25">
      <c r="A3039" s="3">
        <v>5357</v>
      </c>
      <c r="B3039" s="28"/>
      <c r="C3039" s="3" t="s">
        <v>3</v>
      </c>
    </row>
    <row r="3040" spans="1:3" ht="13.5" thickBot="1" x14ac:dyDescent="0.25">
      <c r="A3040" s="3">
        <v>2434</v>
      </c>
      <c r="B3040" s="28"/>
      <c r="C3040" s="3" t="s">
        <v>3</v>
      </c>
    </row>
    <row r="3041" spans="1:3" ht="13.5" thickBot="1" x14ac:dyDescent="0.25">
      <c r="A3041" s="3">
        <v>4869</v>
      </c>
      <c r="B3041" s="28"/>
      <c r="C3041" s="3" t="s">
        <v>3</v>
      </c>
    </row>
    <row r="3042" spans="1:3" ht="13.5" thickBot="1" x14ac:dyDescent="0.25">
      <c r="A3042" s="3">
        <v>7934</v>
      </c>
      <c r="B3042" s="28"/>
      <c r="C3042" s="3" t="s">
        <v>4</v>
      </c>
    </row>
    <row r="3043" spans="1:3" ht="13.5" thickBot="1" x14ac:dyDescent="0.25">
      <c r="A3043" s="3">
        <v>7588</v>
      </c>
      <c r="B3043" s="28"/>
      <c r="C3043" s="3" t="s">
        <v>3</v>
      </c>
    </row>
    <row r="3044" spans="1:3" ht="13.5" thickBot="1" x14ac:dyDescent="0.25">
      <c r="A3044" s="3">
        <v>4708</v>
      </c>
      <c r="B3044" s="28"/>
      <c r="C3044" s="3" t="s">
        <v>3</v>
      </c>
    </row>
    <row r="3045" spans="1:3" ht="13.5" thickBot="1" x14ac:dyDescent="0.25">
      <c r="A3045" s="3">
        <v>5929</v>
      </c>
      <c r="B3045" s="28"/>
      <c r="C3045" s="3" t="s">
        <v>6</v>
      </c>
    </row>
    <row r="3046" spans="1:3" ht="13.5" thickBot="1" x14ac:dyDescent="0.25">
      <c r="A3046" s="3">
        <v>4425</v>
      </c>
      <c r="B3046" s="28"/>
      <c r="C3046" s="3" t="s">
        <v>7</v>
      </c>
    </row>
    <row r="3047" spans="1:3" ht="13.5" thickBot="1" x14ac:dyDescent="0.25">
      <c r="A3047" s="3">
        <v>7537</v>
      </c>
      <c r="B3047" s="28"/>
      <c r="C3047" s="3" t="s">
        <v>6</v>
      </c>
    </row>
    <row r="3048" spans="1:3" ht="13.5" thickBot="1" x14ac:dyDescent="0.25">
      <c r="A3048" s="3">
        <v>5608</v>
      </c>
      <c r="B3048" s="28"/>
      <c r="C3048" s="3" t="s">
        <v>6</v>
      </c>
    </row>
    <row r="3049" spans="1:3" ht="13.5" thickBot="1" x14ac:dyDescent="0.25">
      <c r="A3049" s="3">
        <v>1859</v>
      </c>
      <c r="B3049" s="28"/>
      <c r="C3049" s="3" t="s">
        <v>6</v>
      </c>
    </row>
    <row r="3050" spans="1:3" ht="13.5" thickBot="1" x14ac:dyDescent="0.25">
      <c r="A3050" s="3">
        <v>2689</v>
      </c>
      <c r="B3050" s="28"/>
      <c r="C3050" s="3" t="s">
        <v>7</v>
      </c>
    </row>
    <row r="3051" spans="1:3" ht="13.5" thickBot="1" x14ac:dyDescent="0.25">
      <c r="A3051" s="3">
        <v>6345</v>
      </c>
      <c r="B3051" s="28"/>
      <c r="C3051" s="3" t="s">
        <v>5</v>
      </c>
    </row>
    <row r="3052" spans="1:3" ht="13.5" thickBot="1" x14ac:dyDescent="0.25">
      <c r="A3052" s="3">
        <v>6975</v>
      </c>
      <c r="B3052" s="28"/>
      <c r="C3052" s="3" t="s">
        <v>3</v>
      </c>
    </row>
    <row r="3053" spans="1:3" ht="13.5" thickBot="1" x14ac:dyDescent="0.25">
      <c r="A3053" s="3">
        <v>5115</v>
      </c>
      <c r="B3053" s="28"/>
      <c r="C3053" s="3" t="s">
        <v>3</v>
      </c>
    </row>
    <row r="3054" spans="1:3" ht="13.5" thickBot="1" x14ac:dyDescent="0.25">
      <c r="A3054" s="3">
        <v>7934</v>
      </c>
      <c r="B3054" s="28"/>
      <c r="C3054" s="3" t="s">
        <v>3</v>
      </c>
    </row>
    <row r="3055" spans="1:3" ht="13.5" thickBot="1" x14ac:dyDescent="0.25">
      <c r="A3055" s="3">
        <v>7260</v>
      </c>
      <c r="B3055" s="28"/>
      <c r="C3055" s="3" t="s">
        <v>3</v>
      </c>
    </row>
    <row r="3056" spans="1:3" ht="13.5" thickBot="1" x14ac:dyDescent="0.25">
      <c r="A3056" s="3">
        <v>5412</v>
      </c>
      <c r="B3056" s="28"/>
      <c r="C3056" s="3" t="s">
        <v>6</v>
      </c>
    </row>
    <row r="3057" spans="1:3" ht="13.5" thickBot="1" x14ac:dyDescent="0.25">
      <c r="A3057" s="3">
        <v>1546</v>
      </c>
      <c r="B3057" s="28"/>
      <c r="C3057" s="3" t="s">
        <v>6</v>
      </c>
    </row>
    <row r="3058" spans="1:3" ht="13.5" thickBot="1" x14ac:dyDescent="0.25">
      <c r="A3058" s="3">
        <v>2985</v>
      </c>
      <c r="B3058" s="28"/>
      <c r="C3058" s="3" t="s">
        <v>3</v>
      </c>
    </row>
    <row r="3059" spans="1:3" ht="13.5" thickBot="1" x14ac:dyDescent="0.25">
      <c r="A3059" s="3">
        <v>1672</v>
      </c>
      <c r="B3059" s="28"/>
      <c r="C3059" s="3" t="s">
        <v>4</v>
      </c>
    </row>
    <row r="3060" spans="1:3" ht="13.5" thickBot="1" x14ac:dyDescent="0.25">
      <c r="A3060" s="3">
        <v>2665</v>
      </c>
      <c r="B3060" s="28"/>
      <c r="C3060" s="3" t="s">
        <v>5</v>
      </c>
    </row>
    <row r="3061" spans="1:3" ht="13.5" thickBot="1" x14ac:dyDescent="0.25">
      <c r="A3061" s="3">
        <v>1050</v>
      </c>
      <c r="B3061" s="28"/>
      <c r="C3061" s="3" t="s">
        <v>4</v>
      </c>
    </row>
    <row r="3062" spans="1:3" ht="13.5" thickBot="1" x14ac:dyDescent="0.25">
      <c r="A3062" s="3">
        <v>255</v>
      </c>
      <c r="B3062" s="28"/>
      <c r="C3062" s="3" t="s">
        <v>4</v>
      </c>
    </row>
    <row r="3063" spans="1:3" ht="13.5" thickBot="1" x14ac:dyDescent="0.25">
      <c r="A3063" s="3">
        <v>991</v>
      </c>
      <c r="B3063" s="28"/>
      <c r="C3063" s="3" t="s">
        <v>4</v>
      </c>
    </row>
    <row r="3064" spans="1:3" ht="13.5" thickBot="1" x14ac:dyDescent="0.25">
      <c r="A3064" s="3">
        <v>1840</v>
      </c>
      <c r="B3064" s="28"/>
      <c r="C3064" s="3" t="s">
        <v>6</v>
      </c>
    </row>
    <row r="3065" spans="1:3" ht="13.5" thickBot="1" x14ac:dyDescent="0.25">
      <c r="A3065" s="3">
        <v>4895</v>
      </c>
      <c r="B3065" s="28"/>
      <c r="C3065" s="3" t="s">
        <v>7</v>
      </c>
    </row>
    <row r="3066" spans="1:3" ht="13.5" thickBot="1" x14ac:dyDescent="0.25">
      <c r="A3066" s="3">
        <v>1702</v>
      </c>
      <c r="B3066" s="28"/>
      <c r="C3066" s="3" t="s">
        <v>7</v>
      </c>
    </row>
    <row r="3067" spans="1:3" ht="13.5" thickBot="1" x14ac:dyDescent="0.25">
      <c r="A3067" s="3">
        <v>415</v>
      </c>
      <c r="B3067" s="28"/>
      <c r="C3067" s="3" t="s">
        <v>3</v>
      </c>
    </row>
    <row r="3068" spans="1:3" ht="13.5" thickBot="1" x14ac:dyDescent="0.25">
      <c r="A3068" s="3">
        <v>293</v>
      </c>
      <c r="B3068" s="28"/>
      <c r="C3068" s="3" t="s">
        <v>3</v>
      </c>
    </row>
    <row r="3069" spans="1:3" ht="13.5" thickBot="1" x14ac:dyDescent="0.25">
      <c r="A3069" s="3">
        <v>333</v>
      </c>
      <c r="B3069" s="28"/>
      <c r="C3069" s="3" t="s">
        <v>3</v>
      </c>
    </row>
    <row r="3070" spans="1:3" ht="13.5" thickBot="1" x14ac:dyDescent="0.25">
      <c r="A3070" s="3">
        <v>74</v>
      </c>
      <c r="B3070" s="28"/>
      <c r="C3070" s="3" t="s">
        <v>3</v>
      </c>
    </row>
    <row r="3071" spans="1:3" ht="13.5" thickBot="1" x14ac:dyDescent="0.25">
      <c r="A3071" s="3">
        <v>7133</v>
      </c>
      <c r="B3071" s="28"/>
      <c r="C3071" s="3" t="s">
        <v>5</v>
      </c>
    </row>
    <row r="3072" spans="1:3" ht="13.5" thickBot="1" x14ac:dyDescent="0.25">
      <c r="A3072" s="3">
        <v>5640</v>
      </c>
      <c r="B3072" s="28"/>
      <c r="C3072" s="3" t="s">
        <v>4</v>
      </c>
    </row>
    <row r="3073" spans="1:3" ht="13.5" thickBot="1" x14ac:dyDescent="0.25">
      <c r="A3073" s="3">
        <v>122</v>
      </c>
      <c r="B3073" s="28"/>
      <c r="C3073" s="3" t="s">
        <v>7</v>
      </c>
    </row>
    <row r="3074" spans="1:3" ht="13.5" thickBot="1" x14ac:dyDescent="0.25">
      <c r="A3074" s="3">
        <v>3014</v>
      </c>
      <c r="B3074" s="28"/>
      <c r="C3074" s="3" t="s">
        <v>3</v>
      </c>
    </row>
    <row r="3075" spans="1:3" ht="13.5" thickBot="1" x14ac:dyDescent="0.25">
      <c r="A3075" s="3">
        <v>6814</v>
      </c>
      <c r="B3075" s="28"/>
      <c r="C3075" s="3" t="s">
        <v>4</v>
      </c>
    </row>
    <row r="3076" spans="1:3" ht="13.5" thickBot="1" x14ac:dyDescent="0.25">
      <c r="A3076" s="3">
        <v>1791</v>
      </c>
      <c r="B3076" s="28"/>
      <c r="C3076" s="3" t="s">
        <v>3</v>
      </c>
    </row>
    <row r="3077" spans="1:3" ht="13.5" thickBot="1" x14ac:dyDescent="0.25">
      <c r="A3077" s="3">
        <v>2528</v>
      </c>
      <c r="B3077" s="28"/>
      <c r="C3077" s="3" t="s">
        <v>4</v>
      </c>
    </row>
    <row r="3078" spans="1:3" ht="13.5" thickBot="1" x14ac:dyDescent="0.25">
      <c r="A3078" s="3">
        <v>3978</v>
      </c>
      <c r="B3078" s="28"/>
      <c r="C3078" s="3" t="s">
        <v>6</v>
      </c>
    </row>
    <row r="3079" spans="1:3" ht="13.5" thickBot="1" x14ac:dyDescent="0.25">
      <c r="A3079" s="3">
        <v>7133</v>
      </c>
      <c r="B3079" s="28"/>
      <c r="C3079" s="3" t="s">
        <v>3</v>
      </c>
    </row>
    <row r="3080" spans="1:3" ht="13.5" thickBot="1" x14ac:dyDescent="0.25">
      <c r="A3080" s="3">
        <v>3292</v>
      </c>
      <c r="B3080" s="28"/>
      <c r="C3080" s="3" t="s">
        <v>3</v>
      </c>
    </row>
    <row r="3081" spans="1:3" ht="13.5" thickBot="1" x14ac:dyDescent="0.25">
      <c r="A3081" s="3">
        <v>809</v>
      </c>
      <c r="B3081" s="28"/>
      <c r="C3081" s="3" t="s">
        <v>3</v>
      </c>
    </row>
    <row r="3082" spans="1:3" ht="13.5" thickBot="1" x14ac:dyDescent="0.25">
      <c r="A3082" s="3">
        <v>2665</v>
      </c>
      <c r="B3082" s="28"/>
      <c r="C3082" s="3" t="s">
        <v>6</v>
      </c>
    </row>
    <row r="3083" spans="1:3" ht="13.5" thickBot="1" x14ac:dyDescent="0.25">
      <c r="A3083" s="3">
        <v>2943</v>
      </c>
      <c r="B3083" s="28"/>
      <c r="C3083" s="3" t="s">
        <v>3</v>
      </c>
    </row>
    <row r="3084" spans="1:3" ht="13.5" thickBot="1" x14ac:dyDescent="0.25">
      <c r="A3084" s="3">
        <v>2250</v>
      </c>
      <c r="B3084" s="28"/>
      <c r="C3084" s="3" t="s">
        <v>3</v>
      </c>
    </row>
    <row r="3085" spans="1:3" ht="13.5" thickBot="1" x14ac:dyDescent="0.25">
      <c r="A3085" s="3">
        <v>6863</v>
      </c>
      <c r="B3085" s="28"/>
      <c r="C3085" s="3" t="s">
        <v>3</v>
      </c>
    </row>
    <row r="3086" spans="1:3" ht="13.5" thickBot="1" x14ac:dyDescent="0.25">
      <c r="A3086" s="3">
        <v>7547</v>
      </c>
      <c r="B3086" s="28"/>
      <c r="C3086" s="3" t="s">
        <v>7</v>
      </c>
    </row>
    <row r="3087" spans="1:3" ht="13.5" thickBot="1" x14ac:dyDescent="0.25">
      <c r="A3087" s="3">
        <v>4007</v>
      </c>
      <c r="B3087" s="28"/>
      <c r="C3087" s="3" t="s">
        <v>4</v>
      </c>
    </row>
    <row r="3088" spans="1:3" ht="13.5" thickBot="1" x14ac:dyDescent="0.25">
      <c r="A3088" s="3">
        <v>7520</v>
      </c>
      <c r="B3088" s="28"/>
      <c r="C3088" s="3" t="s">
        <v>3</v>
      </c>
    </row>
    <row r="3089" spans="1:3" ht="13.5" thickBot="1" x14ac:dyDescent="0.25">
      <c r="A3089" s="3">
        <v>1702</v>
      </c>
      <c r="B3089" s="28"/>
      <c r="C3089" s="3" t="s">
        <v>5</v>
      </c>
    </row>
    <row r="3090" spans="1:3" ht="13.5" thickBot="1" x14ac:dyDescent="0.25">
      <c r="A3090" s="3">
        <v>922</v>
      </c>
      <c r="B3090" s="28"/>
      <c r="C3090" s="3" t="s">
        <v>6</v>
      </c>
    </row>
    <row r="3091" spans="1:3" ht="13.5" thickBot="1" x14ac:dyDescent="0.25">
      <c r="A3091" s="3">
        <v>255</v>
      </c>
      <c r="B3091" s="28"/>
      <c r="C3091" s="3" t="s">
        <v>3</v>
      </c>
    </row>
    <row r="3092" spans="1:3" ht="13.5" thickBot="1" x14ac:dyDescent="0.25">
      <c r="A3092" s="3">
        <v>5955</v>
      </c>
      <c r="B3092" s="28"/>
      <c r="C3092" s="3" t="s">
        <v>3</v>
      </c>
    </row>
    <row r="3093" spans="1:3" ht="13.5" thickBot="1" x14ac:dyDescent="0.25">
      <c r="A3093" s="3">
        <v>6722</v>
      </c>
      <c r="B3093" s="28"/>
      <c r="C3093" s="3" t="s">
        <v>4</v>
      </c>
    </row>
    <row r="3094" spans="1:3" ht="13.5" thickBot="1" x14ac:dyDescent="0.25">
      <c r="A3094" s="3">
        <v>6590</v>
      </c>
      <c r="B3094" s="28"/>
      <c r="C3094" s="3" t="s">
        <v>6</v>
      </c>
    </row>
    <row r="3095" spans="1:3" ht="13.5" thickBot="1" x14ac:dyDescent="0.25">
      <c r="A3095" s="3">
        <v>7845</v>
      </c>
      <c r="B3095" s="28"/>
      <c r="C3095" s="3" t="s">
        <v>3</v>
      </c>
    </row>
    <row r="3096" spans="1:3" ht="13.5" thickBot="1" x14ac:dyDescent="0.25">
      <c r="A3096" s="3">
        <v>4468</v>
      </c>
      <c r="B3096" s="28"/>
      <c r="C3096" s="3" t="s">
        <v>3</v>
      </c>
    </row>
    <row r="3097" spans="1:3" ht="13.5" thickBot="1" x14ac:dyDescent="0.25">
      <c r="A3097" s="3">
        <v>2253</v>
      </c>
      <c r="B3097" s="28"/>
      <c r="C3097" s="3" t="s">
        <v>4</v>
      </c>
    </row>
    <row r="3098" spans="1:3" ht="13.5" thickBot="1" x14ac:dyDescent="0.25">
      <c r="A3098" s="3">
        <v>7632</v>
      </c>
      <c r="B3098" s="28"/>
      <c r="C3098" s="3" t="s">
        <v>3</v>
      </c>
    </row>
    <row r="3099" spans="1:3" ht="13.5" thickBot="1" x14ac:dyDescent="0.25">
      <c r="A3099" s="3">
        <v>1840</v>
      </c>
      <c r="B3099" s="28"/>
      <c r="C3099" s="3" t="s">
        <v>4</v>
      </c>
    </row>
    <row r="3100" spans="1:3" ht="13.5" thickBot="1" x14ac:dyDescent="0.25">
      <c r="A3100" s="3">
        <v>228</v>
      </c>
      <c r="B3100" s="28"/>
      <c r="C3100" s="3" t="s">
        <v>3</v>
      </c>
    </row>
    <row r="3101" spans="1:3" ht="13.5" thickBot="1" x14ac:dyDescent="0.25">
      <c r="A3101" s="3">
        <v>2253</v>
      </c>
      <c r="B3101" s="28"/>
      <c r="C3101" s="3" t="s">
        <v>6</v>
      </c>
    </row>
    <row r="3102" spans="1:3" ht="13.5" thickBot="1" x14ac:dyDescent="0.25">
      <c r="A3102" s="3">
        <v>4177</v>
      </c>
      <c r="B3102" s="28"/>
      <c r="C3102" s="3" t="s">
        <v>6</v>
      </c>
    </row>
    <row r="3103" spans="1:3" ht="13.5" thickBot="1" x14ac:dyDescent="0.25">
      <c r="A3103" s="3">
        <v>6345</v>
      </c>
      <c r="B3103" s="28"/>
      <c r="C3103" s="3" t="s">
        <v>7</v>
      </c>
    </row>
    <row r="3104" spans="1:3" ht="13.5" thickBot="1" x14ac:dyDescent="0.25">
      <c r="A3104" s="3">
        <v>5983</v>
      </c>
      <c r="B3104" s="28"/>
      <c r="C3104" s="3" t="s">
        <v>3</v>
      </c>
    </row>
    <row r="3105" spans="1:3" ht="13.5" thickBot="1" x14ac:dyDescent="0.25">
      <c r="A3105" s="3">
        <v>415</v>
      </c>
      <c r="B3105" s="28"/>
      <c r="C3105" s="3" t="s">
        <v>4</v>
      </c>
    </row>
    <row r="3106" spans="1:3" ht="13.5" thickBot="1" x14ac:dyDescent="0.25">
      <c r="A3106" s="3">
        <v>5787</v>
      </c>
      <c r="B3106" s="28"/>
      <c r="C3106" s="3" t="s">
        <v>5</v>
      </c>
    </row>
    <row r="3107" spans="1:3" ht="13.5" thickBot="1" x14ac:dyDescent="0.25">
      <c r="A3107" s="3">
        <v>5539</v>
      </c>
      <c r="B3107" s="28"/>
      <c r="C3107" s="3" t="s">
        <v>3</v>
      </c>
    </row>
    <row r="3108" spans="1:3" ht="13.5" thickBot="1" x14ac:dyDescent="0.25">
      <c r="A3108" s="3">
        <v>7012</v>
      </c>
      <c r="B3108" s="28"/>
      <c r="C3108" s="3" t="s">
        <v>3</v>
      </c>
    </row>
    <row r="3109" spans="1:3" ht="13.5" thickBot="1" x14ac:dyDescent="0.25">
      <c r="A3109" s="3">
        <v>4895</v>
      </c>
      <c r="B3109" s="28"/>
      <c r="C3109" s="3" t="s">
        <v>6</v>
      </c>
    </row>
    <row r="3110" spans="1:3" ht="13.5" thickBot="1" x14ac:dyDescent="0.25">
      <c r="A3110" s="3">
        <v>333</v>
      </c>
      <c r="B3110" s="28"/>
      <c r="C3110" s="3" t="s">
        <v>5</v>
      </c>
    </row>
    <row r="3111" spans="1:3" ht="13.5" thickBot="1" x14ac:dyDescent="0.25">
      <c r="A3111" s="3">
        <v>1050</v>
      </c>
      <c r="B3111" s="28"/>
      <c r="C3111" s="3" t="s">
        <v>3</v>
      </c>
    </row>
    <row r="3112" spans="1:3" ht="13.5" thickBot="1" x14ac:dyDescent="0.25">
      <c r="A3112" s="3">
        <v>1245</v>
      </c>
      <c r="B3112" s="28"/>
      <c r="C3112" s="3" t="s">
        <v>3</v>
      </c>
    </row>
    <row r="3113" spans="1:3" ht="13.5" thickBot="1" x14ac:dyDescent="0.25">
      <c r="A3113" s="3">
        <v>5824</v>
      </c>
      <c r="B3113" s="28"/>
      <c r="C3113" s="3" t="s">
        <v>3</v>
      </c>
    </row>
    <row r="3114" spans="1:3" ht="13.5" thickBot="1" x14ac:dyDescent="0.25">
      <c r="A3114" s="3">
        <v>122</v>
      </c>
      <c r="B3114" s="28"/>
      <c r="C3114" s="3" t="s">
        <v>5</v>
      </c>
    </row>
    <row r="3115" spans="1:3" ht="13.5" thickBot="1" x14ac:dyDescent="0.25">
      <c r="A3115" s="3">
        <v>411</v>
      </c>
      <c r="B3115" s="28"/>
      <c r="C3115" s="3" t="s">
        <v>3</v>
      </c>
    </row>
    <row r="3116" spans="1:3" ht="13.5" thickBot="1" x14ac:dyDescent="0.25">
      <c r="A3116" s="3">
        <v>497</v>
      </c>
      <c r="B3116" s="28"/>
      <c r="C3116" s="3" t="s">
        <v>3</v>
      </c>
    </row>
    <row r="3117" spans="1:3" ht="13.5" thickBot="1" x14ac:dyDescent="0.25">
      <c r="A3117" s="3">
        <v>7673</v>
      </c>
      <c r="B3117" s="28"/>
      <c r="C3117" s="3" t="s">
        <v>3</v>
      </c>
    </row>
    <row r="3118" spans="1:3" ht="13.5" thickBot="1" x14ac:dyDescent="0.25">
      <c r="A3118" s="3">
        <v>5047</v>
      </c>
      <c r="B3118" s="28"/>
      <c r="C3118" s="3" t="s">
        <v>3</v>
      </c>
    </row>
    <row r="3119" spans="1:3" ht="13.5" thickBot="1" x14ac:dyDescent="0.25">
      <c r="A3119" s="3">
        <v>7260</v>
      </c>
      <c r="B3119" s="28"/>
      <c r="C3119" s="3" t="s">
        <v>5</v>
      </c>
    </row>
    <row r="3120" spans="1:3" ht="13.5" thickBot="1" x14ac:dyDescent="0.25">
      <c r="A3120" s="3">
        <v>243</v>
      </c>
      <c r="B3120" s="28"/>
      <c r="C3120" s="3" t="s">
        <v>3</v>
      </c>
    </row>
    <row r="3121" spans="1:3" ht="13.5" thickBot="1" x14ac:dyDescent="0.25">
      <c r="A3121" s="3">
        <v>4985</v>
      </c>
      <c r="B3121" s="28"/>
      <c r="C3121" s="3" t="s">
        <v>3</v>
      </c>
    </row>
    <row r="3122" spans="1:3" ht="13.5" thickBot="1" x14ac:dyDescent="0.25">
      <c r="A3122" s="3">
        <v>6110</v>
      </c>
      <c r="B3122" s="28"/>
      <c r="C3122" s="3" t="s">
        <v>3</v>
      </c>
    </row>
    <row r="3123" spans="1:3" ht="13.5" thickBot="1" x14ac:dyDescent="0.25">
      <c r="A3123" s="3">
        <v>311</v>
      </c>
      <c r="B3123" s="28"/>
      <c r="C3123" s="3" t="s">
        <v>4</v>
      </c>
    </row>
    <row r="3124" spans="1:3" ht="13.5" thickBot="1" x14ac:dyDescent="0.25">
      <c r="A3124" s="3">
        <v>7630</v>
      </c>
      <c r="B3124" s="28"/>
      <c r="C3124" s="3" t="s">
        <v>3</v>
      </c>
    </row>
    <row r="3125" spans="1:3" ht="13.5" thickBot="1" x14ac:dyDescent="0.25">
      <c r="A3125" s="3">
        <v>2744</v>
      </c>
      <c r="B3125" s="28"/>
      <c r="C3125" s="3" t="s">
        <v>3</v>
      </c>
    </row>
    <row r="3126" spans="1:3" ht="13.5" thickBot="1" x14ac:dyDescent="0.25">
      <c r="A3126" s="3">
        <v>574</v>
      </c>
      <c r="B3126" s="28"/>
      <c r="C3126" s="3" t="s">
        <v>7</v>
      </c>
    </row>
    <row r="3127" spans="1:3" ht="13.5" thickBot="1" x14ac:dyDescent="0.25">
      <c r="A3127" s="3">
        <v>2575</v>
      </c>
      <c r="B3127" s="28"/>
      <c r="C3127" s="3" t="s">
        <v>6</v>
      </c>
    </row>
    <row r="3128" spans="1:3" ht="13.5" thickBot="1" x14ac:dyDescent="0.25">
      <c r="A3128" s="3">
        <v>1088</v>
      </c>
      <c r="B3128" s="28"/>
      <c r="C3128" s="3" t="s">
        <v>6</v>
      </c>
    </row>
    <row r="3129" spans="1:3" ht="13.5" thickBot="1" x14ac:dyDescent="0.25">
      <c r="A3129" s="3">
        <v>9</v>
      </c>
      <c r="B3129" s="28"/>
      <c r="C3129" s="3" t="s">
        <v>6</v>
      </c>
    </row>
    <row r="3130" spans="1:3" ht="13.5" thickBot="1" x14ac:dyDescent="0.25">
      <c r="A3130" s="3">
        <v>7701</v>
      </c>
      <c r="B3130" s="28"/>
      <c r="C3130" s="3" t="s">
        <v>3</v>
      </c>
    </row>
    <row r="3131" spans="1:3" ht="13.5" thickBot="1" x14ac:dyDescent="0.25">
      <c r="A3131" s="3">
        <v>7870</v>
      </c>
      <c r="B3131" s="28"/>
      <c r="C3131" s="3" t="s">
        <v>3</v>
      </c>
    </row>
    <row r="3132" spans="1:3" ht="13.5" thickBot="1" x14ac:dyDescent="0.25">
      <c r="A3132" s="3">
        <v>1748</v>
      </c>
      <c r="B3132" s="28"/>
      <c r="C3132" s="3" t="s">
        <v>3</v>
      </c>
    </row>
    <row r="3133" spans="1:3" ht="13.5" thickBot="1" x14ac:dyDescent="0.25">
      <c r="A3133" s="3">
        <v>7664</v>
      </c>
      <c r="B3133" s="28"/>
      <c r="C3133" s="3" t="s">
        <v>3</v>
      </c>
    </row>
    <row r="3134" spans="1:3" ht="13.5" thickBot="1" x14ac:dyDescent="0.25">
      <c r="A3134" s="3">
        <v>5357</v>
      </c>
      <c r="B3134" s="28"/>
      <c r="C3134" s="3" t="s">
        <v>5</v>
      </c>
    </row>
    <row r="3135" spans="1:3" ht="13.5" thickBot="1" x14ac:dyDescent="0.25">
      <c r="A3135" s="3">
        <v>5357</v>
      </c>
      <c r="B3135" s="28"/>
      <c r="C3135" s="3" t="s">
        <v>4</v>
      </c>
    </row>
    <row r="3136" spans="1:3" ht="13.5" thickBot="1" x14ac:dyDescent="0.25">
      <c r="A3136" s="3">
        <v>2126</v>
      </c>
      <c r="B3136" s="28"/>
      <c r="C3136" s="3" t="s">
        <v>3</v>
      </c>
    </row>
    <row r="3137" spans="1:3" ht="13.5" thickBot="1" x14ac:dyDescent="0.25">
      <c r="A3137" s="3">
        <v>3866</v>
      </c>
      <c r="B3137" s="28"/>
      <c r="C3137" s="3" t="s">
        <v>4</v>
      </c>
    </row>
    <row r="3138" spans="1:3" ht="13.5" thickBot="1" x14ac:dyDescent="0.25">
      <c r="A3138" s="3">
        <v>462</v>
      </c>
      <c r="B3138" s="28"/>
      <c r="C3138" s="3" t="s">
        <v>4</v>
      </c>
    </row>
    <row r="3139" spans="1:3" ht="13.5" thickBot="1" x14ac:dyDescent="0.25">
      <c r="A3139" s="3">
        <v>551</v>
      </c>
      <c r="B3139" s="28"/>
      <c r="C3139" s="3" t="s">
        <v>5</v>
      </c>
    </row>
    <row r="3140" spans="1:3" ht="13.5" thickBot="1" x14ac:dyDescent="0.25">
      <c r="A3140" s="3">
        <v>411</v>
      </c>
      <c r="B3140" s="28"/>
      <c r="C3140" s="3" t="s">
        <v>7</v>
      </c>
    </row>
    <row r="3141" spans="1:3" ht="13.5" thickBot="1" x14ac:dyDescent="0.25">
      <c r="A3141" s="3">
        <v>1514</v>
      </c>
      <c r="B3141" s="28"/>
      <c r="C3141" s="3" t="s">
        <v>3</v>
      </c>
    </row>
    <row r="3142" spans="1:3" ht="13.5" thickBot="1" x14ac:dyDescent="0.25">
      <c r="A3142" s="3">
        <v>1818</v>
      </c>
      <c r="B3142" s="28"/>
      <c r="C3142" s="3" t="s">
        <v>5</v>
      </c>
    </row>
    <row r="3143" spans="1:3" ht="13.5" thickBot="1" x14ac:dyDescent="0.25">
      <c r="A3143" s="3">
        <v>1563</v>
      </c>
      <c r="B3143" s="28"/>
      <c r="C3143" s="3" t="s">
        <v>3</v>
      </c>
    </row>
    <row r="3144" spans="1:3" ht="13.5" thickBot="1" x14ac:dyDescent="0.25">
      <c r="A3144" s="3">
        <v>3297</v>
      </c>
      <c r="B3144" s="28"/>
      <c r="C3144" s="3" t="s">
        <v>6</v>
      </c>
    </row>
    <row r="3145" spans="1:3" ht="13.5" thickBot="1" x14ac:dyDescent="0.25">
      <c r="A3145" s="3">
        <v>5539</v>
      </c>
      <c r="B3145" s="28"/>
      <c r="C3145" s="3" t="s">
        <v>4</v>
      </c>
    </row>
    <row r="3146" spans="1:3" ht="13.5" thickBot="1" x14ac:dyDescent="0.25">
      <c r="A3146" s="3">
        <v>7217</v>
      </c>
      <c r="B3146" s="28"/>
      <c r="C3146" s="3" t="s">
        <v>3</v>
      </c>
    </row>
    <row r="3147" spans="1:3" ht="13.5" thickBot="1" x14ac:dyDescent="0.25">
      <c r="A3147" s="3">
        <v>1010</v>
      </c>
      <c r="B3147" s="28"/>
      <c r="C3147" s="3" t="s">
        <v>4</v>
      </c>
    </row>
    <row r="3148" spans="1:3" ht="13.5" thickBot="1" x14ac:dyDescent="0.25">
      <c r="A3148" s="3">
        <v>7217</v>
      </c>
      <c r="B3148" s="28"/>
      <c r="C3148" s="3" t="s">
        <v>4</v>
      </c>
    </row>
    <row r="3149" spans="1:3" ht="13.5" thickBot="1" x14ac:dyDescent="0.25">
      <c r="A3149" s="3">
        <v>411</v>
      </c>
      <c r="B3149" s="28"/>
      <c r="C3149" s="3" t="s">
        <v>5</v>
      </c>
    </row>
    <row r="3150" spans="1:3" ht="13.5" thickBot="1" x14ac:dyDescent="0.25">
      <c r="A3150" s="3">
        <v>6707</v>
      </c>
      <c r="B3150" s="28"/>
      <c r="C3150" s="3" t="s">
        <v>7</v>
      </c>
    </row>
    <row r="3151" spans="1:3" ht="13.5" thickBot="1" x14ac:dyDescent="0.25">
      <c r="A3151" s="3">
        <v>6540</v>
      </c>
      <c r="B3151" s="28"/>
      <c r="C3151" s="3" t="s">
        <v>3</v>
      </c>
    </row>
    <row r="3152" spans="1:3" ht="13.5" thickBot="1" x14ac:dyDescent="0.25">
      <c r="A3152" s="3">
        <v>9</v>
      </c>
      <c r="B3152" s="28"/>
      <c r="C3152" s="3" t="s">
        <v>5</v>
      </c>
    </row>
    <row r="3153" spans="1:3" ht="13.5" thickBot="1" x14ac:dyDescent="0.25">
      <c r="A3153" s="3">
        <v>1296</v>
      </c>
      <c r="B3153" s="28"/>
      <c r="C3153" s="3" t="s">
        <v>3</v>
      </c>
    </row>
    <row r="3154" spans="1:3" ht="13.5" thickBot="1" x14ac:dyDescent="0.25">
      <c r="A3154" s="3">
        <v>6240</v>
      </c>
      <c r="B3154" s="28"/>
      <c r="C3154" s="3" t="s">
        <v>3</v>
      </c>
    </row>
    <row r="3155" spans="1:3" ht="13.5" thickBot="1" x14ac:dyDescent="0.25">
      <c r="A3155" s="3">
        <v>3297</v>
      </c>
      <c r="B3155" s="28"/>
      <c r="C3155" s="3" t="s">
        <v>5</v>
      </c>
    </row>
    <row r="3156" spans="1:3" ht="13.5" thickBot="1" x14ac:dyDescent="0.25">
      <c r="A3156" s="3">
        <v>3930</v>
      </c>
      <c r="B3156" s="28"/>
      <c r="C3156" s="3" t="s">
        <v>3</v>
      </c>
    </row>
    <row r="3157" spans="1:3" ht="13.5" thickBot="1" x14ac:dyDescent="0.25">
      <c r="A3157" s="3">
        <v>6863</v>
      </c>
      <c r="B3157" s="28"/>
      <c r="C3157" s="3" t="s">
        <v>5</v>
      </c>
    </row>
    <row r="3158" spans="1:3" ht="13.5" thickBot="1" x14ac:dyDescent="0.25">
      <c r="A3158" s="3">
        <v>4564</v>
      </c>
      <c r="B3158" s="28"/>
      <c r="C3158" s="3" t="s">
        <v>3</v>
      </c>
    </row>
    <row r="3159" spans="1:3" ht="13.5" thickBot="1" x14ac:dyDescent="0.25">
      <c r="A3159" s="3">
        <v>2261</v>
      </c>
      <c r="B3159" s="28"/>
      <c r="C3159" s="3" t="s">
        <v>3</v>
      </c>
    </row>
    <row r="3160" spans="1:3" ht="13.5" thickBot="1" x14ac:dyDescent="0.25">
      <c r="A3160" s="3">
        <v>448</v>
      </c>
      <c r="B3160" s="28"/>
      <c r="C3160" s="3" t="s">
        <v>6</v>
      </c>
    </row>
    <row r="3161" spans="1:3" ht="13.5" thickBot="1" x14ac:dyDescent="0.25">
      <c r="A3161" s="3">
        <v>881</v>
      </c>
      <c r="B3161" s="28"/>
      <c r="C3161" s="3" t="s">
        <v>4</v>
      </c>
    </row>
    <row r="3162" spans="1:3" ht="13.5" thickBot="1" x14ac:dyDescent="0.25">
      <c r="A3162" s="3">
        <v>6305</v>
      </c>
      <c r="B3162" s="28"/>
      <c r="C3162" s="3" t="s">
        <v>6</v>
      </c>
    </row>
    <row r="3163" spans="1:3" ht="13.5" thickBot="1" x14ac:dyDescent="0.25">
      <c r="A3163" s="3">
        <v>7588</v>
      </c>
      <c r="B3163" s="28"/>
      <c r="C3163" s="3" t="s">
        <v>6</v>
      </c>
    </row>
    <row r="3164" spans="1:3" ht="13.5" thickBot="1" x14ac:dyDescent="0.25">
      <c r="A3164" s="3">
        <v>7292</v>
      </c>
      <c r="B3164" s="28"/>
      <c r="C3164" s="3" t="s">
        <v>3</v>
      </c>
    </row>
    <row r="3165" spans="1:3" ht="13.5" thickBot="1" x14ac:dyDescent="0.25">
      <c r="A3165" s="3">
        <v>3471</v>
      </c>
      <c r="B3165" s="28"/>
      <c r="C3165" s="3" t="s">
        <v>4</v>
      </c>
    </row>
    <row r="3166" spans="1:3" ht="13.5" thickBot="1" x14ac:dyDescent="0.25">
      <c r="A3166" s="3">
        <v>2261</v>
      </c>
      <c r="B3166" s="28"/>
      <c r="C3166" s="3" t="s">
        <v>5</v>
      </c>
    </row>
    <row r="3167" spans="1:3" ht="13.5" thickBot="1" x14ac:dyDescent="0.25">
      <c r="A3167" s="3">
        <v>7664</v>
      </c>
      <c r="B3167" s="28"/>
      <c r="C3167" s="3" t="s">
        <v>4</v>
      </c>
    </row>
    <row r="3168" spans="1:3" ht="13.5" thickBot="1" x14ac:dyDescent="0.25">
      <c r="A3168" s="3">
        <v>5047</v>
      </c>
      <c r="B3168" s="28"/>
      <c r="C3168" s="3" t="s">
        <v>4</v>
      </c>
    </row>
    <row r="3169" spans="1:3" ht="13.5" thickBot="1" x14ac:dyDescent="0.25">
      <c r="A3169" s="3">
        <v>6252</v>
      </c>
      <c r="B3169" s="28"/>
      <c r="C3169" s="3" t="s">
        <v>3</v>
      </c>
    </row>
    <row r="3170" spans="1:3" ht="13.5" thickBot="1" x14ac:dyDescent="0.25">
      <c r="A3170" s="3">
        <v>2618</v>
      </c>
      <c r="B3170" s="28"/>
      <c r="C3170" s="3" t="s">
        <v>3</v>
      </c>
    </row>
    <row r="3171" spans="1:3" ht="13.5" thickBot="1" x14ac:dyDescent="0.25">
      <c r="A3171" s="3">
        <v>3027</v>
      </c>
      <c r="B3171" s="28"/>
      <c r="C3171" s="3" t="s">
        <v>3</v>
      </c>
    </row>
    <row r="3172" spans="1:3" ht="13.5" thickBot="1" x14ac:dyDescent="0.25">
      <c r="A3172" s="3">
        <v>5503</v>
      </c>
      <c r="B3172" s="28"/>
      <c r="C3172" s="3" t="s">
        <v>4</v>
      </c>
    </row>
    <row r="3173" spans="1:3" ht="13.5" thickBot="1" x14ac:dyDescent="0.25">
      <c r="A3173" s="3">
        <v>3624</v>
      </c>
      <c r="B3173" s="28"/>
      <c r="C3173" s="3" t="s">
        <v>3</v>
      </c>
    </row>
    <row r="3174" spans="1:3" ht="13.5" thickBot="1" x14ac:dyDescent="0.25">
      <c r="A3174" s="3">
        <v>9</v>
      </c>
      <c r="B3174" s="28"/>
      <c r="C3174" s="3" t="s">
        <v>4</v>
      </c>
    </row>
    <row r="3175" spans="1:3" ht="13.5" thickBot="1" x14ac:dyDescent="0.25">
      <c r="A3175" s="3">
        <v>2690</v>
      </c>
      <c r="B3175" s="28"/>
      <c r="C3175" s="3" t="s">
        <v>3</v>
      </c>
    </row>
    <row r="3176" spans="1:3" ht="13.5" thickBot="1" x14ac:dyDescent="0.25">
      <c r="A3176" s="3">
        <v>7632</v>
      </c>
      <c r="B3176" s="28"/>
      <c r="C3176" s="3" t="s">
        <v>4</v>
      </c>
    </row>
    <row r="3177" spans="1:3" ht="13.5" thickBot="1" x14ac:dyDescent="0.25">
      <c r="A3177" s="3">
        <v>6707</v>
      </c>
      <c r="B3177" s="28"/>
      <c r="C3177" s="3" t="s">
        <v>6</v>
      </c>
    </row>
    <row r="3178" spans="1:3" ht="13.5" thickBot="1" x14ac:dyDescent="0.25">
      <c r="A3178" s="3">
        <v>5503</v>
      </c>
      <c r="B3178" s="28"/>
      <c r="C3178" s="3" t="s">
        <v>3</v>
      </c>
    </row>
    <row r="3179" spans="1:3" ht="13.5" thickBot="1" x14ac:dyDescent="0.25">
      <c r="A3179" s="3">
        <v>881</v>
      </c>
      <c r="B3179" s="28"/>
      <c r="C3179" s="3" t="s">
        <v>3</v>
      </c>
    </row>
    <row r="3180" spans="1:3" ht="13.5" thickBot="1" x14ac:dyDescent="0.25">
      <c r="A3180" s="3">
        <v>2440</v>
      </c>
      <c r="B3180" s="28"/>
      <c r="C3180" s="3" t="s">
        <v>6</v>
      </c>
    </row>
    <row r="3181" spans="1:3" ht="13.5" thickBot="1" x14ac:dyDescent="0.25">
      <c r="A3181" s="3">
        <v>4157</v>
      </c>
      <c r="B3181" s="28"/>
      <c r="C3181" s="3" t="s">
        <v>3</v>
      </c>
    </row>
    <row r="3182" spans="1:3" ht="13.5" thickBot="1" x14ac:dyDescent="0.25">
      <c r="A3182" s="3">
        <v>5115</v>
      </c>
      <c r="B3182" s="28"/>
      <c r="C3182" s="3" t="s">
        <v>4</v>
      </c>
    </row>
    <row r="3183" spans="1:3" ht="13.5" thickBot="1" x14ac:dyDescent="0.25">
      <c r="A3183" s="3">
        <v>7033</v>
      </c>
      <c r="B3183" s="28"/>
      <c r="C3183" s="3" t="s">
        <v>3</v>
      </c>
    </row>
    <row r="3184" spans="1:3" ht="13.5" thickBot="1" x14ac:dyDescent="0.25">
      <c r="A3184" s="3">
        <v>3862</v>
      </c>
      <c r="B3184" s="28"/>
      <c r="C3184" s="3" t="s">
        <v>5</v>
      </c>
    </row>
    <row r="3185" spans="1:3" ht="13.5" thickBot="1" x14ac:dyDescent="0.25">
      <c r="A3185" s="3">
        <v>2704</v>
      </c>
      <c r="B3185" s="28"/>
      <c r="C3185" s="3" t="s">
        <v>3</v>
      </c>
    </row>
    <row r="3186" spans="1:3" ht="13.5" thickBot="1" x14ac:dyDescent="0.25">
      <c r="A3186" s="3">
        <v>1563</v>
      </c>
      <c r="B3186" s="28"/>
      <c r="C3186" s="3" t="s">
        <v>4</v>
      </c>
    </row>
    <row r="3187" spans="1:3" ht="13.5" thickBot="1" x14ac:dyDescent="0.25">
      <c r="A3187" s="3">
        <v>6233</v>
      </c>
      <c r="B3187" s="28"/>
      <c r="C3187" s="3" t="s">
        <v>3</v>
      </c>
    </row>
    <row r="3188" spans="1:3" ht="13.5" thickBot="1" x14ac:dyDescent="0.25">
      <c r="A3188" s="3">
        <v>5335</v>
      </c>
      <c r="B3188" s="28"/>
      <c r="C3188" s="3" t="s">
        <v>3</v>
      </c>
    </row>
    <row r="3189" spans="1:3" ht="13.5" thickBot="1" x14ac:dyDescent="0.25">
      <c r="A3189" s="3">
        <v>1245</v>
      </c>
      <c r="B3189" s="28"/>
      <c r="C3189" s="3" t="s">
        <v>4</v>
      </c>
    </row>
    <row r="3190" spans="1:3" ht="13.5" thickBot="1" x14ac:dyDescent="0.25">
      <c r="A3190" s="3">
        <v>2629</v>
      </c>
      <c r="B3190" s="28"/>
      <c r="C3190" s="3" t="s">
        <v>3</v>
      </c>
    </row>
    <row r="3191" spans="1:3" ht="13.5" thickBot="1" x14ac:dyDescent="0.25">
      <c r="A3191" s="3">
        <v>6252</v>
      </c>
      <c r="B3191" s="28"/>
      <c r="C3191" s="3" t="s">
        <v>4</v>
      </c>
    </row>
    <row r="3192" spans="1:3" ht="13.5" thickBot="1" x14ac:dyDescent="0.25">
      <c r="A3192" s="3">
        <v>4414</v>
      </c>
      <c r="B3192" s="28"/>
      <c r="C3192" s="3" t="s">
        <v>3</v>
      </c>
    </row>
    <row r="3193" spans="1:3" ht="13.5" thickBot="1" x14ac:dyDescent="0.25">
      <c r="A3193" s="3">
        <v>5447</v>
      </c>
      <c r="B3193" s="28"/>
      <c r="C3193" s="3" t="s">
        <v>3</v>
      </c>
    </row>
    <row r="3194" spans="1:3" ht="13.5" thickBot="1" x14ac:dyDescent="0.25">
      <c r="A3194" s="3">
        <v>551</v>
      </c>
      <c r="B3194" s="28"/>
      <c r="C3194" s="3" t="s">
        <v>6</v>
      </c>
    </row>
    <row r="3195" spans="1:3" ht="13.5" thickBot="1" x14ac:dyDescent="0.25">
      <c r="A3195" s="3">
        <v>1196</v>
      </c>
      <c r="B3195" s="28"/>
      <c r="C3195" s="3" t="s">
        <v>3</v>
      </c>
    </row>
    <row r="3196" spans="1:3" ht="13.5" thickBot="1" x14ac:dyDescent="0.25">
      <c r="A3196" s="3">
        <v>1679</v>
      </c>
      <c r="B3196" s="28"/>
      <c r="C3196" s="3" t="s">
        <v>3</v>
      </c>
    </row>
    <row r="3197" spans="1:3" ht="13.5" thickBot="1" x14ac:dyDescent="0.25">
      <c r="A3197" s="3">
        <v>411</v>
      </c>
      <c r="B3197" s="28"/>
      <c r="C3197" s="3" t="s">
        <v>4</v>
      </c>
    </row>
    <row r="3198" spans="1:3" ht="13.5" thickBot="1" x14ac:dyDescent="0.25">
      <c r="A3198" s="3">
        <v>4132</v>
      </c>
      <c r="B3198" s="28"/>
      <c r="C3198" s="3" t="s">
        <v>3</v>
      </c>
    </row>
    <row r="3199" spans="1:3" ht="13.5" thickBot="1" x14ac:dyDescent="0.25">
      <c r="A3199" s="3">
        <v>2244</v>
      </c>
      <c r="B3199" s="28"/>
      <c r="C3199" s="3" t="s">
        <v>3</v>
      </c>
    </row>
    <row r="3200" spans="1:3" ht="13.5" thickBot="1" x14ac:dyDescent="0.25">
      <c r="A3200" s="3">
        <v>6240</v>
      </c>
      <c r="B3200" s="28"/>
      <c r="C3200" s="3" t="s">
        <v>4</v>
      </c>
    </row>
    <row r="3201" spans="1:3" ht="13.5" thickBot="1" x14ac:dyDescent="0.25">
      <c r="A3201" s="3">
        <v>6767</v>
      </c>
      <c r="B3201" s="28"/>
      <c r="C3201" s="3" t="s">
        <v>3</v>
      </c>
    </row>
    <row r="3202" spans="1:3" ht="13.5" thickBot="1" x14ac:dyDescent="0.25">
      <c r="A3202" s="3">
        <v>1665</v>
      </c>
      <c r="B3202" s="28"/>
      <c r="C3202" s="3" t="s">
        <v>4</v>
      </c>
    </row>
    <row r="3203" spans="1:3" ht="13.5" thickBot="1" x14ac:dyDescent="0.25">
      <c r="A3203" s="3">
        <v>622</v>
      </c>
      <c r="B3203" s="28"/>
      <c r="C3203" s="3" t="s">
        <v>3</v>
      </c>
    </row>
    <row r="3204" spans="1:3" ht="13.5" thickBot="1" x14ac:dyDescent="0.25">
      <c r="A3204" s="3">
        <v>1813</v>
      </c>
      <c r="B3204" s="28"/>
      <c r="C3204" s="3" t="s">
        <v>3</v>
      </c>
    </row>
    <row r="3205" spans="1:3" ht="13.5" thickBot="1" x14ac:dyDescent="0.25">
      <c r="A3205" s="3">
        <v>1231</v>
      </c>
      <c r="B3205" s="28"/>
      <c r="C3205" s="3" t="s">
        <v>4</v>
      </c>
    </row>
    <row r="3206" spans="1:3" ht="13.5" thickBot="1" x14ac:dyDescent="0.25">
      <c r="A3206" s="3">
        <v>5983</v>
      </c>
      <c r="B3206" s="28"/>
      <c r="C3206" s="3" t="s">
        <v>4</v>
      </c>
    </row>
    <row r="3207" spans="1:3" ht="13.5" thickBot="1" x14ac:dyDescent="0.25">
      <c r="A3207" s="3">
        <v>3862</v>
      </c>
      <c r="B3207" s="28"/>
      <c r="C3207" s="3" t="s">
        <v>3</v>
      </c>
    </row>
    <row r="3208" spans="1:3" ht="13.5" thickBot="1" x14ac:dyDescent="0.25">
      <c r="A3208" s="3">
        <v>5957</v>
      </c>
      <c r="B3208" s="28"/>
      <c r="C3208" s="3" t="s">
        <v>3</v>
      </c>
    </row>
    <row r="3209" spans="1:3" ht="13.5" thickBot="1" x14ac:dyDescent="0.25">
      <c r="A3209" s="3">
        <v>6595</v>
      </c>
      <c r="B3209" s="28"/>
      <c r="C3209" s="3" t="s">
        <v>4</v>
      </c>
    </row>
    <row r="3210" spans="1:3" ht="13.5" thickBot="1" x14ac:dyDescent="0.25">
      <c r="A3210" s="3">
        <v>7131</v>
      </c>
      <c r="B3210" s="28"/>
      <c r="C3210" s="3" t="s">
        <v>6</v>
      </c>
    </row>
    <row r="3211" spans="1:3" ht="13.5" thickBot="1" x14ac:dyDescent="0.25">
      <c r="A3211" s="3">
        <v>5360</v>
      </c>
      <c r="B3211" s="28"/>
      <c r="C3211" s="3" t="s">
        <v>4</v>
      </c>
    </row>
    <row r="3212" spans="1:3" ht="13.5" thickBot="1" x14ac:dyDescent="0.25">
      <c r="A3212" s="3">
        <v>1240</v>
      </c>
      <c r="B3212" s="28"/>
      <c r="C3212" s="3" t="s">
        <v>3</v>
      </c>
    </row>
    <row r="3213" spans="1:3" ht="13.5" thickBot="1" x14ac:dyDescent="0.25">
      <c r="A3213" s="3">
        <v>5360</v>
      </c>
      <c r="B3213" s="28"/>
      <c r="C3213" s="3" t="s">
        <v>3</v>
      </c>
    </row>
    <row r="3214" spans="1:3" ht="13.5" thickBot="1" x14ac:dyDescent="0.25">
      <c r="A3214" s="3">
        <v>2690</v>
      </c>
      <c r="B3214" s="28"/>
      <c r="C3214" s="3" t="s">
        <v>5</v>
      </c>
    </row>
    <row r="3215" spans="1:3" ht="13.5" thickBot="1" x14ac:dyDescent="0.25">
      <c r="A3215" s="3">
        <v>6379</v>
      </c>
      <c r="B3215" s="28"/>
      <c r="C3215" s="3" t="s">
        <v>3</v>
      </c>
    </row>
    <row r="3216" spans="1:3" ht="13.5" thickBot="1" x14ac:dyDescent="0.25">
      <c r="A3216" s="3">
        <v>4858</v>
      </c>
      <c r="B3216" s="28"/>
      <c r="C3216" s="3" t="s">
        <v>3</v>
      </c>
    </row>
    <row r="3217" spans="1:3" ht="13.5" thickBot="1" x14ac:dyDescent="0.25">
      <c r="A3217" s="3">
        <v>5469</v>
      </c>
      <c r="B3217" s="28"/>
      <c r="C3217" s="3" t="s">
        <v>3</v>
      </c>
    </row>
    <row r="3218" spans="1:3" ht="13.5" thickBot="1" x14ac:dyDescent="0.25">
      <c r="A3218" s="3">
        <v>5357</v>
      </c>
      <c r="B3218" s="28"/>
      <c r="C3218" s="3" t="s">
        <v>7</v>
      </c>
    </row>
    <row r="3219" spans="1:3" ht="13.5" thickBot="1" x14ac:dyDescent="0.25">
      <c r="A3219" s="3">
        <v>563</v>
      </c>
      <c r="B3219" s="28"/>
      <c r="C3219" s="3" t="s">
        <v>4</v>
      </c>
    </row>
    <row r="3220" spans="1:3" ht="13.5" thickBot="1" x14ac:dyDescent="0.25">
      <c r="A3220" s="3">
        <v>3471</v>
      </c>
      <c r="B3220" s="28"/>
      <c r="C3220" s="3" t="s">
        <v>5</v>
      </c>
    </row>
    <row r="3221" spans="1:3" ht="13.5" thickBot="1" x14ac:dyDescent="0.25">
      <c r="A3221" s="3">
        <v>333</v>
      </c>
      <c r="B3221" s="28"/>
      <c r="C3221" s="3" t="s">
        <v>4</v>
      </c>
    </row>
    <row r="3222" spans="1:3" ht="13.5" thickBot="1" x14ac:dyDescent="0.25">
      <c r="A3222" s="3">
        <v>5787</v>
      </c>
      <c r="B3222" s="28"/>
      <c r="C3222" s="3" t="s">
        <v>7</v>
      </c>
    </row>
    <row r="3223" spans="1:3" ht="13.5" thickBot="1" x14ac:dyDescent="0.25">
      <c r="A3223" s="3">
        <v>4462</v>
      </c>
      <c r="B3223" s="28"/>
      <c r="C3223" s="3" t="s">
        <v>3</v>
      </c>
    </row>
    <row r="3224" spans="1:3" ht="13.5" thickBot="1" x14ac:dyDescent="0.25">
      <c r="A3224" s="3">
        <v>2261</v>
      </c>
      <c r="B3224" s="28"/>
      <c r="C3224" s="3" t="s">
        <v>4</v>
      </c>
    </row>
    <row r="3225" spans="1:3" ht="13.5" thickBot="1" x14ac:dyDescent="0.25">
      <c r="A3225" s="3">
        <v>7040</v>
      </c>
      <c r="B3225" s="28"/>
      <c r="C3225" s="3" t="s">
        <v>3</v>
      </c>
    </row>
    <row r="3226" spans="1:3" ht="13.5" thickBot="1" x14ac:dyDescent="0.25">
      <c r="A3226" s="3">
        <v>5047</v>
      </c>
      <c r="B3226" s="28"/>
      <c r="C3226" s="3" t="s">
        <v>7</v>
      </c>
    </row>
    <row r="3227" spans="1:3" ht="13.5" thickBot="1" x14ac:dyDescent="0.25">
      <c r="A3227" s="3">
        <v>2250</v>
      </c>
      <c r="B3227" s="28"/>
      <c r="C3227" s="3" t="s">
        <v>6</v>
      </c>
    </row>
    <row r="3228" spans="1:3" ht="13.5" thickBot="1" x14ac:dyDescent="0.25">
      <c r="A3228" s="3">
        <v>661</v>
      </c>
      <c r="B3228" s="28"/>
      <c r="C3228" s="3" t="s">
        <v>3</v>
      </c>
    </row>
    <row r="3229" spans="1:3" ht="13.5" thickBot="1" x14ac:dyDescent="0.25">
      <c r="A3229" s="3">
        <v>2400</v>
      </c>
      <c r="B3229" s="28"/>
      <c r="C3229" s="3" t="s">
        <v>6</v>
      </c>
    </row>
    <row r="3230" spans="1:3" ht="13.5" thickBot="1" x14ac:dyDescent="0.25">
      <c r="A3230" s="3">
        <v>7133</v>
      </c>
      <c r="B3230" s="28"/>
      <c r="C3230" s="3" t="s">
        <v>4</v>
      </c>
    </row>
    <row r="3231" spans="1:3" ht="13.5" thickBot="1" x14ac:dyDescent="0.25">
      <c r="A3231" s="3">
        <v>1791</v>
      </c>
      <c r="B3231" s="28"/>
      <c r="C3231" s="3" t="s">
        <v>4</v>
      </c>
    </row>
    <row r="3232" spans="1:3" ht="13.5" thickBot="1" x14ac:dyDescent="0.25">
      <c r="A3232" s="3">
        <v>7217</v>
      </c>
      <c r="B3232" s="28"/>
      <c r="C3232" s="3" t="s">
        <v>5</v>
      </c>
    </row>
    <row r="3233" spans="1:3" ht="13.5" thickBot="1" x14ac:dyDescent="0.25">
      <c r="A3233" s="3">
        <v>7576</v>
      </c>
      <c r="B3233" s="28"/>
      <c r="C3233" s="3" t="s">
        <v>3</v>
      </c>
    </row>
    <row r="3234" spans="1:3" ht="13.5" thickBot="1" x14ac:dyDescent="0.25">
      <c r="A3234" s="3">
        <v>6022</v>
      </c>
      <c r="B3234" s="28"/>
      <c r="C3234" s="3" t="s">
        <v>6</v>
      </c>
    </row>
    <row r="3235" spans="1:3" ht="13.5" thickBot="1" x14ac:dyDescent="0.25">
      <c r="A3235" s="3">
        <v>2690</v>
      </c>
      <c r="B3235" s="28"/>
      <c r="C3235" s="3" t="s">
        <v>4</v>
      </c>
    </row>
    <row r="3236" spans="1:3" ht="13.5" thickBot="1" x14ac:dyDescent="0.25">
      <c r="A3236" s="3">
        <v>6252</v>
      </c>
      <c r="B3236" s="28"/>
      <c r="C3236" s="3" t="s">
        <v>7</v>
      </c>
    </row>
    <row r="3237" spans="1:3" ht="13.5" thickBot="1" x14ac:dyDescent="0.25">
      <c r="A3237" s="3">
        <v>7945</v>
      </c>
      <c r="B3237" s="28"/>
      <c r="C3237" s="3" t="s">
        <v>3</v>
      </c>
    </row>
    <row r="3238" spans="1:3" ht="13.5" thickBot="1" x14ac:dyDescent="0.25">
      <c r="A3238" s="3">
        <v>6543</v>
      </c>
      <c r="B3238" s="28"/>
      <c r="C3238" s="3" t="s">
        <v>3</v>
      </c>
    </row>
    <row r="3239" spans="1:3" ht="13.5" thickBot="1" x14ac:dyDescent="0.25">
      <c r="A3239" s="3">
        <v>7547</v>
      </c>
      <c r="B3239" s="28"/>
      <c r="C3239" s="3" t="s">
        <v>6</v>
      </c>
    </row>
    <row r="3240" spans="1:3" ht="13.5" thickBot="1" x14ac:dyDescent="0.25">
      <c r="A3240" s="3">
        <v>1678</v>
      </c>
      <c r="B3240" s="28"/>
      <c r="C3240" s="3" t="s">
        <v>6</v>
      </c>
    </row>
    <row r="3241" spans="1:3" ht="13.5" thickBot="1" x14ac:dyDescent="0.25">
      <c r="A3241" s="3">
        <v>7701</v>
      </c>
      <c r="B3241" s="28"/>
      <c r="C3241" s="3" t="s">
        <v>4</v>
      </c>
    </row>
    <row r="3242" spans="1:3" ht="13.5" thickBot="1" x14ac:dyDescent="0.25">
      <c r="A3242" s="3">
        <v>6272</v>
      </c>
      <c r="B3242" s="28"/>
      <c r="C3242" s="3" t="s">
        <v>3</v>
      </c>
    </row>
    <row r="3243" spans="1:3" ht="13.5" thickBot="1" x14ac:dyDescent="0.25">
      <c r="A3243" s="3">
        <v>7701</v>
      </c>
      <c r="B3243" s="28"/>
      <c r="C3243" s="3" t="s">
        <v>7</v>
      </c>
    </row>
    <row r="3244" spans="1:3" ht="13.5" thickBot="1" x14ac:dyDescent="0.25">
      <c r="A3244" s="3">
        <v>3581</v>
      </c>
      <c r="B3244" s="28"/>
      <c r="C3244" s="3" t="s">
        <v>3</v>
      </c>
    </row>
    <row r="3245" spans="1:3" ht="13.5" thickBot="1" x14ac:dyDescent="0.25">
      <c r="A3245" s="3">
        <v>7054</v>
      </c>
      <c r="B3245" s="28"/>
      <c r="C3245" s="3" t="s">
        <v>3</v>
      </c>
    </row>
    <row r="3246" spans="1:3" ht="13.5" thickBot="1" x14ac:dyDescent="0.25">
      <c r="A3246" s="3">
        <v>6252</v>
      </c>
      <c r="B3246" s="28"/>
      <c r="C3246" s="3" t="s">
        <v>5</v>
      </c>
    </row>
    <row r="3247" spans="1:3" ht="13.5" thickBot="1" x14ac:dyDescent="0.25">
      <c r="A3247" s="3">
        <v>329</v>
      </c>
      <c r="B3247" s="28"/>
      <c r="C3247" s="3" t="s">
        <v>3</v>
      </c>
    </row>
    <row r="3248" spans="1:3" ht="13.5" thickBot="1" x14ac:dyDescent="0.25">
      <c r="A3248" s="3">
        <v>3796</v>
      </c>
      <c r="B3248" s="28"/>
      <c r="C3248" s="3" t="s">
        <v>5</v>
      </c>
    </row>
    <row r="3249" spans="1:3" ht="13.5" thickBot="1" x14ac:dyDescent="0.25">
      <c r="A3249" s="3">
        <v>7040</v>
      </c>
      <c r="B3249" s="28"/>
      <c r="C3249" s="3" t="s">
        <v>6</v>
      </c>
    </row>
    <row r="3250" spans="1:3" ht="13.5" thickBot="1" x14ac:dyDescent="0.25">
      <c r="A3250" s="3">
        <v>6252</v>
      </c>
      <c r="B3250" s="28"/>
      <c r="C3250" s="3" t="s">
        <v>6</v>
      </c>
    </row>
    <row r="3251" spans="1:3" ht="13.5" thickBot="1" x14ac:dyDescent="0.25">
      <c r="A3251" s="3">
        <v>6022</v>
      </c>
      <c r="B3251" s="28"/>
      <c r="C3251" s="3" t="s">
        <v>5</v>
      </c>
    </row>
    <row r="3252" spans="1:3" ht="13.5" thickBot="1" x14ac:dyDescent="0.25">
      <c r="A3252" s="3">
        <v>3329</v>
      </c>
      <c r="B3252" s="28"/>
      <c r="C3252" s="3" t="s">
        <v>3</v>
      </c>
    </row>
    <row r="3253" spans="1:3" ht="13.5" thickBot="1" x14ac:dyDescent="0.25">
      <c r="A3253" s="3">
        <v>588</v>
      </c>
      <c r="B3253" s="28"/>
      <c r="C3253" s="3" t="s">
        <v>3</v>
      </c>
    </row>
    <row r="3254" spans="1:3" ht="13.5" thickBot="1" x14ac:dyDescent="0.25">
      <c r="A3254" s="3">
        <v>7553</v>
      </c>
      <c r="B3254" s="28"/>
      <c r="C3254" s="3" t="s">
        <v>3</v>
      </c>
    </row>
    <row r="3255" spans="1:3" ht="13.5" thickBot="1" x14ac:dyDescent="0.25">
      <c r="A3255" s="3">
        <v>3930</v>
      </c>
      <c r="B3255" s="28"/>
      <c r="C3255" s="3" t="s">
        <v>7</v>
      </c>
    </row>
    <row r="3256" spans="1:3" ht="13.5" thickBot="1" x14ac:dyDescent="0.25">
      <c r="A3256" s="3">
        <v>677</v>
      </c>
      <c r="B3256" s="28"/>
      <c r="C3256" s="3" t="s">
        <v>3</v>
      </c>
    </row>
    <row r="3257" spans="1:3" ht="13.5" thickBot="1" x14ac:dyDescent="0.25">
      <c r="A3257" s="3">
        <v>329</v>
      </c>
      <c r="B3257" s="28"/>
      <c r="C3257" s="3" t="s">
        <v>5</v>
      </c>
    </row>
    <row r="3258" spans="1:3" ht="13.5" thickBot="1" x14ac:dyDescent="0.25">
      <c r="A3258" s="3">
        <v>1452</v>
      </c>
      <c r="B3258" s="28"/>
      <c r="C3258" s="3" t="s">
        <v>7</v>
      </c>
    </row>
    <row r="3259" spans="1:3" ht="13.5" thickBot="1" x14ac:dyDescent="0.25">
      <c r="A3259" s="3">
        <v>6863</v>
      </c>
      <c r="B3259" s="28"/>
      <c r="C3259" s="3" t="s">
        <v>6</v>
      </c>
    </row>
    <row r="3260" spans="1:3" ht="13.5" thickBot="1" x14ac:dyDescent="0.25">
      <c r="A3260" s="3">
        <v>3622</v>
      </c>
      <c r="B3260" s="28"/>
      <c r="C3260" s="3" t="s">
        <v>6</v>
      </c>
    </row>
    <row r="3261" spans="1:3" ht="13.5" thickBot="1" x14ac:dyDescent="0.25">
      <c r="A3261" s="3">
        <v>4858</v>
      </c>
      <c r="B3261" s="28"/>
      <c r="C3261" s="3" t="s">
        <v>4</v>
      </c>
    </row>
    <row r="3262" spans="1:3" ht="13.5" thickBot="1" x14ac:dyDescent="0.25">
      <c r="A3262" s="3">
        <v>1050</v>
      </c>
      <c r="B3262" s="28"/>
      <c r="C3262" s="3" t="s">
        <v>6</v>
      </c>
    </row>
    <row r="3263" spans="1:3" ht="13.5" thickBot="1" x14ac:dyDescent="0.25">
      <c r="A3263" s="3">
        <v>1050</v>
      </c>
      <c r="B3263" s="28"/>
      <c r="C3263" s="3" t="s">
        <v>5</v>
      </c>
    </row>
    <row r="3264" spans="1:3" ht="13.5" thickBot="1" x14ac:dyDescent="0.25">
      <c r="A3264" s="3">
        <v>5718</v>
      </c>
      <c r="B3264" s="28"/>
      <c r="C3264" s="3" t="s">
        <v>3</v>
      </c>
    </row>
    <row r="3265" spans="1:3" ht="13.5" thickBot="1" x14ac:dyDescent="0.25">
      <c r="A3265" s="3">
        <v>4463</v>
      </c>
      <c r="B3265" s="28"/>
      <c r="C3265" s="3" t="s">
        <v>6</v>
      </c>
    </row>
    <row r="3266" spans="1:3" ht="13.5" thickBot="1" x14ac:dyDescent="0.25">
      <c r="A3266" s="3">
        <v>1702</v>
      </c>
      <c r="B3266" s="28"/>
      <c r="C3266" s="3" t="s">
        <v>6</v>
      </c>
    </row>
    <row r="3267" spans="1:3" ht="13.5" thickBot="1" x14ac:dyDescent="0.25">
      <c r="A3267" s="3">
        <v>7278</v>
      </c>
      <c r="B3267" s="28"/>
      <c r="C3267" s="3" t="s">
        <v>3</v>
      </c>
    </row>
    <row r="3268" spans="1:3" ht="13.5" thickBot="1" x14ac:dyDescent="0.25">
      <c r="A3268" s="3">
        <v>497</v>
      </c>
      <c r="B3268" s="28"/>
      <c r="C3268" s="3" t="s">
        <v>5</v>
      </c>
    </row>
    <row r="3269" spans="1:3" ht="13.5" thickBot="1" x14ac:dyDescent="0.25">
      <c r="A3269" s="3">
        <v>3796</v>
      </c>
      <c r="B3269" s="28"/>
      <c r="C3269" s="3" t="s">
        <v>3</v>
      </c>
    </row>
    <row r="3270" spans="1:3" ht="13.5" thickBot="1" x14ac:dyDescent="0.25">
      <c r="A3270" s="3">
        <v>2003</v>
      </c>
      <c r="B3270" s="28"/>
      <c r="C3270" s="3" t="s">
        <v>3</v>
      </c>
    </row>
    <row r="3271" spans="1:3" ht="13.5" thickBot="1" x14ac:dyDescent="0.25">
      <c r="A3271" s="3">
        <v>3543</v>
      </c>
      <c r="B3271" s="28"/>
      <c r="C3271" s="3" t="s">
        <v>6</v>
      </c>
    </row>
    <row r="3272" spans="1:3" ht="13.5" thickBot="1" x14ac:dyDescent="0.25">
      <c r="A3272" s="3">
        <v>3930</v>
      </c>
      <c r="B3272" s="28"/>
      <c r="C3272" s="3" t="s">
        <v>4</v>
      </c>
    </row>
    <row r="3273" spans="1:3" ht="13.5" thickBot="1" x14ac:dyDescent="0.25">
      <c r="A3273" s="3">
        <v>712</v>
      </c>
      <c r="B3273" s="28"/>
      <c r="C3273" s="3" t="s">
        <v>3</v>
      </c>
    </row>
    <row r="3274" spans="1:3" ht="13.5" thickBot="1" x14ac:dyDescent="0.25">
      <c r="A3274" s="3">
        <v>497</v>
      </c>
      <c r="B3274" s="28"/>
      <c r="C3274" s="3" t="s">
        <v>6</v>
      </c>
    </row>
    <row r="3275" spans="1:3" ht="13.5" thickBot="1" x14ac:dyDescent="0.25">
      <c r="A3275" s="3">
        <v>1684</v>
      </c>
      <c r="B3275" s="28"/>
      <c r="C3275" s="3" t="s">
        <v>4</v>
      </c>
    </row>
    <row r="3276" spans="1:3" ht="13.5" thickBot="1" x14ac:dyDescent="0.25">
      <c r="A3276" s="3">
        <v>48</v>
      </c>
      <c r="B3276" s="28"/>
      <c r="C3276" s="3" t="s">
        <v>3</v>
      </c>
    </row>
    <row r="3277" spans="1:3" ht="13.5" thickBot="1" x14ac:dyDescent="0.25">
      <c r="A3277" s="3">
        <v>7123</v>
      </c>
      <c r="B3277" s="28"/>
      <c r="C3277" s="3" t="s">
        <v>3</v>
      </c>
    </row>
    <row r="3278" spans="1:3" ht="13.5" thickBot="1" x14ac:dyDescent="0.25">
      <c r="A3278" s="3">
        <v>2434</v>
      </c>
      <c r="B3278" s="28"/>
      <c r="C3278" s="3" t="s">
        <v>4</v>
      </c>
    </row>
    <row r="3279" spans="1:3" ht="13.5" thickBot="1" x14ac:dyDescent="0.25">
      <c r="A3279" s="3">
        <v>5664</v>
      </c>
      <c r="B3279" s="28"/>
      <c r="C3279" s="3" t="s">
        <v>3</v>
      </c>
    </row>
    <row r="3280" spans="1:3" ht="13.5" thickBot="1" x14ac:dyDescent="0.25">
      <c r="A3280" s="3">
        <v>4722</v>
      </c>
      <c r="B3280" s="28"/>
      <c r="C3280" s="3" t="s">
        <v>3</v>
      </c>
    </row>
    <row r="3281" spans="1:3" ht="13.5" thickBot="1" x14ac:dyDescent="0.25">
      <c r="A3281" s="3">
        <v>7436</v>
      </c>
      <c r="B3281" s="28"/>
      <c r="C3281" s="3" t="s">
        <v>3</v>
      </c>
    </row>
    <row r="3282" spans="1:3" ht="13.5" thickBot="1" x14ac:dyDescent="0.25">
      <c r="A3282" s="3">
        <v>1196</v>
      </c>
      <c r="B3282" s="28"/>
      <c r="C3282" s="3" t="s">
        <v>4</v>
      </c>
    </row>
    <row r="3283" spans="1:3" ht="13.5" thickBot="1" x14ac:dyDescent="0.25">
      <c r="A3283" s="3">
        <v>574</v>
      </c>
      <c r="B3283" s="28"/>
      <c r="C3283" s="3" t="s">
        <v>6</v>
      </c>
    </row>
    <row r="3284" spans="1:3" ht="13.5" thickBot="1" x14ac:dyDescent="0.25">
      <c r="A3284" s="3">
        <v>1204</v>
      </c>
      <c r="B3284" s="28"/>
      <c r="C3284" s="3" t="s">
        <v>3</v>
      </c>
    </row>
    <row r="3285" spans="1:3" ht="13.5" thickBot="1" x14ac:dyDescent="0.25">
      <c r="A3285" s="3">
        <v>2690</v>
      </c>
      <c r="B3285" s="28"/>
      <c r="C3285" s="3" t="s">
        <v>7</v>
      </c>
    </row>
    <row r="3286" spans="1:3" ht="13.5" thickBot="1" x14ac:dyDescent="0.25">
      <c r="A3286" s="3">
        <v>6488</v>
      </c>
      <c r="B3286" s="28"/>
      <c r="C3286" s="3" t="s">
        <v>3</v>
      </c>
    </row>
    <row r="3287" spans="1:3" ht="13.5" thickBot="1" x14ac:dyDescent="0.25">
      <c r="A3287" s="3">
        <v>5273</v>
      </c>
      <c r="B3287" s="28"/>
      <c r="C3287" s="3" t="s">
        <v>3</v>
      </c>
    </row>
    <row r="3288" spans="1:3" ht="13.5" thickBot="1" x14ac:dyDescent="0.25">
      <c r="A3288" s="3">
        <v>1563</v>
      </c>
      <c r="B3288" s="28"/>
      <c r="C3288" s="3" t="s">
        <v>5</v>
      </c>
    </row>
    <row r="3289" spans="1:3" ht="13.5" thickBot="1" x14ac:dyDescent="0.25">
      <c r="A3289" s="3">
        <v>6022</v>
      </c>
      <c r="B3289" s="28"/>
      <c r="C3289" s="3" t="s">
        <v>7</v>
      </c>
    </row>
    <row r="3290" spans="1:3" ht="13.5" thickBot="1" x14ac:dyDescent="0.25">
      <c r="A3290" s="3">
        <v>7805</v>
      </c>
      <c r="B3290" s="28"/>
      <c r="C3290" s="3" t="s">
        <v>3</v>
      </c>
    </row>
    <row r="3291" spans="1:3" ht="13.5" thickBot="1" x14ac:dyDescent="0.25">
      <c r="A3291" s="3">
        <v>6233</v>
      </c>
      <c r="B3291" s="28"/>
      <c r="C3291" s="3" t="s">
        <v>6</v>
      </c>
    </row>
    <row r="3292" spans="1:3" ht="13.5" thickBot="1" x14ac:dyDescent="0.25">
      <c r="A3292" s="3">
        <v>3610</v>
      </c>
      <c r="B3292" s="28"/>
      <c r="C3292" s="3" t="s">
        <v>3</v>
      </c>
    </row>
    <row r="3293" spans="1:3" ht="13.5" thickBot="1" x14ac:dyDescent="0.25">
      <c r="A3293" s="3">
        <v>4858</v>
      </c>
      <c r="B3293" s="28"/>
      <c r="C3293" s="3" t="s">
        <v>5</v>
      </c>
    </row>
    <row r="3294" spans="1:3" ht="13.5" thickBot="1" x14ac:dyDescent="0.25">
      <c r="A3294" s="3">
        <v>4861</v>
      </c>
      <c r="B3294" s="28"/>
      <c r="C3294" s="3" t="s">
        <v>3</v>
      </c>
    </row>
    <row r="3295" spans="1:3" ht="13.5" thickBot="1" x14ac:dyDescent="0.25">
      <c r="A3295" s="3">
        <v>5163</v>
      </c>
      <c r="B3295" s="28"/>
      <c r="C3295" s="3" t="s">
        <v>3</v>
      </c>
    </row>
    <row r="3296" spans="1:3" ht="13.5" thickBot="1" x14ac:dyDescent="0.25">
      <c r="A3296" s="3">
        <v>3014</v>
      </c>
      <c r="B3296" s="28"/>
      <c r="C3296" s="3" t="s">
        <v>4</v>
      </c>
    </row>
    <row r="3297" spans="1:3" ht="13.5" thickBot="1" x14ac:dyDescent="0.25">
      <c r="A3297" s="3">
        <v>1297</v>
      </c>
      <c r="B3297" s="28"/>
      <c r="C3297" s="3" t="s">
        <v>3</v>
      </c>
    </row>
    <row r="3298" spans="1:3" ht="13.5" thickBot="1" x14ac:dyDescent="0.25">
      <c r="A3298" s="3">
        <v>677</v>
      </c>
      <c r="B3298" s="28"/>
      <c r="C3298" s="3" t="s">
        <v>6</v>
      </c>
    </row>
    <row r="3299" spans="1:3" ht="13.5" thickBot="1" x14ac:dyDescent="0.25">
      <c r="A3299" s="3">
        <v>5047</v>
      </c>
      <c r="B3299" s="28"/>
      <c r="C3299" s="3" t="s">
        <v>5</v>
      </c>
    </row>
    <row r="3300" spans="1:3" ht="13.5" thickBot="1" x14ac:dyDescent="0.25">
      <c r="A3300" s="3">
        <v>6488</v>
      </c>
      <c r="B3300" s="28"/>
      <c r="C3300" s="3" t="s">
        <v>4</v>
      </c>
    </row>
    <row r="3301" spans="1:3" ht="13.5" thickBot="1" x14ac:dyDescent="0.25">
      <c r="A3301" s="3">
        <v>5957</v>
      </c>
      <c r="B3301" s="28"/>
      <c r="C3301" s="3" t="s">
        <v>4</v>
      </c>
    </row>
    <row r="3302" spans="1:3" ht="13.5" thickBot="1" x14ac:dyDescent="0.25">
      <c r="A3302" s="3">
        <v>58</v>
      </c>
      <c r="B3302" s="28"/>
      <c r="C3302" s="3" t="s">
        <v>5</v>
      </c>
    </row>
    <row r="3303" spans="1:3" ht="13.5" thickBot="1" x14ac:dyDescent="0.25">
      <c r="A3303" s="3">
        <v>1818</v>
      </c>
      <c r="B3303" s="28"/>
      <c r="C3303" s="3" t="s">
        <v>6</v>
      </c>
    </row>
    <row r="3304" spans="1:3" ht="13.5" thickBot="1" x14ac:dyDescent="0.25">
      <c r="A3304" s="3">
        <v>7826</v>
      </c>
      <c r="B3304" s="28"/>
      <c r="C3304" s="3" t="s">
        <v>3</v>
      </c>
    </row>
    <row r="3305" spans="1:3" ht="13.5" thickBot="1" x14ac:dyDescent="0.25">
      <c r="A3305" s="3">
        <v>3351</v>
      </c>
      <c r="B3305" s="28"/>
      <c r="C3305" s="3" t="s">
        <v>3</v>
      </c>
    </row>
    <row r="3306" spans="1:3" ht="13.5" thickBot="1" x14ac:dyDescent="0.25">
      <c r="A3306" s="3">
        <v>3093</v>
      </c>
      <c r="B3306" s="28"/>
      <c r="C3306" s="3" t="s">
        <v>3</v>
      </c>
    </row>
    <row r="3307" spans="1:3" ht="13.5" thickBot="1" x14ac:dyDescent="0.25">
      <c r="A3307" s="3">
        <v>7870</v>
      </c>
      <c r="B3307" s="28"/>
      <c r="C3307" s="3" t="s">
        <v>4</v>
      </c>
    </row>
    <row r="3308" spans="1:3" ht="13.5" thickBot="1" x14ac:dyDescent="0.25">
      <c r="A3308" s="3">
        <v>6521</v>
      </c>
      <c r="B3308" s="28"/>
      <c r="C3308" s="3" t="s">
        <v>3</v>
      </c>
    </row>
    <row r="3309" spans="1:3" ht="13.5" thickBot="1" x14ac:dyDescent="0.25">
      <c r="A3309" s="3">
        <v>2383</v>
      </c>
      <c r="B3309" s="28"/>
      <c r="C3309" s="3" t="s">
        <v>3</v>
      </c>
    </row>
    <row r="3310" spans="1:3" ht="13.5" thickBot="1" x14ac:dyDescent="0.25">
      <c r="A3310" s="3">
        <v>4688</v>
      </c>
      <c r="B3310" s="28"/>
      <c r="C3310" s="3" t="s">
        <v>3</v>
      </c>
    </row>
    <row r="3311" spans="1:3" ht="13.5" thickBot="1" x14ac:dyDescent="0.25">
      <c r="A3311" s="3">
        <v>92</v>
      </c>
      <c r="B3311" s="28"/>
      <c r="C3311" s="3" t="s">
        <v>6</v>
      </c>
    </row>
    <row r="3312" spans="1:3" ht="13.5" thickBot="1" x14ac:dyDescent="0.25">
      <c r="A3312" s="3">
        <v>7040</v>
      </c>
      <c r="B3312" s="28"/>
      <c r="C3312" s="3" t="s">
        <v>4</v>
      </c>
    </row>
    <row r="3313" spans="1:3" ht="13.5" thickBot="1" x14ac:dyDescent="0.25">
      <c r="A3313" s="3">
        <v>5787</v>
      </c>
      <c r="B3313" s="28"/>
      <c r="C3313" s="3" t="s">
        <v>6</v>
      </c>
    </row>
    <row r="3314" spans="1:3" ht="13.5" thickBot="1" x14ac:dyDescent="0.25">
      <c r="A3314" s="3">
        <v>3258</v>
      </c>
      <c r="B3314" s="28"/>
      <c r="C3314" s="3" t="s">
        <v>3</v>
      </c>
    </row>
    <row r="3315" spans="1:3" ht="13.5" thickBot="1" x14ac:dyDescent="0.25">
      <c r="A3315" s="3">
        <v>3438</v>
      </c>
      <c r="B3315" s="28"/>
      <c r="C3315" s="3" t="s">
        <v>3</v>
      </c>
    </row>
    <row r="3316" spans="1:3" ht="13.5" thickBot="1" x14ac:dyDescent="0.25">
      <c r="A3316" s="3">
        <v>497</v>
      </c>
      <c r="B3316" s="28"/>
      <c r="C3316" s="3" t="s">
        <v>7</v>
      </c>
    </row>
    <row r="3317" spans="1:3" ht="13.5" thickBot="1" x14ac:dyDescent="0.25">
      <c r="A3317" s="3">
        <v>5163</v>
      </c>
      <c r="B3317" s="28"/>
      <c r="C3317" s="3" t="s">
        <v>4</v>
      </c>
    </row>
    <row r="3318" spans="1:3" ht="13.5" thickBot="1" x14ac:dyDescent="0.25">
      <c r="A3318" s="3">
        <v>3930</v>
      </c>
      <c r="B3318" s="28"/>
      <c r="C3318" s="3" t="s">
        <v>5</v>
      </c>
    </row>
    <row r="3319" spans="1:3" ht="13.5" thickBot="1" x14ac:dyDescent="0.25">
      <c r="A3319" s="3">
        <v>74</v>
      </c>
      <c r="B3319" s="28"/>
      <c r="C3319" s="3" t="s">
        <v>5</v>
      </c>
    </row>
    <row r="3320" spans="1:3" ht="13.5" thickBot="1" x14ac:dyDescent="0.25">
      <c r="A3320" s="3">
        <v>2250</v>
      </c>
      <c r="B3320" s="28"/>
      <c r="C3320" s="3" t="s">
        <v>5</v>
      </c>
    </row>
    <row r="3321" spans="1:3" ht="13.5" thickBot="1" x14ac:dyDescent="0.25">
      <c r="A3321" s="3">
        <v>1748</v>
      </c>
      <c r="B3321" s="28"/>
      <c r="C3321" s="3" t="s">
        <v>4</v>
      </c>
    </row>
    <row r="3322" spans="1:3" ht="13.5" thickBot="1" x14ac:dyDescent="0.25">
      <c r="A3322" s="3">
        <v>2250</v>
      </c>
      <c r="B3322" s="28"/>
      <c r="C3322" s="3" t="s">
        <v>7</v>
      </c>
    </row>
    <row r="3323" spans="1:3" ht="13.5" thickBot="1" x14ac:dyDescent="0.25">
      <c r="A3323" s="3">
        <v>760</v>
      </c>
      <c r="B3323" s="28"/>
      <c r="C3323" s="3" t="s">
        <v>3</v>
      </c>
    </row>
    <row r="3324" spans="1:3" ht="13.5" thickBot="1" x14ac:dyDescent="0.25">
      <c r="A3324" s="3">
        <v>1672</v>
      </c>
      <c r="B3324" s="28"/>
      <c r="C3324" s="3" t="s">
        <v>7</v>
      </c>
    </row>
    <row r="3325" spans="1:3" ht="13.5" thickBot="1" x14ac:dyDescent="0.25">
      <c r="A3325" s="3">
        <v>6488</v>
      </c>
      <c r="B3325" s="28"/>
      <c r="C3325" s="3" t="s">
        <v>5</v>
      </c>
    </row>
    <row r="3326" spans="1:3" ht="13.5" thickBot="1" x14ac:dyDescent="0.25">
      <c r="A3326" s="3">
        <v>4561</v>
      </c>
      <c r="B3326" s="28"/>
      <c r="C3326" s="3" t="s">
        <v>3</v>
      </c>
    </row>
    <row r="3327" spans="1:3" ht="13.5" thickBot="1" x14ac:dyDescent="0.25">
      <c r="A3327" s="3">
        <v>2285</v>
      </c>
      <c r="B3327" s="28"/>
      <c r="C3327" s="3" t="s">
        <v>3</v>
      </c>
    </row>
    <row r="3328" spans="1:3" ht="13.5" thickBot="1" x14ac:dyDescent="0.25">
      <c r="A3328" s="3">
        <v>5304</v>
      </c>
      <c r="B3328" s="28"/>
      <c r="C3328" s="3" t="s">
        <v>3</v>
      </c>
    </row>
    <row r="3329" spans="1:3" ht="13.5" thickBot="1" x14ac:dyDescent="0.25">
      <c r="A3329" s="3">
        <v>963</v>
      </c>
      <c r="B3329" s="28"/>
      <c r="C3329" s="3" t="s">
        <v>3</v>
      </c>
    </row>
    <row r="3330" spans="1:3" ht="13.5" thickBot="1" x14ac:dyDescent="0.25">
      <c r="A3330" s="3">
        <v>7133</v>
      </c>
      <c r="B3330" s="28"/>
      <c r="C3330" s="3" t="s">
        <v>6</v>
      </c>
    </row>
    <row r="3331" spans="1:3" ht="13.5" thickBot="1" x14ac:dyDescent="0.25">
      <c r="A3331" s="3">
        <v>1736</v>
      </c>
      <c r="B3331" s="28"/>
      <c r="C3331" s="3" t="s">
        <v>3</v>
      </c>
    </row>
    <row r="3332" spans="1:3" ht="13.5" thickBot="1" x14ac:dyDescent="0.25">
      <c r="A3332" s="3">
        <v>199</v>
      </c>
      <c r="B3332" s="28"/>
      <c r="C3332" s="3" t="s">
        <v>3</v>
      </c>
    </row>
    <row r="3333" spans="1:3" ht="13.5" thickBot="1" x14ac:dyDescent="0.25">
      <c r="A3333" s="3">
        <v>255</v>
      </c>
      <c r="B3333" s="28"/>
      <c r="C3333" s="3" t="s">
        <v>5</v>
      </c>
    </row>
    <row r="3334" spans="1:3" ht="13.5" thickBot="1" x14ac:dyDescent="0.25">
      <c r="A3334" s="3">
        <v>415</v>
      </c>
      <c r="B3334" s="28"/>
      <c r="C3334" s="3" t="s">
        <v>5</v>
      </c>
    </row>
    <row r="3335" spans="1:3" ht="13.5" thickBot="1" x14ac:dyDescent="0.25">
      <c r="A3335" s="3">
        <v>7588</v>
      </c>
      <c r="B3335" s="28"/>
      <c r="C3335" s="3" t="s">
        <v>7</v>
      </c>
    </row>
    <row r="3336" spans="1:3" ht="13.5" thickBot="1" x14ac:dyDescent="0.25">
      <c r="A3336" s="3">
        <v>7133</v>
      </c>
      <c r="B3336" s="28"/>
      <c r="C3336" s="3" t="s">
        <v>7</v>
      </c>
    </row>
    <row r="3337" spans="1:3" ht="13.5" thickBot="1" x14ac:dyDescent="0.25">
      <c r="A3337" s="3">
        <v>712</v>
      </c>
      <c r="B3337" s="28"/>
      <c r="C3337" s="3" t="s">
        <v>6</v>
      </c>
    </row>
    <row r="3338" spans="1:3" ht="13.5" thickBot="1" x14ac:dyDescent="0.25">
      <c r="A3338" s="3">
        <v>1089</v>
      </c>
      <c r="B3338" s="28"/>
      <c r="C3338" s="3" t="s">
        <v>3</v>
      </c>
    </row>
    <row r="3339" spans="1:3" ht="13.5" thickBot="1" x14ac:dyDescent="0.25">
      <c r="A3339" s="3">
        <v>677</v>
      </c>
      <c r="B3339" s="28"/>
      <c r="C3339" s="3" t="s">
        <v>4</v>
      </c>
    </row>
    <row r="3340" spans="1:3" ht="13.5" thickBot="1" x14ac:dyDescent="0.25">
      <c r="A3340" s="3">
        <v>3136</v>
      </c>
      <c r="B3340" s="28"/>
      <c r="C3340" s="3" t="s">
        <v>3</v>
      </c>
    </row>
    <row r="3341" spans="1:3" ht="13.5" thickBot="1" x14ac:dyDescent="0.25">
      <c r="A3341" s="3">
        <v>3862</v>
      </c>
      <c r="B3341" s="28"/>
      <c r="C3341" s="3" t="s">
        <v>7</v>
      </c>
    </row>
    <row r="3342" spans="1:3" ht="13.5" thickBot="1" x14ac:dyDescent="0.25">
      <c r="A3342" s="3">
        <v>661</v>
      </c>
      <c r="B3342" s="28"/>
      <c r="C3342" s="3" t="s">
        <v>4</v>
      </c>
    </row>
    <row r="3343" spans="1:3" ht="13.5" thickBot="1" x14ac:dyDescent="0.25">
      <c r="A3343" s="3">
        <v>603</v>
      </c>
      <c r="B3343" s="28"/>
      <c r="C3343" s="3" t="s">
        <v>3</v>
      </c>
    </row>
    <row r="3344" spans="1:3" ht="13.5" thickBot="1" x14ac:dyDescent="0.25">
      <c r="A3344" s="3">
        <v>1245</v>
      </c>
      <c r="B3344" s="28"/>
      <c r="C3344" s="3" t="s">
        <v>6</v>
      </c>
    </row>
    <row r="3345" spans="1:3" ht="13.5" thickBot="1" x14ac:dyDescent="0.25">
      <c r="A3345" s="3">
        <v>7945</v>
      </c>
      <c r="B3345" s="28"/>
      <c r="C3345" s="3" t="s">
        <v>5</v>
      </c>
    </row>
    <row r="3346" spans="1:3" ht="13.5" thickBot="1" x14ac:dyDescent="0.25">
      <c r="A3346" s="3">
        <v>3796</v>
      </c>
      <c r="B3346" s="28"/>
      <c r="C3346" s="3" t="s">
        <v>6</v>
      </c>
    </row>
    <row r="3347" spans="1:3" ht="13.5" thickBot="1" x14ac:dyDescent="0.25">
      <c r="A3347" s="3">
        <v>2900</v>
      </c>
      <c r="B3347" s="28"/>
      <c r="C3347" s="3" t="s">
        <v>3</v>
      </c>
    </row>
    <row r="3348" spans="1:3" ht="13.5" thickBot="1" x14ac:dyDescent="0.25">
      <c r="A3348" s="3">
        <v>1514</v>
      </c>
      <c r="B3348" s="28"/>
      <c r="C3348" s="3" t="s">
        <v>6</v>
      </c>
    </row>
    <row r="3349" spans="1:3" ht="13.5" thickBot="1" x14ac:dyDescent="0.25">
      <c r="A3349" s="3">
        <v>6233</v>
      </c>
      <c r="B3349" s="28"/>
      <c r="C3349" s="3" t="s">
        <v>4</v>
      </c>
    </row>
    <row r="3350" spans="1:3" ht="13.5" thickBot="1" x14ac:dyDescent="0.25">
      <c r="A3350" s="3">
        <v>6952</v>
      </c>
      <c r="B3350" s="28"/>
      <c r="C3350" s="3" t="s">
        <v>3</v>
      </c>
    </row>
    <row r="3351" spans="1:3" ht="13.5" thickBot="1" x14ac:dyDescent="0.25">
      <c r="A3351" s="3">
        <v>58</v>
      </c>
      <c r="B3351" s="28"/>
      <c r="C3351" s="3" t="s">
        <v>3</v>
      </c>
    </row>
    <row r="3352" spans="1:3" ht="13.5" thickBot="1" x14ac:dyDescent="0.25">
      <c r="A3352" s="3">
        <v>1563</v>
      </c>
      <c r="B3352" s="28"/>
      <c r="C3352" s="3" t="s">
        <v>7</v>
      </c>
    </row>
    <row r="3353" spans="1:3" ht="13.5" thickBot="1" x14ac:dyDescent="0.25">
      <c r="A3353" s="3">
        <v>2459</v>
      </c>
      <c r="B3353" s="28"/>
      <c r="C3353" s="3" t="s">
        <v>6</v>
      </c>
    </row>
    <row r="3354" spans="1:3" ht="13.5" thickBot="1" x14ac:dyDescent="0.25">
      <c r="A3354" s="3">
        <v>4662</v>
      </c>
      <c r="B3354" s="28"/>
      <c r="C3354" s="3" t="s">
        <v>3</v>
      </c>
    </row>
    <row r="3355" spans="1:3" ht="13.5" thickBot="1" x14ac:dyDescent="0.25">
      <c r="A3355" s="3">
        <v>2629</v>
      </c>
      <c r="B3355" s="28"/>
      <c r="C3355" s="3" t="s">
        <v>6</v>
      </c>
    </row>
    <row r="3356" spans="1:3" ht="13.5" thickBot="1" x14ac:dyDescent="0.25">
      <c r="A3356" s="3">
        <v>5455</v>
      </c>
      <c r="B3356" s="28"/>
      <c r="C3356" s="3" t="s">
        <v>3</v>
      </c>
    </row>
    <row r="3357" spans="1:3" ht="13.5" thickBot="1" x14ac:dyDescent="0.25">
      <c r="A3357" s="3">
        <v>3438</v>
      </c>
      <c r="B3357" s="28"/>
      <c r="C3357" s="3" t="s">
        <v>4</v>
      </c>
    </row>
    <row r="3358" spans="1:3" ht="13.5" thickBot="1" x14ac:dyDescent="0.25">
      <c r="A3358" s="3">
        <v>7708</v>
      </c>
      <c r="B3358" s="28"/>
      <c r="C3358" s="3" t="s">
        <v>3</v>
      </c>
    </row>
    <row r="3359" spans="1:3" ht="13.5" thickBot="1" x14ac:dyDescent="0.25">
      <c r="A3359" s="3">
        <v>3950</v>
      </c>
      <c r="B3359" s="28"/>
      <c r="C3359" s="3" t="s">
        <v>3</v>
      </c>
    </row>
    <row r="3360" spans="1:3" ht="13.5" thickBot="1" x14ac:dyDescent="0.25">
      <c r="A3360" s="3">
        <v>893</v>
      </c>
      <c r="B3360" s="28"/>
      <c r="C3360" s="3" t="s">
        <v>3</v>
      </c>
    </row>
    <row r="3361" spans="1:3" ht="13.5" thickBot="1" x14ac:dyDescent="0.25">
      <c r="A3361" s="3">
        <v>4768</v>
      </c>
      <c r="B3361" s="28"/>
      <c r="C3361" s="3" t="s">
        <v>6</v>
      </c>
    </row>
    <row r="3362" spans="1:3" ht="13.5" thickBot="1" x14ac:dyDescent="0.25">
      <c r="A3362" s="3">
        <v>7331</v>
      </c>
      <c r="B3362" s="28"/>
      <c r="C3362" s="3" t="s">
        <v>3</v>
      </c>
    </row>
    <row r="3363" spans="1:3" ht="13.5" thickBot="1" x14ac:dyDescent="0.25">
      <c r="A3363" s="3">
        <v>3796</v>
      </c>
      <c r="B3363" s="28"/>
      <c r="C3363" s="3" t="s">
        <v>4</v>
      </c>
    </row>
    <row r="3364" spans="1:3" ht="13.5" thickBot="1" x14ac:dyDescent="0.25">
      <c r="A3364" s="3">
        <v>712</v>
      </c>
      <c r="B3364" s="28"/>
      <c r="C3364" s="3" t="s">
        <v>4</v>
      </c>
    </row>
    <row r="3365" spans="1:3" ht="13.5" thickBot="1" x14ac:dyDescent="0.25">
      <c r="A3365" s="3">
        <v>6996</v>
      </c>
      <c r="B3365" s="28"/>
      <c r="C3365" s="3" t="s">
        <v>6</v>
      </c>
    </row>
    <row r="3366" spans="1:3" ht="13.5" thickBot="1" x14ac:dyDescent="0.25">
      <c r="A3366" s="3">
        <v>2579</v>
      </c>
      <c r="B3366" s="28"/>
      <c r="C3366" s="3" t="s">
        <v>3</v>
      </c>
    </row>
    <row r="3367" spans="1:3" ht="13.5" thickBot="1" x14ac:dyDescent="0.25">
      <c r="A3367" s="3">
        <v>7260</v>
      </c>
      <c r="B3367" s="28"/>
      <c r="C3367" s="3" t="s">
        <v>7</v>
      </c>
    </row>
    <row r="3368" spans="1:3" ht="13.5" thickBot="1" x14ac:dyDescent="0.25">
      <c r="A3368" s="3">
        <v>3659</v>
      </c>
      <c r="B3368" s="28"/>
      <c r="C3368" s="3" t="s">
        <v>3</v>
      </c>
    </row>
    <row r="3369" spans="1:3" ht="13.5" thickBot="1" x14ac:dyDescent="0.25">
      <c r="A3369" s="3">
        <v>4524</v>
      </c>
      <c r="B3369" s="28"/>
      <c r="C3369" s="3" t="s">
        <v>3</v>
      </c>
    </row>
    <row r="3370" spans="1:3" ht="13.5" thickBot="1" x14ac:dyDescent="0.25">
      <c r="A3370" s="3">
        <v>1923</v>
      </c>
      <c r="B3370" s="28"/>
      <c r="C3370" s="3" t="s">
        <v>4</v>
      </c>
    </row>
    <row r="3371" spans="1:3" ht="13.5" thickBot="1" x14ac:dyDescent="0.25">
      <c r="A3371" s="3">
        <v>3096</v>
      </c>
      <c r="B3371" s="28"/>
      <c r="C3371" s="3" t="s">
        <v>4</v>
      </c>
    </row>
    <row r="3372" spans="1:3" ht="13.5" thickBot="1" x14ac:dyDescent="0.25">
      <c r="A3372" s="3">
        <v>3471</v>
      </c>
      <c r="B3372" s="28"/>
      <c r="C3372" s="3" t="s">
        <v>7</v>
      </c>
    </row>
    <row r="3373" spans="1:3" ht="13.5" thickBot="1" x14ac:dyDescent="0.25">
      <c r="A3373" s="3">
        <v>5304</v>
      </c>
      <c r="B3373" s="28"/>
      <c r="C3373" s="3" t="s">
        <v>4</v>
      </c>
    </row>
    <row r="3374" spans="1:3" ht="13.5" thickBot="1" x14ac:dyDescent="0.25">
      <c r="A3374" s="3">
        <v>7033</v>
      </c>
      <c r="B3374" s="28"/>
      <c r="C3374" s="3" t="s">
        <v>5</v>
      </c>
    </row>
    <row r="3375" spans="1:3" ht="13.5" thickBot="1" x14ac:dyDescent="0.25">
      <c r="A3375" s="3">
        <v>7606</v>
      </c>
      <c r="B3375" s="28"/>
      <c r="C3375" s="3" t="s">
        <v>4</v>
      </c>
    </row>
    <row r="3376" spans="1:3" ht="13.5" thickBot="1" x14ac:dyDescent="0.25">
      <c r="A3376" s="3">
        <v>5539</v>
      </c>
      <c r="B3376" s="28"/>
      <c r="C3376" s="3" t="s">
        <v>6</v>
      </c>
    </row>
    <row r="3377" spans="1:3" ht="13.5" thickBot="1" x14ac:dyDescent="0.25">
      <c r="A3377" s="3">
        <v>3027</v>
      </c>
      <c r="B3377" s="28"/>
      <c r="C3377" s="3" t="s">
        <v>4</v>
      </c>
    </row>
    <row r="3378" spans="1:3" ht="13.5" thickBot="1" x14ac:dyDescent="0.25">
      <c r="A3378" s="3">
        <v>5957</v>
      </c>
      <c r="B3378" s="28"/>
      <c r="C3378" s="3" t="s">
        <v>5</v>
      </c>
    </row>
    <row r="3379" spans="1:3" ht="13.5" thickBot="1" x14ac:dyDescent="0.25">
      <c r="A3379" s="3">
        <v>3696</v>
      </c>
      <c r="B3379" s="28"/>
      <c r="C3379" s="3" t="s">
        <v>3</v>
      </c>
    </row>
    <row r="3380" spans="1:3" ht="13.5" thickBot="1" x14ac:dyDescent="0.25">
      <c r="A3380" s="3">
        <v>1245</v>
      </c>
      <c r="B3380" s="28"/>
      <c r="C3380" s="3" t="s">
        <v>7</v>
      </c>
    </row>
    <row r="3381" spans="1:3" ht="13.5" thickBot="1" x14ac:dyDescent="0.25">
      <c r="A3381" s="3">
        <v>7411</v>
      </c>
      <c r="B3381" s="28"/>
      <c r="C3381" s="3" t="s">
        <v>3</v>
      </c>
    </row>
    <row r="3382" spans="1:3" ht="13.5" thickBot="1" x14ac:dyDescent="0.25">
      <c r="A3382" s="3">
        <v>7177</v>
      </c>
      <c r="B3382" s="28"/>
      <c r="C3382" s="3" t="s">
        <v>3</v>
      </c>
    </row>
    <row r="3383" spans="1:3" ht="13.5" thickBot="1" x14ac:dyDescent="0.25">
      <c r="A3383" s="3">
        <v>5455</v>
      </c>
      <c r="B3383" s="28"/>
      <c r="C3383" s="3" t="s">
        <v>4</v>
      </c>
    </row>
    <row r="3384" spans="1:3" ht="13.5" thickBot="1" x14ac:dyDescent="0.25">
      <c r="A3384" s="3">
        <v>7282</v>
      </c>
      <c r="B3384" s="28"/>
      <c r="C3384" s="3" t="s">
        <v>3</v>
      </c>
    </row>
    <row r="3385" spans="1:3" ht="13.5" thickBot="1" x14ac:dyDescent="0.25">
      <c r="A3385" s="3">
        <v>2003</v>
      </c>
      <c r="B3385" s="28"/>
      <c r="C3385" s="3" t="s">
        <v>6</v>
      </c>
    </row>
    <row r="3386" spans="1:3" ht="13.5" thickBot="1" x14ac:dyDescent="0.25">
      <c r="A3386" s="3">
        <v>8000</v>
      </c>
      <c r="B3386" s="28"/>
      <c r="C3386" s="3" t="s">
        <v>3</v>
      </c>
    </row>
    <row r="3387" spans="1:3" ht="13.5" thickBot="1" x14ac:dyDescent="0.25">
      <c r="A3387" s="3">
        <v>3096</v>
      </c>
      <c r="B3387" s="28"/>
      <c r="C3387" s="3" t="s">
        <v>3</v>
      </c>
    </row>
    <row r="3388" spans="1:3" ht="13.5" thickBot="1" x14ac:dyDescent="0.25">
      <c r="A3388" s="3">
        <v>7576</v>
      </c>
      <c r="B3388" s="28"/>
      <c r="C3388" s="3" t="s">
        <v>4</v>
      </c>
    </row>
    <row r="3389" spans="1:3" ht="13.5" thickBot="1" x14ac:dyDescent="0.25">
      <c r="A3389" s="3">
        <v>5357</v>
      </c>
      <c r="B3389" s="28"/>
      <c r="C3389" s="3" t="s">
        <v>6</v>
      </c>
    </row>
    <row r="3390" spans="1:3" ht="13.5" thickBot="1" x14ac:dyDescent="0.25">
      <c r="A3390" s="3">
        <v>3136</v>
      </c>
      <c r="B3390" s="28"/>
      <c r="C3390" s="3" t="s">
        <v>5</v>
      </c>
    </row>
    <row r="3391" spans="1:3" ht="13.5" thickBot="1" x14ac:dyDescent="0.25">
      <c r="A3391" s="3">
        <v>1452</v>
      </c>
      <c r="B3391" s="28"/>
      <c r="C3391" s="3" t="s">
        <v>6</v>
      </c>
    </row>
    <row r="3392" spans="1:3" ht="13.5" thickBot="1" x14ac:dyDescent="0.25">
      <c r="A3392" s="3">
        <v>5073</v>
      </c>
      <c r="B3392" s="28"/>
      <c r="C3392" s="3" t="s">
        <v>3</v>
      </c>
    </row>
    <row r="3393" spans="1:3" ht="13.5" thickBot="1" x14ac:dyDescent="0.25">
      <c r="A3393" s="3">
        <v>1923</v>
      </c>
      <c r="B3393" s="28"/>
      <c r="C3393" s="3" t="s">
        <v>3</v>
      </c>
    </row>
    <row r="3394" spans="1:3" ht="13.5" thickBot="1" x14ac:dyDescent="0.25">
      <c r="A3394" s="3">
        <v>3880</v>
      </c>
      <c r="B3394" s="28"/>
      <c r="C3394" s="3" t="s">
        <v>3</v>
      </c>
    </row>
    <row r="3395" spans="1:3" ht="13.5" thickBot="1" x14ac:dyDescent="0.25">
      <c r="A3395" s="3">
        <v>1514</v>
      </c>
      <c r="B3395" s="28"/>
      <c r="C3395" s="3" t="s">
        <v>7</v>
      </c>
    </row>
    <row r="3396" spans="1:3" ht="13.5" thickBot="1" x14ac:dyDescent="0.25">
      <c r="A3396" s="3">
        <v>7331</v>
      </c>
      <c r="B3396" s="28"/>
      <c r="C3396" s="3" t="s">
        <v>5</v>
      </c>
    </row>
    <row r="3397" spans="1:3" ht="13.5" thickBot="1" x14ac:dyDescent="0.25">
      <c r="A3397" s="3">
        <v>3114</v>
      </c>
      <c r="B3397" s="28"/>
      <c r="C3397" s="3" t="s">
        <v>3</v>
      </c>
    </row>
    <row r="3398" spans="1:3" ht="13.5" thickBot="1" x14ac:dyDescent="0.25">
      <c r="A3398" s="3">
        <v>3659</v>
      </c>
      <c r="B3398" s="28"/>
      <c r="C3398" s="3" t="s">
        <v>5</v>
      </c>
    </row>
    <row r="3399" spans="1:3" ht="13.5" thickBot="1" x14ac:dyDescent="0.25">
      <c r="A3399" s="3">
        <v>329</v>
      </c>
      <c r="B3399" s="28"/>
      <c r="C3399" s="3" t="s">
        <v>4</v>
      </c>
    </row>
    <row r="3400" spans="1:3" ht="13.5" thickBot="1" x14ac:dyDescent="0.25">
      <c r="A3400" s="3">
        <v>58</v>
      </c>
      <c r="B3400" s="28"/>
      <c r="C3400" s="3" t="s">
        <v>6</v>
      </c>
    </row>
    <row r="3401" spans="1:3" ht="13.5" thickBot="1" x14ac:dyDescent="0.25">
      <c r="A3401" s="3">
        <v>6461</v>
      </c>
      <c r="B3401" s="28"/>
      <c r="C3401" s="3" t="s">
        <v>3</v>
      </c>
    </row>
    <row r="3402" spans="1:3" ht="13.5" thickBot="1" x14ac:dyDescent="0.25">
      <c r="A3402" s="3">
        <v>2253</v>
      </c>
      <c r="B3402" s="28"/>
      <c r="C3402" s="3" t="s">
        <v>7</v>
      </c>
    </row>
    <row r="3403" spans="1:3" ht="13.5" thickBot="1" x14ac:dyDescent="0.25">
      <c r="A3403" s="3">
        <v>3624</v>
      </c>
      <c r="B3403" s="28"/>
      <c r="C3403" s="3" t="s">
        <v>4</v>
      </c>
    </row>
    <row r="3404" spans="1:3" ht="13.5" thickBot="1" x14ac:dyDescent="0.25">
      <c r="A3404" s="3">
        <v>6163</v>
      </c>
      <c r="B3404" s="28"/>
      <c r="C3404" s="3" t="s">
        <v>3</v>
      </c>
    </row>
    <row r="3405" spans="1:3" ht="13.5" thickBot="1" x14ac:dyDescent="0.25">
      <c r="A3405" s="3">
        <v>7045</v>
      </c>
      <c r="B3405" s="28"/>
      <c r="C3405" s="3" t="s">
        <v>3</v>
      </c>
    </row>
    <row r="3406" spans="1:3" ht="13.5" thickBot="1" x14ac:dyDescent="0.25">
      <c r="A3406" s="3">
        <v>1049</v>
      </c>
      <c r="B3406" s="28"/>
      <c r="C3406" s="3" t="s">
        <v>3</v>
      </c>
    </row>
    <row r="3407" spans="1:3" ht="13.5" thickBot="1" x14ac:dyDescent="0.25">
      <c r="A3407" s="3">
        <v>6944</v>
      </c>
      <c r="B3407" s="28"/>
      <c r="C3407" s="3" t="s">
        <v>3</v>
      </c>
    </row>
    <row r="3408" spans="1:3" ht="13.5" thickBot="1" x14ac:dyDescent="0.25">
      <c r="A3408" s="3">
        <v>3329</v>
      </c>
      <c r="B3408" s="28"/>
      <c r="C3408" s="3" t="s">
        <v>4</v>
      </c>
    </row>
    <row r="3409" spans="1:3" ht="13.5" thickBot="1" x14ac:dyDescent="0.25">
      <c r="A3409" s="3">
        <v>373</v>
      </c>
      <c r="B3409" s="28"/>
      <c r="C3409" s="3" t="s">
        <v>3</v>
      </c>
    </row>
    <row r="3410" spans="1:3" ht="13.5" thickBot="1" x14ac:dyDescent="0.25">
      <c r="A3410" s="3">
        <v>5503</v>
      </c>
      <c r="B3410" s="28"/>
      <c r="C3410" s="3" t="s">
        <v>7</v>
      </c>
    </row>
    <row r="3411" spans="1:3" ht="13.5" thickBot="1" x14ac:dyDescent="0.25">
      <c r="A3411" s="3">
        <v>6713</v>
      </c>
      <c r="B3411" s="28"/>
      <c r="C3411" s="3" t="s">
        <v>3</v>
      </c>
    </row>
    <row r="3412" spans="1:3" ht="13.5" thickBot="1" x14ac:dyDescent="0.25">
      <c r="A3412" s="3">
        <v>7358</v>
      </c>
      <c r="B3412" s="28"/>
      <c r="C3412" s="3" t="s">
        <v>3</v>
      </c>
    </row>
    <row r="3413" spans="1:3" ht="13.5" thickBot="1" x14ac:dyDescent="0.25">
      <c r="A3413" s="3">
        <v>2162</v>
      </c>
      <c r="B3413" s="28"/>
      <c r="C3413" s="3" t="s">
        <v>3</v>
      </c>
    </row>
    <row r="3414" spans="1:3" ht="13.5" thickBot="1" x14ac:dyDescent="0.25">
      <c r="A3414" s="3">
        <v>3351</v>
      </c>
      <c r="B3414" s="28"/>
      <c r="C3414" s="3" t="s">
        <v>5</v>
      </c>
    </row>
    <row r="3415" spans="1:3" ht="13.5" thickBot="1" x14ac:dyDescent="0.25">
      <c r="A3415" s="3">
        <v>5386</v>
      </c>
      <c r="B3415" s="28"/>
      <c r="C3415" s="3" t="s">
        <v>3</v>
      </c>
    </row>
    <row r="3416" spans="1:3" ht="13.5" thickBot="1" x14ac:dyDescent="0.25">
      <c r="A3416" s="3">
        <v>5493</v>
      </c>
      <c r="B3416" s="28"/>
      <c r="C3416" s="3" t="s">
        <v>3</v>
      </c>
    </row>
    <row r="3417" spans="1:3" ht="13.5" thickBot="1" x14ac:dyDescent="0.25">
      <c r="A3417" s="3">
        <v>2712</v>
      </c>
      <c r="B3417" s="28"/>
      <c r="C3417" s="3" t="s">
        <v>3</v>
      </c>
    </row>
    <row r="3418" spans="1:3" ht="13.5" thickBot="1" x14ac:dyDescent="0.25">
      <c r="A3418" s="3">
        <v>9</v>
      </c>
      <c r="B3418" s="28"/>
      <c r="C3418" s="3" t="s">
        <v>7</v>
      </c>
    </row>
    <row r="3419" spans="1:3" ht="13.5" thickBot="1" x14ac:dyDescent="0.25">
      <c r="A3419" s="3">
        <v>4858</v>
      </c>
      <c r="B3419" s="28"/>
      <c r="C3419" s="3" t="s">
        <v>7</v>
      </c>
    </row>
    <row r="3420" spans="1:3" ht="13.5" thickBot="1" x14ac:dyDescent="0.25">
      <c r="A3420" s="3">
        <v>3136</v>
      </c>
      <c r="B3420" s="28"/>
      <c r="C3420" s="3" t="s">
        <v>4</v>
      </c>
    </row>
    <row r="3421" spans="1:3" ht="13.5" thickBot="1" x14ac:dyDescent="0.25">
      <c r="A3421" s="3">
        <v>2003</v>
      </c>
      <c r="B3421" s="28"/>
      <c r="C3421" s="3" t="s">
        <v>4</v>
      </c>
    </row>
    <row r="3422" spans="1:3" ht="13.5" thickBot="1" x14ac:dyDescent="0.25">
      <c r="A3422" s="3">
        <v>7606</v>
      </c>
      <c r="B3422" s="28"/>
      <c r="C3422" s="3" t="s">
        <v>3</v>
      </c>
    </row>
    <row r="3423" spans="1:3" ht="13.5" thickBot="1" x14ac:dyDescent="0.25">
      <c r="A3423" s="3">
        <v>3930</v>
      </c>
      <c r="B3423" s="28"/>
      <c r="C3423" s="3" t="s">
        <v>6</v>
      </c>
    </row>
    <row r="3424" spans="1:3" ht="13.5" thickBot="1" x14ac:dyDescent="0.25">
      <c r="A3424" s="3">
        <v>7714</v>
      </c>
      <c r="B3424" s="28"/>
      <c r="C3424" s="3" t="s">
        <v>3</v>
      </c>
    </row>
    <row r="3425" spans="1:3" ht="13.5" thickBot="1" x14ac:dyDescent="0.25">
      <c r="A3425" s="3">
        <v>5273</v>
      </c>
      <c r="B3425" s="28"/>
      <c r="C3425" s="3" t="s">
        <v>4</v>
      </c>
    </row>
    <row r="3426" spans="1:3" ht="13.5" thickBot="1" x14ac:dyDescent="0.25">
      <c r="A3426" s="3">
        <v>1679</v>
      </c>
      <c r="B3426" s="28"/>
      <c r="C3426" s="3" t="s">
        <v>4</v>
      </c>
    </row>
    <row r="3427" spans="1:3" ht="13.5" thickBot="1" x14ac:dyDescent="0.25">
      <c r="A3427" s="3">
        <v>7260</v>
      </c>
      <c r="B3427" s="28"/>
      <c r="C3427" s="3" t="s">
        <v>6</v>
      </c>
    </row>
    <row r="3428" spans="1:3" ht="13.5" thickBot="1" x14ac:dyDescent="0.25">
      <c r="A3428" s="3">
        <v>6713</v>
      </c>
      <c r="B3428" s="28"/>
      <c r="C3428" s="3" t="s">
        <v>4</v>
      </c>
    </row>
    <row r="3429" spans="1:3" ht="13.5" thickBot="1" x14ac:dyDescent="0.25">
      <c r="A3429" s="3">
        <v>122</v>
      </c>
      <c r="B3429" s="28"/>
      <c r="C3429" s="3" t="s">
        <v>6</v>
      </c>
    </row>
    <row r="3430" spans="1:3" ht="13.5" thickBot="1" x14ac:dyDescent="0.25">
      <c r="A3430" s="3">
        <v>7282</v>
      </c>
      <c r="B3430" s="28"/>
      <c r="C3430" s="3" t="s">
        <v>6</v>
      </c>
    </row>
    <row r="3431" spans="1:3" ht="13.5" thickBot="1" x14ac:dyDescent="0.25">
      <c r="A3431" s="3">
        <v>6637</v>
      </c>
      <c r="B3431" s="28"/>
      <c r="C3431" s="3" t="s">
        <v>3</v>
      </c>
    </row>
    <row r="3432" spans="1:3" ht="13.5" thickBot="1" x14ac:dyDescent="0.25">
      <c r="A3432" s="3">
        <v>7217</v>
      </c>
      <c r="B3432" s="28"/>
      <c r="C3432" s="3" t="s">
        <v>6</v>
      </c>
    </row>
    <row r="3433" spans="1:3" ht="13.5" thickBot="1" x14ac:dyDescent="0.25">
      <c r="A3433" s="3">
        <v>2821</v>
      </c>
      <c r="B3433" s="28"/>
      <c r="C3433" s="3" t="s">
        <v>3</v>
      </c>
    </row>
    <row r="3434" spans="1:3" ht="13.5" thickBot="1" x14ac:dyDescent="0.25">
      <c r="A3434" s="3">
        <v>7076</v>
      </c>
      <c r="B3434" s="28"/>
      <c r="C3434" s="3" t="s">
        <v>4</v>
      </c>
    </row>
    <row r="3435" spans="1:3" ht="13.5" thickBot="1" x14ac:dyDescent="0.25">
      <c r="A3435" s="3">
        <v>3351</v>
      </c>
      <c r="B3435" s="28"/>
      <c r="C3435" s="3" t="s">
        <v>4</v>
      </c>
    </row>
    <row r="3436" spans="1:3" ht="13.5" thickBot="1" x14ac:dyDescent="0.25">
      <c r="A3436" s="3">
        <v>58</v>
      </c>
      <c r="B3436" s="28"/>
      <c r="C3436" s="3" t="s">
        <v>4</v>
      </c>
    </row>
    <row r="3437" spans="1:3" ht="13.5" thickBot="1" x14ac:dyDescent="0.25">
      <c r="A3437" s="3">
        <v>2900</v>
      </c>
      <c r="B3437" s="28"/>
      <c r="C3437" s="3" t="s">
        <v>7</v>
      </c>
    </row>
    <row r="3438" spans="1:3" ht="13.5" thickBot="1" x14ac:dyDescent="0.25">
      <c r="A3438" s="3">
        <v>7278</v>
      </c>
      <c r="B3438" s="28"/>
      <c r="C3438" s="3" t="s">
        <v>4</v>
      </c>
    </row>
    <row r="3439" spans="1:3" ht="13.5" thickBot="1" x14ac:dyDescent="0.25">
      <c r="A3439" s="3">
        <v>7124</v>
      </c>
      <c r="B3439" s="28"/>
      <c r="C3439" s="3" t="s">
        <v>4</v>
      </c>
    </row>
    <row r="3440" spans="1:3" ht="13.5" thickBot="1" x14ac:dyDescent="0.25">
      <c r="A3440" s="3">
        <v>3217</v>
      </c>
      <c r="B3440" s="28"/>
      <c r="C3440" s="3" t="s">
        <v>3</v>
      </c>
    </row>
    <row r="3441" spans="1:3" ht="13.5" thickBot="1" x14ac:dyDescent="0.25">
      <c r="A3441" s="3">
        <v>587</v>
      </c>
      <c r="B3441" s="28"/>
      <c r="C3441" s="3" t="s">
        <v>3</v>
      </c>
    </row>
    <row r="3442" spans="1:3" ht="13.5" thickBot="1" x14ac:dyDescent="0.25">
      <c r="A3442" s="3">
        <v>1983</v>
      </c>
      <c r="B3442" s="28"/>
      <c r="C3442" s="3" t="s">
        <v>3</v>
      </c>
    </row>
    <row r="3443" spans="1:3" ht="13.5" thickBot="1" x14ac:dyDescent="0.25">
      <c r="A3443" s="3">
        <v>5304</v>
      </c>
      <c r="B3443" s="28"/>
      <c r="C3443" s="3" t="s">
        <v>6</v>
      </c>
    </row>
    <row r="3444" spans="1:3" ht="13.5" thickBot="1" x14ac:dyDescent="0.25">
      <c r="A3444" s="3">
        <v>881</v>
      </c>
      <c r="B3444" s="28"/>
      <c r="C3444" s="3" t="s">
        <v>6</v>
      </c>
    </row>
    <row r="3445" spans="1:3" ht="13.5" thickBot="1" x14ac:dyDescent="0.25">
      <c r="A3445" s="3">
        <v>5539</v>
      </c>
      <c r="B3445" s="28"/>
      <c r="C3445" s="3" t="s">
        <v>7</v>
      </c>
    </row>
    <row r="3446" spans="1:3" ht="13.5" thickBot="1" x14ac:dyDescent="0.25">
      <c r="A3446" s="3">
        <v>4861</v>
      </c>
      <c r="B3446" s="28"/>
      <c r="C3446" s="3" t="s">
        <v>4</v>
      </c>
    </row>
    <row r="3447" spans="1:3" ht="13.5" thickBot="1" x14ac:dyDescent="0.25">
      <c r="A3447" s="3">
        <v>743</v>
      </c>
      <c r="B3447" s="28"/>
      <c r="C3447" s="3" t="s">
        <v>3</v>
      </c>
    </row>
    <row r="3448" spans="1:3" ht="13.5" thickBot="1" x14ac:dyDescent="0.25">
      <c r="A3448" s="3">
        <v>428</v>
      </c>
      <c r="B3448" s="28"/>
      <c r="C3448" s="3" t="s">
        <v>3</v>
      </c>
    </row>
    <row r="3449" spans="1:3" ht="13.5" thickBot="1" x14ac:dyDescent="0.25">
      <c r="A3449" s="3">
        <v>7251</v>
      </c>
      <c r="B3449" s="28"/>
      <c r="C3449" s="3" t="s">
        <v>3</v>
      </c>
    </row>
    <row r="3450" spans="1:3" ht="13.5" thickBot="1" x14ac:dyDescent="0.25">
      <c r="A3450" s="3">
        <v>4352</v>
      </c>
      <c r="B3450" s="28"/>
      <c r="C3450" s="3" t="s">
        <v>3</v>
      </c>
    </row>
    <row r="3451" spans="1:3" ht="13.5" thickBot="1" x14ac:dyDescent="0.25">
      <c r="A3451" s="3">
        <v>6952</v>
      </c>
      <c r="B3451" s="28"/>
      <c r="C3451" s="3" t="s">
        <v>6</v>
      </c>
    </row>
    <row r="3452" spans="1:3" ht="13.5" thickBot="1" x14ac:dyDescent="0.25">
      <c r="A3452" s="3">
        <v>7945</v>
      </c>
      <c r="B3452" s="28"/>
      <c r="C3452" s="3" t="s">
        <v>7</v>
      </c>
    </row>
    <row r="3453" spans="1:3" ht="13.5" thickBot="1" x14ac:dyDescent="0.25">
      <c r="A3453" s="3">
        <v>415</v>
      </c>
      <c r="B3453" s="28"/>
      <c r="C3453" s="3" t="s">
        <v>7</v>
      </c>
    </row>
    <row r="3454" spans="1:3" ht="13.5" thickBot="1" x14ac:dyDescent="0.25">
      <c r="A3454" s="3">
        <v>1049</v>
      </c>
      <c r="B3454" s="28"/>
      <c r="C3454" s="3" t="s">
        <v>4</v>
      </c>
    </row>
    <row r="3455" spans="1:3" ht="13.5" thickBot="1" x14ac:dyDescent="0.25">
      <c r="A3455" s="3">
        <v>5890</v>
      </c>
      <c r="B3455" s="28"/>
      <c r="C3455" s="3" t="s">
        <v>4</v>
      </c>
    </row>
    <row r="3456" spans="1:3" ht="13.5" thickBot="1" x14ac:dyDescent="0.25">
      <c r="A3456" s="3">
        <v>651</v>
      </c>
      <c r="B3456" s="28"/>
      <c r="C3456" s="3" t="s">
        <v>3</v>
      </c>
    </row>
    <row r="3457" spans="1:3" ht="13.5" thickBot="1" x14ac:dyDescent="0.25">
      <c r="A3457" s="3">
        <v>1686</v>
      </c>
      <c r="B3457" s="28"/>
      <c r="C3457" s="3" t="s">
        <v>3</v>
      </c>
    </row>
    <row r="3458" spans="1:3" ht="13.5" thickBot="1" x14ac:dyDescent="0.25">
      <c r="A3458" s="3">
        <v>4132</v>
      </c>
      <c r="B3458" s="28"/>
      <c r="C3458" s="3" t="s">
        <v>4</v>
      </c>
    </row>
    <row r="3459" spans="1:3" ht="13.5" thickBot="1" x14ac:dyDescent="0.25">
      <c r="A3459" s="3">
        <v>3348</v>
      </c>
      <c r="B3459" s="28"/>
      <c r="C3459" s="3" t="s">
        <v>3</v>
      </c>
    </row>
    <row r="3460" spans="1:3" ht="13.5" thickBot="1" x14ac:dyDescent="0.25">
      <c r="A3460" s="3">
        <v>811</v>
      </c>
      <c r="B3460" s="28"/>
      <c r="C3460" s="3" t="s">
        <v>3</v>
      </c>
    </row>
    <row r="3461" spans="1:3" ht="13.5" thickBot="1" x14ac:dyDescent="0.25">
      <c r="A3461" s="3">
        <v>199</v>
      </c>
      <c r="B3461" s="28"/>
      <c r="C3461" s="3" t="s">
        <v>7</v>
      </c>
    </row>
    <row r="3462" spans="1:3" ht="13.5" thickBot="1" x14ac:dyDescent="0.25">
      <c r="A3462" s="3">
        <v>3661</v>
      </c>
      <c r="B3462" s="28"/>
      <c r="C3462" s="3" t="s">
        <v>3</v>
      </c>
    </row>
    <row r="3463" spans="1:3" ht="13.5" thickBot="1" x14ac:dyDescent="0.25">
      <c r="A3463" s="3">
        <v>7033</v>
      </c>
      <c r="B3463" s="28"/>
      <c r="C3463" s="3" t="s">
        <v>6</v>
      </c>
    </row>
    <row r="3464" spans="1:3" ht="13.5" thickBot="1" x14ac:dyDescent="0.25">
      <c r="A3464" s="3">
        <v>182</v>
      </c>
      <c r="B3464" s="28"/>
      <c r="C3464" s="3" t="s">
        <v>3</v>
      </c>
    </row>
    <row r="3465" spans="1:3" ht="13.5" thickBot="1" x14ac:dyDescent="0.25">
      <c r="A3465" s="3">
        <v>6104</v>
      </c>
      <c r="B3465" s="28"/>
      <c r="C3465" s="3" t="s">
        <v>3</v>
      </c>
    </row>
    <row r="3466" spans="1:3" ht="13.5" thickBot="1" x14ac:dyDescent="0.25">
      <c r="A3466" s="3">
        <v>4722</v>
      </c>
      <c r="B3466" s="28"/>
      <c r="C3466" s="3" t="s">
        <v>4</v>
      </c>
    </row>
    <row r="3467" spans="1:3" ht="13.5" thickBot="1" x14ac:dyDescent="0.25">
      <c r="A3467" s="3">
        <v>3096</v>
      </c>
      <c r="B3467" s="28"/>
      <c r="C3467" s="3" t="s">
        <v>5</v>
      </c>
    </row>
    <row r="3468" spans="1:3" ht="13.5" thickBot="1" x14ac:dyDescent="0.25">
      <c r="A3468" s="3">
        <v>2244</v>
      </c>
      <c r="B3468" s="28"/>
      <c r="C3468" s="3" t="s">
        <v>4</v>
      </c>
    </row>
    <row r="3469" spans="1:3" ht="13.5" thickBot="1" x14ac:dyDescent="0.25">
      <c r="A3469" s="3">
        <v>3659</v>
      </c>
      <c r="B3469" s="28"/>
      <c r="C3469" s="3" t="s">
        <v>4</v>
      </c>
    </row>
    <row r="3470" spans="1:3" ht="13.5" thickBot="1" x14ac:dyDescent="0.25">
      <c r="A3470" s="3">
        <v>3438</v>
      </c>
      <c r="B3470" s="28"/>
      <c r="C3470" s="3" t="s">
        <v>7</v>
      </c>
    </row>
    <row r="3471" spans="1:3" ht="13.5" thickBot="1" x14ac:dyDescent="0.25">
      <c r="A3471" s="3">
        <v>4804</v>
      </c>
      <c r="B3471" s="28"/>
      <c r="C3471" s="3" t="s">
        <v>3</v>
      </c>
    </row>
    <row r="3472" spans="1:3" ht="13.5" thickBot="1" x14ac:dyDescent="0.25">
      <c r="A3472" s="3">
        <v>7739</v>
      </c>
      <c r="B3472" s="28"/>
      <c r="C3472" s="3" t="s">
        <v>3</v>
      </c>
    </row>
    <row r="3473" spans="1:3" ht="13.5" thickBot="1" x14ac:dyDescent="0.25">
      <c r="A3473" s="3">
        <v>1204</v>
      </c>
      <c r="B3473" s="28"/>
      <c r="C3473" s="3" t="s">
        <v>6</v>
      </c>
    </row>
    <row r="3474" spans="1:3" ht="13.5" thickBot="1" x14ac:dyDescent="0.25">
      <c r="A3474" s="3">
        <v>677</v>
      </c>
      <c r="B3474" s="28"/>
      <c r="C3474" s="3" t="s">
        <v>5</v>
      </c>
    </row>
    <row r="3475" spans="1:3" ht="13.5" thickBot="1" x14ac:dyDescent="0.25">
      <c r="A3475" s="3">
        <v>1508</v>
      </c>
      <c r="B3475" s="28"/>
      <c r="C3475" s="3" t="s">
        <v>4</v>
      </c>
    </row>
    <row r="3476" spans="1:3" ht="13.5" thickBot="1" x14ac:dyDescent="0.25">
      <c r="A3476" s="3">
        <v>3471</v>
      </c>
      <c r="B3476" s="28"/>
      <c r="C3476" s="3" t="s">
        <v>6</v>
      </c>
    </row>
    <row r="3477" spans="1:3" ht="13.5" thickBot="1" x14ac:dyDescent="0.25">
      <c r="A3477" s="3">
        <v>3348</v>
      </c>
      <c r="B3477" s="28"/>
      <c r="C3477" s="3" t="s">
        <v>4</v>
      </c>
    </row>
    <row r="3478" spans="1:3" ht="13.5" thickBot="1" x14ac:dyDescent="0.25">
      <c r="A3478" s="3">
        <v>1204</v>
      </c>
      <c r="B3478" s="28"/>
      <c r="C3478" s="3" t="s">
        <v>7</v>
      </c>
    </row>
    <row r="3479" spans="1:3" ht="13.5" thickBot="1" x14ac:dyDescent="0.25">
      <c r="A3479" s="3">
        <v>6256</v>
      </c>
      <c r="B3479" s="28"/>
      <c r="C3479" s="3" t="s">
        <v>3</v>
      </c>
    </row>
    <row r="3480" spans="1:3" ht="13.5" thickBot="1" x14ac:dyDescent="0.25">
      <c r="A3480" s="3">
        <v>5890</v>
      </c>
      <c r="B3480" s="28"/>
      <c r="C3480" s="3" t="s">
        <v>3</v>
      </c>
    </row>
    <row r="3481" spans="1:3" ht="13.5" thickBot="1" x14ac:dyDescent="0.25">
      <c r="A3481" s="3">
        <v>1508</v>
      </c>
      <c r="B3481" s="28"/>
      <c r="C3481" s="3" t="s">
        <v>3</v>
      </c>
    </row>
    <row r="3482" spans="1:3" ht="13.5" thickBot="1" x14ac:dyDescent="0.25">
      <c r="A3482" s="3">
        <v>7124</v>
      </c>
      <c r="B3482" s="28"/>
      <c r="C3482" s="3" t="s">
        <v>3</v>
      </c>
    </row>
    <row r="3483" spans="1:3" ht="13.5" thickBot="1" x14ac:dyDescent="0.25">
      <c r="A3483" s="3">
        <v>5503</v>
      </c>
      <c r="B3483" s="28"/>
      <c r="C3483" s="3" t="s">
        <v>6</v>
      </c>
    </row>
    <row r="3484" spans="1:3" ht="13.5" thickBot="1" x14ac:dyDescent="0.25">
      <c r="A3484" s="3">
        <v>7805</v>
      </c>
      <c r="B3484" s="28"/>
      <c r="C3484" s="3" t="s">
        <v>5</v>
      </c>
    </row>
    <row r="3485" spans="1:3" ht="13.5" thickBot="1" x14ac:dyDescent="0.25">
      <c r="A3485" s="3">
        <v>7456</v>
      </c>
      <c r="B3485" s="28"/>
      <c r="C3485" s="3" t="s">
        <v>3</v>
      </c>
    </row>
    <row r="3486" spans="1:3" ht="13.5" thickBot="1" x14ac:dyDescent="0.25">
      <c r="A3486" s="3">
        <v>333</v>
      </c>
      <c r="B3486" s="28"/>
      <c r="C3486" s="3" t="s">
        <v>6</v>
      </c>
    </row>
    <row r="3487" spans="1:3" ht="13.5" thickBot="1" x14ac:dyDescent="0.25">
      <c r="A3487" s="3">
        <v>5455</v>
      </c>
      <c r="B3487" s="28"/>
      <c r="C3487" s="3" t="s">
        <v>7</v>
      </c>
    </row>
    <row r="3488" spans="1:3" ht="13.5" thickBot="1" x14ac:dyDescent="0.25">
      <c r="A3488" s="3">
        <v>6233</v>
      </c>
      <c r="B3488" s="28"/>
      <c r="C3488" s="3" t="s">
        <v>5</v>
      </c>
    </row>
    <row r="3489" spans="1:3" ht="13.5" thickBot="1" x14ac:dyDescent="0.25">
      <c r="A3489" s="3">
        <v>7076</v>
      </c>
      <c r="B3489" s="28"/>
      <c r="C3489" s="3" t="s">
        <v>3</v>
      </c>
    </row>
    <row r="3490" spans="1:3" ht="13.5" thickBot="1" x14ac:dyDescent="0.25">
      <c r="A3490" s="3">
        <v>1813</v>
      </c>
      <c r="B3490" s="28"/>
      <c r="C3490" s="3" t="s">
        <v>4</v>
      </c>
    </row>
    <row r="3491" spans="1:3" ht="13.5" thickBot="1" x14ac:dyDescent="0.25">
      <c r="A3491" s="3">
        <v>7805</v>
      </c>
      <c r="B3491" s="28"/>
      <c r="C3491" s="3" t="s">
        <v>6</v>
      </c>
    </row>
    <row r="3492" spans="1:3" ht="13.5" thickBot="1" x14ac:dyDescent="0.25">
      <c r="A3492" s="3">
        <v>2629</v>
      </c>
      <c r="B3492" s="28"/>
      <c r="C3492" s="3" t="s">
        <v>7</v>
      </c>
    </row>
    <row r="3493" spans="1:3" ht="13.5" thickBot="1" x14ac:dyDescent="0.25">
      <c r="A3493" s="3">
        <v>58</v>
      </c>
      <c r="B3493" s="28"/>
      <c r="C3493" s="3" t="s">
        <v>7</v>
      </c>
    </row>
    <row r="3494" spans="1:3" ht="13.5" thickBot="1" x14ac:dyDescent="0.25">
      <c r="A3494" s="3">
        <v>6461</v>
      </c>
      <c r="B3494" s="28"/>
      <c r="C3494" s="3" t="s">
        <v>4</v>
      </c>
    </row>
    <row r="3495" spans="1:3" ht="13.5" thickBot="1" x14ac:dyDescent="0.25">
      <c r="A3495" s="3">
        <v>4740</v>
      </c>
      <c r="B3495" s="28"/>
      <c r="C3495" s="3" t="s">
        <v>3</v>
      </c>
    </row>
    <row r="3496" spans="1:3" ht="13.5" thickBot="1" x14ac:dyDescent="0.25">
      <c r="A3496" s="3">
        <v>2629</v>
      </c>
      <c r="B3496" s="28"/>
      <c r="C3496" s="3" t="s">
        <v>5</v>
      </c>
    </row>
    <row r="3497" spans="1:3" ht="13.5" thickBot="1" x14ac:dyDescent="0.25">
      <c r="A3497" s="3">
        <v>7517</v>
      </c>
      <c r="B3497" s="28"/>
      <c r="C3497" s="3" t="s">
        <v>3</v>
      </c>
    </row>
    <row r="3498" spans="1:3" ht="13.5" thickBot="1" x14ac:dyDescent="0.25">
      <c r="A3498" s="3">
        <v>1050</v>
      </c>
      <c r="B3498" s="28"/>
      <c r="C3498" s="3" t="s">
        <v>7</v>
      </c>
    </row>
    <row r="3499" spans="1:3" ht="13.5" thickBot="1" x14ac:dyDescent="0.25">
      <c r="A3499" s="3">
        <v>333</v>
      </c>
      <c r="B3499" s="28"/>
      <c r="C3499" s="3" t="s">
        <v>7</v>
      </c>
    </row>
    <row r="3500" spans="1:3" ht="13.5" thickBot="1" x14ac:dyDescent="0.25">
      <c r="A3500" s="3">
        <v>7121</v>
      </c>
      <c r="B3500" s="28"/>
      <c r="C3500" s="3" t="s">
        <v>3</v>
      </c>
    </row>
    <row r="3501" spans="1:3" ht="13.5" thickBot="1" x14ac:dyDescent="0.25">
      <c r="A3501" s="3">
        <v>1563</v>
      </c>
      <c r="B3501" s="28"/>
      <c r="C3501" s="3" t="s">
        <v>6</v>
      </c>
    </row>
    <row r="3502" spans="1:3" ht="13.5" thickBot="1" x14ac:dyDescent="0.25">
      <c r="A3502" s="3">
        <v>6952</v>
      </c>
      <c r="B3502" s="28"/>
      <c r="C3502" s="3" t="s">
        <v>5</v>
      </c>
    </row>
    <row r="3503" spans="1:3" ht="13.5" thickBot="1" x14ac:dyDescent="0.25">
      <c r="A3503" s="3">
        <v>1860</v>
      </c>
      <c r="B3503" s="28"/>
      <c r="C3503" s="3" t="s">
        <v>3</v>
      </c>
    </row>
    <row r="3504" spans="1:3" ht="13.5" thickBot="1" x14ac:dyDescent="0.25">
      <c r="A3504" s="3">
        <v>7000</v>
      </c>
      <c r="B3504" s="28"/>
      <c r="C3504" s="3" t="s">
        <v>4</v>
      </c>
    </row>
    <row r="3505" spans="1:3" ht="13.5" thickBot="1" x14ac:dyDescent="0.25">
      <c r="A3505" s="3">
        <v>7994</v>
      </c>
      <c r="B3505" s="28"/>
      <c r="C3505" s="3" t="s">
        <v>3</v>
      </c>
    </row>
    <row r="3506" spans="1:3" ht="13.5" thickBot="1" x14ac:dyDescent="0.25">
      <c r="A3506" s="3">
        <v>1508</v>
      </c>
      <c r="B3506" s="28"/>
      <c r="C3506" s="3" t="s">
        <v>5</v>
      </c>
    </row>
    <row r="3507" spans="1:3" ht="13.5" thickBot="1" x14ac:dyDescent="0.25">
      <c r="A3507" s="3">
        <v>2289</v>
      </c>
      <c r="B3507" s="28"/>
      <c r="C3507" s="3" t="s">
        <v>3</v>
      </c>
    </row>
    <row r="3508" spans="1:3" ht="13.5" thickBot="1" x14ac:dyDescent="0.25">
      <c r="A3508" s="3">
        <v>2958</v>
      </c>
      <c r="B3508" s="28"/>
      <c r="C3508" s="3" t="s">
        <v>3</v>
      </c>
    </row>
    <row r="3509" spans="1:3" ht="13.5" thickBot="1" x14ac:dyDescent="0.25">
      <c r="A3509" s="3">
        <v>5493</v>
      </c>
      <c r="B3509" s="28"/>
      <c r="C3509" s="3" t="s">
        <v>4</v>
      </c>
    </row>
    <row r="3510" spans="1:3" ht="13.5" thickBot="1" x14ac:dyDescent="0.25">
      <c r="A3510" s="3">
        <v>3482</v>
      </c>
      <c r="B3510" s="28"/>
      <c r="C3510" s="3" t="s">
        <v>3</v>
      </c>
    </row>
    <row r="3511" spans="1:3" ht="13.5" thickBot="1" x14ac:dyDescent="0.25">
      <c r="A3511" s="3">
        <v>7799</v>
      </c>
      <c r="B3511" s="28"/>
      <c r="C3511" s="3" t="s">
        <v>3</v>
      </c>
    </row>
    <row r="3512" spans="1:3" ht="13.5" thickBot="1" x14ac:dyDescent="0.25">
      <c r="A3512" s="3">
        <v>6700</v>
      </c>
      <c r="B3512" s="28"/>
      <c r="C3512" s="3" t="s">
        <v>3</v>
      </c>
    </row>
    <row r="3513" spans="1:3" ht="13.5" thickBot="1" x14ac:dyDescent="0.25">
      <c r="A3513" s="3">
        <v>6144</v>
      </c>
      <c r="B3513" s="28"/>
      <c r="C3513" s="3" t="s">
        <v>3</v>
      </c>
    </row>
    <row r="3514" spans="1:3" ht="13.5" thickBot="1" x14ac:dyDescent="0.25">
      <c r="A3514" s="3">
        <v>7606</v>
      </c>
      <c r="B3514" s="28"/>
      <c r="C3514" s="3" t="s">
        <v>6</v>
      </c>
    </row>
    <row r="3515" spans="1:3" ht="13.5" thickBot="1" x14ac:dyDescent="0.25">
      <c r="A3515" s="3">
        <v>743</v>
      </c>
      <c r="B3515" s="28"/>
      <c r="C3515" s="3" t="s">
        <v>4</v>
      </c>
    </row>
    <row r="3516" spans="1:3" ht="13.5" thickBot="1" x14ac:dyDescent="0.25">
      <c r="A3516" s="3">
        <v>4550</v>
      </c>
      <c r="B3516" s="28"/>
      <c r="C3516" s="3" t="s">
        <v>3</v>
      </c>
    </row>
    <row r="3517" spans="1:3" ht="13.5" thickBot="1" x14ac:dyDescent="0.25">
      <c r="A3517" s="3">
        <v>7000</v>
      </c>
      <c r="B3517" s="28"/>
      <c r="C3517" s="3" t="s">
        <v>3</v>
      </c>
    </row>
    <row r="3518" spans="1:3" ht="13.5" thickBot="1" x14ac:dyDescent="0.25">
      <c r="A3518" s="3">
        <v>6049</v>
      </c>
      <c r="B3518" s="28"/>
      <c r="C3518" s="3" t="s">
        <v>4</v>
      </c>
    </row>
    <row r="3519" spans="1:3" ht="13.5" thickBot="1" x14ac:dyDescent="0.25">
      <c r="A3519" s="3">
        <v>1860</v>
      </c>
      <c r="B3519" s="28"/>
      <c r="C3519" s="3" t="s">
        <v>4</v>
      </c>
    </row>
    <row r="3520" spans="1:3" ht="13.5" thickBot="1" x14ac:dyDescent="0.25">
      <c r="A3520" s="3">
        <v>1508</v>
      </c>
      <c r="B3520" s="28"/>
      <c r="C3520" s="3" t="s">
        <v>6</v>
      </c>
    </row>
    <row r="3521" spans="1:3" ht="13.5" thickBot="1" x14ac:dyDescent="0.25">
      <c r="A3521" s="3">
        <v>1791</v>
      </c>
      <c r="B3521" s="28"/>
      <c r="C3521" s="3" t="s">
        <v>6</v>
      </c>
    </row>
    <row r="3522" spans="1:3" ht="13.5" thickBot="1" x14ac:dyDescent="0.25">
      <c r="A3522" s="3">
        <v>6049</v>
      </c>
      <c r="B3522" s="28"/>
      <c r="C3522" s="3" t="s">
        <v>3</v>
      </c>
    </row>
    <row r="3523" spans="1:3" ht="13.5" thickBot="1" x14ac:dyDescent="0.25">
      <c r="A3523" s="3">
        <v>4487</v>
      </c>
      <c r="B3523" s="28"/>
      <c r="C3523" s="3" t="s">
        <v>3</v>
      </c>
    </row>
    <row r="3524" spans="1:3" ht="13.5" thickBot="1" x14ac:dyDescent="0.25">
      <c r="A3524" s="3">
        <v>2908</v>
      </c>
      <c r="B3524" s="28"/>
      <c r="C3524" s="3" t="s">
        <v>3</v>
      </c>
    </row>
    <row r="3525" spans="1:3" ht="13.5" thickBot="1" x14ac:dyDescent="0.25">
      <c r="A3525" s="3">
        <v>2958</v>
      </c>
      <c r="B3525" s="28"/>
      <c r="C3525" s="3" t="s">
        <v>4</v>
      </c>
    </row>
    <row r="3526" spans="1:3" ht="13.5" thickBot="1" x14ac:dyDescent="0.25">
      <c r="A3526" s="3">
        <v>1672</v>
      </c>
      <c r="B3526" s="28"/>
      <c r="C3526" s="3" t="s">
        <v>6</v>
      </c>
    </row>
    <row r="3527" spans="1:3" ht="13.5" thickBot="1" x14ac:dyDescent="0.25">
      <c r="A3527" s="3">
        <v>7622</v>
      </c>
      <c r="B3527" s="28"/>
      <c r="C3527" s="3" t="s">
        <v>3</v>
      </c>
    </row>
    <row r="3528" spans="1:3" ht="13.5" thickBot="1" x14ac:dyDescent="0.25">
      <c r="A3528" s="3">
        <v>411</v>
      </c>
      <c r="B3528" s="28"/>
      <c r="C3528" s="3" t="s">
        <v>6</v>
      </c>
    </row>
    <row r="3529" spans="1:3" ht="13.5" thickBot="1" x14ac:dyDescent="0.25">
      <c r="A3529" s="3">
        <v>7000</v>
      </c>
      <c r="B3529" s="28"/>
      <c r="C3529" s="3" t="s">
        <v>5</v>
      </c>
    </row>
    <row r="3530" spans="1:3" ht="13.5" thickBot="1" x14ac:dyDescent="0.25">
      <c r="A3530" s="3">
        <v>3862</v>
      </c>
      <c r="B3530" s="28"/>
      <c r="C3530" s="3" t="s">
        <v>6</v>
      </c>
    </row>
    <row r="3531" spans="1:3" ht="13.5" thickBot="1" x14ac:dyDescent="0.25">
      <c r="A3531" s="3">
        <v>255</v>
      </c>
      <c r="B3531" s="28"/>
      <c r="C3531" s="3" t="s">
        <v>6</v>
      </c>
    </row>
    <row r="3532" spans="1:3" ht="13.5" thickBot="1" x14ac:dyDescent="0.25">
      <c r="A3532" s="3">
        <v>6637</v>
      </c>
      <c r="B3532" s="28"/>
      <c r="C3532" s="3" t="s">
        <v>4</v>
      </c>
    </row>
    <row r="3533" spans="1:3" ht="13.5" thickBot="1" x14ac:dyDescent="0.25">
      <c r="A3533" s="3">
        <v>7452</v>
      </c>
      <c r="B3533" s="28"/>
      <c r="C3533" s="3" t="s">
        <v>4</v>
      </c>
    </row>
    <row r="3534" spans="1:3" ht="13.5" thickBot="1" x14ac:dyDescent="0.25">
      <c r="A3534" s="3">
        <v>743</v>
      </c>
      <c r="B3534" s="28"/>
      <c r="C3534" s="3" t="s">
        <v>6</v>
      </c>
    </row>
    <row r="3535" spans="1:3" ht="13.5" thickBot="1" x14ac:dyDescent="0.25">
      <c r="A3535" s="3">
        <v>6233</v>
      </c>
      <c r="B3535" s="28"/>
      <c r="C3535" s="3" t="s">
        <v>7</v>
      </c>
    </row>
    <row r="3536" spans="1:3" ht="13.5" thickBot="1" x14ac:dyDescent="0.25">
      <c r="A3536" s="3">
        <v>6346</v>
      </c>
      <c r="B3536" s="28"/>
      <c r="C3536" s="3" t="s">
        <v>3</v>
      </c>
    </row>
    <row r="3537" spans="1:3" ht="13.5" thickBot="1" x14ac:dyDescent="0.25">
      <c r="A3537" s="3">
        <v>6713</v>
      </c>
      <c r="B3537" s="28"/>
      <c r="C3537" s="3" t="s">
        <v>5</v>
      </c>
    </row>
    <row r="3538" spans="1:3" ht="13.5" thickBot="1" x14ac:dyDescent="0.25">
      <c r="A3538" s="3">
        <v>5212</v>
      </c>
      <c r="B3538" s="28"/>
      <c r="C3538" s="3" t="s">
        <v>3</v>
      </c>
    </row>
    <row r="3539" spans="1:3" ht="13.5" thickBot="1" x14ac:dyDescent="0.25">
      <c r="A3539" s="3">
        <v>7282</v>
      </c>
      <c r="B3539" s="28"/>
      <c r="C3539" s="3" t="s">
        <v>4</v>
      </c>
    </row>
    <row r="3540" spans="1:3" ht="13.5" thickBot="1" x14ac:dyDescent="0.25">
      <c r="A3540" s="3">
        <v>6626</v>
      </c>
      <c r="B3540" s="28"/>
      <c r="C3540" s="3" t="s">
        <v>3</v>
      </c>
    </row>
    <row r="3541" spans="1:3" ht="13.5" thickBot="1" x14ac:dyDescent="0.25">
      <c r="A3541" s="3">
        <v>4538</v>
      </c>
      <c r="B3541" s="28"/>
      <c r="C3541" s="3" t="s">
        <v>3</v>
      </c>
    </row>
    <row r="3542" spans="1:3" ht="13.5" thickBot="1" x14ac:dyDescent="0.25">
      <c r="A3542" s="3">
        <v>6817</v>
      </c>
      <c r="B3542" s="28"/>
      <c r="C3542" s="3" t="s">
        <v>3</v>
      </c>
    </row>
    <row r="3543" spans="1:3" ht="13.5" thickBot="1" x14ac:dyDescent="0.25">
      <c r="A3543" s="3">
        <v>1184</v>
      </c>
      <c r="B3543" s="28"/>
      <c r="C3543" s="3" t="s">
        <v>3</v>
      </c>
    </row>
    <row r="3544" spans="1:3" ht="13.5" thickBot="1" x14ac:dyDescent="0.25">
      <c r="A3544" s="3">
        <v>6626</v>
      </c>
      <c r="B3544" s="28"/>
      <c r="C3544" s="3" t="s">
        <v>4</v>
      </c>
    </row>
    <row r="3545" spans="1:3" ht="13.5" thickBot="1" x14ac:dyDescent="0.25">
      <c r="A3545" s="3">
        <v>4202</v>
      </c>
      <c r="B3545" s="28"/>
      <c r="C3545" s="3" t="s">
        <v>3</v>
      </c>
    </row>
    <row r="3546" spans="1:3" ht="13.5" thickBot="1" x14ac:dyDescent="0.25">
      <c r="A3546" s="3">
        <v>1602</v>
      </c>
      <c r="B3546" s="28"/>
      <c r="C3546" s="3" t="s">
        <v>3</v>
      </c>
    </row>
    <row r="3547" spans="1:3" ht="13.5" thickBot="1" x14ac:dyDescent="0.25">
      <c r="A3547" s="3">
        <v>7606</v>
      </c>
      <c r="B3547" s="28"/>
      <c r="C3547" s="3" t="s">
        <v>7</v>
      </c>
    </row>
    <row r="3548" spans="1:3" ht="13.5" thickBot="1" x14ac:dyDescent="0.25">
      <c r="A3548" s="3">
        <v>7765</v>
      </c>
      <c r="B3548" s="28"/>
      <c r="C3548" s="3" t="s">
        <v>3</v>
      </c>
    </row>
    <row r="3549" spans="1:3" ht="13.5" thickBot="1" x14ac:dyDescent="0.25">
      <c r="A3549" s="3">
        <v>588</v>
      </c>
      <c r="B3549" s="28"/>
      <c r="C3549" s="3" t="s">
        <v>4</v>
      </c>
    </row>
    <row r="3550" spans="1:3" ht="13.5" thickBot="1" x14ac:dyDescent="0.25">
      <c r="A3550" s="3">
        <v>4995</v>
      </c>
      <c r="B3550" s="28"/>
      <c r="C3550" s="3" t="s">
        <v>3</v>
      </c>
    </row>
    <row r="3551" spans="1:3" ht="13.5" thickBot="1" x14ac:dyDescent="0.25">
      <c r="A3551" s="3">
        <v>4740</v>
      </c>
      <c r="B3551" s="28"/>
      <c r="C3551" s="3" t="s">
        <v>5</v>
      </c>
    </row>
    <row r="3552" spans="1:3" ht="13.5" thickBot="1" x14ac:dyDescent="0.25">
      <c r="A3552" s="3">
        <v>5890</v>
      </c>
      <c r="B3552" s="28"/>
      <c r="C3552" s="3" t="s">
        <v>6</v>
      </c>
    </row>
    <row r="3553" spans="1:3" ht="13.5" thickBot="1" x14ac:dyDescent="0.25">
      <c r="A3553" s="3">
        <v>48</v>
      </c>
      <c r="B3553" s="28"/>
      <c r="C3553" s="3" t="s">
        <v>4</v>
      </c>
    </row>
    <row r="3554" spans="1:3" ht="13.5" thickBot="1" x14ac:dyDescent="0.25">
      <c r="A3554" s="3">
        <v>3438</v>
      </c>
      <c r="B3554" s="28"/>
      <c r="C3554" s="3" t="s">
        <v>5</v>
      </c>
    </row>
    <row r="3555" spans="1:3" ht="13.5" thickBot="1" x14ac:dyDescent="0.25">
      <c r="A3555" s="3">
        <v>5957</v>
      </c>
      <c r="B3555" s="28"/>
      <c r="C3555" s="3" t="s">
        <v>6</v>
      </c>
    </row>
    <row r="3556" spans="1:3" ht="13.5" thickBot="1" x14ac:dyDescent="0.25">
      <c r="A3556" s="3">
        <v>2020</v>
      </c>
      <c r="B3556" s="28"/>
      <c r="C3556" s="3" t="s">
        <v>3</v>
      </c>
    </row>
    <row r="3557" spans="1:3" ht="13.5" thickBot="1" x14ac:dyDescent="0.25">
      <c r="A3557" s="3">
        <v>7331</v>
      </c>
      <c r="B3557" s="28"/>
      <c r="C3557" s="3" t="s">
        <v>4</v>
      </c>
    </row>
    <row r="3558" spans="1:3" ht="13.5" thickBot="1" x14ac:dyDescent="0.25">
      <c r="A3558" s="3">
        <v>1097</v>
      </c>
      <c r="B3558" s="28"/>
      <c r="C3558" s="3" t="s">
        <v>3</v>
      </c>
    </row>
    <row r="3559" spans="1:3" ht="13.5" thickBot="1" x14ac:dyDescent="0.25">
      <c r="A3559" s="3">
        <v>3258</v>
      </c>
      <c r="B3559" s="28"/>
      <c r="C3559" s="3" t="s">
        <v>5</v>
      </c>
    </row>
    <row r="3560" spans="1:3" ht="13.5" thickBot="1" x14ac:dyDescent="0.25">
      <c r="A3560" s="3">
        <v>3096</v>
      </c>
      <c r="B3560" s="28"/>
      <c r="C3560" s="3" t="s">
        <v>6</v>
      </c>
    </row>
    <row r="3561" spans="1:3" ht="13.5" thickBot="1" x14ac:dyDescent="0.25">
      <c r="A3561" s="3">
        <v>1156</v>
      </c>
      <c r="B3561" s="28"/>
      <c r="C3561" s="3" t="s">
        <v>3</v>
      </c>
    </row>
    <row r="3562" spans="1:3" ht="13.5" thickBot="1" x14ac:dyDescent="0.25">
      <c r="A3562" s="3">
        <v>3661</v>
      </c>
      <c r="B3562" s="28"/>
      <c r="C3562" s="3" t="s">
        <v>5</v>
      </c>
    </row>
    <row r="3563" spans="1:3" ht="13.5" thickBot="1" x14ac:dyDescent="0.25">
      <c r="A3563" s="3">
        <v>7068</v>
      </c>
      <c r="B3563" s="28"/>
      <c r="C3563" s="3" t="s">
        <v>3</v>
      </c>
    </row>
    <row r="3564" spans="1:3" ht="13.5" thickBot="1" x14ac:dyDescent="0.25">
      <c r="A3564" s="3">
        <v>4343</v>
      </c>
      <c r="B3564" s="28"/>
      <c r="C3564" s="3" t="s">
        <v>3</v>
      </c>
    </row>
    <row r="3565" spans="1:3" ht="13.5" thickBot="1" x14ac:dyDescent="0.25">
      <c r="A3565" s="3">
        <v>5493</v>
      </c>
      <c r="B3565" s="28"/>
      <c r="C3565" s="3" t="s">
        <v>7</v>
      </c>
    </row>
    <row r="3566" spans="1:3" ht="13.5" thickBot="1" x14ac:dyDescent="0.25">
      <c r="A3566" s="3">
        <v>3217</v>
      </c>
      <c r="B3566" s="28"/>
      <c r="C3566" s="3" t="s">
        <v>4</v>
      </c>
    </row>
    <row r="3567" spans="1:3" ht="13.5" thickBot="1" x14ac:dyDescent="0.25">
      <c r="A3567" s="3">
        <v>685</v>
      </c>
      <c r="B3567" s="28"/>
      <c r="C3567" s="3" t="s">
        <v>3</v>
      </c>
    </row>
    <row r="3568" spans="1:3" ht="13.5" thickBot="1" x14ac:dyDescent="0.25">
      <c r="A3568" s="3">
        <v>5304</v>
      </c>
      <c r="B3568" s="28"/>
      <c r="C3568" s="3" t="s">
        <v>5</v>
      </c>
    </row>
    <row r="3569" spans="1:3" ht="13.5" thickBot="1" x14ac:dyDescent="0.25">
      <c r="A3569" s="3">
        <v>7452</v>
      </c>
      <c r="B3569" s="28"/>
      <c r="C3569" s="3" t="s">
        <v>3</v>
      </c>
    </row>
    <row r="3570" spans="1:3" ht="13.5" thickBot="1" x14ac:dyDescent="0.25">
      <c r="A3570" s="3">
        <v>7606</v>
      </c>
      <c r="B3570" s="28"/>
      <c r="C3570" s="3" t="s">
        <v>5</v>
      </c>
    </row>
    <row r="3571" spans="1:3" ht="13.5" thickBot="1" x14ac:dyDescent="0.25">
      <c r="A3571" s="3">
        <v>6817</v>
      </c>
      <c r="B3571" s="28"/>
      <c r="C3571" s="3" t="s">
        <v>4</v>
      </c>
    </row>
    <row r="3572" spans="1:3" ht="13.5" thickBot="1" x14ac:dyDescent="0.25">
      <c r="A3572" s="3">
        <v>7294</v>
      </c>
      <c r="B3572" s="28"/>
      <c r="C3572" s="3" t="s">
        <v>3</v>
      </c>
    </row>
    <row r="3573" spans="1:3" ht="13.5" thickBot="1" x14ac:dyDescent="0.25">
      <c r="A3573" s="3">
        <v>3461</v>
      </c>
      <c r="B3573" s="28"/>
      <c r="C3573" s="3" t="s">
        <v>4</v>
      </c>
    </row>
    <row r="3574" spans="1:3" ht="13.5" thickBot="1" x14ac:dyDescent="0.25">
      <c r="A3574" s="3">
        <v>4538</v>
      </c>
      <c r="B3574" s="28"/>
      <c r="C3574" s="3" t="s">
        <v>4</v>
      </c>
    </row>
    <row r="3575" spans="1:3" ht="13.5" thickBot="1" x14ac:dyDescent="0.25">
      <c r="A3575" s="3">
        <v>3525</v>
      </c>
      <c r="B3575" s="28"/>
      <c r="C3575" s="3" t="s">
        <v>3</v>
      </c>
    </row>
    <row r="3576" spans="1:3" ht="13.5" thickBot="1" x14ac:dyDescent="0.25">
      <c r="A3576" s="3">
        <v>7208</v>
      </c>
      <c r="B3576" s="28"/>
      <c r="C3576" s="3" t="s">
        <v>4</v>
      </c>
    </row>
    <row r="3577" spans="1:3" ht="13.5" thickBot="1" x14ac:dyDescent="0.25">
      <c r="A3577" s="3">
        <v>3904</v>
      </c>
      <c r="B3577" s="28"/>
      <c r="C3577" s="3" t="s">
        <v>3</v>
      </c>
    </row>
    <row r="3578" spans="1:3" ht="13.5" thickBot="1" x14ac:dyDescent="0.25">
      <c r="A3578" s="3">
        <v>80</v>
      </c>
      <c r="B3578" s="28"/>
      <c r="C3578" s="3" t="s">
        <v>3</v>
      </c>
    </row>
    <row r="3579" spans="1:3" ht="13.5" thickBot="1" x14ac:dyDescent="0.25">
      <c r="A3579" s="3">
        <v>6700</v>
      </c>
      <c r="B3579" s="28"/>
      <c r="C3579" s="3" t="s">
        <v>7</v>
      </c>
    </row>
    <row r="3580" spans="1:3" ht="13.5" thickBot="1" x14ac:dyDescent="0.25">
      <c r="A3580" s="3">
        <v>3552</v>
      </c>
      <c r="B3580" s="28"/>
      <c r="C3580" s="3" t="s">
        <v>3</v>
      </c>
    </row>
    <row r="3581" spans="1:3" ht="13.5" thickBot="1" x14ac:dyDescent="0.25">
      <c r="A3581" s="3">
        <v>4538</v>
      </c>
      <c r="B3581" s="28"/>
      <c r="C3581" s="3" t="s">
        <v>5</v>
      </c>
    </row>
    <row r="3582" spans="1:3" ht="13.5" thickBot="1" x14ac:dyDescent="0.25">
      <c r="A3582" s="3">
        <v>199</v>
      </c>
      <c r="B3582" s="28"/>
      <c r="C3582" s="3" t="s">
        <v>5</v>
      </c>
    </row>
    <row r="3583" spans="1:3" ht="13.5" thickBot="1" x14ac:dyDescent="0.25">
      <c r="A3583" s="3">
        <v>6217</v>
      </c>
      <c r="B3583" s="28"/>
      <c r="C3583" s="3" t="s">
        <v>3</v>
      </c>
    </row>
    <row r="3584" spans="1:3" ht="13.5" thickBot="1" x14ac:dyDescent="0.25">
      <c r="A3584" s="3">
        <v>4343</v>
      </c>
      <c r="B3584" s="28"/>
      <c r="C3584" s="3" t="s">
        <v>7</v>
      </c>
    </row>
    <row r="3585" spans="1:3" ht="13.5" thickBot="1" x14ac:dyDescent="0.25">
      <c r="A3585" s="3">
        <v>6901</v>
      </c>
      <c r="B3585" s="28"/>
      <c r="C3585" s="3" t="s">
        <v>3</v>
      </c>
    </row>
    <row r="3586" spans="1:3" ht="13.5" thickBot="1" x14ac:dyDescent="0.25">
      <c r="A3586" s="3">
        <v>3482</v>
      </c>
      <c r="B3586" s="28"/>
      <c r="C3586" s="3" t="s">
        <v>5</v>
      </c>
    </row>
    <row r="3587" spans="1:3" ht="13.5" thickBot="1" x14ac:dyDescent="0.25">
      <c r="A3587" s="3">
        <v>4804</v>
      </c>
      <c r="B3587" s="28"/>
      <c r="C3587" s="3" t="s">
        <v>4</v>
      </c>
    </row>
    <row r="3588" spans="1:3" ht="13.5" thickBot="1" x14ac:dyDescent="0.25">
      <c r="A3588" s="3">
        <v>7331</v>
      </c>
      <c r="B3588" s="28"/>
      <c r="C3588" s="3" t="s">
        <v>7</v>
      </c>
    </row>
    <row r="3589" spans="1:3" ht="13.5" thickBot="1" x14ac:dyDescent="0.25">
      <c r="A3589" s="3">
        <v>1009</v>
      </c>
      <c r="B3589" s="28"/>
      <c r="C3589" s="3" t="s">
        <v>3</v>
      </c>
    </row>
    <row r="3590" spans="1:3" ht="13.5" thickBot="1" x14ac:dyDescent="0.25">
      <c r="A3590" s="3">
        <v>3788</v>
      </c>
      <c r="B3590" s="28"/>
      <c r="C3590" s="3" t="s">
        <v>4</v>
      </c>
    </row>
    <row r="3591" spans="1:3" ht="13.5" thickBot="1" x14ac:dyDescent="0.25">
      <c r="A3591" s="3">
        <v>2261</v>
      </c>
      <c r="B3591" s="28"/>
      <c r="C3591" s="3" t="s">
        <v>6</v>
      </c>
    </row>
    <row r="3592" spans="1:3" ht="13.5" thickBot="1" x14ac:dyDescent="0.25">
      <c r="A3592" s="3">
        <v>2359</v>
      </c>
      <c r="B3592" s="28"/>
      <c r="C3592" s="3" t="s">
        <v>3</v>
      </c>
    </row>
    <row r="3593" spans="1:3" ht="13.5" thickBot="1" x14ac:dyDescent="0.25">
      <c r="A3593" s="3">
        <v>4861</v>
      </c>
      <c r="B3593" s="28"/>
      <c r="C3593" s="3" t="s">
        <v>5</v>
      </c>
    </row>
    <row r="3594" spans="1:3" ht="13.5" thickBot="1" x14ac:dyDescent="0.25">
      <c r="A3594" s="3">
        <v>3853</v>
      </c>
      <c r="B3594" s="28"/>
      <c r="C3594" s="3" t="s">
        <v>3</v>
      </c>
    </row>
    <row r="3595" spans="1:3" ht="13.5" thickBot="1" x14ac:dyDescent="0.25">
      <c r="A3595" s="3">
        <v>2376</v>
      </c>
      <c r="B3595" s="28"/>
      <c r="C3595" s="3" t="s">
        <v>5</v>
      </c>
    </row>
    <row r="3596" spans="1:3" ht="13.5" thickBot="1" x14ac:dyDescent="0.25">
      <c r="A3596" s="3">
        <v>5890</v>
      </c>
      <c r="B3596" s="28"/>
      <c r="C3596" s="3" t="s">
        <v>7</v>
      </c>
    </row>
    <row r="3597" spans="1:3" ht="13.5" thickBot="1" x14ac:dyDescent="0.25">
      <c r="A3597" s="3">
        <v>4673</v>
      </c>
      <c r="B3597" s="28"/>
      <c r="C3597" s="3" t="s">
        <v>4</v>
      </c>
    </row>
    <row r="3598" spans="1:3" ht="13.5" thickBot="1" x14ac:dyDescent="0.25">
      <c r="A3598" s="3">
        <v>6256</v>
      </c>
      <c r="B3598" s="28"/>
      <c r="C3598" s="3" t="s">
        <v>4</v>
      </c>
    </row>
    <row r="3599" spans="1:3" ht="13.5" thickBot="1" x14ac:dyDescent="0.25">
      <c r="A3599" s="3">
        <v>7208</v>
      </c>
      <c r="B3599" s="28"/>
      <c r="C3599" s="3" t="s">
        <v>3</v>
      </c>
    </row>
    <row r="3600" spans="1:3" ht="13.5" thickBot="1" x14ac:dyDescent="0.25">
      <c r="A3600" s="3">
        <v>7101</v>
      </c>
      <c r="B3600" s="28"/>
      <c r="C3600" s="3" t="s">
        <v>3</v>
      </c>
    </row>
    <row r="3601" spans="1:3" ht="13.5" thickBot="1" x14ac:dyDescent="0.25">
      <c r="A3601" s="3">
        <v>3482</v>
      </c>
      <c r="B3601" s="28"/>
      <c r="C3601" s="3" t="s">
        <v>4</v>
      </c>
    </row>
    <row r="3602" spans="1:3" ht="13.5" thickBot="1" x14ac:dyDescent="0.25">
      <c r="A3602" s="3">
        <v>5667</v>
      </c>
      <c r="B3602" s="28"/>
      <c r="C3602" s="3" t="s">
        <v>3</v>
      </c>
    </row>
    <row r="3603" spans="1:3" ht="13.5" thickBot="1" x14ac:dyDescent="0.25">
      <c r="A3603" s="3">
        <v>6521</v>
      </c>
      <c r="B3603" s="28"/>
      <c r="C3603" s="3" t="s">
        <v>4</v>
      </c>
    </row>
    <row r="3604" spans="1:3" ht="13.5" thickBot="1" x14ac:dyDescent="0.25">
      <c r="A3604" s="3">
        <v>6114</v>
      </c>
      <c r="B3604" s="28"/>
      <c r="C3604" s="3" t="s">
        <v>3</v>
      </c>
    </row>
    <row r="3605" spans="1:3" ht="13.5" thickBot="1" x14ac:dyDescent="0.25">
      <c r="A3605" s="3">
        <v>4285</v>
      </c>
      <c r="B3605" s="28"/>
      <c r="C3605" s="3" t="s">
        <v>3</v>
      </c>
    </row>
    <row r="3606" spans="1:3" ht="13.5" thickBot="1" x14ac:dyDescent="0.25">
      <c r="A3606" s="3">
        <v>2289</v>
      </c>
      <c r="B3606" s="28"/>
      <c r="C3606" s="3" t="s">
        <v>7</v>
      </c>
    </row>
    <row r="3607" spans="1:3" ht="13.5" thickBot="1" x14ac:dyDescent="0.25">
      <c r="A3607" s="3">
        <v>1196</v>
      </c>
      <c r="B3607" s="28"/>
      <c r="C3607" s="3" t="s">
        <v>7</v>
      </c>
    </row>
    <row r="3608" spans="1:3" ht="13.5" thickBot="1" x14ac:dyDescent="0.25">
      <c r="A3608" s="3">
        <v>5844</v>
      </c>
      <c r="B3608" s="28"/>
      <c r="C3608" s="3" t="s">
        <v>3</v>
      </c>
    </row>
    <row r="3609" spans="1:3" ht="13.5" thickBot="1" x14ac:dyDescent="0.25">
      <c r="A3609" s="3">
        <v>2376</v>
      </c>
      <c r="B3609" s="28"/>
      <c r="C3609" s="3" t="s">
        <v>3</v>
      </c>
    </row>
    <row r="3610" spans="1:3" ht="13.5" thickBot="1" x14ac:dyDescent="0.25">
      <c r="A3610" s="3">
        <v>373</v>
      </c>
      <c r="B3610" s="28"/>
      <c r="C3610" s="3" t="s">
        <v>4</v>
      </c>
    </row>
    <row r="3611" spans="1:3" ht="13.5" thickBot="1" x14ac:dyDescent="0.25">
      <c r="A3611" s="3">
        <v>5325</v>
      </c>
      <c r="B3611" s="28"/>
      <c r="C3611" s="3" t="s">
        <v>3</v>
      </c>
    </row>
    <row r="3612" spans="1:3" ht="13.5" thickBot="1" x14ac:dyDescent="0.25">
      <c r="A3612" s="3">
        <v>5414</v>
      </c>
      <c r="B3612" s="28"/>
      <c r="C3612" s="3" t="s">
        <v>3</v>
      </c>
    </row>
    <row r="3613" spans="1:3" ht="13.5" thickBot="1" x14ac:dyDescent="0.25">
      <c r="A3613" s="3">
        <v>5915</v>
      </c>
      <c r="B3613" s="28"/>
      <c r="C3613" s="3" t="s">
        <v>3</v>
      </c>
    </row>
    <row r="3614" spans="1:3" ht="13.5" thickBot="1" x14ac:dyDescent="0.25">
      <c r="A3614" s="3">
        <v>6346</v>
      </c>
      <c r="B3614" s="28"/>
      <c r="C3614" s="3" t="s">
        <v>4</v>
      </c>
    </row>
    <row r="3615" spans="1:3" ht="13.5" thickBot="1" x14ac:dyDescent="0.25">
      <c r="A3615" s="3">
        <v>2289</v>
      </c>
      <c r="B3615" s="28"/>
      <c r="C3615" s="3" t="s">
        <v>4</v>
      </c>
    </row>
    <row r="3616" spans="1:3" ht="13.5" thickBot="1" x14ac:dyDescent="0.25">
      <c r="A3616" s="3">
        <v>328</v>
      </c>
      <c r="B3616" s="28"/>
      <c r="C3616" s="3" t="s">
        <v>3</v>
      </c>
    </row>
    <row r="3617" spans="1:3" ht="13.5" thickBot="1" x14ac:dyDescent="0.25">
      <c r="A3617" s="3">
        <v>3337</v>
      </c>
      <c r="B3617" s="28"/>
      <c r="C3617" s="3" t="s">
        <v>3</v>
      </c>
    </row>
    <row r="3618" spans="1:3" ht="13.5" thickBot="1" x14ac:dyDescent="0.25">
      <c r="A3618" s="3">
        <v>5163</v>
      </c>
      <c r="B3618" s="28"/>
      <c r="C3618" s="3" t="s">
        <v>5</v>
      </c>
    </row>
    <row r="3619" spans="1:3" ht="13.5" thickBot="1" x14ac:dyDescent="0.25">
      <c r="A3619" s="3">
        <v>5047</v>
      </c>
      <c r="B3619" s="28"/>
      <c r="C3619" s="3" t="s">
        <v>6</v>
      </c>
    </row>
    <row r="3620" spans="1:3" ht="13.5" thickBot="1" x14ac:dyDescent="0.25">
      <c r="A3620" s="3">
        <v>3461</v>
      </c>
      <c r="B3620" s="28"/>
      <c r="C3620" s="3" t="s">
        <v>3</v>
      </c>
    </row>
    <row r="3621" spans="1:3" ht="13.5" thickBot="1" x14ac:dyDescent="0.25">
      <c r="A3621" s="3">
        <v>2480</v>
      </c>
      <c r="B3621" s="28"/>
      <c r="C3621" s="3" t="s">
        <v>3</v>
      </c>
    </row>
    <row r="3622" spans="1:3" ht="13.5" thickBot="1" x14ac:dyDescent="0.25">
      <c r="A3622" s="3">
        <v>415</v>
      </c>
      <c r="B3622" s="28"/>
      <c r="C3622" s="3" t="s">
        <v>6</v>
      </c>
    </row>
    <row r="3623" spans="1:3" ht="13.5" thickBot="1" x14ac:dyDescent="0.25">
      <c r="A3623" s="3">
        <v>74</v>
      </c>
      <c r="B3623" s="28"/>
      <c r="C3623" s="3" t="s">
        <v>6</v>
      </c>
    </row>
    <row r="3624" spans="1:3" ht="13.5" thickBot="1" x14ac:dyDescent="0.25">
      <c r="A3624" s="3">
        <v>5844</v>
      </c>
      <c r="B3624" s="28"/>
      <c r="C3624" s="3" t="s">
        <v>4</v>
      </c>
    </row>
    <row r="3625" spans="1:3" ht="13.5" thickBot="1" x14ac:dyDescent="0.25">
      <c r="A3625" s="3">
        <v>7139</v>
      </c>
      <c r="B3625" s="28"/>
      <c r="C3625" s="3" t="s">
        <v>3</v>
      </c>
    </row>
    <row r="3626" spans="1:3" ht="13.5" thickBot="1" x14ac:dyDescent="0.25">
      <c r="A3626" s="3">
        <v>1010</v>
      </c>
      <c r="B3626" s="28"/>
      <c r="C3626" s="3" t="s">
        <v>6</v>
      </c>
    </row>
    <row r="3627" spans="1:3" ht="13.5" thickBot="1" x14ac:dyDescent="0.25">
      <c r="A3627" s="3">
        <v>7994</v>
      </c>
      <c r="B3627" s="28"/>
      <c r="C3627" s="3" t="s">
        <v>4</v>
      </c>
    </row>
    <row r="3628" spans="1:3" ht="13.5" thickBot="1" x14ac:dyDescent="0.25">
      <c r="A3628" s="3">
        <v>2579</v>
      </c>
      <c r="B3628" s="28"/>
      <c r="C3628" s="3" t="s">
        <v>4</v>
      </c>
    </row>
    <row r="3629" spans="1:3" ht="13.5" thickBot="1" x14ac:dyDescent="0.25">
      <c r="A3629" s="3">
        <v>6817</v>
      </c>
      <c r="B3629" s="28"/>
      <c r="C3629" s="3" t="s">
        <v>6</v>
      </c>
    </row>
    <row r="3630" spans="1:3" ht="13.5" thickBot="1" x14ac:dyDescent="0.25">
      <c r="A3630" s="3">
        <v>7251</v>
      </c>
      <c r="B3630" s="28"/>
      <c r="C3630" s="3" t="s">
        <v>4</v>
      </c>
    </row>
    <row r="3631" spans="1:3" ht="13.5" thickBot="1" x14ac:dyDescent="0.25">
      <c r="A3631" s="3">
        <v>3258</v>
      </c>
      <c r="B3631" s="28"/>
      <c r="C3631" s="3" t="s">
        <v>7</v>
      </c>
    </row>
    <row r="3632" spans="1:3" ht="13.5" thickBot="1" x14ac:dyDescent="0.25">
      <c r="A3632" s="3">
        <v>1417</v>
      </c>
      <c r="B3632" s="28"/>
      <c r="C3632" s="3" t="s">
        <v>3</v>
      </c>
    </row>
    <row r="3633" spans="1:3" ht="13.5" thickBot="1" x14ac:dyDescent="0.25">
      <c r="A3633" s="3">
        <v>6114</v>
      </c>
      <c r="B3633" s="28"/>
      <c r="C3633" s="3" t="s">
        <v>4</v>
      </c>
    </row>
    <row r="3634" spans="1:3" ht="13.5" thickBot="1" x14ac:dyDescent="0.25">
      <c r="A3634" s="3">
        <v>3661</v>
      </c>
      <c r="B3634" s="28"/>
      <c r="C3634" s="3" t="s">
        <v>6</v>
      </c>
    </row>
    <row r="3635" spans="1:3" ht="13.5" thickBot="1" x14ac:dyDescent="0.25">
      <c r="A3635" s="3">
        <v>5807</v>
      </c>
      <c r="B3635" s="28"/>
      <c r="C3635" s="3" t="s">
        <v>3</v>
      </c>
    </row>
    <row r="3636" spans="1:3" ht="13.5" thickBot="1" x14ac:dyDescent="0.25">
      <c r="A3636" s="3">
        <v>546</v>
      </c>
      <c r="B3636" s="28"/>
      <c r="C3636" s="3" t="s">
        <v>3</v>
      </c>
    </row>
    <row r="3637" spans="1:3" ht="13.5" thickBot="1" x14ac:dyDescent="0.25">
      <c r="A3637" s="3">
        <v>3923</v>
      </c>
      <c r="B3637" s="28"/>
      <c r="C3637" s="3" t="s">
        <v>3</v>
      </c>
    </row>
    <row r="3638" spans="1:3" ht="13.5" thickBot="1" x14ac:dyDescent="0.25">
      <c r="A3638" s="3">
        <v>3247</v>
      </c>
      <c r="B3638" s="28"/>
      <c r="C3638" s="3" t="s">
        <v>3</v>
      </c>
    </row>
    <row r="3639" spans="1:3" ht="13.5" thickBot="1" x14ac:dyDescent="0.25">
      <c r="A3639" s="3">
        <v>1257</v>
      </c>
      <c r="B3639" s="28"/>
      <c r="C3639" s="3" t="s">
        <v>3</v>
      </c>
    </row>
    <row r="3640" spans="1:3" ht="13.5" thickBot="1" x14ac:dyDescent="0.25">
      <c r="A3640" s="3">
        <v>4343</v>
      </c>
      <c r="B3640" s="28"/>
      <c r="C3640" s="3" t="s">
        <v>5</v>
      </c>
    </row>
    <row r="3641" spans="1:3" ht="13.5" thickBot="1" x14ac:dyDescent="0.25">
      <c r="A3641" s="3">
        <v>1009</v>
      </c>
      <c r="B3641" s="28"/>
      <c r="C3641" s="3" t="s">
        <v>4</v>
      </c>
    </row>
    <row r="3642" spans="1:3" ht="13.5" thickBot="1" x14ac:dyDescent="0.25">
      <c r="A3642" s="3">
        <v>1184</v>
      </c>
      <c r="B3642" s="28"/>
      <c r="C3642" s="3" t="s">
        <v>4</v>
      </c>
    </row>
    <row r="3643" spans="1:3" ht="13.5" thickBot="1" x14ac:dyDescent="0.25">
      <c r="A3643" s="3">
        <v>6713</v>
      </c>
      <c r="B3643" s="28"/>
      <c r="C3643" s="3" t="s">
        <v>7</v>
      </c>
    </row>
    <row r="3644" spans="1:3" ht="13.5" thickBot="1" x14ac:dyDescent="0.25">
      <c r="A3644" s="3">
        <v>3209</v>
      </c>
      <c r="B3644" s="28"/>
      <c r="C3644" s="3" t="s">
        <v>3</v>
      </c>
    </row>
    <row r="3645" spans="1:3" ht="13.5" thickBot="1" x14ac:dyDescent="0.25">
      <c r="A3645" s="3">
        <v>3788</v>
      </c>
      <c r="B3645" s="28"/>
      <c r="C3645" s="3" t="s">
        <v>3</v>
      </c>
    </row>
    <row r="3646" spans="1:3" ht="13.5" thickBot="1" x14ac:dyDescent="0.25">
      <c r="A3646" s="3">
        <v>4673</v>
      </c>
      <c r="B3646" s="28"/>
      <c r="C3646" s="3" t="s">
        <v>3</v>
      </c>
    </row>
    <row r="3647" spans="1:3" ht="13.5" thickBot="1" x14ac:dyDescent="0.25">
      <c r="A3647" s="3">
        <v>2033</v>
      </c>
      <c r="B3647" s="28"/>
      <c r="C3647" s="3" t="s">
        <v>3</v>
      </c>
    </row>
    <row r="3648" spans="1:3" ht="13.5" thickBot="1" x14ac:dyDescent="0.25">
      <c r="A3648" s="3">
        <v>7452</v>
      </c>
      <c r="B3648" s="28"/>
      <c r="C3648" s="3" t="s">
        <v>5</v>
      </c>
    </row>
    <row r="3649" spans="1:3" ht="13.5" thickBot="1" x14ac:dyDescent="0.25">
      <c r="A3649" s="3">
        <v>5055</v>
      </c>
      <c r="B3649" s="28"/>
      <c r="C3649" s="3" t="s">
        <v>3</v>
      </c>
    </row>
    <row r="3650" spans="1:3" ht="13.5" thickBot="1" x14ac:dyDescent="0.25">
      <c r="A3650" s="3">
        <v>4538</v>
      </c>
      <c r="B3650" s="28"/>
      <c r="C3650" s="3" t="s">
        <v>7</v>
      </c>
    </row>
    <row r="3651" spans="1:3" ht="13.5" thickBot="1" x14ac:dyDescent="0.25">
      <c r="A3651" s="3">
        <v>3482</v>
      </c>
      <c r="B3651" s="28"/>
      <c r="C3651" s="3" t="s">
        <v>6</v>
      </c>
    </row>
    <row r="3652" spans="1:3" ht="13.5" thickBot="1" x14ac:dyDescent="0.25">
      <c r="A3652" s="3">
        <v>6062</v>
      </c>
      <c r="B3652" s="28"/>
      <c r="C3652" s="3" t="s">
        <v>4</v>
      </c>
    </row>
    <row r="3653" spans="1:3" ht="13.5" thickBot="1" x14ac:dyDescent="0.25">
      <c r="A3653" s="3">
        <v>4086</v>
      </c>
      <c r="B3653" s="28"/>
      <c r="C3653" s="3" t="s">
        <v>3</v>
      </c>
    </row>
    <row r="3654" spans="1:3" ht="13.5" thickBot="1" x14ac:dyDescent="0.25">
      <c r="A3654" s="3">
        <v>5768</v>
      </c>
      <c r="B3654" s="28"/>
      <c r="C3654" s="3" t="s">
        <v>3</v>
      </c>
    </row>
    <row r="3655" spans="1:3" ht="13.5" thickBot="1" x14ac:dyDescent="0.25">
      <c r="A3655" s="3">
        <v>3814</v>
      </c>
      <c r="B3655" s="28"/>
      <c r="C3655" s="3" t="s">
        <v>5</v>
      </c>
    </row>
    <row r="3656" spans="1:3" ht="13.5" thickBot="1" x14ac:dyDescent="0.25">
      <c r="A3656" s="3">
        <v>3659</v>
      </c>
      <c r="B3656" s="28"/>
      <c r="C3656" s="3" t="s">
        <v>6</v>
      </c>
    </row>
    <row r="3657" spans="1:3" ht="13.5" thickBot="1" x14ac:dyDescent="0.25">
      <c r="A3657" s="3">
        <v>5915</v>
      </c>
      <c r="B3657" s="28"/>
      <c r="C3657" s="3" t="s">
        <v>4</v>
      </c>
    </row>
    <row r="3658" spans="1:3" ht="13.5" thickBot="1" x14ac:dyDescent="0.25">
      <c r="A3658" s="3">
        <v>80</v>
      </c>
      <c r="B3658" s="28"/>
      <c r="C3658" s="3" t="s">
        <v>4</v>
      </c>
    </row>
    <row r="3659" spans="1:3" ht="13.5" thickBot="1" x14ac:dyDescent="0.25">
      <c r="A3659" s="3">
        <v>1590</v>
      </c>
      <c r="B3659" s="28"/>
      <c r="C3659" s="3" t="s">
        <v>3</v>
      </c>
    </row>
    <row r="3660" spans="1:3" ht="13.5" thickBot="1" x14ac:dyDescent="0.25">
      <c r="A3660" s="3">
        <v>3470</v>
      </c>
      <c r="B3660" s="28"/>
      <c r="C3660" s="3" t="s">
        <v>3</v>
      </c>
    </row>
    <row r="3661" spans="1:3" ht="13.5" thickBot="1" x14ac:dyDescent="0.25">
      <c r="A3661" s="3">
        <v>80</v>
      </c>
      <c r="B3661" s="28"/>
      <c r="C3661" s="3" t="s">
        <v>6</v>
      </c>
    </row>
    <row r="3662" spans="1:3" ht="13.5" thickBot="1" x14ac:dyDescent="0.25">
      <c r="A3662" s="3">
        <v>1616</v>
      </c>
      <c r="B3662" s="28"/>
      <c r="C3662" s="3" t="s">
        <v>5</v>
      </c>
    </row>
    <row r="3663" spans="1:3" ht="13.5" thickBot="1" x14ac:dyDescent="0.25">
      <c r="A3663" s="3">
        <v>3729</v>
      </c>
      <c r="B3663" s="28"/>
      <c r="C3663" s="3" t="s">
        <v>3</v>
      </c>
    </row>
    <row r="3664" spans="1:3" ht="13.5" thickBot="1" x14ac:dyDescent="0.25">
      <c r="A3664" s="3">
        <v>6465</v>
      </c>
      <c r="B3664" s="28"/>
      <c r="C3664" s="3" t="s">
        <v>3</v>
      </c>
    </row>
    <row r="3665" spans="1:3" ht="13.5" thickBot="1" x14ac:dyDescent="0.25">
      <c r="A3665" s="3">
        <v>3247</v>
      </c>
      <c r="B3665" s="28"/>
      <c r="C3665" s="3" t="s">
        <v>5</v>
      </c>
    </row>
    <row r="3666" spans="1:3" ht="13.5" thickBot="1" x14ac:dyDescent="0.25">
      <c r="A3666" s="3">
        <v>1838</v>
      </c>
      <c r="B3666" s="28"/>
      <c r="C3666" s="3" t="s">
        <v>3</v>
      </c>
    </row>
    <row r="3667" spans="1:3" ht="13.5" thickBot="1" x14ac:dyDescent="0.25">
      <c r="A3667" s="3">
        <v>6817</v>
      </c>
      <c r="B3667" s="28"/>
      <c r="C3667" s="3" t="s">
        <v>5</v>
      </c>
    </row>
    <row r="3668" spans="1:3" ht="13.5" thickBot="1" x14ac:dyDescent="0.25">
      <c r="A3668" s="3">
        <v>7358</v>
      </c>
      <c r="B3668" s="28"/>
      <c r="C3668" s="3" t="s">
        <v>4</v>
      </c>
    </row>
    <row r="3669" spans="1:3" ht="13.5" thickBot="1" x14ac:dyDescent="0.25">
      <c r="A3669" s="3">
        <v>1616</v>
      </c>
      <c r="B3669" s="28"/>
      <c r="C3669" s="3" t="s">
        <v>3</v>
      </c>
    </row>
    <row r="3670" spans="1:3" ht="13.5" thickBot="1" x14ac:dyDescent="0.25">
      <c r="A3670" s="3">
        <v>4343</v>
      </c>
      <c r="B3670" s="28"/>
      <c r="C3670" s="3" t="s">
        <v>4</v>
      </c>
    </row>
    <row r="3671" spans="1:3" ht="13.5" thickBot="1" x14ac:dyDescent="0.25">
      <c r="A3671" s="3">
        <v>1508</v>
      </c>
      <c r="B3671" s="28"/>
      <c r="C3671" s="3" t="s">
        <v>7</v>
      </c>
    </row>
    <row r="3672" spans="1:3" ht="13.5" thickBot="1" x14ac:dyDescent="0.25">
      <c r="A3672" s="3">
        <v>5455</v>
      </c>
      <c r="B3672" s="28"/>
      <c r="C3672" s="3" t="s">
        <v>5</v>
      </c>
    </row>
    <row r="3673" spans="1:3" ht="13.5" thickBot="1" x14ac:dyDescent="0.25">
      <c r="A3673" s="3">
        <v>345</v>
      </c>
      <c r="B3673" s="28"/>
      <c r="C3673" s="3" t="s">
        <v>3</v>
      </c>
    </row>
    <row r="3674" spans="1:3" ht="13.5" thickBot="1" x14ac:dyDescent="0.25">
      <c r="A3674" s="3">
        <v>4960</v>
      </c>
      <c r="B3674" s="28"/>
      <c r="C3674" s="3" t="s">
        <v>3</v>
      </c>
    </row>
    <row r="3675" spans="1:3" ht="13.5" thickBot="1" x14ac:dyDescent="0.25">
      <c r="A3675" s="3">
        <v>2289</v>
      </c>
      <c r="B3675" s="28"/>
      <c r="C3675" s="3" t="s">
        <v>6</v>
      </c>
    </row>
    <row r="3676" spans="1:3" ht="13.5" thickBot="1" x14ac:dyDescent="0.25">
      <c r="A3676" s="3">
        <v>3729</v>
      </c>
      <c r="B3676" s="28"/>
      <c r="C3676" s="3" t="s">
        <v>4</v>
      </c>
    </row>
    <row r="3677" spans="1:3" ht="13.5" thickBot="1" x14ac:dyDescent="0.25">
      <c r="A3677" s="3">
        <v>6104</v>
      </c>
      <c r="B3677" s="28"/>
      <c r="C3677" s="3" t="s">
        <v>4</v>
      </c>
    </row>
    <row r="3678" spans="1:3" ht="13.5" thickBot="1" x14ac:dyDescent="0.25">
      <c r="A3678" s="3">
        <v>1454</v>
      </c>
      <c r="B3678" s="28"/>
      <c r="C3678" s="3" t="s">
        <v>3</v>
      </c>
    </row>
    <row r="3679" spans="1:3" ht="13.5" thickBot="1" x14ac:dyDescent="0.25">
      <c r="A3679" s="3">
        <v>1851</v>
      </c>
      <c r="B3679" s="28"/>
      <c r="C3679" s="3" t="s">
        <v>3</v>
      </c>
    </row>
    <row r="3680" spans="1:3" ht="13.5" thickBot="1" x14ac:dyDescent="0.25">
      <c r="A3680" s="3">
        <v>7047</v>
      </c>
      <c r="B3680" s="28"/>
      <c r="C3680" s="3" t="s">
        <v>4</v>
      </c>
    </row>
    <row r="3681" spans="1:3" ht="13.5" thickBot="1" x14ac:dyDescent="0.25">
      <c r="A3681" s="3">
        <v>4086</v>
      </c>
      <c r="B3681" s="28"/>
      <c r="C3681" s="3" t="s">
        <v>4</v>
      </c>
    </row>
    <row r="3682" spans="1:3" ht="13.5" thickBot="1" x14ac:dyDescent="0.25">
      <c r="A3682" s="3">
        <v>3858</v>
      </c>
      <c r="B3682" s="28"/>
      <c r="C3682" s="3" t="s">
        <v>3</v>
      </c>
    </row>
    <row r="3683" spans="1:3" ht="13.5" thickBot="1" x14ac:dyDescent="0.25">
      <c r="A3683" s="3">
        <v>7101</v>
      </c>
      <c r="B3683" s="28"/>
      <c r="C3683" s="3" t="s">
        <v>4</v>
      </c>
    </row>
    <row r="3684" spans="1:3" ht="13.5" thickBot="1" x14ac:dyDescent="0.25">
      <c r="A3684" s="3">
        <v>7047</v>
      </c>
      <c r="B3684" s="28"/>
      <c r="C3684" s="3" t="s">
        <v>3</v>
      </c>
    </row>
    <row r="3685" spans="1:3" ht="13.5" thickBot="1" x14ac:dyDescent="0.25">
      <c r="A3685" s="3">
        <v>6062</v>
      </c>
      <c r="B3685" s="28"/>
      <c r="C3685" s="3" t="s">
        <v>3</v>
      </c>
    </row>
    <row r="3686" spans="1:3" ht="13.5" thickBot="1" x14ac:dyDescent="0.25">
      <c r="A3686" s="3">
        <v>3788</v>
      </c>
      <c r="B3686" s="28"/>
      <c r="C3686" s="3" t="s">
        <v>6</v>
      </c>
    </row>
    <row r="3687" spans="1:3" ht="13.5" thickBot="1" x14ac:dyDescent="0.25">
      <c r="A3687" s="3">
        <v>6049</v>
      </c>
      <c r="B3687" s="28"/>
      <c r="C3687" s="3" t="s">
        <v>7</v>
      </c>
    </row>
    <row r="3688" spans="1:3" ht="13.5" thickBot="1" x14ac:dyDescent="0.25">
      <c r="A3688" s="3">
        <v>7622</v>
      </c>
      <c r="B3688" s="28"/>
      <c r="C3688" s="3" t="s">
        <v>4</v>
      </c>
    </row>
    <row r="3689" spans="1:3" ht="13.5" thickBot="1" x14ac:dyDescent="0.25">
      <c r="A3689" s="3">
        <v>1923</v>
      </c>
      <c r="B3689" s="28"/>
      <c r="C3689" s="3" t="s">
        <v>7</v>
      </c>
    </row>
    <row r="3690" spans="1:3" ht="13.5" thickBot="1" x14ac:dyDescent="0.25">
      <c r="A3690" s="3">
        <v>5163</v>
      </c>
      <c r="B3690" s="28"/>
      <c r="C3690" s="3" t="s">
        <v>7</v>
      </c>
    </row>
    <row r="3691" spans="1:3" ht="13.5" thickBot="1" x14ac:dyDescent="0.25">
      <c r="A3691" s="3">
        <v>4383</v>
      </c>
      <c r="B3691" s="28"/>
      <c r="C3691" s="3" t="s">
        <v>3</v>
      </c>
    </row>
    <row r="3692" spans="1:3" ht="13.5" thickBot="1" x14ac:dyDescent="0.25">
      <c r="A3692" s="3">
        <v>4673</v>
      </c>
      <c r="B3692" s="28"/>
      <c r="C3692" s="3" t="s">
        <v>7</v>
      </c>
    </row>
    <row r="3693" spans="1:3" ht="13.5" thickBot="1" x14ac:dyDescent="0.25">
      <c r="A3693" s="3">
        <v>1545</v>
      </c>
      <c r="B3693" s="28"/>
      <c r="C3693" s="3" t="s">
        <v>3</v>
      </c>
    </row>
    <row r="3694" spans="1:3" ht="13.5" thickBot="1" x14ac:dyDescent="0.25">
      <c r="A3694" s="3">
        <v>3096</v>
      </c>
      <c r="B3694" s="28"/>
      <c r="C3694" s="3" t="s">
        <v>7</v>
      </c>
    </row>
    <row r="3695" spans="1:3" ht="13.5" thickBot="1" x14ac:dyDescent="0.25">
      <c r="A3695" s="3">
        <v>3687</v>
      </c>
      <c r="B3695" s="28"/>
      <c r="C3695" s="3" t="s">
        <v>3</v>
      </c>
    </row>
    <row r="3696" spans="1:3" ht="13.5" thickBot="1" x14ac:dyDescent="0.25">
      <c r="A3696" s="3">
        <v>4383</v>
      </c>
      <c r="B3696" s="28"/>
      <c r="C3696" s="3" t="s">
        <v>4</v>
      </c>
    </row>
    <row r="3697" spans="1:3" ht="13.5" thickBot="1" x14ac:dyDescent="0.25">
      <c r="A3697" s="3">
        <v>3351</v>
      </c>
      <c r="B3697" s="28"/>
      <c r="C3697" s="3" t="s">
        <v>6</v>
      </c>
    </row>
    <row r="3698" spans="1:3" ht="13.5" thickBot="1" x14ac:dyDescent="0.25">
      <c r="A3698" s="3">
        <v>7793</v>
      </c>
      <c r="B3698" s="28"/>
      <c r="C3698" s="3" t="s">
        <v>3</v>
      </c>
    </row>
    <row r="3699" spans="1:3" ht="13.5" thickBot="1" x14ac:dyDescent="0.25">
      <c r="A3699" s="3">
        <v>7834</v>
      </c>
      <c r="B3699" s="28"/>
      <c r="C3699" s="3" t="s">
        <v>3</v>
      </c>
    </row>
    <row r="3700" spans="1:3" ht="13.5" thickBot="1" x14ac:dyDescent="0.25">
      <c r="A3700" s="3">
        <v>3814</v>
      </c>
      <c r="B3700" s="28"/>
      <c r="C3700" s="3" t="s">
        <v>3</v>
      </c>
    </row>
    <row r="3701" spans="1:3" ht="13.5" thickBot="1" x14ac:dyDescent="0.25">
      <c r="A3701" s="3">
        <v>6933</v>
      </c>
      <c r="B3701" s="28"/>
      <c r="C3701" s="3" t="s">
        <v>3</v>
      </c>
    </row>
    <row r="3702" spans="1:3" ht="13.5" thickBot="1" x14ac:dyDescent="0.25">
      <c r="A3702" s="3">
        <v>3548</v>
      </c>
      <c r="B3702" s="28"/>
      <c r="C3702" s="3" t="s">
        <v>3</v>
      </c>
    </row>
    <row r="3703" spans="1:3" ht="13.5" thickBot="1" x14ac:dyDescent="0.25">
      <c r="A3703" s="3">
        <v>1196</v>
      </c>
      <c r="B3703" s="28"/>
      <c r="C3703" s="3" t="s">
        <v>6</v>
      </c>
    </row>
    <row r="3704" spans="1:3" ht="13.5" thickBot="1" x14ac:dyDescent="0.25">
      <c r="A3704" s="3">
        <v>5667</v>
      </c>
      <c r="B3704" s="28"/>
      <c r="C3704" s="3" t="s">
        <v>4</v>
      </c>
    </row>
    <row r="3705" spans="1:3" ht="13.5" thickBot="1" x14ac:dyDescent="0.25">
      <c r="A3705" s="3">
        <v>7994</v>
      </c>
      <c r="B3705" s="28"/>
      <c r="C3705" s="3" t="s">
        <v>7</v>
      </c>
    </row>
    <row r="3706" spans="1:3" ht="13.5" thickBot="1" x14ac:dyDescent="0.25">
      <c r="A3706" s="3">
        <v>7517</v>
      </c>
      <c r="B3706" s="28"/>
      <c r="C3706" s="3" t="s">
        <v>4</v>
      </c>
    </row>
    <row r="3707" spans="1:3" ht="13.5" thickBot="1" x14ac:dyDescent="0.25">
      <c r="A3707" s="3">
        <v>4489</v>
      </c>
      <c r="B3707" s="28"/>
      <c r="C3707" s="3" t="s">
        <v>3</v>
      </c>
    </row>
    <row r="3708" spans="1:3" ht="13.5" thickBot="1" x14ac:dyDescent="0.25">
      <c r="A3708" s="3">
        <v>6049</v>
      </c>
      <c r="B3708" s="28"/>
      <c r="C3708" s="3" t="s">
        <v>5</v>
      </c>
    </row>
    <row r="3709" spans="1:3" ht="13.5" thickBot="1" x14ac:dyDescent="0.25">
      <c r="A3709" s="3">
        <v>5325</v>
      </c>
      <c r="B3709" s="28"/>
      <c r="C3709" s="3" t="s">
        <v>4</v>
      </c>
    </row>
    <row r="3710" spans="1:3" ht="13.5" thickBot="1" x14ac:dyDescent="0.25">
      <c r="A3710" s="3">
        <v>587</v>
      </c>
      <c r="B3710" s="28"/>
      <c r="C3710" s="3" t="s">
        <v>7</v>
      </c>
    </row>
    <row r="3711" spans="1:3" ht="13.5" thickBot="1" x14ac:dyDescent="0.25">
      <c r="A3711" s="3">
        <v>6700</v>
      </c>
      <c r="B3711" s="28"/>
      <c r="C3711" s="3" t="s">
        <v>5</v>
      </c>
    </row>
    <row r="3712" spans="1:3" ht="13.5" thickBot="1" x14ac:dyDescent="0.25">
      <c r="A3712" s="3">
        <v>5163</v>
      </c>
      <c r="B3712" s="28"/>
      <c r="C3712" s="3" t="s">
        <v>6</v>
      </c>
    </row>
    <row r="3713" spans="1:3" ht="13.5" thickBot="1" x14ac:dyDescent="0.25">
      <c r="A3713" s="3">
        <v>3348</v>
      </c>
      <c r="B3713" s="28"/>
      <c r="C3713" s="3" t="s">
        <v>5</v>
      </c>
    </row>
    <row r="3714" spans="1:3" ht="13.5" thickBot="1" x14ac:dyDescent="0.25">
      <c r="A3714" s="3">
        <v>7068</v>
      </c>
      <c r="B3714" s="28"/>
      <c r="C3714" s="3" t="s">
        <v>4</v>
      </c>
    </row>
    <row r="3715" spans="1:3" ht="13.5" thickBot="1" x14ac:dyDescent="0.25">
      <c r="A3715" s="3">
        <v>3351</v>
      </c>
      <c r="B3715" s="28"/>
      <c r="C3715" s="3" t="s">
        <v>7</v>
      </c>
    </row>
    <row r="3716" spans="1:3" ht="13.5" thickBot="1" x14ac:dyDescent="0.25">
      <c r="A3716" s="3">
        <v>2821</v>
      </c>
      <c r="B3716" s="28"/>
      <c r="C3716" s="3" t="s">
        <v>4</v>
      </c>
    </row>
    <row r="3717" spans="1:3" ht="13.5" thickBot="1" x14ac:dyDescent="0.25">
      <c r="A3717" s="3">
        <v>5915</v>
      </c>
      <c r="B3717" s="28"/>
      <c r="C3717" s="3" t="s">
        <v>6</v>
      </c>
    </row>
    <row r="3718" spans="1:3" ht="13.5" thickBot="1" x14ac:dyDescent="0.25">
      <c r="A3718" s="3">
        <v>3858</v>
      </c>
      <c r="B3718" s="28"/>
      <c r="C3718" s="3" t="s">
        <v>7</v>
      </c>
    </row>
    <row r="3719" spans="1:3" ht="13.5" thickBot="1" x14ac:dyDescent="0.25">
      <c r="A3719" s="3">
        <v>7047</v>
      </c>
      <c r="B3719" s="28"/>
      <c r="C3719" s="3" t="s">
        <v>6</v>
      </c>
    </row>
    <row r="3720" spans="1:3" ht="13.5" thickBot="1" x14ac:dyDescent="0.25">
      <c r="A3720" s="3">
        <v>3470</v>
      </c>
      <c r="B3720" s="28"/>
      <c r="C3720" s="3" t="s">
        <v>6</v>
      </c>
    </row>
    <row r="3721" spans="1:3" ht="13.5" thickBot="1" x14ac:dyDescent="0.25">
      <c r="A3721" s="3">
        <v>6062</v>
      </c>
      <c r="B3721" s="28"/>
      <c r="C3721" s="3" t="s">
        <v>7</v>
      </c>
    </row>
    <row r="3722" spans="1:3" ht="13.5" thickBot="1" x14ac:dyDescent="0.25">
      <c r="A3722" s="3">
        <v>4579</v>
      </c>
      <c r="B3722" s="28"/>
      <c r="C3722" s="3" t="s">
        <v>3</v>
      </c>
    </row>
    <row r="3723" spans="1:3" ht="13.5" thickBot="1" x14ac:dyDescent="0.25">
      <c r="A3723" s="3">
        <v>329</v>
      </c>
      <c r="B3723" s="28"/>
      <c r="C3723" s="3" t="s">
        <v>6</v>
      </c>
    </row>
    <row r="3724" spans="1:3" ht="13.5" thickBot="1" x14ac:dyDescent="0.25">
      <c r="A3724" s="3">
        <v>6257</v>
      </c>
      <c r="B3724" s="28"/>
      <c r="C3724" s="3" t="s">
        <v>3</v>
      </c>
    </row>
    <row r="3725" spans="1:3" ht="13.5" thickBot="1" x14ac:dyDescent="0.25">
      <c r="A3725" s="3">
        <v>4960</v>
      </c>
      <c r="B3725" s="28"/>
      <c r="C3725" s="3" t="s">
        <v>4</v>
      </c>
    </row>
    <row r="3726" spans="1:3" ht="13.5" thickBot="1" x14ac:dyDescent="0.25">
      <c r="A3726" s="3">
        <v>3470</v>
      </c>
      <c r="B3726" s="28"/>
      <c r="C3726" s="3" t="s">
        <v>4</v>
      </c>
    </row>
    <row r="3727" spans="1:3" ht="13.5" thickBot="1" x14ac:dyDescent="0.25">
      <c r="A3727" s="3">
        <v>6488</v>
      </c>
      <c r="B3727" s="28"/>
      <c r="C3727" s="3" t="s">
        <v>6</v>
      </c>
    </row>
    <row r="3728" spans="1:3" ht="13.5" thickBot="1" x14ac:dyDescent="0.25">
      <c r="A3728" s="3">
        <v>4858</v>
      </c>
      <c r="B3728" s="28"/>
      <c r="C3728" s="3" t="s">
        <v>6</v>
      </c>
    </row>
    <row r="3729" spans="1:3" ht="13.5" thickBot="1" x14ac:dyDescent="0.25">
      <c r="A3729" s="3">
        <v>1616</v>
      </c>
      <c r="B3729" s="28"/>
      <c r="C3729" s="3" t="s">
        <v>6</v>
      </c>
    </row>
    <row r="3730" spans="1:3" ht="13.5" thickBot="1" x14ac:dyDescent="0.25">
      <c r="A3730" s="3">
        <v>1184</v>
      </c>
      <c r="B3730" s="28"/>
      <c r="C3730" s="3" t="s">
        <v>5</v>
      </c>
    </row>
    <row r="3731" spans="1:3" ht="13.5" thickBot="1" x14ac:dyDescent="0.25">
      <c r="A3731" s="3">
        <v>1184</v>
      </c>
      <c r="B3731" s="28"/>
      <c r="C3731" s="3" t="s">
        <v>7</v>
      </c>
    </row>
    <row r="3732" spans="1:3" ht="13.5" thickBot="1" x14ac:dyDescent="0.25">
      <c r="A3732" s="3">
        <v>3483</v>
      </c>
      <c r="B3732" s="28"/>
      <c r="C3732" s="3" t="s">
        <v>3</v>
      </c>
    </row>
    <row r="3733" spans="1:3" ht="13.5" thickBot="1" x14ac:dyDescent="0.25">
      <c r="A3733" s="3">
        <v>4275</v>
      </c>
      <c r="B3733" s="28"/>
      <c r="C3733" s="3" t="s">
        <v>3</v>
      </c>
    </row>
    <row r="3734" spans="1:3" ht="13.5" thickBot="1" x14ac:dyDescent="0.25">
      <c r="A3734" s="3">
        <v>3483</v>
      </c>
      <c r="B3734" s="28"/>
      <c r="C3734" s="3" t="s">
        <v>4</v>
      </c>
    </row>
    <row r="3735" spans="1:3" ht="13.5" thickBot="1" x14ac:dyDescent="0.25">
      <c r="A3735" s="3">
        <v>2803</v>
      </c>
      <c r="B3735" s="28"/>
      <c r="C3735" s="3" t="s">
        <v>5</v>
      </c>
    </row>
    <row r="3736" spans="1:3" ht="13.5" thickBot="1" x14ac:dyDescent="0.25">
      <c r="A3736" s="3">
        <v>4086</v>
      </c>
      <c r="B3736" s="28"/>
      <c r="C3736" s="3" t="s">
        <v>5</v>
      </c>
    </row>
    <row r="3737" spans="1:3" ht="13.5" thickBot="1" x14ac:dyDescent="0.25">
      <c r="A3737" s="3">
        <v>3482</v>
      </c>
      <c r="B3737" s="28"/>
      <c r="C3737" s="3" t="s">
        <v>7</v>
      </c>
    </row>
    <row r="3738" spans="1:3" ht="13.5" thickBot="1" x14ac:dyDescent="0.25">
      <c r="A3738" s="3">
        <v>2367</v>
      </c>
      <c r="B3738" s="28"/>
      <c r="C3738" s="3" t="s">
        <v>3</v>
      </c>
    </row>
    <row r="3739" spans="1:3" ht="13.5" thickBot="1" x14ac:dyDescent="0.25">
      <c r="A3739" s="3">
        <v>6476</v>
      </c>
      <c r="B3739" s="28"/>
      <c r="C3739" s="3" t="s">
        <v>3</v>
      </c>
    </row>
    <row r="3740" spans="1:3" ht="13.5" thickBot="1" x14ac:dyDescent="0.25">
      <c r="A3740" s="3">
        <v>743</v>
      </c>
      <c r="B3740" s="28"/>
      <c r="C3740" s="3" t="s">
        <v>5</v>
      </c>
    </row>
    <row r="3741" spans="1:3" ht="13.5" thickBot="1" x14ac:dyDescent="0.25">
      <c r="A3741" s="3">
        <v>3136</v>
      </c>
      <c r="B3741" s="28"/>
      <c r="C3741" s="3" t="s">
        <v>7</v>
      </c>
    </row>
    <row r="3742" spans="1:3" ht="13.5" thickBot="1" x14ac:dyDescent="0.25">
      <c r="A3742" s="3">
        <v>5916</v>
      </c>
      <c r="B3742" s="28"/>
      <c r="C3742" s="3" t="s">
        <v>3</v>
      </c>
    </row>
    <row r="3743" spans="1:3" ht="13.5" thickBot="1" x14ac:dyDescent="0.25">
      <c r="A3743" s="3">
        <v>5012</v>
      </c>
      <c r="B3743" s="28"/>
      <c r="C3743" s="3" t="s">
        <v>3</v>
      </c>
    </row>
    <row r="3744" spans="1:3" ht="13.5" thickBot="1" x14ac:dyDescent="0.25">
      <c r="A3744" s="3">
        <v>6098</v>
      </c>
      <c r="B3744" s="28"/>
      <c r="C3744" s="3" t="s">
        <v>3</v>
      </c>
    </row>
    <row r="3745" spans="1:3" ht="13.5" thickBot="1" x14ac:dyDescent="0.25">
      <c r="A3745" s="3">
        <v>7701</v>
      </c>
      <c r="B3745" s="28"/>
      <c r="C3745" s="3" t="s">
        <v>6</v>
      </c>
    </row>
    <row r="3746" spans="1:3" ht="13.5" thickBot="1" x14ac:dyDescent="0.25">
      <c r="A3746" s="3">
        <v>2900</v>
      </c>
      <c r="B3746" s="28"/>
      <c r="C3746" s="3" t="s">
        <v>6</v>
      </c>
    </row>
    <row r="3747" spans="1:3" ht="13.5" thickBot="1" x14ac:dyDescent="0.25">
      <c r="A3747" s="3">
        <v>4896</v>
      </c>
      <c r="B3747" s="28"/>
      <c r="C3747" s="3" t="s">
        <v>3</v>
      </c>
    </row>
    <row r="3748" spans="1:3" ht="13.5" thickBot="1" x14ac:dyDescent="0.25">
      <c r="A3748" s="3">
        <v>5212</v>
      </c>
      <c r="B3748" s="28"/>
      <c r="C3748" s="3" t="s">
        <v>4</v>
      </c>
    </row>
    <row r="3749" spans="1:3" ht="13.5" thickBot="1" x14ac:dyDescent="0.25">
      <c r="A3749" s="3">
        <v>3525</v>
      </c>
      <c r="B3749" s="28"/>
      <c r="C3749" s="3" t="s">
        <v>5</v>
      </c>
    </row>
    <row r="3750" spans="1:3" ht="13.5" thickBot="1" x14ac:dyDescent="0.25">
      <c r="A3750" s="3">
        <v>3395</v>
      </c>
      <c r="B3750" s="28"/>
      <c r="C3750" s="3" t="s">
        <v>3</v>
      </c>
    </row>
    <row r="3751" spans="1:3" ht="13.5" thickBot="1" x14ac:dyDescent="0.25">
      <c r="A3751" s="3">
        <v>2803</v>
      </c>
      <c r="B3751" s="28"/>
      <c r="C3751" s="3" t="s">
        <v>4</v>
      </c>
    </row>
    <row r="3752" spans="1:3" ht="13.5" thickBot="1" x14ac:dyDescent="0.25">
      <c r="A3752" s="3">
        <v>3707</v>
      </c>
      <c r="B3752" s="28"/>
      <c r="C3752" s="3" t="s">
        <v>3</v>
      </c>
    </row>
    <row r="3753" spans="1:3" ht="13.5" thickBot="1" x14ac:dyDescent="0.25">
      <c r="A3753" s="3">
        <v>3865</v>
      </c>
      <c r="B3753" s="28"/>
      <c r="C3753" s="3" t="s">
        <v>3</v>
      </c>
    </row>
    <row r="3754" spans="1:3" ht="13.5" thickBot="1" x14ac:dyDescent="0.25">
      <c r="A3754" s="3">
        <v>2376</v>
      </c>
      <c r="B3754" s="28"/>
      <c r="C3754" s="3" t="s">
        <v>4</v>
      </c>
    </row>
    <row r="3755" spans="1:3" ht="13.5" thickBot="1" x14ac:dyDescent="0.25">
      <c r="A3755" s="3">
        <v>2803</v>
      </c>
      <c r="B3755" s="28"/>
      <c r="C3755" s="3" t="s">
        <v>3</v>
      </c>
    </row>
    <row r="3756" spans="1:3" ht="13.5" thickBot="1" x14ac:dyDescent="0.25">
      <c r="A3756" s="3">
        <v>4383</v>
      </c>
      <c r="B3756" s="28"/>
      <c r="C3756" s="3" t="s">
        <v>5</v>
      </c>
    </row>
    <row r="3757" spans="1:3" ht="13.5" thickBot="1" x14ac:dyDescent="0.25">
      <c r="A3757" s="3">
        <v>7706</v>
      </c>
      <c r="B3757" s="28"/>
      <c r="C3757" s="3" t="s">
        <v>3</v>
      </c>
    </row>
    <row r="3758" spans="1:3" ht="13.5" thickBot="1" x14ac:dyDescent="0.25">
      <c r="A3758" s="3">
        <v>7208</v>
      </c>
      <c r="B3758" s="28"/>
      <c r="C3758" s="3" t="s">
        <v>7</v>
      </c>
    </row>
    <row r="3759" spans="1:3" ht="13.5" thickBot="1" x14ac:dyDescent="0.25">
      <c r="A3759" s="3">
        <v>2500</v>
      </c>
      <c r="B3759" s="28"/>
      <c r="C3759" s="3" t="s">
        <v>3</v>
      </c>
    </row>
    <row r="3760" spans="1:3" ht="13.5" thickBot="1" x14ac:dyDescent="0.25">
      <c r="A3760" s="3">
        <v>1851</v>
      </c>
      <c r="B3760" s="28"/>
      <c r="C3760" s="3" t="s">
        <v>4</v>
      </c>
    </row>
    <row r="3761" spans="1:3" ht="13.5" thickBot="1" x14ac:dyDescent="0.25">
      <c r="A3761" s="3">
        <v>3483</v>
      </c>
      <c r="B3761" s="28"/>
      <c r="C3761" s="3" t="s">
        <v>5</v>
      </c>
    </row>
    <row r="3762" spans="1:3" ht="13.5" thickBot="1" x14ac:dyDescent="0.25">
      <c r="A3762" s="3">
        <v>2210</v>
      </c>
      <c r="B3762" s="28"/>
      <c r="C3762" s="3" t="s">
        <v>3</v>
      </c>
    </row>
    <row r="3763" spans="1:3" ht="13.5" thickBot="1" x14ac:dyDescent="0.25">
      <c r="A3763" s="3">
        <v>743</v>
      </c>
      <c r="B3763" s="28"/>
      <c r="C3763" s="3" t="s">
        <v>7</v>
      </c>
    </row>
    <row r="3764" spans="1:3" ht="13.5" thickBot="1" x14ac:dyDescent="0.25">
      <c r="A3764" s="3">
        <v>1276</v>
      </c>
      <c r="B3764" s="28"/>
      <c r="C3764" s="3" t="s">
        <v>3</v>
      </c>
    </row>
    <row r="3765" spans="1:3" ht="13.5" thickBot="1" x14ac:dyDescent="0.25">
      <c r="A3765" s="3">
        <v>4343</v>
      </c>
      <c r="B3765" s="28"/>
      <c r="C3765" s="3" t="s">
        <v>6</v>
      </c>
    </row>
    <row r="3766" spans="1:3" ht="13.5" thickBot="1" x14ac:dyDescent="0.25">
      <c r="A3766" s="3">
        <v>4522</v>
      </c>
      <c r="B3766" s="28"/>
      <c r="C3766" s="3" t="s">
        <v>3</v>
      </c>
    </row>
    <row r="3767" spans="1:3" ht="13.5" thickBot="1" x14ac:dyDescent="0.25">
      <c r="A3767" s="3">
        <v>4250</v>
      </c>
      <c r="B3767" s="28"/>
      <c r="C3767" s="3" t="s">
        <v>3</v>
      </c>
    </row>
    <row r="3768" spans="1:3" ht="13.5" thickBot="1" x14ac:dyDescent="0.25">
      <c r="A3768" s="3">
        <v>1074</v>
      </c>
      <c r="B3768" s="28"/>
      <c r="C3768" s="3" t="s">
        <v>3</v>
      </c>
    </row>
    <row r="3769" spans="1:3" ht="13.5" thickBot="1" x14ac:dyDescent="0.25">
      <c r="A3769" s="3">
        <v>1215</v>
      </c>
      <c r="B3769" s="28"/>
      <c r="C3769" s="3" t="s">
        <v>3</v>
      </c>
    </row>
    <row r="3770" spans="1:3" ht="13.5" thickBot="1" x14ac:dyDescent="0.25">
      <c r="A3770" s="3">
        <v>6606</v>
      </c>
      <c r="B3770" s="28"/>
      <c r="C3770" s="3" t="s">
        <v>3</v>
      </c>
    </row>
    <row r="3771" spans="1:3" ht="13.5" thickBot="1" x14ac:dyDescent="0.25">
      <c r="A3771" s="3">
        <v>398</v>
      </c>
      <c r="B3771" s="28"/>
      <c r="C3771" s="3" t="s">
        <v>3</v>
      </c>
    </row>
    <row r="3772" spans="1:3" ht="13.5" thickBot="1" x14ac:dyDescent="0.25">
      <c r="A3772" s="3">
        <v>1484</v>
      </c>
      <c r="B3772" s="28"/>
      <c r="C3772" s="3" t="s">
        <v>3</v>
      </c>
    </row>
    <row r="3773" spans="1:3" ht="13.5" thickBot="1" x14ac:dyDescent="0.25">
      <c r="A3773" s="3">
        <v>2690</v>
      </c>
      <c r="B3773" s="28"/>
      <c r="C3773" s="3" t="s">
        <v>6</v>
      </c>
    </row>
    <row r="3774" spans="1:3" ht="13.5" thickBot="1" x14ac:dyDescent="0.25">
      <c r="A3774" s="3">
        <v>3814</v>
      </c>
      <c r="B3774" s="28"/>
      <c r="C3774" s="3" t="s">
        <v>4</v>
      </c>
    </row>
    <row r="3775" spans="1:3" ht="13.5" thickBot="1" x14ac:dyDescent="0.25">
      <c r="A3775" s="3">
        <v>1971</v>
      </c>
      <c r="B3775" s="28"/>
      <c r="C3775" s="3" t="s">
        <v>3</v>
      </c>
    </row>
    <row r="3776" spans="1:3" ht="13.5" thickBot="1" x14ac:dyDescent="0.25">
      <c r="A3776" s="3">
        <v>1851</v>
      </c>
      <c r="B3776" s="28"/>
      <c r="C3776" s="3" t="s">
        <v>7</v>
      </c>
    </row>
    <row r="3777" spans="1:3" ht="13.5" thickBot="1" x14ac:dyDescent="0.25">
      <c r="A3777" s="3">
        <v>3461</v>
      </c>
      <c r="B3777" s="28"/>
      <c r="C3777" s="3" t="s">
        <v>5</v>
      </c>
    </row>
    <row r="3778" spans="1:3" ht="13.5" thickBot="1" x14ac:dyDescent="0.25">
      <c r="A3778" s="3">
        <v>4740</v>
      </c>
      <c r="B3778" s="28"/>
      <c r="C3778" s="3" t="s">
        <v>7</v>
      </c>
    </row>
    <row r="3779" spans="1:3" ht="13.5" thickBot="1" x14ac:dyDescent="0.25">
      <c r="A3779" s="3">
        <v>1296</v>
      </c>
      <c r="B3779" s="28"/>
      <c r="C3779" s="3" t="s">
        <v>6</v>
      </c>
    </row>
    <row r="3780" spans="1:3" ht="13.5" thickBot="1" x14ac:dyDescent="0.25">
      <c r="A3780" s="3">
        <v>3348</v>
      </c>
      <c r="B3780" s="28"/>
      <c r="C3780" s="3" t="s">
        <v>6</v>
      </c>
    </row>
    <row r="3781" spans="1:3" ht="13.5" thickBot="1" x14ac:dyDescent="0.25">
      <c r="A3781" s="3">
        <v>7208</v>
      </c>
      <c r="B3781" s="28"/>
      <c r="C3781" s="3" t="s">
        <v>6</v>
      </c>
    </row>
    <row r="3782" spans="1:3" ht="13.5" thickBot="1" x14ac:dyDescent="0.25">
      <c r="A3782" s="3">
        <v>3483</v>
      </c>
      <c r="B3782" s="28"/>
      <c r="C3782" s="3" t="s">
        <v>6</v>
      </c>
    </row>
    <row r="3783" spans="1:3" ht="13.5" thickBot="1" x14ac:dyDescent="0.25">
      <c r="A3783" s="3">
        <v>2958</v>
      </c>
      <c r="B3783" s="28"/>
      <c r="C3783" s="3" t="s">
        <v>5</v>
      </c>
    </row>
    <row r="3784" spans="1:3" ht="13.5" thickBot="1" x14ac:dyDescent="0.25">
      <c r="A3784" s="3">
        <v>1616</v>
      </c>
      <c r="B3784" s="28"/>
      <c r="C3784" s="3" t="s">
        <v>4</v>
      </c>
    </row>
    <row r="3785" spans="1:3" ht="13.5" thickBot="1" x14ac:dyDescent="0.25">
      <c r="A3785" s="3">
        <v>3438</v>
      </c>
      <c r="B3785" s="28"/>
      <c r="C3785" s="3" t="s">
        <v>6</v>
      </c>
    </row>
    <row r="3786" spans="1:3" ht="13.5" thickBot="1" x14ac:dyDescent="0.25">
      <c r="A3786" s="3">
        <v>3136</v>
      </c>
      <c r="B3786" s="28"/>
      <c r="C3786" s="3" t="s">
        <v>6</v>
      </c>
    </row>
    <row r="3787" spans="1:3" ht="13.5" thickBot="1" x14ac:dyDescent="0.25">
      <c r="A3787" s="3">
        <v>6637</v>
      </c>
      <c r="B3787" s="28"/>
      <c r="C3787" s="3" t="s">
        <v>6</v>
      </c>
    </row>
    <row r="3788" spans="1:3" ht="13.5" thickBot="1" x14ac:dyDescent="0.25">
      <c r="A3788" s="3">
        <v>1804</v>
      </c>
      <c r="B3788" s="28"/>
      <c r="C3788" s="3" t="s">
        <v>5</v>
      </c>
    </row>
    <row r="3789" spans="1:3" ht="13.5" thickBot="1" x14ac:dyDescent="0.25">
      <c r="A3789" s="3">
        <v>4383</v>
      </c>
      <c r="B3789" s="28"/>
      <c r="C3789" s="3" t="s">
        <v>7</v>
      </c>
    </row>
    <row r="3790" spans="1:3" ht="13.5" thickBot="1" x14ac:dyDescent="0.25">
      <c r="A3790" s="3">
        <v>4890</v>
      </c>
      <c r="B3790" s="28"/>
      <c r="C3790" s="3" t="s">
        <v>3</v>
      </c>
    </row>
    <row r="3791" spans="1:3" ht="13.5" thickBot="1" x14ac:dyDescent="0.25">
      <c r="A3791" s="3">
        <v>6721</v>
      </c>
      <c r="B3791" s="28"/>
      <c r="C3791" s="3" t="s">
        <v>3</v>
      </c>
    </row>
    <row r="3792" spans="1:3" ht="13.5" thickBot="1" x14ac:dyDescent="0.25">
      <c r="A3792" s="3">
        <v>7282</v>
      </c>
      <c r="B3792" s="28"/>
      <c r="C3792" s="3" t="s">
        <v>7</v>
      </c>
    </row>
    <row r="3793" spans="1:3" ht="13.5" thickBot="1" x14ac:dyDescent="0.25">
      <c r="A3793" s="3">
        <v>6239</v>
      </c>
      <c r="B3793" s="28"/>
      <c r="C3793" s="3" t="s">
        <v>3</v>
      </c>
    </row>
    <row r="3794" spans="1:3" ht="13.5" thickBot="1" x14ac:dyDescent="0.25">
      <c r="A3794" s="3">
        <v>3858</v>
      </c>
      <c r="B3794" s="28"/>
      <c r="C3794" s="3" t="s">
        <v>4</v>
      </c>
    </row>
    <row r="3795" spans="1:3" ht="13.5" thickBot="1" x14ac:dyDescent="0.25">
      <c r="A3795" s="3">
        <v>6784</v>
      </c>
      <c r="B3795" s="28"/>
      <c r="C3795" s="3" t="s">
        <v>3</v>
      </c>
    </row>
    <row r="3796" spans="1:3" ht="13.5" thickBot="1" x14ac:dyDescent="0.25">
      <c r="A3796" s="3">
        <v>1162</v>
      </c>
      <c r="B3796" s="28"/>
      <c r="C3796" s="3" t="s">
        <v>3</v>
      </c>
    </row>
    <row r="3797" spans="1:3" ht="13.5" thickBot="1" x14ac:dyDescent="0.25">
      <c r="A3797" s="3">
        <v>6465</v>
      </c>
      <c r="B3797" s="28"/>
      <c r="C3797" s="3" t="s">
        <v>4</v>
      </c>
    </row>
    <row r="3798" spans="1:3" ht="13.5" thickBot="1" x14ac:dyDescent="0.25">
      <c r="A3798" s="3">
        <v>7294</v>
      </c>
      <c r="B3798" s="28"/>
      <c r="C3798" s="3" t="s">
        <v>4</v>
      </c>
    </row>
    <row r="3799" spans="1:3" ht="13.5" thickBot="1" x14ac:dyDescent="0.25">
      <c r="A3799" s="3">
        <v>1103</v>
      </c>
      <c r="B3799" s="28"/>
      <c r="C3799" s="3" t="s">
        <v>3</v>
      </c>
    </row>
    <row r="3800" spans="1:3" ht="13.5" thickBot="1" x14ac:dyDescent="0.25">
      <c r="A3800" s="3">
        <v>1340</v>
      </c>
      <c r="B3800" s="28"/>
      <c r="C3800" s="3" t="s">
        <v>3</v>
      </c>
    </row>
    <row r="3801" spans="1:3" ht="13.5" thickBot="1" x14ac:dyDescent="0.25">
      <c r="A3801" s="3">
        <v>180</v>
      </c>
      <c r="B3801" s="28"/>
      <c r="C3801" s="3" t="s">
        <v>3</v>
      </c>
    </row>
    <row r="3802" spans="1:3" ht="13.5" thickBot="1" x14ac:dyDescent="0.25">
      <c r="A3802" s="3">
        <v>3814</v>
      </c>
      <c r="B3802" s="28"/>
      <c r="C3802" s="3" t="s">
        <v>7</v>
      </c>
    </row>
    <row r="3803" spans="1:3" ht="13.5" thickBot="1" x14ac:dyDescent="0.25">
      <c r="A3803" s="3">
        <v>6748</v>
      </c>
      <c r="B3803" s="28"/>
      <c r="C3803" s="3" t="s">
        <v>3</v>
      </c>
    </row>
    <row r="3804" spans="1:3" ht="13.5" thickBot="1" x14ac:dyDescent="0.25">
      <c r="A3804" s="3">
        <v>6476</v>
      </c>
      <c r="B3804" s="28"/>
      <c r="C3804" s="3" t="s">
        <v>7</v>
      </c>
    </row>
    <row r="3805" spans="1:3" ht="13.5" thickBot="1" x14ac:dyDescent="0.25">
      <c r="A3805" s="3">
        <v>2997</v>
      </c>
      <c r="B3805" s="28"/>
      <c r="C3805" s="3" t="s">
        <v>3</v>
      </c>
    </row>
    <row r="3806" spans="1:3" ht="13.5" thickBot="1" x14ac:dyDescent="0.25">
      <c r="A3806" s="3">
        <v>1545</v>
      </c>
      <c r="B3806" s="28"/>
      <c r="C3806" s="3" t="s">
        <v>6</v>
      </c>
    </row>
    <row r="3807" spans="1:3" ht="13.5" thickBot="1" x14ac:dyDescent="0.25">
      <c r="A3807" s="3">
        <v>7994</v>
      </c>
      <c r="B3807" s="28"/>
      <c r="C3807" s="3" t="s">
        <v>6</v>
      </c>
    </row>
    <row r="3808" spans="1:3" ht="13.5" thickBot="1" x14ac:dyDescent="0.25">
      <c r="A3808" s="3">
        <v>7129</v>
      </c>
      <c r="B3808" s="28"/>
      <c r="C3808" s="3" t="s">
        <v>3</v>
      </c>
    </row>
    <row r="3809" spans="1:3" ht="13.5" thickBot="1" x14ac:dyDescent="0.25">
      <c r="A3809" s="3">
        <v>199</v>
      </c>
      <c r="B3809" s="28"/>
      <c r="C3809" s="3" t="s">
        <v>6</v>
      </c>
    </row>
    <row r="3810" spans="1:3" ht="13.5" thickBot="1" x14ac:dyDescent="0.25">
      <c r="A3810" s="3">
        <v>6476</v>
      </c>
      <c r="B3810" s="28"/>
      <c r="C3810" s="3" t="s">
        <v>4</v>
      </c>
    </row>
    <row r="3811" spans="1:3" ht="13.5" thickBot="1" x14ac:dyDescent="0.25">
      <c r="A3811" s="3">
        <v>6273</v>
      </c>
      <c r="B3811" s="28"/>
      <c r="C3811" s="3" t="s">
        <v>3</v>
      </c>
    </row>
    <row r="3812" spans="1:3" ht="13.5" thickBot="1" x14ac:dyDescent="0.25">
      <c r="A3812" s="3">
        <v>3329</v>
      </c>
      <c r="B3812" s="28"/>
      <c r="C3812" s="3" t="s">
        <v>6</v>
      </c>
    </row>
    <row r="3813" spans="1:3" ht="13.5" thickBot="1" x14ac:dyDescent="0.25">
      <c r="A3813" s="3">
        <v>1804</v>
      </c>
      <c r="B3813" s="28"/>
      <c r="C3813" s="3" t="s">
        <v>3</v>
      </c>
    </row>
    <row r="3814" spans="1:3" ht="13.5" thickBot="1" x14ac:dyDescent="0.25">
      <c r="A3814" s="3">
        <v>50</v>
      </c>
      <c r="B3814" s="28"/>
      <c r="C3814" s="3" t="s">
        <v>3</v>
      </c>
    </row>
    <row r="3815" spans="1:3" ht="13.5" thickBot="1" x14ac:dyDescent="0.25">
      <c r="A3815" s="3">
        <v>2376</v>
      </c>
      <c r="B3815" s="28"/>
      <c r="C3815" s="3" t="s">
        <v>7</v>
      </c>
    </row>
    <row r="3816" spans="1:3" ht="13.5" thickBot="1" x14ac:dyDescent="0.25">
      <c r="A3816" s="3">
        <v>6606</v>
      </c>
      <c r="B3816" s="28"/>
      <c r="C3816" s="3" t="s">
        <v>6</v>
      </c>
    </row>
    <row r="3817" spans="1:3" ht="13.5" thickBot="1" x14ac:dyDescent="0.25">
      <c r="A3817" s="3">
        <v>2289</v>
      </c>
      <c r="B3817" s="28"/>
      <c r="C3817" s="3" t="s">
        <v>5</v>
      </c>
    </row>
    <row r="3818" spans="1:3" ht="13.5" thickBot="1" x14ac:dyDescent="0.25">
      <c r="A3818" s="3">
        <v>2500</v>
      </c>
      <c r="B3818" s="28"/>
      <c r="C3818" s="3" t="s">
        <v>6</v>
      </c>
    </row>
    <row r="3819" spans="1:3" ht="13.5" thickBot="1" x14ac:dyDescent="0.25">
      <c r="A3819" s="3">
        <v>3283</v>
      </c>
      <c r="B3819" s="28"/>
      <c r="C3819" s="3" t="s">
        <v>3</v>
      </c>
    </row>
    <row r="3820" spans="1:3" ht="13.5" thickBot="1" x14ac:dyDescent="0.25">
      <c r="A3820" s="3">
        <v>1484</v>
      </c>
      <c r="B3820" s="28"/>
      <c r="C3820" s="3" t="s">
        <v>4</v>
      </c>
    </row>
    <row r="3821" spans="1:3" ht="13.5" thickBot="1" x14ac:dyDescent="0.25">
      <c r="A3821" s="3">
        <v>7452</v>
      </c>
      <c r="B3821" s="28"/>
      <c r="C3821" s="3" t="s">
        <v>7</v>
      </c>
    </row>
    <row r="3822" spans="1:3" ht="13.5" thickBot="1" x14ac:dyDescent="0.25">
      <c r="A3822" s="3">
        <v>1418</v>
      </c>
      <c r="B3822" s="28"/>
      <c r="C3822" s="3" t="s">
        <v>3</v>
      </c>
    </row>
    <row r="3823" spans="1:3" ht="13.5" thickBot="1" x14ac:dyDescent="0.25">
      <c r="A3823" s="3">
        <v>816</v>
      </c>
      <c r="B3823" s="28"/>
      <c r="C3823" s="3" t="s">
        <v>3</v>
      </c>
    </row>
    <row r="3824" spans="1:3" ht="13.5" thickBot="1" x14ac:dyDescent="0.25">
      <c r="A3824" s="3">
        <v>2066</v>
      </c>
      <c r="B3824" s="28"/>
      <c r="C3824" s="3" t="s">
        <v>3</v>
      </c>
    </row>
    <row r="3825" spans="1:3" ht="13.5" thickBot="1" x14ac:dyDescent="0.25">
      <c r="A3825" s="3">
        <v>6787</v>
      </c>
      <c r="B3825" s="28"/>
      <c r="C3825" s="3" t="s">
        <v>3</v>
      </c>
    </row>
    <row r="3826" spans="1:3" ht="13.5" thickBot="1" x14ac:dyDescent="0.25">
      <c r="A3826" s="3">
        <v>2958</v>
      </c>
      <c r="B3826" s="28"/>
      <c r="C3826" s="3" t="s">
        <v>6</v>
      </c>
    </row>
    <row r="3827" spans="1:3" ht="13.5" thickBot="1" x14ac:dyDescent="0.25">
      <c r="A3827" s="3">
        <v>7876</v>
      </c>
      <c r="B3827" s="28"/>
      <c r="C3827" s="3" t="s">
        <v>3</v>
      </c>
    </row>
    <row r="3828" spans="1:3" ht="13.5" thickBot="1" x14ac:dyDescent="0.25">
      <c r="A3828" s="3">
        <v>1316</v>
      </c>
      <c r="B3828" s="28"/>
      <c r="C3828" s="3" t="s">
        <v>3</v>
      </c>
    </row>
    <row r="3829" spans="1:3" ht="13.5" thickBot="1" x14ac:dyDescent="0.25">
      <c r="A3829" s="3">
        <v>4673</v>
      </c>
      <c r="B3829" s="28"/>
      <c r="C3829" s="3" t="s">
        <v>5</v>
      </c>
    </row>
    <row r="3830" spans="1:3" ht="13.5" thickBot="1" x14ac:dyDescent="0.25">
      <c r="A3830" s="3">
        <v>3145</v>
      </c>
      <c r="B3830" s="28"/>
      <c r="C3830" s="3" t="s">
        <v>3</v>
      </c>
    </row>
    <row r="3831" spans="1:3" ht="13.5" thickBot="1" x14ac:dyDescent="0.25">
      <c r="A3831" s="3">
        <v>1357</v>
      </c>
      <c r="B3831" s="28"/>
      <c r="C3831" s="3" t="s">
        <v>3</v>
      </c>
    </row>
    <row r="3832" spans="1:3" ht="13.5" thickBot="1" x14ac:dyDescent="0.25">
      <c r="A3832" s="3">
        <v>1851</v>
      </c>
      <c r="B3832" s="28"/>
      <c r="C3832" s="3" t="s">
        <v>5</v>
      </c>
    </row>
    <row r="3833" spans="1:3" ht="13.5" thickBot="1" x14ac:dyDescent="0.25">
      <c r="A3833" s="3">
        <v>3858</v>
      </c>
      <c r="B3833" s="28"/>
      <c r="C3833" s="3" t="s">
        <v>5</v>
      </c>
    </row>
    <row r="3834" spans="1:3" ht="13.5" thickBot="1" x14ac:dyDescent="0.25">
      <c r="A3834" s="3">
        <v>4326</v>
      </c>
      <c r="B3834" s="28"/>
      <c r="C3834" s="3" t="s">
        <v>3</v>
      </c>
    </row>
    <row r="3835" spans="1:3" ht="13.5" thickBot="1" x14ac:dyDescent="0.25">
      <c r="A3835" s="3">
        <v>2958</v>
      </c>
      <c r="B3835" s="28"/>
      <c r="C3835" s="3" t="s">
        <v>7</v>
      </c>
    </row>
    <row r="3836" spans="1:3" ht="13.5" thickBot="1" x14ac:dyDescent="0.25">
      <c r="A3836" s="3">
        <v>6235</v>
      </c>
      <c r="B3836" s="28"/>
      <c r="C3836" s="3" t="s">
        <v>3</v>
      </c>
    </row>
    <row r="3837" spans="1:3" ht="13.5" thickBot="1" x14ac:dyDescent="0.25">
      <c r="A3837" s="3">
        <v>6787</v>
      </c>
      <c r="B3837" s="28"/>
      <c r="C3837" s="3" t="s">
        <v>4</v>
      </c>
    </row>
    <row r="3838" spans="1:3" ht="13.5" thickBot="1" x14ac:dyDescent="0.25">
      <c r="A3838" s="3">
        <v>5012</v>
      </c>
      <c r="B3838" s="28"/>
      <c r="C3838" s="3" t="s">
        <v>4</v>
      </c>
    </row>
    <row r="3839" spans="1:3" ht="13.5" thickBot="1" x14ac:dyDescent="0.25">
      <c r="A3839" s="3">
        <v>4740</v>
      </c>
      <c r="B3839" s="28"/>
      <c r="C3839" s="3" t="s">
        <v>6</v>
      </c>
    </row>
    <row r="3840" spans="1:3" ht="13.5" thickBot="1" x14ac:dyDescent="0.25">
      <c r="A3840" s="3">
        <v>4258</v>
      </c>
      <c r="B3840" s="28"/>
      <c r="C3840" s="3" t="s">
        <v>3</v>
      </c>
    </row>
    <row r="3841" spans="1:3" ht="13.5" thickBot="1" x14ac:dyDescent="0.25">
      <c r="A3841" s="3">
        <v>4383</v>
      </c>
      <c r="B3841" s="28"/>
      <c r="C3841" s="3" t="s">
        <v>6</v>
      </c>
    </row>
    <row r="3842" spans="1:3" ht="13.5" thickBot="1" x14ac:dyDescent="0.25">
      <c r="A3842" s="3">
        <v>4238</v>
      </c>
      <c r="B3842" s="28"/>
      <c r="C3842" s="3" t="s">
        <v>3</v>
      </c>
    </row>
    <row r="3843" spans="1:3" ht="13.5" thickBot="1" x14ac:dyDescent="0.25">
      <c r="A3843" s="3">
        <v>2634</v>
      </c>
      <c r="B3843" s="28"/>
      <c r="C3843" s="3" t="s">
        <v>3</v>
      </c>
    </row>
    <row r="3844" spans="1:3" ht="13.5" thickBot="1" x14ac:dyDescent="0.25">
      <c r="A3844" s="3">
        <v>3144</v>
      </c>
      <c r="B3844" s="28"/>
      <c r="C3844" s="3" t="s">
        <v>3</v>
      </c>
    </row>
    <row r="3845" spans="1:3" ht="13.5" thickBot="1" x14ac:dyDescent="0.25">
      <c r="A3845" s="3">
        <v>6606</v>
      </c>
      <c r="B3845" s="28"/>
      <c r="C3845" s="3" t="s">
        <v>7</v>
      </c>
    </row>
    <row r="3846" spans="1:3" ht="13.5" thickBot="1" x14ac:dyDescent="0.25">
      <c r="A3846" s="3">
        <v>1074</v>
      </c>
      <c r="B3846" s="28"/>
      <c r="C3846" s="3" t="s">
        <v>4</v>
      </c>
    </row>
    <row r="3847" spans="1:3" ht="13.5" thickBot="1" x14ac:dyDescent="0.25">
      <c r="A3847" s="3">
        <v>6378</v>
      </c>
      <c r="B3847" s="28"/>
      <c r="C3847" s="3" t="s">
        <v>3</v>
      </c>
    </row>
    <row r="3848" spans="1:3" ht="13.5" thickBot="1" x14ac:dyDescent="0.25">
      <c r="A3848" s="3">
        <v>2642</v>
      </c>
      <c r="B3848" s="28"/>
      <c r="C3848" s="3" t="s">
        <v>3</v>
      </c>
    </row>
    <row r="3849" spans="1:3" ht="13.5" thickBot="1" x14ac:dyDescent="0.25">
      <c r="A3849" s="3">
        <v>3872</v>
      </c>
      <c r="B3849" s="28"/>
      <c r="C3849" s="3" t="s">
        <v>3</v>
      </c>
    </row>
    <row r="3850" spans="1:3" ht="13.5" thickBot="1" x14ac:dyDescent="0.25">
      <c r="A3850" s="3">
        <v>4086</v>
      </c>
      <c r="B3850" s="28"/>
      <c r="C3850" s="3" t="s">
        <v>7</v>
      </c>
    </row>
    <row r="3851" spans="1:3" ht="13.5" thickBot="1" x14ac:dyDescent="0.25">
      <c r="A3851" s="3">
        <v>974</v>
      </c>
      <c r="B3851" s="28"/>
      <c r="C3851" s="3" t="s">
        <v>3</v>
      </c>
    </row>
    <row r="3852" spans="1:3" ht="13.5" thickBot="1" x14ac:dyDescent="0.25">
      <c r="A3852" s="3">
        <v>7079</v>
      </c>
      <c r="B3852" s="28"/>
      <c r="C3852" s="3" t="s">
        <v>3</v>
      </c>
    </row>
    <row r="3853" spans="1:3" ht="13.5" thickBot="1" x14ac:dyDescent="0.25">
      <c r="A3853" s="3">
        <v>5325</v>
      </c>
      <c r="B3853" s="28"/>
      <c r="C3853" s="3" t="s">
        <v>7</v>
      </c>
    </row>
    <row r="3854" spans="1:3" ht="13.5" thickBot="1" x14ac:dyDescent="0.25">
      <c r="A3854" s="3">
        <v>1490</v>
      </c>
      <c r="B3854" s="28"/>
      <c r="C3854" s="3" t="s">
        <v>3</v>
      </c>
    </row>
    <row r="3855" spans="1:3" ht="13.5" thickBot="1" x14ac:dyDescent="0.25">
      <c r="A3855" s="3">
        <v>4890</v>
      </c>
      <c r="B3855" s="28"/>
      <c r="C3855" s="3" t="s">
        <v>4</v>
      </c>
    </row>
    <row r="3856" spans="1:3" ht="13.5" thickBot="1" x14ac:dyDescent="0.25">
      <c r="A3856" s="3">
        <v>6721</v>
      </c>
      <c r="B3856" s="28"/>
      <c r="C3856" s="3" t="s">
        <v>4</v>
      </c>
    </row>
    <row r="3857" spans="1:3" ht="13.5" thickBot="1" x14ac:dyDescent="0.25">
      <c r="A3857" s="3">
        <v>4326</v>
      </c>
      <c r="B3857" s="28"/>
      <c r="C3857" s="3" t="s">
        <v>5</v>
      </c>
    </row>
    <row r="3858" spans="1:3" ht="13.5" thickBot="1" x14ac:dyDescent="0.25">
      <c r="A3858" s="3">
        <v>4237</v>
      </c>
      <c r="B3858" s="28"/>
      <c r="C3858" s="3" t="s">
        <v>3</v>
      </c>
    </row>
    <row r="3859" spans="1:3" ht="13.5" thickBot="1" x14ac:dyDescent="0.25">
      <c r="A3859" s="3">
        <v>3865</v>
      </c>
      <c r="B3859" s="28"/>
      <c r="C3859" s="3" t="s">
        <v>4</v>
      </c>
    </row>
    <row r="3860" spans="1:3" ht="13.5" thickBot="1" x14ac:dyDescent="0.25">
      <c r="A3860" s="3">
        <v>5334</v>
      </c>
      <c r="B3860" s="28"/>
      <c r="C3860" s="3" t="s">
        <v>5</v>
      </c>
    </row>
    <row r="3861" spans="1:3" ht="13.5" thickBot="1" x14ac:dyDescent="0.25">
      <c r="A3861" s="3">
        <v>6476</v>
      </c>
      <c r="B3861" s="28"/>
      <c r="C3861" s="3" t="s">
        <v>6</v>
      </c>
    </row>
    <row r="3862" spans="1:3" ht="13.5" thickBot="1" x14ac:dyDescent="0.25">
      <c r="A3862" s="3">
        <v>398</v>
      </c>
      <c r="B3862" s="28"/>
      <c r="C3862" s="3" t="s">
        <v>4</v>
      </c>
    </row>
    <row r="3863" spans="1:3" ht="13.5" thickBot="1" x14ac:dyDescent="0.25">
      <c r="A3863" s="3">
        <v>1391</v>
      </c>
      <c r="B3863" s="28"/>
      <c r="C3863" s="3" t="s">
        <v>3</v>
      </c>
    </row>
    <row r="3864" spans="1:3" ht="13.5" thickBot="1" x14ac:dyDescent="0.25">
      <c r="A3864" s="3">
        <v>479</v>
      </c>
      <c r="B3864" s="28"/>
      <c r="C3864" s="3" t="s">
        <v>4</v>
      </c>
    </row>
    <row r="3865" spans="1:3" ht="13.5" thickBot="1" x14ac:dyDescent="0.25">
      <c r="A3865" s="3">
        <v>5334</v>
      </c>
      <c r="B3865" s="28"/>
      <c r="C3865" s="3" t="s">
        <v>3</v>
      </c>
    </row>
    <row r="3866" spans="1:3" ht="13.5" thickBot="1" x14ac:dyDescent="0.25">
      <c r="A3866" s="3">
        <v>3873</v>
      </c>
      <c r="B3866" s="28"/>
      <c r="C3866" s="3" t="s">
        <v>3</v>
      </c>
    </row>
    <row r="3867" spans="1:3" ht="13.5" thickBot="1" x14ac:dyDescent="0.25">
      <c r="A3867" s="3">
        <v>6533</v>
      </c>
      <c r="B3867" s="28"/>
      <c r="C3867" s="3" t="s">
        <v>4</v>
      </c>
    </row>
    <row r="3868" spans="1:3" ht="13.5" thickBot="1" x14ac:dyDescent="0.25">
      <c r="A3868" s="3">
        <v>2876</v>
      </c>
      <c r="B3868" s="28"/>
      <c r="C3868" s="3" t="s">
        <v>3</v>
      </c>
    </row>
    <row r="3869" spans="1:3" ht="13.5" thickBot="1" x14ac:dyDescent="0.25">
      <c r="A3869" s="3">
        <v>7139</v>
      </c>
      <c r="B3869" s="28"/>
      <c r="C3869" s="3" t="s">
        <v>4</v>
      </c>
    </row>
    <row r="3870" spans="1:3" ht="13.5" thickBot="1" x14ac:dyDescent="0.25">
      <c r="A3870" s="3">
        <v>1162</v>
      </c>
      <c r="B3870" s="28"/>
      <c r="C3870" s="3" t="s">
        <v>4</v>
      </c>
    </row>
    <row r="3871" spans="1:3" ht="13.5" thickBot="1" x14ac:dyDescent="0.25">
      <c r="A3871" s="3">
        <v>3548</v>
      </c>
      <c r="B3871" s="28"/>
      <c r="C3871" s="3" t="s">
        <v>4</v>
      </c>
    </row>
    <row r="3872" spans="1:3" ht="13.5" thickBot="1" x14ac:dyDescent="0.25">
      <c r="A3872" s="3">
        <v>5401</v>
      </c>
      <c r="B3872" s="28"/>
      <c r="C3872" s="3" t="s">
        <v>5</v>
      </c>
    </row>
    <row r="3873" spans="1:3" ht="13.5" thickBot="1" x14ac:dyDescent="0.25">
      <c r="A3873" s="3">
        <v>3247</v>
      </c>
      <c r="B3873" s="28"/>
      <c r="C3873" s="3" t="s">
        <v>7</v>
      </c>
    </row>
    <row r="3874" spans="1:3" ht="13.5" thickBot="1" x14ac:dyDescent="0.25">
      <c r="A3874" s="3">
        <v>3552</v>
      </c>
      <c r="B3874" s="28"/>
      <c r="C3874" s="3" t="s">
        <v>4</v>
      </c>
    </row>
    <row r="3875" spans="1:3" ht="13.5" thickBot="1" x14ac:dyDescent="0.25">
      <c r="A3875" s="3">
        <v>623</v>
      </c>
      <c r="B3875" s="28"/>
      <c r="C3875" s="3" t="s">
        <v>3</v>
      </c>
    </row>
    <row r="3876" spans="1:3" ht="13.5" thickBot="1" x14ac:dyDescent="0.25">
      <c r="A3876" s="3">
        <v>6217</v>
      </c>
      <c r="B3876" s="28"/>
      <c r="C3876" s="3" t="s">
        <v>6</v>
      </c>
    </row>
    <row r="3877" spans="1:3" ht="13.5" thickBot="1" x14ac:dyDescent="0.25">
      <c r="A3877" s="3">
        <v>2182</v>
      </c>
      <c r="B3877" s="28"/>
      <c r="C3877" s="3" t="s">
        <v>3</v>
      </c>
    </row>
    <row r="3878" spans="1:3" ht="13.5" thickBot="1" x14ac:dyDescent="0.25">
      <c r="A3878" s="3">
        <v>7101</v>
      </c>
      <c r="B3878" s="28"/>
      <c r="C3878" s="3" t="s">
        <v>7</v>
      </c>
    </row>
    <row r="3879" spans="1:3" ht="13.5" thickBot="1" x14ac:dyDescent="0.25">
      <c r="A3879" s="3">
        <v>176</v>
      </c>
      <c r="B3879" s="28"/>
      <c r="C3879" s="3" t="s">
        <v>3</v>
      </c>
    </row>
    <row r="3880" spans="1:3" ht="13.5" thickBot="1" x14ac:dyDescent="0.25">
      <c r="A3880" s="3">
        <v>7620</v>
      </c>
      <c r="B3880" s="28"/>
      <c r="C3880" s="3" t="s">
        <v>3</v>
      </c>
    </row>
    <row r="3881" spans="1:3" ht="13.5" thickBot="1" x14ac:dyDescent="0.25">
      <c r="A3881" s="3">
        <v>2742</v>
      </c>
      <c r="B3881" s="28"/>
      <c r="C3881" s="3" t="s">
        <v>3</v>
      </c>
    </row>
    <row r="3882" spans="1:3" ht="13.5" thickBot="1" x14ac:dyDescent="0.25">
      <c r="A3882" s="3">
        <v>182</v>
      </c>
      <c r="B3882" s="28"/>
      <c r="C3882" s="3" t="s">
        <v>6</v>
      </c>
    </row>
    <row r="3883" spans="1:3" ht="13.5" thickBot="1" x14ac:dyDescent="0.25">
      <c r="A3883" s="3">
        <v>1497</v>
      </c>
      <c r="B3883" s="28"/>
      <c r="C3883" s="3" t="s">
        <v>3</v>
      </c>
    </row>
    <row r="3884" spans="1:3" ht="13.5" thickBot="1" x14ac:dyDescent="0.25">
      <c r="A3884" s="3">
        <v>1340</v>
      </c>
      <c r="B3884" s="28"/>
      <c r="C3884" s="3" t="s">
        <v>7</v>
      </c>
    </row>
    <row r="3885" spans="1:3" ht="13.5" thickBot="1" x14ac:dyDescent="0.25">
      <c r="A3885" s="3">
        <v>5055</v>
      </c>
      <c r="B3885" s="28"/>
      <c r="C3885" s="3" t="s">
        <v>4</v>
      </c>
    </row>
    <row r="3886" spans="1:3" ht="13.5" thickBot="1" x14ac:dyDescent="0.25">
      <c r="A3886" s="3">
        <v>3788</v>
      </c>
      <c r="B3886" s="28"/>
      <c r="C3886" s="3" t="s">
        <v>5</v>
      </c>
    </row>
    <row r="3887" spans="1:3" ht="13.5" thickBot="1" x14ac:dyDescent="0.25">
      <c r="A3887" s="3">
        <v>650</v>
      </c>
      <c r="B3887" s="28"/>
      <c r="C3887" s="3" t="s">
        <v>3</v>
      </c>
    </row>
    <row r="3888" spans="1:3" ht="13.5" thickBot="1" x14ac:dyDescent="0.25">
      <c r="A3888" s="3">
        <v>3144</v>
      </c>
      <c r="B3888" s="28"/>
      <c r="C3888" s="3" t="s">
        <v>4</v>
      </c>
    </row>
    <row r="3889" spans="1:3" ht="13.5" thickBot="1" x14ac:dyDescent="0.25">
      <c r="A3889" s="3">
        <v>1279</v>
      </c>
      <c r="B3889" s="28"/>
      <c r="C3889" s="3" t="s">
        <v>3</v>
      </c>
    </row>
    <row r="3890" spans="1:3" ht="13.5" thickBot="1" x14ac:dyDescent="0.25">
      <c r="A3890" s="3">
        <v>3144</v>
      </c>
      <c r="B3890" s="28"/>
      <c r="C3890" s="3" t="s">
        <v>5</v>
      </c>
    </row>
    <row r="3891" spans="1:3" ht="13.5" thickBot="1" x14ac:dyDescent="0.25">
      <c r="A3891" s="3">
        <v>6533</v>
      </c>
      <c r="B3891" s="28"/>
      <c r="C3891" s="3" t="s">
        <v>3</v>
      </c>
    </row>
    <row r="3892" spans="1:3" ht="13.5" thickBot="1" x14ac:dyDescent="0.25">
      <c r="A3892" s="3">
        <v>623</v>
      </c>
      <c r="B3892" s="28"/>
      <c r="C3892" s="3" t="s">
        <v>4</v>
      </c>
    </row>
    <row r="3893" spans="1:3" ht="13.5" thickBot="1" x14ac:dyDescent="0.25">
      <c r="A3893" s="3">
        <v>6606</v>
      </c>
      <c r="B3893" s="28"/>
      <c r="C3893" s="3" t="s">
        <v>4</v>
      </c>
    </row>
    <row r="3894" spans="1:3" ht="13.5" thickBot="1" x14ac:dyDescent="0.25">
      <c r="A3894" s="3">
        <v>5401</v>
      </c>
      <c r="B3894" s="28"/>
      <c r="C3894" s="3" t="s">
        <v>3</v>
      </c>
    </row>
    <row r="3895" spans="1:3" ht="13.5" thickBot="1" x14ac:dyDescent="0.25">
      <c r="A3895" s="3">
        <v>479</v>
      </c>
      <c r="B3895" s="28"/>
      <c r="C3895" s="3" t="s">
        <v>3</v>
      </c>
    </row>
    <row r="3896" spans="1:3" ht="13.5" thickBot="1" x14ac:dyDescent="0.25">
      <c r="A3896" s="3">
        <v>1616</v>
      </c>
      <c r="B3896" s="28"/>
      <c r="C3896" s="3" t="s">
        <v>7</v>
      </c>
    </row>
    <row r="3897" spans="1:3" ht="13.5" thickBot="1" x14ac:dyDescent="0.25">
      <c r="A3897" s="3">
        <v>6573</v>
      </c>
      <c r="B3897" s="28"/>
      <c r="C3897" s="3" t="s">
        <v>3</v>
      </c>
    </row>
    <row r="3898" spans="1:3" ht="13.5" thickBot="1" x14ac:dyDescent="0.25">
      <c r="A3898" s="3">
        <v>1340</v>
      </c>
      <c r="B3898" s="28"/>
      <c r="C3898" s="3" t="s">
        <v>4</v>
      </c>
    </row>
    <row r="3899" spans="1:3" ht="13.5" thickBot="1" x14ac:dyDescent="0.25">
      <c r="A3899" s="3">
        <v>7945</v>
      </c>
      <c r="B3899" s="28"/>
      <c r="C3899" s="3" t="s">
        <v>6</v>
      </c>
    </row>
    <row r="3900" spans="1:3" ht="13.5" thickBot="1" x14ac:dyDescent="0.25">
      <c r="A3900" s="3">
        <v>3591</v>
      </c>
      <c r="B3900" s="28"/>
      <c r="C3900" s="3" t="s">
        <v>3</v>
      </c>
    </row>
    <row r="3901" spans="1:3" ht="13.5" thickBot="1" x14ac:dyDescent="0.25">
      <c r="A3901" s="3">
        <v>4100</v>
      </c>
      <c r="B3901" s="28"/>
      <c r="C3901" s="3" t="s">
        <v>3</v>
      </c>
    </row>
    <row r="3902" spans="1:3" ht="13.5" thickBot="1" x14ac:dyDescent="0.25">
      <c r="A3902" s="3">
        <v>7101</v>
      </c>
      <c r="B3902" s="28"/>
      <c r="C3902" s="3" t="s">
        <v>5</v>
      </c>
    </row>
    <row r="3903" spans="1:3" ht="13.5" thickBot="1" x14ac:dyDescent="0.25">
      <c r="A3903" s="3">
        <v>5277</v>
      </c>
      <c r="B3903" s="28"/>
      <c r="C3903" s="3" t="s">
        <v>3</v>
      </c>
    </row>
    <row r="3904" spans="1:3" ht="13.5" thickBot="1" x14ac:dyDescent="0.25">
      <c r="A3904" s="3">
        <v>80</v>
      </c>
      <c r="B3904" s="28"/>
      <c r="C3904" s="3" t="s">
        <v>5</v>
      </c>
    </row>
    <row r="3905" spans="1:3" ht="13.5" thickBot="1" x14ac:dyDescent="0.25">
      <c r="A3905" s="3">
        <v>3687</v>
      </c>
      <c r="B3905" s="28"/>
      <c r="C3905" s="3" t="s">
        <v>4</v>
      </c>
    </row>
    <row r="3906" spans="1:3" ht="13.5" thickBot="1" x14ac:dyDescent="0.25">
      <c r="A3906" s="3">
        <v>5325</v>
      </c>
      <c r="B3906" s="28"/>
      <c r="C3906" s="3" t="s">
        <v>5</v>
      </c>
    </row>
    <row r="3907" spans="1:3" ht="13.5" thickBot="1" x14ac:dyDescent="0.25">
      <c r="A3907" s="3">
        <v>7000</v>
      </c>
      <c r="B3907" s="28"/>
      <c r="C3907" s="3" t="s">
        <v>6</v>
      </c>
    </row>
    <row r="3908" spans="1:3" ht="13.5" thickBot="1" x14ac:dyDescent="0.25">
      <c r="A3908" s="3">
        <v>4507</v>
      </c>
      <c r="B3908" s="28"/>
      <c r="C3908" s="3" t="s">
        <v>3</v>
      </c>
    </row>
    <row r="3909" spans="1:3" ht="13.5" thickBot="1" x14ac:dyDescent="0.25">
      <c r="A3909" s="3">
        <v>7129</v>
      </c>
      <c r="B3909" s="28"/>
      <c r="C3909" s="3" t="s">
        <v>4</v>
      </c>
    </row>
    <row r="3910" spans="1:3" ht="13.5" thickBot="1" x14ac:dyDescent="0.25">
      <c r="A3910" s="3">
        <v>1804</v>
      </c>
      <c r="B3910" s="28"/>
      <c r="C3910" s="3" t="s">
        <v>4</v>
      </c>
    </row>
    <row r="3911" spans="1:3" ht="13.5" thickBot="1" x14ac:dyDescent="0.25">
      <c r="A3911" s="3">
        <v>1224</v>
      </c>
      <c r="B3911" s="28"/>
      <c r="C3911" s="3" t="s">
        <v>3</v>
      </c>
    </row>
    <row r="3912" spans="1:3" ht="13.5" thickBot="1" x14ac:dyDescent="0.25">
      <c r="A3912" s="3">
        <v>3729</v>
      </c>
      <c r="B3912" s="28"/>
      <c r="C3912" s="3" t="s">
        <v>5</v>
      </c>
    </row>
    <row r="3913" spans="1:3" ht="13.5" thickBot="1" x14ac:dyDescent="0.25">
      <c r="A3913" s="3">
        <v>6748</v>
      </c>
      <c r="B3913" s="28"/>
      <c r="C3913" s="3" t="s">
        <v>4</v>
      </c>
    </row>
    <row r="3914" spans="1:3" ht="13.5" thickBot="1" x14ac:dyDescent="0.25">
      <c r="A3914" s="3">
        <v>2797</v>
      </c>
      <c r="B3914" s="28"/>
      <c r="C3914" s="3" t="s">
        <v>3</v>
      </c>
    </row>
    <row r="3915" spans="1:3" ht="13.5" thickBot="1" x14ac:dyDescent="0.25">
      <c r="A3915" s="3">
        <v>4538</v>
      </c>
      <c r="B3915" s="28"/>
      <c r="C3915" s="3" t="s">
        <v>6</v>
      </c>
    </row>
    <row r="3916" spans="1:3" ht="13.5" thickBot="1" x14ac:dyDescent="0.25">
      <c r="A3916" s="3">
        <v>2997</v>
      </c>
      <c r="B3916" s="28"/>
      <c r="C3916" s="3" t="s">
        <v>5</v>
      </c>
    </row>
    <row r="3917" spans="1:3" ht="13.5" thickBot="1" x14ac:dyDescent="0.25">
      <c r="A3917" s="3">
        <v>7943</v>
      </c>
      <c r="B3917" s="28"/>
      <c r="C3917" s="3" t="s">
        <v>3</v>
      </c>
    </row>
    <row r="3918" spans="1:3" ht="13.5" thickBot="1" x14ac:dyDescent="0.25">
      <c r="A3918" s="3">
        <v>111</v>
      </c>
      <c r="B3918" s="28"/>
      <c r="C3918" s="3" t="s">
        <v>3</v>
      </c>
    </row>
    <row r="3919" spans="1:3" ht="13.5" thickBot="1" x14ac:dyDescent="0.25">
      <c r="A3919" s="3">
        <v>7545</v>
      </c>
      <c r="B3919" s="28"/>
      <c r="C3919" s="3" t="s">
        <v>3</v>
      </c>
    </row>
    <row r="3920" spans="1:3" ht="13.5" thickBot="1" x14ac:dyDescent="0.25">
      <c r="A3920" s="3">
        <v>1408</v>
      </c>
      <c r="B3920" s="28"/>
      <c r="C3920" s="3" t="s">
        <v>4</v>
      </c>
    </row>
    <row r="3921" spans="1:3" ht="13.5" thickBot="1" x14ac:dyDescent="0.25">
      <c r="A3921" s="3">
        <v>1340</v>
      </c>
      <c r="B3921" s="28"/>
      <c r="C3921" s="3" t="s">
        <v>5</v>
      </c>
    </row>
    <row r="3922" spans="1:3" ht="13.5" thickBot="1" x14ac:dyDescent="0.25">
      <c r="A3922" s="3">
        <v>180</v>
      </c>
      <c r="B3922" s="28"/>
      <c r="C3922" s="3" t="s">
        <v>5</v>
      </c>
    </row>
    <row r="3923" spans="1:3" ht="13.5" thickBot="1" x14ac:dyDescent="0.25">
      <c r="A3923" s="3">
        <v>1184</v>
      </c>
      <c r="B3923" s="28"/>
      <c r="C3923" s="3" t="s">
        <v>6</v>
      </c>
    </row>
    <row r="3924" spans="1:3" ht="13.5" thickBot="1" x14ac:dyDescent="0.25">
      <c r="A3924" s="3">
        <v>4326</v>
      </c>
      <c r="B3924" s="28"/>
      <c r="C3924" s="3" t="s">
        <v>4</v>
      </c>
    </row>
    <row r="3925" spans="1:3" ht="13.5" thickBot="1" x14ac:dyDescent="0.25">
      <c r="A3925" s="3">
        <v>5411</v>
      </c>
      <c r="B3925" s="28"/>
      <c r="C3925" s="3" t="s">
        <v>3</v>
      </c>
    </row>
    <row r="3926" spans="1:3" ht="13.5" thickBot="1" x14ac:dyDescent="0.25">
      <c r="A3926" s="3">
        <v>3258</v>
      </c>
      <c r="B3926" s="28"/>
      <c r="C3926" s="3" t="s">
        <v>6</v>
      </c>
    </row>
    <row r="3927" spans="1:3" ht="13.5" thickBot="1" x14ac:dyDescent="0.25">
      <c r="A3927" s="3">
        <v>6420</v>
      </c>
      <c r="B3927" s="28"/>
      <c r="C3927" s="3" t="s">
        <v>3</v>
      </c>
    </row>
    <row r="3928" spans="1:3" ht="13.5" thickBot="1" x14ac:dyDescent="0.25">
      <c r="A3928" s="3">
        <v>781</v>
      </c>
      <c r="B3928" s="28"/>
      <c r="C3928" s="3" t="s">
        <v>4</v>
      </c>
    </row>
    <row r="3929" spans="1:3" ht="13.5" thickBot="1" x14ac:dyDescent="0.25">
      <c r="A3929" s="3">
        <v>3814</v>
      </c>
      <c r="B3929" s="28"/>
      <c r="C3929" s="3" t="s">
        <v>6</v>
      </c>
    </row>
    <row r="3930" spans="1:3" ht="13.5" thickBot="1" x14ac:dyDescent="0.25">
      <c r="A3930" s="3">
        <v>2642</v>
      </c>
      <c r="B3930" s="28"/>
      <c r="C3930" s="3" t="s">
        <v>4</v>
      </c>
    </row>
    <row r="3931" spans="1:3" ht="13.5" thickBot="1" x14ac:dyDescent="0.25">
      <c r="A3931" s="3">
        <v>3474</v>
      </c>
      <c r="B3931" s="28"/>
      <c r="C3931" s="3" t="s">
        <v>3</v>
      </c>
    </row>
    <row r="3932" spans="1:3" ht="13.5" thickBot="1" x14ac:dyDescent="0.25">
      <c r="A3932" s="3">
        <v>1484</v>
      </c>
      <c r="B3932" s="28"/>
      <c r="C3932" s="3" t="s">
        <v>7</v>
      </c>
    </row>
    <row r="3933" spans="1:3" ht="13.5" thickBot="1" x14ac:dyDescent="0.25">
      <c r="A3933" s="3">
        <v>1632</v>
      </c>
      <c r="B3933" s="28"/>
      <c r="C3933" s="3" t="s">
        <v>3</v>
      </c>
    </row>
    <row r="3934" spans="1:3" ht="13.5" thickBot="1" x14ac:dyDescent="0.25">
      <c r="A3934" s="3">
        <v>3474</v>
      </c>
      <c r="B3934" s="28"/>
      <c r="C3934" s="3" t="s">
        <v>4</v>
      </c>
    </row>
    <row r="3935" spans="1:3" ht="13.5" thickBot="1" x14ac:dyDescent="0.25">
      <c r="A3935" s="3">
        <v>499</v>
      </c>
      <c r="B3935" s="28"/>
      <c r="C3935" s="3" t="s">
        <v>3</v>
      </c>
    </row>
    <row r="3936" spans="1:3" ht="13.5" thickBot="1" x14ac:dyDescent="0.25">
      <c r="A3936" s="3">
        <v>1224</v>
      </c>
      <c r="B3936" s="28"/>
      <c r="C3936" s="3" t="s">
        <v>4</v>
      </c>
    </row>
    <row r="3937" spans="1:3" ht="13.5" thickBot="1" x14ac:dyDescent="0.25">
      <c r="A3937" s="3">
        <v>5401</v>
      </c>
      <c r="B3937" s="28"/>
      <c r="C3937" s="3" t="s">
        <v>4</v>
      </c>
    </row>
    <row r="3938" spans="1:3" ht="13.5" thickBot="1" x14ac:dyDescent="0.25">
      <c r="A3938" s="3">
        <v>1490</v>
      </c>
      <c r="B3938" s="28"/>
      <c r="C3938" s="3" t="s">
        <v>4</v>
      </c>
    </row>
    <row r="3939" spans="1:3" ht="13.5" thickBot="1" x14ac:dyDescent="0.25">
      <c r="A3939" s="3">
        <v>479</v>
      </c>
      <c r="B3939" s="28"/>
      <c r="C3939" s="3" t="s">
        <v>5</v>
      </c>
    </row>
    <row r="3940" spans="1:3" ht="13.5" thickBot="1" x14ac:dyDescent="0.25">
      <c r="A3940" s="3">
        <v>7565</v>
      </c>
      <c r="B3940" s="28"/>
      <c r="C3940" s="3" t="s">
        <v>4</v>
      </c>
    </row>
    <row r="3941" spans="1:3" ht="13.5" thickBot="1" x14ac:dyDescent="0.25">
      <c r="A3941" s="3">
        <v>5753</v>
      </c>
      <c r="B3941" s="28"/>
      <c r="C3941" s="3" t="s">
        <v>3</v>
      </c>
    </row>
    <row r="3942" spans="1:3" ht="13.5" thickBot="1" x14ac:dyDescent="0.25">
      <c r="A3942" s="3">
        <v>5024</v>
      </c>
      <c r="B3942" s="28"/>
      <c r="C3942" s="3" t="s">
        <v>3</v>
      </c>
    </row>
    <row r="3943" spans="1:3" ht="13.5" thickBot="1" x14ac:dyDescent="0.25">
      <c r="A3943" s="3">
        <v>1447</v>
      </c>
      <c r="B3943" s="28"/>
      <c r="C3943" s="3" t="s">
        <v>3</v>
      </c>
    </row>
    <row r="3944" spans="1:3" ht="13.5" thickBot="1" x14ac:dyDescent="0.25">
      <c r="A3944" s="3">
        <v>7640</v>
      </c>
      <c r="B3944" s="28"/>
      <c r="C3944" s="3" t="s">
        <v>3</v>
      </c>
    </row>
    <row r="3945" spans="1:3" ht="13.5" thickBot="1" x14ac:dyDescent="0.25">
      <c r="A3945" s="3">
        <v>2293</v>
      </c>
      <c r="B3945" s="28"/>
      <c r="C3945" s="3" t="s">
        <v>3</v>
      </c>
    </row>
    <row r="3946" spans="1:3" ht="13.5" thickBot="1" x14ac:dyDescent="0.25">
      <c r="A3946" s="3">
        <v>5012</v>
      </c>
      <c r="B3946" s="28"/>
      <c r="C3946" s="3" t="s">
        <v>6</v>
      </c>
    </row>
    <row r="3947" spans="1:3" ht="13.5" thickBot="1" x14ac:dyDescent="0.25">
      <c r="A3947" s="3">
        <v>1944</v>
      </c>
      <c r="B3947" s="28"/>
      <c r="C3947" s="3" t="s">
        <v>3</v>
      </c>
    </row>
    <row r="3948" spans="1:3" ht="13.5" thickBot="1" x14ac:dyDescent="0.25">
      <c r="A3948" s="3">
        <v>121</v>
      </c>
      <c r="B3948" s="28"/>
      <c r="C3948" s="3" t="s">
        <v>3</v>
      </c>
    </row>
    <row r="3949" spans="1:3" ht="13.5" thickBot="1" x14ac:dyDescent="0.25">
      <c r="A3949" s="3">
        <v>6100</v>
      </c>
      <c r="B3949" s="28"/>
      <c r="C3949" s="3" t="s">
        <v>3</v>
      </c>
    </row>
    <row r="3950" spans="1:3" ht="13.5" thickBot="1" x14ac:dyDescent="0.25">
      <c r="A3950" s="3">
        <v>781</v>
      </c>
      <c r="B3950" s="28"/>
      <c r="C3950" s="3" t="s">
        <v>3</v>
      </c>
    </row>
    <row r="3951" spans="1:3" ht="13.5" thickBot="1" x14ac:dyDescent="0.25">
      <c r="A3951" s="3">
        <v>1030</v>
      </c>
      <c r="B3951" s="28"/>
      <c r="C3951" s="3" t="s">
        <v>3</v>
      </c>
    </row>
    <row r="3952" spans="1:3" ht="13.5" thickBot="1" x14ac:dyDescent="0.25">
      <c r="A3952" s="3">
        <v>5725</v>
      </c>
      <c r="B3952" s="28"/>
      <c r="C3952" s="3" t="s">
        <v>3</v>
      </c>
    </row>
    <row r="3953" spans="1:3" ht="13.5" thickBot="1" x14ac:dyDescent="0.25">
      <c r="A3953" s="3">
        <v>6378</v>
      </c>
      <c r="B3953" s="28"/>
      <c r="C3953" s="3" t="s">
        <v>4</v>
      </c>
    </row>
    <row r="3954" spans="1:3" ht="13.5" thickBot="1" x14ac:dyDescent="0.25">
      <c r="A3954" s="3">
        <v>1497</v>
      </c>
      <c r="B3954" s="28"/>
      <c r="C3954" s="3" t="s">
        <v>4</v>
      </c>
    </row>
    <row r="3955" spans="1:3" ht="13.5" thickBot="1" x14ac:dyDescent="0.25">
      <c r="A3955" s="3">
        <v>4482</v>
      </c>
      <c r="B3955" s="28"/>
      <c r="C3955" s="3" t="s">
        <v>3</v>
      </c>
    </row>
    <row r="3956" spans="1:3" ht="13.5" thickBot="1" x14ac:dyDescent="0.25">
      <c r="A3956" s="3">
        <v>7047</v>
      </c>
      <c r="B3956" s="28"/>
      <c r="C3956" s="3" t="s">
        <v>5</v>
      </c>
    </row>
    <row r="3957" spans="1:3" ht="13.5" thickBot="1" x14ac:dyDescent="0.25">
      <c r="A3957" s="3">
        <v>4279</v>
      </c>
      <c r="B3957" s="28"/>
      <c r="C3957" s="3" t="s">
        <v>3</v>
      </c>
    </row>
    <row r="3958" spans="1:3" ht="13.5" thickBot="1" x14ac:dyDescent="0.25">
      <c r="A3958" s="3">
        <v>6049</v>
      </c>
      <c r="B3958" s="28"/>
      <c r="C3958" s="3" t="s">
        <v>6</v>
      </c>
    </row>
    <row r="3959" spans="1:3" ht="13.5" thickBot="1" x14ac:dyDescent="0.25">
      <c r="A3959" s="3">
        <v>6713</v>
      </c>
      <c r="B3959" s="28"/>
      <c r="C3959" s="3" t="s">
        <v>6</v>
      </c>
    </row>
    <row r="3960" spans="1:3" ht="13.5" thickBot="1" x14ac:dyDescent="0.25">
      <c r="A3960" s="3">
        <v>3600</v>
      </c>
      <c r="B3960" s="28"/>
      <c r="C3960" s="3" t="s">
        <v>3</v>
      </c>
    </row>
    <row r="3961" spans="1:3" ht="13.5" thickBot="1" x14ac:dyDescent="0.25">
      <c r="A3961" s="3">
        <v>7565</v>
      </c>
      <c r="B3961" s="28"/>
      <c r="C3961" s="3" t="s">
        <v>3</v>
      </c>
    </row>
    <row r="3962" spans="1:3" ht="13.5" thickBot="1" x14ac:dyDescent="0.25">
      <c r="A3962" s="3">
        <v>6100</v>
      </c>
      <c r="B3962" s="28"/>
      <c r="C3962" s="3" t="s">
        <v>4</v>
      </c>
    </row>
    <row r="3963" spans="1:3" ht="13.5" thickBot="1" x14ac:dyDescent="0.25">
      <c r="A3963" s="3">
        <v>3729</v>
      </c>
      <c r="B3963" s="28"/>
      <c r="C3963" s="3" t="s">
        <v>6</v>
      </c>
    </row>
    <row r="3964" spans="1:3" ht="13.5" thickBot="1" x14ac:dyDescent="0.25">
      <c r="A3964" s="3">
        <v>4100</v>
      </c>
      <c r="B3964" s="28"/>
      <c r="C3964" s="3" t="s">
        <v>4</v>
      </c>
    </row>
    <row r="3965" spans="1:3" ht="13.5" thickBot="1" x14ac:dyDescent="0.25">
      <c r="A3965" s="3">
        <v>5768</v>
      </c>
      <c r="B3965" s="28"/>
      <c r="C3965" s="3" t="s">
        <v>4</v>
      </c>
    </row>
    <row r="3966" spans="1:3" ht="13.5" thickBot="1" x14ac:dyDescent="0.25">
      <c r="A3966" s="3">
        <v>1545</v>
      </c>
      <c r="B3966" s="28"/>
      <c r="C3966" s="3" t="s">
        <v>5</v>
      </c>
    </row>
    <row r="3967" spans="1:3" ht="13.5" thickBot="1" x14ac:dyDescent="0.25">
      <c r="A3967" s="3">
        <v>2713</v>
      </c>
      <c r="B3967" s="28"/>
      <c r="C3967" s="3" t="s">
        <v>3</v>
      </c>
    </row>
    <row r="3968" spans="1:3" ht="13.5" thickBot="1" x14ac:dyDescent="0.25">
      <c r="A3968" s="3">
        <v>3291</v>
      </c>
      <c r="B3968" s="28"/>
      <c r="C3968" s="3" t="s">
        <v>3</v>
      </c>
    </row>
    <row r="3969" spans="1:3" ht="13.5" thickBot="1" x14ac:dyDescent="0.25">
      <c r="A3969" s="3">
        <v>2997</v>
      </c>
      <c r="B3969" s="28"/>
      <c r="C3969" s="3" t="s">
        <v>4</v>
      </c>
    </row>
    <row r="3970" spans="1:3" ht="13.5" thickBot="1" x14ac:dyDescent="0.25">
      <c r="A3970" s="3">
        <v>4861</v>
      </c>
      <c r="B3970" s="28"/>
      <c r="C3970" s="3" t="s">
        <v>6</v>
      </c>
    </row>
    <row r="3971" spans="1:3" ht="13.5" thickBot="1" x14ac:dyDescent="0.25">
      <c r="A3971" s="3">
        <v>180</v>
      </c>
      <c r="B3971" s="28"/>
      <c r="C3971" s="3" t="s">
        <v>7</v>
      </c>
    </row>
    <row r="3972" spans="1:3" ht="13.5" thickBot="1" x14ac:dyDescent="0.25">
      <c r="A3972" s="3">
        <v>1316</v>
      </c>
      <c r="B3972" s="28"/>
      <c r="C3972" s="3" t="s">
        <v>6</v>
      </c>
    </row>
    <row r="3973" spans="1:3" ht="13.5" thickBot="1" x14ac:dyDescent="0.25">
      <c r="A3973" s="3">
        <v>2305</v>
      </c>
      <c r="B3973" s="28"/>
      <c r="C3973" s="3" t="s">
        <v>3</v>
      </c>
    </row>
    <row r="3974" spans="1:3" ht="13.5" thickBot="1" x14ac:dyDescent="0.25">
      <c r="A3974" s="3">
        <v>1408</v>
      </c>
      <c r="B3974" s="28"/>
      <c r="C3974" s="3" t="s">
        <v>3</v>
      </c>
    </row>
    <row r="3975" spans="1:3" ht="13.5" thickBot="1" x14ac:dyDescent="0.25">
      <c r="A3975" s="3">
        <v>2305</v>
      </c>
      <c r="B3975" s="28"/>
      <c r="C3975" s="3" t="s">
        <v>4</v>
      </c>
    </row>
    <row r="3976" spans="1:3" ht="13.5" thickBot="1" x14ac:dyDescent="0.25">
      <c r="A3976" s="3">
        <v>1316</v>
      </c>
      <c r="B3976" s="28"/>
      <c r="C3976" s="3" t="s">
        <v>4</v>
      </c>
    </row>
    <row r="3977" spans="1:3" ht="13.5" thickBot="1" x14ac:dyDescent="0.25">
      <c r="A3977" s="3">
        <v>4739</v>
      </c>
      <c r="B3977" s="28"/>
      <c r="C3977" s="3" t="s">
        <v>3</v>
      </c>
    </row>
    <row r="3978" spans="1:3" ht="13.5" thickBot="1" x14ac:dyDescent="0.25">
      <c r="A3978" s="3">
        <v>2066</v>
      </c>
      <c r="B3978" s="28"/>
      <c r="C3978" s="3" t="s">
        <v>4</v>
      </c>
    </row>
    <row r="3979" spans="1:3" ht="13.5" thickBot="1" x14ac:dyDescent="0.25">
      <c r="A3979" s="3">
        <v>704</v>
      </c>
      <c r="B3979" s="28"/>
      <c r="C3979" s="3" t="s">
        <v>3</v>
      </c>
    </row>
    <row r="3980" spans="1:3" ht="13.5" thickBot="1" x14ac:dyDescent="0.25">
      <c r="A3980" s="3">
        <v>5915</v>
      </c>
      <c r="B3980" s="28"/>
      <c r="C3980" s="3" t="s">
        <v>7</v>
      </c>
    </row>
    <row r="3981" spans="1:3" ht="13.5" thickBot="1" x14ac:dyDescent="0.25">
      <c r="A3981" s="3">
        <v>2182</v>
      </c>
      <c r="B3981" s="28"/>
      <c r="C3981" s="3" t="s">
        <v>6</v>
      </c>
    </row>
    <row r="3982" spans="1:3" ht="13.5" thickBot="1" x14ac:dyDescent="0.25">
      <c r="A3982" s="3">
        <v>2182</v>
      </c>
      <c r="B3982" s="28"/>
      <c r="C3982" s="3" t="s">
        <v>4</v>
      </c>
    </row>
    <row r="3983" spans="1:3" ht="13.5" thickBot="1" x14ac:dyDescent="0.25">
      <c r="A3983" s="3">
        <v>6100</v>
      </c>
      <c r="B3983" s="28"/>
      <c r="C3983" s="3" t="s">
        <v>5</v>
      </c>
    </row>
    <row r="3984" spans="1:3" ht="13.5" thickBot="1" x14ac:dyDescent="0.25">
      <c r="A3984" s="3">
        <v>6062</v>
      </c>
      <c r="B3984" s="28"/>
      <c r="C3984" s="3" t="s">
        <v>5</v>
      </c>
    </row>
    <row r="3985" spans="1:3" ht="13.5" thickBot="1" x14ac:dyDescent="0.25">
      <c r="A3985" s="3">
        <v>4556</v>
      </c>
      <c r="B3985" s="28"/>
      <c r="C3985" s="3" t="s">
        <v>3</v>
      </c>
    </row>
    <row r="3986" spans="1:3" ht="13.5" thickBot="1" x14ac:dyDescent="0.25">
      <c r="A3986" s="3">
        <v>1418</v>
      </c>
      <c r="B3986" s="28"/>
      <c r="C3986" s="3" t="s">
        <v>6</v>
      </c>
    </row>
    <row r="3987" spans="1:3" ht="13.5" thickBot="1" x14ac:dyDescent="0.25">
      <c r="A3987" s="3">
        <v>2210</v>
      </c>
      <c r="B3987" s="28"/>
      <c r="C3987" s="3" t="s">
        <v>4</v>
      </c>
    </row>
    <row r="3988" spans="1:3" ht="13.5" thickBot="1" x14ac:dyDescent="0.25">
      <c r="A3988" s="3">
        <v>2625</v>
      </c>
      <c r="B3988" s="28"/>
      <c r="C3988" s="3" t="s">
        <v>3</v>
      </c>
    </row>
    <row r="3989" spans="1:3" ht="13.5" thickBot="1" x14ac:dyDescent="0.25">
      <c r="A3989" s="3">
        <v>7943</v>
      </c>
      <c r="B3989" s="28"/>
      <c r="C3989" s="3" t="s">
        <v>5</v>
      </c>
    </row>
    <row r="3990" spans="1:3" ht="13.5" thickBot="1" x14ac:dyDescent="0.25">
      <c r="A3990" s="3">
        <v>7101</v>
      </c>
      <c r="B3990" s="28"/>
      <c r="C3990" s="3" t="s">
        <v>6</v>
      </c>
    </row>
    <row r="3991" spans="1:3" ht="13.5" thickBot="1" x14ac:dyDescent="0.25">
      <c r="A3991" s="3">
        <v>916</v>
      </c>
      <c r="B3991" s="28"/>
      <c r="C3991" s="3" t="s">
        <v>3</v>
      </c>
    </row>
    <row r="3992" spans="1:3" ht="13.5" thickBot="1" x14ac:dyDescent="0.25">
      <c r="A3992" s="3">
        <v>623</v>
      </c>
      <c r="B3992" s="28"/>
      <c r="C3992" s="3" t="s">
        <v>7</v>
      </c>
    </row>
    <row r="3993" spans="1:3" ht="13.5" thickBot="1" x14ac:dyDescent="0.25">
      <c r="A3993" s="3">
        <v>2182</v>
      </c>
      <c r="B3993" s="28"/>
      <c r="C3993" s="3" t="s">
        <v>7</v>
      </c>
    </row>
    <row r="3994" spans="1:3" ht="13.5" thickBot="1" x14ac:dyDescent="0.25">
      <c r="A3994" s="3">
        <v>1490</v>
      </c>
      <c r="B3994" s="28"/>
      <c r="C3994" s="3" t="s">
        <v>5</v>
      </c>
    </row>
    <row r="3995" spans="1:3" ht="13.5" thickBot="1" x14ac:dyDescent="0.25">
      <c r="A3995" s="3">
        <v>1386</v>
      </c>
      <c r="B3995" s="28"/>
      <c r="C3995" s="3" t="s">
        <v>3</v>
      </c>
    </row>
    <row r="3996" spans="1:3" ht="13.5" thickBot="1" x14ac:dyDescent="0.25">
      <c r="A3996" s="3">
        <v>6089</v>
      </c>
      <c r="B3996" s="28"/>
      <c r="C3996" s="3" t="s">
        <v>3</v>
      </c>
    </row>
    <row r="3997" spans="1:3" ht="13.5" thickBot="1" x14ac:dyDescent="0.25">
      <c r="A3997" s="3">
        <v>3461</v>
      </c>
      <c r="B3997" s="28"/>
      <c r="C3997" s="3" t="s">
        <v>6</v>
      </c>
    </row>
    <row r="3998" spans="1:3" ht="13.5" thickBot="1" x14ac:dyDescent="0.25">
      <c r="A3998" s="3">
        <v>3525</v>
      </c>
      <c r="B3998" s="28"/>
      <c r="C3998" s="3" t="s">
        <v>7</v>
      </c>
    </row>
    <row r="3999" spans="1:3" ht="13.5" thickBot="1" x14ac:dyDescent="0.25">
      <c r="A3999" s="3">
        <v>3703</v>
      </c>
      <c r="B3999" s="28"/>
      <c r="C3999" s="3" t="s">
        <v>3</v>
      </c>
    </row>
    <row r="4000" spans="1:3" ht="13.5" thickBot="1" x14ac:dyDescent="0.25">
      <c r="A4000" s="3">
        <v>2623</v>
      </c>
      <c r="B4000" s="28"/>
      <c r="C4000" s="3" t="s">
        <v>3</v>
      </c>
    </row>
    <row r="4001" spans="1:3" ht="13.5" thickBot="1" x14ac:dyDescent="0.25">
      <c r="A4001" s="3">
        <v>3600</v>
      </c>
      <c r="B4001" s="28"/>
      <c r="C4001" s="3" t="s">
        <v>4</v>
      </c>
    </row>
    <row r="4002" spans="1:3" ht="13.5" thickBot="1" x14ac:dyDescent="0.25">
      <c r="A4002" s="3">
        <v>294</v>
      </c>
      <c r="B4002" s="28"/>
      <c r="C4002" s="3" t="s">
        <v>3</v>
      </c>
    </row>
    <row r="4003" spans="1:3" ht="13.5" thickBot="1" x14ac:dyDescent="0.25">
      <c r="A4003" s="3">
        <v>623</v>
      </c>
      <c r="B4003" s="28"/>
      <c r="C4003" s="3" t="s">
        <v>6</v>
      </c>
    </row>
    <row r="4004" spans="1:3" ht="13.5" thickBot="1" x14ac:dyDescent="0.25">
      <c r="A4004" s="3">
        <v>1103</v>
      </c>
      <c r="B4004" s="28"/>
      <c r="C4004" s="3" t="s">
        <v>4</v>
      </c>
    </row>
    <row r="4005" spans="1:3" ht="13.5" thickBot="1" x14ac:dyDescent="0.25">
      <c r="A4005" s="3">
        <v>5325</v>
      </c>
      <c r="B4005" s="28"/>
      <c r="C4005" s="3" t="s">
        <v>6</v>
      </c>
    </row>
    <row r="4006" spans="1:3" ht="13.5" thickBot="1" x14ac:dyDescent="0.25">
      <c r="A4006" s="3">
        <v>5455</v>
      </c>
      <c r="B4006" s="28"/>
      <c r="C4006" s="3" t="s">
        <v>6</v>
      </c>
    </row>
    <row r="4007" spans="1:3" ht="13.5" thickBot="1" x14ac:dyDescent="0.25">
      <c r="A4007" s="3">
        <v>5012</v>
      </c>
      <c r="B4007" s="28"/>
      <c r="C4007" s="3" t="s">
        <v>7</v>
      </c>
    </row>
    <row r="4008" spans="1:3" ht="13.5" thickBot="1" x14ac:dyDescent="0.25">
      <c r="A4008" s="3">
        <v>7545</v>
      </c>
      <c r="B4008" s="28"/>
      <c r="C4008" s="3" t="s">
        <v>4</v>
      </c>
    </row>
    <row r="4009" spans="1:3" ht="13.5" thickBot="1" x14ac:dyDescent="0.25">
      <c r="A4009" s="3">
        <v>6151</v>
      </c>
      <c r="B4009" s="28"/>
      <c r="C4009" s="3" t="s">
        <v>3</v>
      </c>
    </row>
    <row r="4010" spans="1:3" ht="13.5" thickBot="1" x14ac:dyDescent="0.25">
      <c r="A4010" s="3">
        <v>5753</v>
      </c>
      <c r="B4010" s="28"/>
      <c r="C4010" s="3" t="s">
        <v>6</v>
      </c>
    </row>
    <row r="4011" spans="1:3" ht="13.5" thickBot="1" x14ac:dyDescent="0.25">
      <c r="A4011" s="3">
        <v>6533</v>
      </c>
      <c r="B4011" s="28"/>
      <c r="C4011" s="3" t="s">
        <v>7</v>
      </c>
    </row>
    <row r="4012" spans="1:3" ht="13.5" thickBot="1" x14ac:dyDescent="0.25">
      <c r="A4012" s="3">
        <v>7833</v>
      </c>
      <c r="B4012" s="28"/>
      <c r="C4012" s="3" t="s">
        <v>3</v>
      </c>
    </row>
    <row r="4013" spans="1:3" ht="13.5" thickBot="1" x14ac:dyDescent="0.25">
      <c r="A4013" s="3">
        <v>111</v>
      </c>
      <c r="B4013" s="28"/>
      <c r="C4013" s="3" t="s">
        <v>6</v>
      </c>
    </row>
    <row r="4014" spans="1:3" ht="13.5" thickBot="1" x14ac:dyDescent="0.25">
      <c r="A4014" s="3">
        <v>5197</v>
      </c>
      <c r="B4014" s="28"/>
      <c r="C4014" s="3" t="s">
        <v>3</v>
      </c>
    </row>
    <row r="4015" spans="1:3" ht="13.5" thickBot="1" x14ac:dyDescent="0.25">
      <c r="A4015" s="3">
        <v>2200</v>
      </c>
      <c r="B4015" s="28"/>
      <c r="C4015" s="3" t="s">
        <v>3</v>
      </c>
    </row>
    <row r="4016" spans="1:3" ht="13.5" thickBot="1" x14ac:dyDescent="0.25">
      <c r="A4016" s="3">
        <v>1923</v>
      </c>
      <c r="B4016" s="28"/>
      <c r="C4016" s="3" t="s">
        <v>6</v>
      </c>
    </row>
    <row r="4017" spans="1:3" ht="13.5" thickBot="1" x14ac:dyDescent="0.25">
      <c r="A4017" s="3">
        <v>2358</v>
      </c>
      <c r="B4017" s="28"/>
      <c r="C4017" s="3" t="s">
        <v>3</v>
      </c>
    </row>
    <row r="4018" spans="1:3" ht="13.5" thickBot="1" x14ac:dyDescent="0.25">
      <c r="A4018" s="3">
        <v>1447</v>
      </c>
      <c r="B4018" s="28"/>
      <c r="C4018" s="3" t="s">
        <v>4</v>
      </c>
    </row>
    <row r="4019" spans="1:3" ht="13.5" thickBot="1" x14ac:dyDescent="0.25">
      <c r="A4019" s="3">
        <v>111</v>
      </c>
      <c r="B4019" s="28"/>
      <c r="C4019" s="3" t="s">
        <v>4</v>
      </c>
    </row>
    <row r="4020" spans="1:3" ht="13.5" thickBot="1" x14ac:dyDescent="0.25">
      <c r="A4020" s="3">
        <v>1671</v>
      </c>
      <c r="B4020" s="28"/>
      <c r="C4020" s="3" t="s">
        <v>3</v>
      </c>
    </row>
    <row r="4021" spans="1:3" ht="13.5" thickBot="1" x14ac:dyDescent="0.25">
      <c r="A4021" s="3">
        <v>3873</v>
      </c>
      <c r="B4021" s="28"/>
      <c r="C4021" s="3" t="s">
        <v>4</v>
      </c>
    </row>
    <row r="4022" spans="1:3" ht="13.5" thickBot="1" x14ac:dyDescent="0.25">
      <c r="A4022" s="3">
        <v>3858</v>
      </c>
      <c r="B4022" s="28"/>
      <c r="C4022" s="3" t="s">
        <v>6</v>
      </c>
    </row>
    <row r="4023" spans="1:3" ht="13.5" thickBot="1" x14ac:dyDescent="0.25">
      <c r="A4023" s="3">
        <v>5334</v>
      </c>
      <c r="B4023" s="28"/>
      <c r="C4023" s="3" t="s">
        <v>4</v>
      </c>
    </row>
    <row r="4024" spans="1:3" ht="13.5" thickBot="1" x14ac:dyDescent="0.25">
      <c r="A4024" s="3">
        <v>6239</v>
      </c>
      <c r="B4024" s="28"/>
      <c r="C4024" s="3" t="s">
        <v>4</v>
      </c>
    </row>
    <row r="4025" spans="1:3" ht="13.5" thickBot="1" x14ac:dyDescent="0.25">
      <c r="A4025" s="3">
        <v>1110</v>
      </c>
      <c r="B4025" s="28"/>
      <c r="C4025" s="3" t="s">
        <v>3</v>
      </c>
    </row>
    <row r="4026" spans="1:3" ht="13.5" thickBot="1" x14ac:dyDescent="0.25">
      <c r="A4026" s="3">
        <v>3872</v>
      </c>
      <c r="B4026" s="28"/>
      <c r="C4026" s="3" t="s">
        <v>4</v>
      </c>
    </row>
    <row r="4027" spans="1:3" ht="13.5" thickBot="1" x14ac:dyDescent="0.25">
      <c r="A4027" s="3">
        <v>5753</v>
      </c>
      <c r="B4027" s="28"/>
      <c r="C4027" s="3" t="s">
        <v>5</v>
      </c>
    </row>
    <row r="4028" spans="1:3" ht="13.5" thickBot="1" x14ac:dyDescent="0.25">
      <c r="A4028" s="3">
        <v>7432</v>
      </c>
      <c r="B4028" s="28"/>
      <c r="C4028" s="3" t="s">
        <v>3</v>
      </c>
    </row>
    <row r="4029" spans="1:3" ht="13.5" thickBot="1" x14ac:dyDescent="0.25">
      <c r="A4029" s="3">
        <v>3873</v>
      </c>
      <c r="B4029" s="28"/>
      <c r="C4029" s="3" t="s">
        <v>5</v>
      </c>
    </row>
    <row r="4030" spans="1:3" ht="13.5" thickBot="1" x14ac:dyDescent="0.25">
      <c r="A4030" s="3">
        <v>5493</v>
      </c>
      <c r="B4030" s="28"/>
      <c r="C4030" s="3" t="s">
        <v>6</v>
      </c>
    </row>
    <row r="4031" spans="1:3" ht="13.5" thickBot="1" x14ac:dyDescent="0.25">
      <c r="A4031" s="3">
        <v>6508</v>
      </c>
      <c r="B4031" s="28"/>
      <c r="C4031" s="3" t="s">
        <v>3</v>
      </c>
    </row>
    <row r="4032" spans="1:3" ht="13.5" thickBot="1" x14ac:dyDescent="0.25">
      <c r="A4032" s="3">
        <v>3806</v>
      </c>
      <c r="B4032" s="28"/>
      <c r="C4032" s="3" t="s">
        <v>5</v>
      </c>
    </row>
    <row r="4033" spans="1:3" ht="13.5" thickBot="1" x14ac:dyDescent="0.25">
      <c r="A4033" s="3">
        <v>398</v>
      </c>
      <c r="B4033" s="28"/>
      <c r="C4033" s="3" t="s">
        <v>6</v>
      </c>
    </row>
    <row r="4034" spans="1:3" ht="13.5" thickBot="1" x14ac:dyDescent="0.25">
      <c r="A4034" s="3">
        <v>3871</v>
      </c>
      <c r="B4034" s="28"/>
      <c r="C4034" s="3" t="s">
        <v>3</v>
      </c>
    </row>
    <row r="4035" spans="1:3" ht="13.5" thickBot="1" x14ac:dyDescent="0.25">
      <c r="A4035" s="3">
        <v>1447</v>
      </c>
      <c r="B4035" s="28"/>
      <c r="C4035" s="3" t="s">
        <v>6</v>
      </c>
    </row>
    <row r="4036" spans="1:3" ht="13.5" thickBot="1" x14ac:dyDescent="0.25">
      <c r="A4036" s="3">
        <v>6538</v>
      </c>
      <c r="B4036" s="28"/>
      <c r="C4036" s="3" t="s">
        <v>3</v>
      </c>
    </row>
    <row r="4037" spans="1:3" ht="13.5" thickBot="1" x14ac:dyDescent="0.25">
      <c r="A4037" s="3">
        <v>2642</v>
      </c>
      <c r="B4037" s="28"/>
      <c r="C4037" s="3" t="s">
        <v>7</v>
      </c>
    </row>
    <row r="4038" spans="1:3" ht="13.5" thickBot="1" x14ac:dyDescent="0.25">
      <c r="A4038" s="3">
        <v>3806</v>
      </c>
      <c r="B4038" s="28"/>
      <c r="C4038" s="3" t="s">
        <v>3</v>
      </c>
    </row>
    <row r="4039" spans="1:3" ht="13.5" thickBot="1" x14ac:dyDescent="0.25">
      <c r="A4039" s="3">
        <v>1059</v>
      </c>
      <c r="B4039" s="28"/>
      <c r="C4039" s="3" t="s">
        <v>3</v>
      </c>
    </row>
    <row r="4040" spans="1:3" ht="13.5" thickBot="1" x14ac:dyDescent="0.25">
      <c r="A4040" s="3">
        <v>3783</v>
      </c>
      <c r="B4040" s="28"/>
      <c r="C4040" s="3" t="s">
        <v>3</v>
      </c>
    </row>
    <row r="4041" spans="1:3" ht="13.5" thickBot="1" x14ac:dyDescent="0.25">
      <c r="A4041" s="3">
        <v>2623</v>
      </c>
      <c r="B4041" s="28"/>
      <c r="C4041" s="3" t="s">
        <v>4</v>
      </c>
    </row>
    <row r="4042" spans="1:3" ht="13.5" thickBot="1" x14ac:dyDescent="0.25">
      <c r="A4042" s="3">
        <v>2376</v>
      </c>
      <c r="B4042" s="28"/>
      <c r="C4042" s="3" t="s">
        <v>6</v>
      </c>
    </row>
    <row r="4043" spans="1:3" ht="13.5" thickBot="1" x14ac:dyDescent="0.25">
      <c r="A4043" s="3">
        <v>3291</v>
      </c>
      <c r="B4043" s="28"/>
      <c r="C4043" s="3" t="s">
        <v>5</v>
      </c>
    </row>
    <row r="4044" spans="1:3" ht="13.5" thickBot="1" x14ac:dyDescent="0.25">
      <c r="A4044" s="3">
        <v>1484</v>
      </c>
      <c r="B4044" s="28"/>
      <c r="C4044" s="3" t="s">
        <v>6</v>
      </c>
    </row>
    <row r="4045" spans="1:3" ht="13.5" thickBot="1" x14ac:dyDescent="0.25">
      <c r="A4045" s="3">
        <v>3160</v>
      </c>
      <c r="B4045" s="28"/>
      <c r="C4045" s="3" t="s">
        <v>3</v>
      </c>
    </row>
    <row r="4046" spans="1:3" ht="13.5" thickBot="1" x14ac:dyDescent="0.25">
      <c r="A4046" s="3">
        <v>1357</v>
      </c>
      <c r="B4046" s="28"/>
      <c r="C4046" s="3" t="s">
        <v>4</v>
      </c>
    </row>
    <row r="4047" spans="1:3" ht="13.5" thickBot="1" x14ac:dyDescent="0.25">
      <c r="A4047" s="3">
        <v>680</v>
      </c>
      <c r="B4047" s="28"/>
      <c r="C4047" s="3" t="s">
        <v>3</v>
      </c>
    </row>
    <row r="4048" spans="1:3" ht="13.5" thickBot="1" x14ac:dyDescent="0.25">
      <c r="A4048" s="3">
        <v>1205</v>
      </c>
      <c r="B4048" s="28"/>
      <c r="C4048" s="3" t="s">
        <v>3</v>
      </c>
    </row>
    <row r="4049" spans="1:3" ht="13.5" thickBot="1" x14ac:dyDescent="0.25">
      <c r="A4049" s="3">
        <v>2500</v>
      </c>
      <c r="B4049" s="28"/>
      <c r="C4049" s="3" t="s">
        <v>5</v>
      </c>
    </row>
    <row r="4050" spans="1:3" ht="13.5" thickBot="1" x14ac:dyDescent="0.25">
      <c r="A4050" s="3">
        <v>7545</v>
      </c>
      <c r="B4050" s="28"/>
      <c r="C4050" s="3" t="s">
        <v>5</v>
      </c>
    </row>
    <row r="4051" spans="1:3" ht="13.5" thickBot="1" x14ac:dyDescent="0.25">
      <c r="A4051" s="3">
        <v>3783</v>
      </c>
      <c r="B4051" s="28"/>
      <c r="C4051" s="3" t="s">
        <v>5</v>
      </c>
    </row>
    <row r="4052" spans="1:3" ht="13.5" thickBot="1" x14ac:dyDescent="0.25">
      <c r="A4052" s="3">
        <v>7331</v>
      </c>
      <c r="B4052" s="28"/>
      <c r="C4052" s="3" t="s">
        <v>6</v>
      </c>
    </row>
    <row r="4053" spans="1:3" ht="13.5" thickBot="1" x14ac:dyDescent="0.25">
      <c r="A4053" s="3">
        <v>5753</v>
      </c>
      <c r="B4053" s="28"/>
      <c r="C4053" s="3" t="s">
        <v>7</v>
      </c>
    </row>
    <row r="4054" spans="1:3" ht="13.5" thickBot="1" x14ac:dyDescent="0.25">
      <c r="A4054" s="3">
        <v>1229</v>
      </c>
      <c r="B4054" s="28"/>
      <c r="C4054" s="3" t="s">
        <v>3</v>
      </c>
    </row>
    <row r="4055" spans="1:3" ht="13.5" thickBot="1" x14ac:dyDescent="0.25">
      <c r="A4055" s="3">
        <v>6070</v>
      </c>
      <c r="B4055" s="28"/>
      <c r="C4055" s="3" t="s">
        <v>3</v>
      </c>
    </row>
    <row r="4056" spans="1:3" ht="13.5" thickBot="1" x14ac:dyDescent="0.25">
      <c r="A4056" s="3">
        <v>5644</v>
      </c>
      <c r="B4056" s="28"/>
      <c r="C4056" s="3" t="s">
        <v>4</v>
      </c>
    </row>
    <row r="4057" spans="1:3" ht="13.5" thickBot="1" x14ac:dyDescent="0.25">
      <c r="A4057" s="3">
        <v>6193</v>
      </c>
      <c r="B4057" s="28"/>
      <c r="C4057" s="3" t="s">
        <v>3</v>
      </c>
    </row>
    <row r="4058" spans="1:3" ht="13.5" thickBot="1" x14ac:dyDescent="0.25">
      <c r="A4058" s="3">
        <v>4326</v>
      </c>
      <c r="B4058" s="28"/>
      <c r="C4058" s="3" t="s">
        <v>6</v>
      </c>
    </row>
    <row r="4059" spans="1:3" ht="13.5" thickBot="1" x14ac:dyDescent="0.25">
      <c r="A4059" s="3">
        <v>6089</v>
      </c>
      <c r="B4059" s="28"/>
      <c r="C4059" s="3" t="s">
        <v>6</v>
      </c>
    </row>
    <row r="4060" spans="1:3" ht="13.5" thickBot="1" x14ac:dyDescent="0.25">
      <c r="A4060" s="3">
        <v>5996</v>
      </c>
      <c r="B4060" s="28"/>
      <c r="C4060" s="3" t="s">
        <v>3</v>
      </c>
    </row>
    <row r="4061" spans="1:3" ht="13.5" thickBot="1" x14ac:dyDescent="0.25">
      <c r="A4061" s="3">
        <v>1490</v>
      </c>
      <c r="B4061" s="28"/>
      <c r="C4061" s="3" t="s">
        <v>7</v>
      </c>
    </row>
    <row r="4062" spans="1:3" ht="13.5" thickBot="1" x14ac:dyDescent="0.25">
      <c r="A4062" s="3">
        <v>6721</v>
      </c>
      <c r="B4062" s="28"/>
      <c r="C4062" s="3" t="s">
        <v>5</v>
      </c>
    </row>
    <row r="4063" spans="1:3" ht="13.5" thickBot="1" x14ac:dyDescent="0.25">
      <c r="A4063" s="3">
        <v>3783</v>
      </c>
      <c r="B4063" s="28"/>
      <c r="C4063" s="3" t="s">
        <v>7</v>
      </c>
    </row>
    <row r="4064" spans="1:3" ht="13.5" thickBot="1" x14ac:dyDescent="0.25">
      <c r="A4064" s="3">
        <v>6249</v>
      </c>
      <c r="B4064" s="28"/>
      <c r="C4064" s="3" t="s">
        <v>3</v>
      </c>
    </row>
    <row r="4065" spans="1:3" ht="13.5" thickBot="1" x14ac:dyDescent="0.25">
      <c r="A4065" s="3">
        <v>7640</v>
      </c>
      <c r="B4065" s="28"/>
      <c r="C4065" s="3" t="s">
        <v>4</v>
      </c>
    </row>
    <row r="4066" spans="1:3" ht="13.5" thickBot="1" x14ac:dyDescent="0.25">
      <c r="A4066" s="3">
        <v>7452</v>
      </c>
      <c r="B4066" s="28"/>
      <c r="C4066" s="3" t="s">
        <v>6</v>
      </c>
    </row>
    <row r="4067" spans="1:3" ht="13.5" thickBot="1" x14ac:dyDescent="0.25">
      <c r="A4067" s="3">
        <v>587</v>
      </c>
      <c r="B4067" s="28"/>
      <c r="C4067" s="3" t="s">
        <v>6</v>
      </c>
    </row>
    <row r="4068" spans="1:3" ht="13.5" thickBot="1" x14ac:dyDescent="0.25">
      <c r="A4068" s="3">
        <v>4739</v>
      </c>
      <c r="B4068" s="28"/>
      <c r="C4068" s="3" t="s">
        <v>4</v>
      </c>
    </row>
    <row r="4069" spans="1:3" ht="13.5" thickBot="1" x14ac:dyDescent="0.25">
      <c r="A4069" s="3">
        <v>240</v>
      </c>
      <c r="B4069" s="28"/>
      <c r="C4069" s="3" t="s">
        <v>3</v>
      </c>
    </row>
    <row r="4070" spans="1:3" ht="13.5" thickBot="1" x14ac:dyDescent="0.25">
      <c r="A4070" s="3">
        <v>1844</v>
      </c>
      <c r="B4070" s="28"/>
      <c r="C4070" s="3" t="s">
        <v>3</v>
      </c>
    </row>
    <row r="4071" spans="1:3" ht="13.5" thickBot="1" x14ac:dyDescent="0.25">
      <c r="A4071" s="3">
        <v>1774</v>
      </c>
      <c r="B4071" s="28"/>
      <c r="C4071" s="3" t="s">
        <v>3</v>
      </c>
    </row>
    <row r="4072" spans="1:3" ht="13.5" thickBot="1" x14ac:dyDescent="0.25">
      <c r="A4072" s="3">
        <v>390</v>
      </c>
      <c r="B4072" s="28"/>
      <c r="C4072" s="3" t="s">
        <v>3</v>
      </c>
    </row>
    <row r="4073" spans="1:3" ht="13.5" thickBot="1" x14ac:dyDescent="0.25">
      <c r="A4073" s="3">
        <v>3997</v>
      </c>
      <c r="B4073" s="28"/>
      <c r="C4073" s="3" t="s">
        <v>3</v>
      </c>
    </row>
    <row r="4074" spans="1:3" ht="13.5" thickBot="1" x14ac:dyDescent="0.25">
      <c r="A4074" s="3">
        <v>5644</v>
      </c>
      <c r="B4074" s="28"/>
      <c r="C4074" s="3" t="s">
        <v>3</v>
      </c>
    </row>
    <row r="4075" spans="1:3" ht="13.5" thickBot="1" x14ac:dyDescent="0.25">
      <c r="A4075" s="3">
        <v>3470</v>
      </c>
      <c r="B4075" s="28"/>
      <c r="C4075" s="3" t="s">
        <v>7</v>
      </c>
    </row>
    <row r="4076" spans="1:3" ht="13.5" thickBot="1" x14ac:dyDescent="0.25">
      <c r="A4076" s="3">
        <v>2200</v>
      </c>
      <c r="B4076" s="28"/>
      <c r="C4076" s="3" t="s">
        <v>5</v>
      </c>
    </row>
    <row r="4077" spans="1:3" ht="13.5" thickBot="1" x14ac:dyDescent="0.25">
      <c r="A4077" s="3">
        <v>3751</v>
      </c>
      <c r="B4077" s="28"/>
      <c r="C4077" s="3" t="s">
        <v>3</v>
      </c>
    </row>
    <row r="4078" spans="1:3" ht="13.5" thickBot="1" x14ac:dyDescent="0.25">
      <c r="A4078" s="3">
        <v>2174</v>
      </c>
      <c r="B4078" s="28"/>
      <c r="C4078" s="3" t="s">
        <v>3</v>
      </c>
    </row>
    <row r="4079" spans="1:3" ht="13.5" thickBot="1" x14ac:dyDescent="0.25">
      <c r="A4079" s="3">
        <v>7781</v>
      </c>
      <c r="B4079" s="28"/>
      <c r="C4079" s="3" t="s">
        <v>3</v>
      </c>
    </row>
    <row r="4080" spans="1:3" ht="13.5" thickBot="1" x14ac:dyDescent="0.25">
      <c r="A4080" s="3">
        <v>816</v>
      </c>
      <c r="B4080" s="28"/>
      <c r="C4080" s="3" t="s">
        <v>4</v>
      </c>
    </row>
    <row r="4081" spans="1:3" ht="13.5" thickBot="1" x14ac:dyDescent="0.25">
      <c r="A4081" s="3">
        <v>6089</v>
      </c>
      <c r="B4081" s="28"/>
      <c r="C4081" s="3" t="s">
        <v>5</v>
      </c>
    </row>
    <row r="4082" spans="1:3" ht="13.5" thickBot="1" x14ac:dyDescent="0.25">
      <c r="A4082" s="3">
        <v>3806</v>
      </c>
      <c r="B4082" s="28"/>
      <c r="C4082" s="3" t="s">
        <v>4</v>
      </c>
    </row>
    <row r="4083" spans="1:3" ht="13.5" thickBot="1" x14ac:dyDescent="0.25">
      <c r="A4083" s="3">
        <v>6328</v>
      </c>
      <c r="B4083" s="28"/>
      <c r="C4083" s="3" t="s">
        <v>3</v>
      </c>
    </row>
    <row r="4084" spans="1:3" ht="13.5" thickBot="1" x14ac:dyDescent="0.25">
      <c r="A4084" s="3">
        <v>4556</v>
      </c>
      <c r="B4084" s="28"/>
      <c r="C4084" s="3" t="s">
        <v>4</v>
      </c>
    </row>
    <row r="4085" spans="1:3" ht="13.5" thickBot="1" x14ac:dyDescent="0.25">
      <c r="A4085" s="3">
        <v>971</v>
      </c>
      <c r="B4085" s="28"/>
      <c r="C4085" s="3" t="s">
        <v>3</v>
      </c>
    </row>
    <row r="4086" spans="1:3" ht="13.5" thickBot="1" x14ac:dyDescent="0.25">
      <c r="A4086" s="3">
        <v>1685</v>
      </c>
      <c r="B4086" s="28"/>
      <c r="C4086" s="3" t="s">
        <v>3</v>
      </c>
    </row>
    <row r="4087" spans="1:3" ht="13.5" thickBot="1" x14ac:dyDescent="0.25">
      <c r="A4087" s="3">
        <v>294</v>
      </c>
      <c r="B4087" s="28"/>
      <c r="C4087" s="3" t="s">
        <v>4</v>
      </c>
    </row>
    <row r="4088" spans="1:3" ht="13.5" thickBot="1" x14ac:dyDescent="0.25">
      <c r="A4088" s="3">
        <v>7308</v>
      </c>
      <c r="B4088" s="28"/>
      <c r="C4088" s="3" t="s">
        <v>3</v>
      </c>
    </row>
    <row r="4089" spans="1:3" ht="13.5" thickBot="1" x14ac:dyDescent="0.25">
      <c r="A4089" s="3">
        <v>3160</v>
      </c>
      <c r="B4089" s="28"/>
      <c r="C4089" s="3" t="s">
        <v>4</v>
      </c>
    </row>
    <row r="4090" spans="1:3" ht="13.5" thickBot="1" x14ac:dyDescent="0.25">
      <c r="A4090" s="3">
        <v>6508</v>
      </c>
      <c r="B4090" s="28"/>
      <c r="C4090" s="3" t="s">
        <v>7</v>
      </c>
    </row>
    <row r="4091" spans="1:3" ht="13.5" thickBot="1" x14ac:dyDescent="0.25">
      <c r="A4091" s="3">
        <v>5753</v>
      </c>
      <c r="B4091" s="28"/>
      <c r="C4091" s="3" t="s">
        <v>4</v>
      </c>
    </row>
    <row r="4092" spans="1:3" ht="13.5" thickBot="1" x14ac:dyDescent="0.25">
      <c r="A4092" s="3">
        <v>6328</v>
      </c>
      <c r="B4092" s="28"/>
      <c r="C4092" s="3" t="s">
        <v>4</v>
      </c>
    </row>
    <row r="4093" spans="1:3" ht="13.5" thickBot="1" x14ac:dyDescent="0.25">
      <c r="A4093" s="3">
        <v>2683</v>
      </c>
      <c r="B4093" s="28"/>
      <c r="C4093" s="3" t="s">
        <v>3</v>
      </c>
    </row>
    <row r="4094" spans="1:3" ht="13.5" thickBot="1" x14ac:dyDescent="0.25">
      <c r="A4094" s="3">
        <v>1671</v>
      </c>
      <c r="B4094" s="28"/>
      <c r="C4094" s="3" t="s">
        <v>7</v>
      </c>
    </row>
    <row r="4095" spans="1:3" ht="13.5" thickBot="1" x14ac:dyDescent="0.25">
      <c r="A4095" s="3">
        <v>3623</v>
      </c>
      <c r="B4095" s="28"/>
      <c r="C4095" s="3" t="s">
        <v>3</v>
      </c>
    </row>
    <row r="4096" spans="1:3" ht="13.5" thickBot="1" x14ac:dyDescent="0.25">
      <c r="A4096" s="3">
        <v>3642</v>
      </c>
      <c r="B4096" s="28"/>
      <c r="C4096" s="3" t="s">
        <v>3</v>
      </c>
    </row>
    <row r="4097" spans="1:3" ht="13.5" thickBot="1" x14ac:dyDescent="0.25">
      <c r="A4097" s="3">
        <v>6748</v>
      </c>
      <c r="B4097" s="28"/>
      <c r="C4097" s="3" t="s">
        <v>5</v>
      </c>
    </row>
    <row r="4098" spans="1:3" ht="13.5" thickBot="1" x14ac:dyDescent="0.25">
      <c r="A4098" s="3">
        <v>2844</v>
      </c>
      <c r="B4098" s="28"/>
      <c r="C4098" s="3" t="s">
        <v>3</v>
      </c>
    </row>
    <row r="4099" spans="1:3" ht="13.5" thickBot="1" x14ac:dyDescent="0.25">
      <c r="A4099" s="3">
        <v>1896</v>
      </c>
      <c r="B4099" s="28"/>
      <c r="C4099" s="3" t="s">
        <v>3</v>
      </c>
    </row>
    <row r="4100" spans="1:3" ht="13.5" thickBot="1" x14ac:dyDescent="0.25">
      <c r="A4100" s="3">
        <v>2837</v>
      </c>
      <c r="B4100" s="28"/>
      <c r="C4100" s="3" t="s">
        <v>3</v>
      </c>
    </row>
    <row r="4101" spans="1:3" ht="13.5" thickBot="1" x14ac:dyDescent="0.25">
      <c r="A4101" s="3">
        <v>3144</v>
      </c>
      <c r="B4101" s="28"/>
      <c r="C4101" s="3" t="s">
        <v>6</v>
      </c>
    </row>
    <row r="4102" spans="1:3" ht="13.5" thickBot="1" x14ac:dyDescent="0.25">
      <c r="A4102" s="3">
        <v>1545</v>
      </c>
      <c r="B4102" s="28"/>
      <c r="C4102" s="3" t="s">
        <v>7</v>
      </c>
    </row>
    <row r="4103" spans="1:3" ht="13.5" thickBot="1" x14ac:dyDescent="0.25">
      <c r="A4103" s="3">
        <v>1110</v>
      </c>
      <c r="B4103" s="28"/>
      <c r="C4103" s="3" t="s">
        <v>4</v>
      </c>
    </row>
    <row r="4104" spans="1:3" ht="13.5" thickBot="1" x14ac:dyDescent="0.25">
      <c r="A4104" s="3">
        <v>3247</v>
      </c>
      <c r="B4104" s="28"/>
      <c r="C4104" s="3" t="s">
        <v>6</v>
      </c>
    </row>
    <row r="4105" spans="1:3" ht="13.5" thickBot="1" x14ac:dyDescent="0.25">
      <c r="A4105" s="3">
        <v>2305</v>
      </c>
      <c r="B4105" s="28"/>
      <c r="C4105" s="3" t="s">
        <v>5</v>
      </c>
    </row>
    <row r="4106" spans="1:3" ht="13.5" thickBot="1" x14ac:dyDescent="0.25">
      <c r="A4106" s="3">
        <v>1408</v>
      </c>
      <c r="B4106" s="28"/>
      <c r="C4106" s="3" t="s">
        <v>7</v>
      </c>
    </row>
    <row r="4107" spans="1:3" ht="13.5" thickBot="1" x14ac:dyDescent="0.25">
      <c r="A4107" s="3">
        <v>5509</v>
      </c>
      <c r="B4107" s="28"/>
      <c r="C4107" s="3" t="s">
        <v>3</v>
      </c>
    </row>
    <row r="4108" spans="1:3" ht="13.5" thickBot="1" x14ac:dyDescent="0.25">
      <c r="A4108" s="3">
        <v>793</v>
      </c>
      <c r="B4108" s="28"/>
      <c r="C4108" s="3" t="s">
        <v>3</v>
      </c>
    </row>
    <row r="4109" spans="1:3" ht="13.5" thickBot="1" x14ac:dyDescent="0.25">
      <c r="A4109" s="3">
        <v>240</v>
      </c>
      <c r="B4109" s="28"/>
      <c r="C4109" s="3" t="s">
        <v>5</v>
      </c>
    </row>
    <row r="4110" spans="1:3" ht="13.5" thickBot="1" x14ac:dyDescent="0.25">
      <c r="A4110" s="3">
        <v>6670</v>
      </c>
      <c r="B4110" s="28"/>
      <c r="C4110" s="3" t="s">
        <v>3</v>
      </c>
    </row>
    <row r="4111" spans="1:3" ht="13.5" thickBot="1" x14ac:dyDescent="0.25">
      <c r="A4111" s="3">
        <v>6089</v>
      </c>
      <c r="B4111" s="28"/>
      <c r="C4111" s="3" t="s">
        <v>4</v>
      </c>
    </row>
    <row r="4112" spans="1:3" ht="13.5" thickBot="1" x14ac:dyDescent="0.25">
      <c r="A4112" s="3">
        <v>978</v>
      </c>
      <c r="B4112" s="28"/>
      <c r="C4112" s="3" t="s">
        <v>3</v>
      </c>
    </row>
    <row r="4113" spans="1:3" ht="13.5" thickBot="1" x14ac:dyDescent="0.25">
      <c r="A4113" s="3">
        <v>3871</v>
      </c>
      <c r="B4113" s="28"/>
      <c r="C4113" s="3" t="s">
        <v>4</v>
      </c>
    </row>
    <row r="4114" spans="1:3" ht="13.5" thickBot="1" x14ac:dyDescent="0.25">
      <c r="A4114" s="3">
        <v>7129</v>
      </c>
      <c r="B4114" s="28"/>
      <c r="C4114" s="3" t="s">
        <v>5</v>
      </c>
    </row>
    <row r="4115" spans="1:3" ht="13.5" thickBot="1" x14ac:dyDescent="0.25">
      <c r="A4115" s="3">
        <v>2797</v>
      </c>
      <c r="B4115" s="28"/>
      <c r="C4115" s="3" t="s">
        <v>4</v>
      </c>
    </row>
    <row r="4116" spans="1:3" ht="13.5" thickBot="1" x14ac:dyDescent="0.25">
      <c r="A4116" s="3">
        <v>2738</v>
      </c>
      <c r="B4116" s="28"/>
      <c r="C4116" s="3" t="s">
        <v>3</v>
      </c>
    </row>
    <row r="4117" spans="1:3" ht="13.5" thickBot="1" x14ac:dyDescent="0.25">
      <c r="A4117" s="3">
        <v>7943</v>
      </c>
      <c r="B4117" s="28"/>
      <c r="C4117" s="3" t="s">
        <v>4</v>
      </c>
    </row>
    <row r="4118" spans="1:3" ht="13.5" thickBot="1" x14ac:dyDescent="0.25">
      <c r="A4118" s="3">
        <v>3829</v>
      </c>
      <c r="B4118" s="28"/>
      <c r="C4118" s="3" t="s">
        <v>3</v>
      </c>
    </row>
    <row r="4119" spans="1:3" ht="13.5" thickBot="1" x14ac:dyDescent="0.25">
      <c r="A4119" s="3">
        <v>6103</v>
      </c>
      <c r="B4119" s="28"/>
      <c r="C4119" s="3" t="s">
        <v>3</v>
      </c>
    </row>
    <row r="4120" spans="1:3" ht="13.5" thickBot="1" x14ac:dyDescent="0.25">
      <c r="A4120" s="3">
        <v>6533</v>
      </c>
      <c r="B4120" s="28"/>
      <c r="C4120" s="3" t="s">
        <v>5</v>
      </c>
    </row>
    <row r="4121" spans="1:3" ht="13.5" thickBot="1" x14ac:dyDescent="0.25">
      <c r="A4121" s="3">
        <v>3525</v>
      </c>
      <c r="B4121" s="28"/>
      <c r="C4121" s="3" t="s">
        <v>6</v>
      </c>
    </row>
    <row r="4122" spans="1:3" ht="13.5" thickBot="1" x14ac:dyDescent="0.25">
      <c r="A4122" s="3">
        <v>1386</v>
      </c>
      <c r="B4122" s="28"/>
      <c r="C4122" s="3" t="s">
        <v>6</v>
      </c>
    </row>
    <row r="4123" spans="1:3" ht="13.5" thickBot="1" x14ac:dyDescent="0.25">
      <c r="A4123" s="3">
        <v>1406</v>
      </c>
      <c r="B4123" s="28"/>
      <c r="C4123" s="3" t="s">
        <v>4</v>
      </c>
    </row>
    <row r="4124" spans="1:3" ht="13.5" thickBot="1" x14ac:dyDescent="0.25">
      <c r="A4124" s="3">
        <v>1406</v>
      </c>
      <c r="B4124" s="28"/>
      <c r="C4124" s="3" t="s">
        <v>3</v>
      </c>
    </row>
    <row r="4125" spans="1:3" ht="13.5" thickBot="1" x14ac:dyDescent="0.25">
      <c r="A4125" s="3">
        <v>4086</v>
      </c>
      <c r="B4125" s="28"/>
      <c r="C4125" s="3" t="s">
        <v>6</v>
      </c>
    </row>
    <row r="4126" spans="1:3" ht="13.5" thickBot="1" x14ac:dyDescent="0.25">
      <c r="A4126" s="3">
        <v>971</v>
      </c>
      <c r="B4126" s="28"/>
      <c r="C4126" s="3" t="s">
        <v>6</v>
      </c>
    </row>
    <row r="4127" spans="1:3" ht="13.5" thickBot="1" x14ac:dyDescent="0.25">
      <c r="A4127" s="3">
        <v>971</v>
      </c>
      <c r="B4127" s="28"/>
      <c r="C4127" s="3" t="s">
        <v>4</v>
      </c>
    </row>
    <row r="4128" spans="1:3" ht="13.5" thickBot="1" x14ac:dyDescent="0.25">
      <c r="A4128" s="3">
        <v>4731</v>
      </c>
      <c r="B4128" s="28"/>
      <c r="C4128" s="3" t="s">
        <v>3</v>
      </c>
    </row>
    <row r="4129" spans="1:3" ht="13.5" thickBot="1" x14ac:dyDescent="0.25">
      <c r="A4129" s="3">
        <v>5984</v>
      </c>
      <c r="B4129" s="28"/>
      <c r="C4129" s="3" t="s">
        <v>3</v>
      </c>
    </row>
    <row r="4130" spans="1:3" ht="13.5" thickBot="1" x14ac:dyDescent="0.25">
      <c r="A4130" s="3">
        <v>3871</v>
      </c>
      <c r="B4130" s="28"/>
      <c r="C4130" s="3" t="s">
        <v>7</v>
      </c>
    </row>
    <row r="4131" spans="1:3" ht="13.5" thickBot="1" x14ac:dyDescent="0.25">
      <c r="A4131" s="3">
        <v>294</v>
      </c>
      <c r="B4131" s="28"/>
      <c r="C4131" s="3" t="s">
        <v>5</v>
      </c>
    </row>
    <row r="4132" spans="1:3" ht="13.5" thickBot="1" x14ac:dyDescent="0.25">
      <c r="A4132" s="3">
        <v>177</v>
      </c>
      <c r="B4132" s="28"/>
      <c r="C4132" s="3" t="s">
        <v>3</v>
      </c>
    </row>
    <row r="4133" spans="1:3" ht="13.5" thickBot="1" x14ac:dyDescent="0.25">
      <c r="A4133" s="3">
        <v>237</v>
      </c>
      <c r="B4133" s="28"/>
      <c r="C4133" s="3" t="s">
        <v>3</v>
      </c>
    </row>
    <row r="4134" spans="1:3" ht="13.5" thickBot="1" x14ac:dyDescent="0.25">
      <c r="A4134" s="3">
        <v>2311</v>
      </c>
      <c r="B4134" s="28"/>
      <c r="C4134" s="3" t="s">
        <v>3</v>
      </c>
    </row>
    <row r="4135" spans="1:3" ht="13.5" thickBot="1" x14ac:dyDescent="0.25">
      <c r="A4135" s="3">
        <v>2305</v>
      </c>
      <c r="B4135" s="28"/>
      <c r="C4135" s="3" t="s">
        <v>6</v>
      </c>
    </row>
    <row r="4136" spans="1:3" ht="13.5" thickBot="1" x14ac:dyDescent="0.25">
      <c r="A4136" s="3">
        <v>7129</v>
      </c>
      <c r="B4136" s="28"/>
      <c r="C4136" s="3" t="s">
        <v>6</v>
      </c>
    </row>
    <row r="4137" spans="1:3" ht="13.5" thickBot="1" x14ac:dyDescent="0.25">
      <c r="A4137" s="3">
        <v>2837</v>
      </c>
      <c r="B4137" s="28"/>
      <c r="C4137" s="3" t="s">
        <v>4</v>
      </c>
    </row>
    <row r="4138" spans="1:3" ht="13.5" thickBot="1" x14ac:dyDescent="0.25">
      <c r="A4138" s="3">
        <v>694</v>
      </c>
      <c r="B4138" s="28"/>
      <c r="C4138" s="3" t="s">
        <v>4</v>
      </c>
    </row>
    <row r="4139" spans="1:3" ht="13.5" thickBot="1" x14ac:dyDescent="0.25">
      <c r="A4139" s="3">
        <v>6879</v>
      </c>
      <c r="B4139" s="28"/>
      <c r="C4139" s="3" t="s">
        <v>3</v>
      </c>
    </row>
    <row r="4140" spans="1:3" ht="13.5" thickBot="1" x14ac:dyDescent="0.25">
      <c r="A4140" s="3">
        <v>2358</v>
      </c>
      <c r="B4140" s="28"/>
      <c r="C4140" s="3" t="s">
        <v>4</v>
      </c>
    </row>
    <row r="4141" spans="1:3" ht="13.5" thickBot="1" x14ac:dyDescent="0.25">
      <c r="A4141" s="3">
        <v>1804</v>
      </c>
      <c r="B4141" s="28"/>
      <c r="C4141" s="3" t="s">
        <v>7</v>
      </c>
    </row>
    <row r="4142" spans="1:3" ht="13.5" thickBot="1" x14ac:dyDescent="0.25">
      <c r="A4142" s="3">
        <v>6671</v>
      </c>
      <c r="B4142" s="28"/>
      <c r="C4142" s="3" t="s">
        <v>3</v>
      </c>
    </row>
    <row r="4143" spans="1:3" ht="13.5" thickBot="1" x14ac:dyDescent="0.25">
      <c r="A4143" s="3">
        <v>4098</v>
      </c>
      <c r="B4143" s="28"/>
      <c r="C4143" s="3" t="s">
        <v>3</v>
      </c>
    </row>
    <row r="4144" spans="1:3" ht="13.5" thickBot="1" x14ac:dyDescent="0.25">
      <c r="A4144" s="3">
        <v>3237</v>
      </c>
      <c r="B4144" s="28"/>
      <c r="C4144" s="3" t="s">
        <v>3</v>
      </c>
    </row>
    <row r="4145" spans="1:3" ht="13.5" thickBot="1" x14ac:dyDescent="0.25">
      <c r="A4145" s="3">
        <v>971</v>
      </c>
      <c r="B4145" s="28"/>
      <c r="C4145" s="3" t="s">
        <v>5</v>
      </c>
    </row>
    <row r="4146" spans="1:3" ht="13.5" thickBot="1" x14ac:dyDescent="0.25">
      <c r="A4146" s="3">
        <v>5399</v>
      </c>
      <c r="B4146" s="28"/>
      <c r="C4146" s="3" t="s">
        <v>3</v>
      </c>
    </row>
    <row r="4147" spans="1:3" ht="13.5" thickBot="1" x14ac:dyDescent="0.25">
      <c r="A4147" s="3">
        <v>2742</v>
      </c>
      <c r="B4147" s="28"/>
      <c r="C4147" s="3" t="s">
        <v>4</v>
      </c>
    </row>
    <row r="4148" spans="1:3" ht="13.5" thickBot="1" x14ac:dyDescent="0.25">
      <c r="A4148" s="3">
        <v>177</v>
      </c>
      <c r="B4148" s="28"/>
      <c r="C4148" s="3" t="s">
        <v>4</v>
      </c>
    </row>
    <row r="4149" spans="1:3" ht="13.5" thickBot="1" x14ac:dyDescent="0.25">
      <c r="A4149" s="3">
        <v>2174</v>
      </c>
      <c r="B4149" s="28"/>
      <c r="C4149" s="3" t="s">
        <v>5</v>
      </c>
    </row>
    <row r="4150" spans="1:3" ht="13.5" thickBot="1" x14ac:dyDescent="0.25">
      <c r="A4150" s="3">
        <v>1340</v>
      </c>
      <c r="B4150" s="28"/>
      <c r="C4150" s="3" t="s">
        <v>6</v>
      </c>
    </row>
    <row r="4151" spans="1:3" ht="13.5" thickBot="1" x14ac:dyDescent="0.25">
      <c r="A4151" s="3">
        <v>177</v>
      </c>
      <c r="B4151" s="28"/>
      <c r="C4151" s="3" t="s">
        <v>5</v>
      </c>
    </row>
    <row r="4152" spans="1:3" ht="13.5" thickBot="1" x14ac:dyDescent="0.25">
      <c r="A4152" s="3">
        <v>694</v>
      </c>
      <c r="B4152" s="28"/>
      <c r="C4152" s="3" t="s">
        <v>3</v>
      </c>
    </row>
    <row r="4153" spans="1:3" ht="13.5" thickBot="1" x14ac:dyDescent="0.25">
      <c r="A4153" s="3">
        <v>7637</v>
      </c>
      <c r="B4153" s="28"/>
      <c r="C4153" s="3" t="s">
        <v>3</v>
      </c>
    </row>
    <row r="4154" spans="1:3" ht="13.5" thickBot="1" x14ac:dyDescent="0.25">
      <c r="A4154" s="3">
        <v>7686</v>
      </c>
      <c r="B4154" s="28"/>
      <c r="C4154" s="3" t="s">
        <v>3</v>
      </c>
    </row>
    <row r="4155" spans="1:3" ht="13.5" thickBot="1" x14ac:dyDescent="0.25">
      <c r="A4155" s="3">
        <v>7480</v>
      </c>
      <c r="B4155" s="28"/>
      <c r="C4155" s="3" t="s">
        <v>3</v>
      </c>
    </row>
    <row r="4156" spans="1:3" ht="13.5" thickBot="1" x14ac:dyDescent="0.25">
      <c r="A4156" s="3">
        <v>6700</v>
      </c>
      <c r="B4156" s="28"/>
      <c r="C4156" s="3" t="s">
        <v>6</v>
      </c>
    </row>
    <row r="4157" spans="1:3" ht="13.5" thickBot="1" x14ac:dyDescent="0.25">
      <c r="A4157" s="3">
        <v>7432</v>
      </c>
      <c r="B4157" s="28"/>
      <c r="C4157" s="3" t="s">
        <v>4</v>
      </c>
    </row>
    <row r="4158" spans="1:3" ht="13.5" thickBot="1" x14ac:dyDescent="0.25">
      <c r="A4158" s="3">
        <v>7686</v>
      </c>
      <c r="B4158" s="28"/>
      <c r="C4158" s="3" t="s">
        <v>4</v>
      </c>
    </row>
    <row r="4159" spans="1:3" ht="13.5" thickBot="1" x14ac:dyDescent="0.25">
      <c r="A4159" s="3">
        <v>5082</v>
      </c>
      <c r="B4159" s="28"/>
      <c r="C4159" s="3" t="s">
        <v>3</v>
      </c>
    </row>
    <row r="4160" spans="1:3" ht="13.5" thickBot="1" x14ac:dyDescent="0.25">
      <c r="A4160" s="3">
        <v>974</v>
      </c>
      <c r="B4160" s="28"/>
      <c r="C4160" s="3" t="s">
        <v>4</v>
      </c>
    </row>
    <row r="4161" spans="1:3" ht="13.5" thickBot="1" x14ac:dyDescent="0.25">
      <c r="A4161" s="3">
        <v>5401</v>
      </c>
      <c r="B4161" s="28"/>
      <c r="C4161" s="3" t="s">
        <v>7</v>
      </c>
    </row>
    <row r="4162" spans="1:3" ht="13.5" thickBot="1" x14ac:dyDescent="0.25">
      <c r="A4162" s="3">
        <v>3144</v>
      </c>
      <c r="B4162" s="28"/>
      <c r="C4162" s="3" t="s">
        <v>7</v>
      </c>
    </row>
    <row r="4163" spans="1:3" ht="13.5" thickBot="1" x14ac:dyDescent="0.25">
      <c r="A4163" s="3">
        <v>7090</v>
      </c>
      <c r="B4163" s="28"/>
      <c r="C4163" s="3" t="s">
        <v>3</v>
      </c>
    </row>
    <row r="4164" spans="1:3" ht="13.5" thickBot="1" x14ac:dyDescent="0.25">
      <c r="A4164" s="3">
        <v>4880</v>
      </c>
      <c r="B4164" s="28"/>
      <c r="C4164" s="3" t="s">
        <v>3</v>
      </c>
    </row>
    <row r="4165" spans="1:3" ht="13.5" thickBot="1" x14ac:dyDescent="0.25">
      <c r="A4165" s="3">
        <v>240</v>
      </c>
      <c r="B4165" s="28"/>
      <c r="C4165" s="3" t="s">
        <v>4</v>
      </c>
    </row>
    <row r="4166" spans="1:3" ht="13.5" thickBot="1" x14ac:dyDescent="0.25">
      <c r="A4166" s="3">
        <v>398</v>
      </c>
      <c r="B4166" s="28"/>
      <c r="C4166" s="3" t="s">
        <v>7</v>
      </c>
    </row>
    <row r="4167" spans="1:3" ht="13.5" thickBot="1" x14ac:dyDescent="0.25">
      <c r="A4167" s="3">
        <v>6474</v>
      </c>
      <c r="B4167" s="28"/>
      <c r="C4167" s="3" t="s">
        <v>3</v>
      </c>
    </row>
    <row r="4168" spans="1:3" ht="13.5" thickBot="1" x14ac:dyDescent="0.25">
      <c r="A4168" s="3">
        <v>5266</v>
      </c>
      <c r="B4168" s="28"/>
      <c r="C4168" s="3" t="s">
        <v>3</v>
      </c>
    </row>
    <row r="4169" spans="1:3" ht="13.5" thickBot="1" x14ac:dyDescent="0.25">
      <c r="A4169" s="3">
        <v>7090</v>
      </c>
      <c r="B4169" s="28"/>
      <c r="C4169" s="3" t="s">
        <v>4</v>
      </c>
    </row>
    <row r="4170" spans="1:3" ht="13.5" thickBot="1" x14ac:dyDescent="0.25">
      <c r="A4170" s="3">
        <v>1804</v>
      </c>
      <c r="B4170" s="28"/>
      <c r="C4170" s="3" t="s">
        <v>6</v>
      </c>
    </row>
    <row r="4171" spans="1:3" ht="13.5" thickBot="1" x14ac:dyDescent="0.25">
      <c r="A4171" s="3">
        <v>6538</v>
      </c>
      <c r="B4171" s="28"/>
      <c r="C4171" s="3" t="s">
        <v>4</v>
      </c>
    </row>
    <row r="4172" spans="1:3" ht="13.5" thickBot="1" x14ac:dyDescent="0.25">
      <c r="A4172" s="3">
        <v>3783</v>
      </c>
      <c r="B4172" s="28"/>
      <c r="C4172" s="3" t="s">
        <v>4</v>
      </c>
    </row>
    <row r="4173" spans="1:3" ht="13.5" thickBot="1" x14ac:dyDescent="0.25">
      <c r="A4173" s="3">
        <v>7545</v>
      </c>
      <c r="B4173" s="28"/>
      <c r="C4173" s="3" t="s">
        <v>6</v>
      </c>
    </row>
    <row r="4174" spans="1:3" ht="13.5" thickBot="1" x14ac:dyDescent="0.25">
      <c r="A4174" s="3">
        <v>1552</v>
      </c>
      <c r="B4174" s="28"/>
      <c r="C4174" s="3" t="s">
        <v>3</v>
      </c>
    </row>
    <row r="4175" spans="1:3" ht="13.5" thickBot="1" x14ac:dyDescent="0.25">
      <c r="A4175" s="3">
        <v>6573</v>
      </c>
      <c r="B4175" s="28"/>
      <c r="C4175" s="3" t="s">
        <v>4</v>
      </c>
    </row>
    <row r="4176" spans="1:3" ht="13.5" thickBot="1" x14ac:dyDescent="0.25">
      <c r="A4176" s="3">
        <v>6508</v>
      </c>
      <c r="B4176" s="28"/>
      <c r="C4176" s="3" t="s">
        <v>4</v>
      </c>
    </row>
    <row r="4177" spans="1:3" ht="13.5" thickBot="1" x14ac:dyDescent="0.25">
      <c r="A4177" s="3">
        <v>7637</v>
      </c>
      <c r="B4177" s="28"/>
      <c r="C4177" s="3" t="s">
        <v>4</v>
      </c>
    </row>
    <row r="4178" spans="1:3" ht="13.5" thickBot="1" x14ac:dyDescent="0.25">
      <c r="A4178" s="3">
        <v>4964</v>
      </c>
      <c r="B4178" s="28"/>
      <c r="C4178" s="3" t="s">
        <v>3</v>
      </c>
    </row>
    <row r="4179" spans="1:3" ht="13.5" thickBot="1" x14ac:dyDescent="0.25">
      <c r="A4179" s="3">
        <v>6625</v>
      </c>
      <c r="B4179" s="28"/>
      <c r="C4179" s="3" t="s">
        <v>3</v>
      </c>
    </row>
    <row r="4180" spans="1:3" ht="13.5" thickBot="1" x14ac:dyDescent="0.25">
      <c r="A4180" s="3">
        <v>7833</v>
      </c>
      <c r="B4180" s="28"/>
      <c r="C4180" s="3" t="s">
        <v>5</v>
      </c>
    </row>
    <row r="4181" spans="1:3" ht="13.5" thickBot="1" x14ac:dyDescent="0.25">
      <c r="A4181" s="3">
        <v>1110</v>
      </c>
      <c r="B4181" s="28"/>
      <c r="C4181" s="3" t="s">
        <v>5</v>
      </c>
    </row>
    <row r="4182" spans="1:3" ht="13.5" thickBot="1" x14ac:dyDescent="0.25">
      <c r="A4182" s="3">
        <v>1993</v>
      </c>
      <c r="B4182" s="28"/>
      <c r="C4182" s="3" t="s">
        <v>3</v>
      </c>
    </row>
    <row r="4183" spans="1:3" ht="13.5" thickBot="1" x14ac:dyDescent="0.25">
      <c r="A4183" s="3">
        <v>6721</v>
      </c>
      <c r="B4183" s="28"/>
      <c r="C4183" s="3" t="s">
        <v>7</v>
      </c>
    </row>
    <row r="4184" spans="1:3" ht="13.5" thickBot="1" x14ac:dyDescent="0.25">
      <c r="A4184" s="3">
        <v>7640</v>
      </c>
      <c r="B4184" s="28"/>
      <c r="C4184" s="3" t="s">
        <v>7</v>
      </c>
    </row>
    <row r="4185" spans="1:3" ht="13.5" thickBot="1" x14ac:dyDescent="0.25">
      <c r="A4185" s="3">
        <v>3915</v>
      </c>
      <c r="B4185" s="28"/>
      <c r="C4185" s="3" t="s">
        <v>3</v>
      </c>
    </row>
    <row r="4186" spans="1:3" ht="13.5" thickBot="1" x14ac:dyDescent="0.25">
      <c r="A4186" s="3">
        <v>4761</v>
      </c>
      <c r="B4186" s="28"/>
      <c r="C4186" s="3" t="s">
        <v>3</v>
      </c>
    </row>
    <row r="4187" spans="1:3" ht="13.5" thickBot="1" x14ac:dyDescent="0.25">
      <c r="A4187" s="3">
        <v>623</v>
      </c>
      <c r="B4187" s="28"/>
      <c r="C4187" s="3" t="s">
        <v>5</v>
      </c>
    </row>
    <row r="4188" spans="1:3" ht="13.5" thickBot="1" x14ac:dyDescent="0.25">
      <c r="A4188" s="3">
        <v>6062</v>
      </c>
      <c r="B4188" s="28"/>
      <c r="C4188" s="3" t="s">
        <v>6</v>
      </c>
    </row>
    <row r="4189" spans="1:3" ht="13.5" thickBot="1" x14ac:dyDescent="0.25">
      <c r="A4189" s="3">
        <v>7159</v>
      </c>
      <c r="B4189" s="28"/>
      <c r="C4189" s="3" t="s">
        <v>3</v>
      </c>
    </row>
    <row r="4190" spans="1:3" ht="13.5" thickBot="1" x14ac:dyDescent="0.25">
      <c r="A4190" s="3">
        <v>3403</v>
      </c>
      <c r="B4190" s="28"/>
      <c r="C4190" s="3" t="s">
        <v>3</v>
      </c>
    </row>
    <row r="4191" spans="1:3" ht="13.5" thickBot="1" x14ac:dyDescent="0.25">
      <c r="A4191" s="3">
        <v>176</v>
      </c>
      <c r="B4191" s="28"/>
      <c r="C4191" s="3" t="s">
        <v>4</v>
      </c>
    </row>
    <row r="4192" spans="1:3" ht="13.5" thickBot="1" x14ac:dyDescent="0.25">
      <c r="A4192" s="3">
        <v>4634</v>
      </c>
      <c r="B4192" s="28"/>
      <c r="C4192" s="3" t="s">
        <v>3</v>
      </c>
    </row>
    <row r="4193" spans="1:3" ht="13.5" thickBot="1" x14ac:dyDescent="0.25">
      <c r="A4193" s="3">
        <v>5622</v>
      </c>
      <c r="B4193" s="28"/>
      <c r="C4193" s="3" t="s">
        <v>3</v>
      </c>
    </row>
    <row r="4194" spans="1:3" ht="13.5" thickBot="1" x14ac:dyDescent="0.25">
      <c r="A4194" s="3">
        <v>3291</v>
      </c>
      <c r="B4194" s="28"/>
      <c r="C4194" s="3" t="s">
        <v>7</v>
      </c>
    </row>
    <row r="4195" spans="1:3" ht="13.5" thickBot="1" x14ac:dyDescent="0.25">
      <c r="A4195" s="3">
        <v>2837</v>
      </c>
      <c r="B4195" s="28"/>
      <c r="C4195" s="3" t="s">
        <v>7</v>
      </c>
    </row>
    <row r="4196" spans="1:3" ht="13.5" thickBot="1" x14ac:dyDescent="0.25">
      <c r="A4196" s="3">
        <v>2311</v>
      </c>
      <c r="B4196" s="28"/>
      <c r="C4196" s="3" t="s">
        <v>4</v>
      </c>
    </row>
    <row r="4197" spans="1:3" ht="13.5" thickBot="1" x14ac:dyDescent="0.25">
      <c r="A4197" s="3">
        <v>4739</v>
      </c>
      <c r="B4197" s="28"/>
      <c r="C4197" s="3" t="s">
        <v>5</v>
      </c>
    </row>
    <row r="4198" spans="1:3" ht="13.5" thickBot="1" x14ac:dyDescent="0.25">
      <c r="A4198" s="3">
        <v>3474</v>
      </c>
      <c r="B4198" s="28"/>
      <c r="C4198" s="3" t="s">
        <v>5</v>
      </c>
    </row>
    <row r="4199" spans="1:3" ht="13.5" thickBot="1" x14ac:dyDescent="0.25">
      <c r="A4199" s="3">
        <v>962</v>
      </c>
      <c r="B4199" s="28"/>
      <c r="C4199" s="3" t="s">
        <v>3</v>
      </c>
    </row>
    <row r="4200" spans="1:3" ht="13.5" thickBot="1" x14ac:dyDescent="0.25">
      <c r="A4200" s="3">
        <v>2451</v>
      </c>
      <c r="B4200" s="28"/>
      <c r="C4200" s="3" t="s">
        <v>3</v>
      </c>
    </row>
    <row r="4201" spans="1:3" ht="13.5" thickBot="1" x14ac:dyDescent="0.25">
      <c r="A4201" s="3">
        <v>237</v>
      </c>
      <c r="B4201" s="28"/>
      <c r="C4201" s="3" t="s">
        <v>4</v>
      </c>
    </row>
    <row r="4202" spans="1:3" ht="13.5" thickBot="1" x14ac:dyDescent="0.25">
      <c r="A4202" s="3">
        <v>6508</v>
      </c>
      <c r="B4202" s="28"/>
      <c r="C4202" s="3" t="s">
        <v>5</v>
      </c>
    </row>
    <row r="4203" spans="1:3" ht="13.5" thickBot="1" x14ac:dyDescent="0.25">
      <c r="A4203" s="3">
        <v>1005</v>
      </c>
      <c r="B4203" s="28"/>
      <c r="C4203" s="3" t="s">
        <v>3</v>
      </c>
    </row>
    <row r="4204" spans="1:3" ht="13.5" thickBot="1" x14ac:dyDescent="0.25">
      <c r="A4204" s="3">
        <v>4634</v>
      </c>
      <c r="B4204" s="28"/>
      <c r="C4204" s="3" t="s">
        <v>7</v>
      </c>
    </row>
    <row r="4205" spans="1:3" ht="13.5" thickBot="1" x14ac:dyDescent="0.25">
      <c r="A4205" s="3">
        <v>1316</v>
      </c>
      <c r="B4205" s="28"/>
      <c r="C4205" s="3" t="s">
        <v>7</v>
      </c>
    </row>
    <row r="4206" spans="1:3" ht="13.5" thickBot="1" x14ac:dyDescent="0.25">
      <c r="A4206" s="3">
        <v>7640</v>
      </c>
      <c r="B4206" s="28"/>
      <c r="C4206" s="3" t="s">
        <v>5</v>
      </c>
    </row>
    <row r="4207" spans="1:3" ht="13.5" thickBot="1" x14ac:dyDescent="0.25">
      <c r="A4207" s="3">
        <v>3609</v>
      </c>
      <c r="B4207" s="28"/>
      <c r="C4207" s="3" t="s">
        <v>4</v>
      </c>
    </row>
    <row r="4208" spans="1:3" ht="13.5" thickBot="1" x14ac:dyDescent="0.25">
      <c r="A4208" s="3">
        <v>4344</v>
      </c>
      <c r="B4208" s="28"/>
      <c r="C4208" s="3" t="s">
        <v>3</v>
      </c>
    </row>
    <row r="4209" spans="1:3" ht="13.5" thickBot="1" x14ac:dyDescent="0.25">
      <c r="A4209" s="3">
        <v>5509</v>
      </c>
      <c r="B4209" s="28"/>
      <c r="C4209" s="3" t="s">
        <v>5</v>
      </c>
    </row>
    <row r="4210" spans="1:3" ht="13.5" thickBot="1" x14ac:dyDescent="0.25">
      <c r="A4210" s="3">
        <v>1851</v>
      </c>
      <c r="B4210" s="28"/>
      <c r="C4210" s="3" t="s">
        <v>6</v>
      </c>
    </row>
    <row r="4211" spans="1:3" ht="13.5" thickBot="1" x14ac:dyDescent="0.25">
      <c r="A4211" s="3">
        <v>877</v>
      </c>
      <c r="B4211" s="28"/>
      <c r="C4211" s="3" t="s">
        <v>3</v>
      </c>
    </row>
    <row r="4212" spans="1:3" ht="13.5" thickBot="1" x14ac:dyDescent="0.25">
      <c r="A4212" s="3">
        <v>111</v>
      </c>
      <c r="B4212" s="28"/>
      <c r="C4212" s="3" t="s">
        <v>5</v>
      </c>
    </row>
    <row r="4213" spans="1:3" ht="13.5" thickBot="1" x14ac:dyDescent="0.25">
      <c r="A4213" s="3">
        <v>3160</v>
      </c>
      <c r="B4213" s="28"/>
      <c r="C4213" s="3" t="s">
        <v>5</v>
      </c>
    </row>
    <row r="4214" spans="1:3" ht="13.5" thickBot="1" x14ac:dyDescent="0.25">
      <c r="A4214" s="3">
        <v>6788</v>
      </c>
      <c r="B4214" s="28"/>
      <c r="C4214" s="3" t="s">
        <v>3</v>
      </c>
    </row>
    <row r="4215" spans="1:3" ht="13.5" thickBot="1" x14ac:dyDescent="0.25">
      <c r="A4215" s="3">
        <v>6366</v>
      </c>
      <c r="B4215" s="28"/>
      <c r="C4215" s="3" t="s">
        <v>3</v>
      </c>
    </row>
    <row r="4216" spans="1:3" ht="13.5" thickBot="1" x14ac:dyDescent="0.25">
      <c r="A4216" s="3">
        <v>6475</v>
      </c>
      <c r="B4216" s="28"/>
      <c r="C4216" s="3" t="s">
        <v>3</v>
      </c>
    </row>
    <row r="4217" spans="1:3" ht="13.5" thickBot="1" x14ac:dyDescent="0.25">
      <c r="A4217" s="3">
        <v>6475</v>
      </c>
      <c r="B4217" s="28"/>
      <c r="C4217" s="3" t="s">
        <v>4</v>
      </c>
    </row>
    <row r="4218" spans="1:3" ht="13.5" thickBot="1" x14ac:dyDescent="0.25">
      <c r="A4218" s="3">
        <v>26</v>
      </c>
      <c r="B4218" s="28"/>
      <c r="C4218" s="3" t="s">
        <v>3</v>
      </c>
    </row>
    <row r="4219" spans="1:3" ht="13.5" thickBot="1" x14ac:dyDescent="0.25">
      <c r="A4219" s="3">
        <v>6474</v>
      </c>
      <c r="B4219" s="28"/>
      <c r="C4219" s="3" t="s">
        <v>4</v>
      </c>
    </row>
    <row r="4220" spans="1:3" ht="13.5" thickBot="1" x14ac:dyDescent="0.25">
      <c r="A4220" s="3">
        <v>5891</v>
      </c>
      <c r="B4220" s="28"/>
      <c r="C4220" s="3" t="s">
        <v>3</v>
      </c>
    </row>
    <row r="4221" spans="1:3" ht="13.5" thickBot="1" x14ac:dyDescent="0.25">
      <c r="A4221" s="3">
        <v>6508</v>
      </c>
      <c r="B4221" s="28"/>
      <c r="C4221" s="3" t="s">
        <v>6</v>
      </c>
    </row>
    <row r="4222" spans="1:3" ht="13.5" thickBot="1" x14ac:dyDescent="0.25">
      <c r="A4222" s="3">
        <v>3935</v>
      </c>
      <c r="B4222" s="28"/>
      <c r="C4222" s="3" t="s">
        <v>3</v>
      </c>
    </row>
    <row r="4223" spans="1:3" ht="13.5" thickBot="1" x14ac:dyDescent="0.25">
      <c r="A4223" s="3">
        <v>2173</v>
      </c>
      <c r="B4223" s="28"/>
      <c r="C4223" s="3" t="s">
        <v>3</v>
      </c>
    </row>
    <row r="4224" spans="1:3" ht="13.5" thickBot="1" x14ac:dyDescent="0.25">
      <c r="A4224" s="3">
        <v>2797</v>
      </c>
      <c r="B4224" s="28"/>
      <c r="C4224" s="3" t="s">
        <v>5</v>
      </c>
    </row>
    <row r="4225" spans="1:3" ht="13.5" thickBot="1" x14ac:dyDescent="0.25">
      <c r="A4225" s="3">
        <v>1844</v>
      </c>
      <c r="B4225" s="28"/>
      <c r="C4225" s="3" t="s">
        <v>4</v>
      </c>
    </row>
    <row r="4226" spans="1:3" ht="13.5" thickBot="1" x14ac:dyDescent="0.25">
      <c r="A4226" s="3">
        <v>3294</v>
      </c>
      <c r="B4226" s="28"/>
      <c r="C4226" s="3" t="s">
        <v>3</v>
      </c>
    </row>
    <row r="4227" spans="1:3" ht="13.5" thickBot="1" x14ac:dyDescent="0.25">
      <c r="A4227" s="3">
        <v>7686</v>
      </c>
      <c r="B4227" s="28"/>
      <c r="C4227" s="3" t="s">
        <v>7</v>
      </c>
    </row>
    <row r="4228" spans="1:3" ht="13.5" thickBot="1" x14ac:dyDescent="0.25">
      <c r="A4228" s="3">
        <v>6671</v>
      </c>
      <c r="B4228" s="28"/>
      <c r="C4228" s="3" t="s">
        <v>4</v>
      </c>
    </row>
    <row r="4229" spans="1:3" ht="13.5" thickBot="1" x14ac:dyDescent="0.25">
      <c r="A4229" s="3">
        <v>6919</v>
      </c>
      <c r="B4229" s="28"/>
      <c r="C4229" s="3" t="s">
        <v>3</v>
      </c>
    </row>
    <row r="4230" spans="1:3" ht="13.5" thickBot="1" x14ac:dyDescent="0.25">
      <c r="A4230" s="3">
        <v>5248</v>
      </c>
      <c r="B4230" s="28"/>
      <c r="C4230" s="3" t="s">
        <v>3</v>
      </c>
    </row>
    <row r="4231" spans="1:3" ht="13.5" thickBot="1" x14ac:dyDescent="0.25">
      <c r="A4231" s="3">
        <v>1544</v>
      </c>
      <c r="B4231" s="28"/>
      <c r="C4231" s="3" t="s">
        <v>3</v>
      </c>
    </row>
    <row r="4232" spans="1:3" ht="13.5" thickBot="1" x14ac:dyDescent="0.25">
      <c r="A4232" s="3">
        <v>3935</v>
      </c>
      <c r="B4232" s="28"/>
      <c r="C4232" s="3" t="s">
        <v>4</v>
      </c>
    </row>
    <row r="4233" spans="1:3" ht="13.5" thickBot="1" x14ac:dyDescent="0.25">
      <c r="A4233" s="3">
        <v>5266</v>
      </c>
      <c r="B4233" s="28"/>
      <c r="C4233" s="3" t="s">
        <v>7</v>
      </c>
    </row>
    <row r="4234" spans="1:3" ht="13.5" thickBot="1" x14ac:dyDescent="0.25">
      <c r="A4234" s="3">
        <v>3609</v>
      </c>
      <c r="B4234" s="28"/>
      <c r="C4234" s="3" t="s">
        <v>3</v>
      </c>
    </row>
    <row r="4235" spans="1:3" ht="13.5" thickBot="1" x14ac:dyDescent="0.25">
      <c r="A4235" s="3">
        <v>1671</v>
      </c>
      <c r="B4235" s="28"/>
      <c r="C4235" s="3" t="s">
        <v>6</v>
      </c>
    </row>
    <row r="4236" spans="1:3" ht="13.5" thickBot="1" x14ac:dyDescent="0.25">
      <c r="A4236" s="3">
        <v>5731</v>
      </c>
      <c r="B4236" s="28"/>
      <c r="C4236" s="3" t="s">
        <v>3</v>
      </c>
    </row>
    <row r="4237" spans="1:3" ht="13.5" thickBot="1" x14ac:dyDescent="0.25">
      <c r="A4237" s="3">
        <v>4673</v>
      </c>
      <c r="B4237" s="28"/>
      <c r="C4237" s="3" t="s">
        <v>6</v>
      </c>
    </row>
    <row r="4238" spans="1:3" ht="13.5" thickBot="1" x14ac:dyDescent="0.25">
      <c r="A4238" s="3">
        <v>3891</v>
      </c>
      <c r="B4238" s="28"/>
      <c r="C4238" s="3" t="s">
        <v>3</v>
      </c>
    </row>
    <row r="4239" spans="1:3" ht="13.5" thickBot="1" x14ac:dyDescent="0.25">
      <c r="A4239" s="3">
        <v>3829</v>
      </c>
      <c r="B4239" s="28"/>
      <c r="C4239" s="3" t="s">
        <v>4</v>
      </c>
    </row>
    <row r="4240" spans="1:3" ht="13.5" thickBot="1" x14ac:dyDescent="0.25">
      <c r="A4240" s="3">
        <v>7565</v>
      </c>
      <c r="B4240" s="28"/>
      <c r="C4240" s="3" t="s">
        <v>5</v>
      </c>
    </row>
    <row r="4241" spans="1:3" ht="13.5" thickBot="1" x14ac:dyDescent="0.25">
      <c r="A4241" s="3">
        <v>6193</v>
      </c>
      <c r="B4241" s="28"/>
      <c r="C4241" s="3" t="s">
        <v>6</v>
      </c>
    </row>
    <row r="4242" spans="1:3" ht="13.5" thickBot="1" x14ac:dyDescent="0.25">
      <c r="A4242" s="3">
        <v>7231</v>
      </c>
      <c r="B4242" s="28"/>
      <c r="C4242" s="3" t="s">
        <v>3</v>
      </c>
    </row>
    <row r="4243" spans="1:3" ht="13.5" thickBot="1" x14ac:dyDescent="0.25">
      <c r="A4243" s="3">
        <v>1993</v>
      </c>
      <c r="B4243" s="28"/>
      <c r="C4243" s="3" t="s">
        <v>7</v>
      </c>
    </row>
    <row r="4244" spans="1:3" ht="13.5" thickBot="1" x14ac:dyDescent="0.25">
      <c r="A4244" s="3">
        <v>479</v>
      </c>
      <c r="B4244" s="28"/>
      <c r="C4244" s="3" t="s">
        <v>6</v>
      </c>
    </row>
    <row r="4245" spans="1:3" ht="13.5" thickBot="1" x14ac:dyDescent="0.25">
      <c r="A4245" s="3">
        <v>1897</v>
      </c>
      <c r="B4245" s="28"/>
      <c r="C4245" s="3" t="s">
        <v>3</v>
      </c>
    </row>
    <row r="4246" spans="1:3" ht="13.5" thickBot="1" x14ac:dyDescent="0.25">
      <c r="A4246" s="3">
        <v>5082</v>
      </c>
      <c r="B4246" s="28"/>
      <c r="C4246" s="3" t="s">
        <v>4</v>
      </c>
    </row>
    <row r="4247" spans="1:3" ht="13.5" thickBot="1" x14ac:dyDescent="0.25">
      <c r="A4247" s="3">
        <v>7833</v>
      </c>
      <c r="B4247" s="28"/>
      <c r="C4247" s="3" t="s">
        <v>6</v>
      </c>
    </row>
    <row r="4248" spans="1:3" ht="13.5" thickBot="1" x14ac:dyDescent="0.25">
      <c r="A4248" s="3">
        <v>6100</v>
      </c>
      <c r="B4248" s="28"/>
      <c r="C4248" s="3" t="s">
        <v>6</v>
      </c>
    </row>
    <row r="4249" spans="1:3" ht="13.5" thickBot="1" x14ac:dyDescent="0.25">
      <c r="A4249" s="3">
        <v>6100</v>
      </c>
      <c r="B4249" s="28"/>
      <c r="C4249" s="3" t="s">
        <v>7</v>
      </c>
    </row>
    <row r="4250" spans="1:3" ht="13.5" thickBot="1" x14ac:dyDescent="0.25">
      <c r="A4250" s="3">
        <v>4587</v>
      </c>
      <c r="B4250" s="28"/>
      <c r="C4250" s="3" t="s">
        <v>3</v>
      </c>
    </row>
    <row r="4251" spans="1:3" ht="13.5" thickBot="1" x14ac:dyDescent="0.25">
      <c r="A4251" s="3">
        <v>2358</v>
      </c>
      <c r="B4251" s="28"/>
      <c r="C4251" s="3" t="s">
        <v>5</v>
      </c>
    </row>
    <row r="4252" spans="1:3" ht="13.5" thickBot="1" x14ac:dyDescent="0.25">
      <c r="A4252" s="3">
        <v>3609</v>
      </c>
      <c r="B4252" s="28"/>
      <c r="C4252" s="3" t="s">
        <v>5</v>
      </c>
    </row>
    <row r="4253" spans="1:3" ht="13.5" thickBot="1" x14ac:dyDescent="0.25">
      <c r="A4253" s="3">
        <v>927</v>
      </c>
      <c r="B4253" s="28"/>
      <c r="C4253" s="3" t="s">
        <v>3</v>
      </c>
    </row>
    <row r="4254" spans="1:3" ht="13.5" thickBot="1" x14ac:dyDescent="0.25">
      <c r="A4254" s="3">
        <v>1897</v>
      </c>
      <c r="B4254" s="28"/>
      <c r="C4254" s="3" t="s">
        <v>4</v>
      </c>
    </row>
    <row r="4255" spans="1:3" ht="13.5" thickBot="1" x14ac:dyDescent="0.25">
      <c r="A4255" s="3">
        <v>1666</v>
      </c>
      <c r="B4255" s="28"/>
      <c r="C4255" s="3" t="s">
        <v>3</v>
      </c>
    </row>
    <row r="4256" spans="1:3" ht="13.5" thickBot="1" x14ac:dyDescent="0.25">
      <c r="A4256" s="3">
        <v>7833</v>
      </c>
      <c r="B4256" s="28"/>
      <c r="C4256" s="3" t="s">
        <v>7</v>
      </c>
    </row>
    <row r="4257" spans="1:3" ht="13.5" thickBot="1" x14ac:dyDescent="0.25">
      <c r="A4257" s="3">
        <v>4326</v>
      </c>
      <c r="B4257" s="28"/>
      <c r="C4257" s="3" t="s">
        <v>7</v>
      </c>
    </row>
    <row r="4258" spans="1:3" ht="13.5" thickBot="1" x14ac:dyDescent="0.25">
      <c r="A4258" s="3">
        <v>6050</v>
      </c>
      <c r="B4258" s="28"/>
      <c r="C4258" s="3" t="s">
        <v>3</v>
      </c>
    </row>
    <row r="4259" spans="1:3" ht="13.5" thickBot="1" x14ac:dyDescent="0.25">
      <c r="A4259" s="3">
        <v>5892</v>
      </c>
      <c r="B4259" s="28"/>
      <c r="C4259" s="3" t="s">
        <v>3</v>
      </c>
    </row>
    <row r="4260" spans="1:3" ht="13.5" thickBot="1" x14ac:dyDescent="0.25">
      <c r="A4260" s="3">
        <v>5509</v>
      </c>
      <c r="B4260" s="28"/>
      <c r="C4260" s="3" t="s">
        <v>6</v>
      </c>
    </row>
    <row r="4261" spans="1:3" ht="13.5" thickBot="1" x14ac:dyDescent="0.25">
      <c r="A4261" s="3">
        <v>3871</v>
      </c>
      <c r="B4261" s="28"/>
      <c r="C4261" s="3" t="s">
        <v>5</v>
      </c>
    </row>
    <row r="4262" spans="1:3" ht="13.5" thickBot="1" x14ac:dyDescent="0.25">
      <c r="A4262" s="3">
        <v>1110</v>
      </c>
      <c r="B4262" s="28"/>
      <c r="C4262" s="3" t="s">
        <v>6</v>
      </c>
    </row>
    <row r="4263" spans="1:3" ht="13.5" thickBot="1" x14ac:dyDescent="0.25">
      <c r="A4263" s="3">
        <v>4634</v>
      </c>
      <c r="B4263" s="28"/>
      <c r="C4263" s="3" t="s">
        <v>5</v>
      </c>
    </row>
    <row r="4264" spans="1:3" ht="13.5" thickBot="1" x14ac:dyDescent="0.25">
      <c r="A4264" s="3">
        <v>7116</v>
      </c>
      <c r="B4264" s="28"/>
      <c r="C4264" s="3" t="s">
        <v>3</v>
      </c>
    </row>
    <row r="4265" spans="1:3" ht="13.5" thickBot="1" x14ac:dyDescent="0.25">
      <c r="A4265" s="3">
        <v>390</v>
      </c>
      <c r="B4265" s="28"/>
      <c r="C4265" s="3" t="s">
        <v>4</v>
      </c>
    </row>
    <row r="4266" spans="1:3" ht="13.5" thickBot="1" x14ac:dyDescent="0.25">
      <c r="A4266" s="3">
        <v>7858</v>
      </c>
      <c r="B4266" s="28"/>
      <c r="C4266" s="3" t="s">
        <v>3</v>
      </c>
    </row>
    <row r="4267" spans="1:3" ht="13.5" thickBot="1" x14ac:dyDescent="0.25">
      <c r="A4267" s="3">
        <v>6721</v>
      </c>
      <c r="B4267" s="28"/>
      <c r="C4267" s="3" t="s">
        <v>6</v>
      </c>
    </row>
    <row r="4268" spans="1:3" ht="13.5" thickBot="1" x14ac:dyDescent="0.25">
      <c r="A4268" s="3">
        <v>3400</v>
      </c>
      <c r="B4268" s="28"/>
      <c r="C4268" s="3" t="s">
        <v>3</v>
      </c>
    </row>
    <row r="4269" spans="1:3" ht="13.5" thickBot="1" x14ac:dyDescent="0.25">
      <c r="A4269" s="3">
        <v>7637</v>
      </c>
      <c r="B4269" s="28"/>
      <c r="C4269" s="3" t="s">
        <v>6</v>
      </c>
    </row>
    <row r="4270" spans="1:3" ht="13.5" thickBot="1" x14ac:dyDescent="0.25">
      <c r="A4270" s="3">
        <v>2896</v>
      </c>
      <c r="B4270" s="28"/>
      <c r="C4270" s="3" t="s">
        <v>3</v>
      </c>
    </row>
    <row r="4271" spans="1:3" ht="13.5" thickBot="1" x14ac:dyDescent="0.25">
      <c r="A4271" s="3">
        <v>1600</v>
      </c>
      <c r="B4271" s="28"/>
      <c r="C4271" s="3" t="s">
        <v>3</v>
      </c>
    </row>
    <row r="4272" spans="1:3" ht="13.5" thickBot="1" x14ac:dyDescent="0.25">
      <c r="A4272" s="3">
        <v>4265</v>
      </c>
      <c r="B4272" s="28"/>
      <c r="C4272" s="3" t="s">
        <v>3</v>
      </c>
    </row>
    <row r="4273" spans="1:3" ht="13.5" thickBot="1" x14ac:dyDescent="0.25">
      <c r="A4273" s="3">
        <v>5892</v>
      </c>
      <c r="B4273" s="28"/>
      <c r="C4273" s="3" t="s">
        <v>5</v>
      </c>
    </row>
    <row r="4274" spans="1:3" ht="13.5" thickBot="1" x14ac:dyDescent="0.25">
      <c r="A4274" s="3">
        <v>1993</v>
      </c>
      <c r="B4274" s="28"/>
      <c r="C4274" s="3" t="s">
        <v>6</v>
      </c>
    </row>
    <row r="4275" spans="1:3" ht="13.5" thickBot="1" x14ac:dyDescent="0.25">
      <c r="A4275" s="3">
        <v>4735</v>
      </c>
      <c r="B4275" s="28"/>
      <c r="C4275" s="3" t="s">
        <v>3</v>
      </c>
    </row>
    <row r="4276" spans="1:3" ht="13.5" thickBot="1" x14ac:dyDescent="0.25">
      <c r="A4276" s="3">
        <v>6203</v>
      </c>
      <c r="B4276" s="28"/>
      <c r="C4276" s="3" t="s">
        <v>3</v>
      </c>
    </row>
    <row r="4277" spans="1:3" ht="13.5" thickBot="1" x14ac:dyDescent="0.25">
      <c r="A4277" s="3">
        <v>6871</v>
      </c>
      <c r="B4277" s="28"/>
      <c r="C4277" s="3" t="s">
        <v>3</v>
      </c>
    </row>
    <row r="4278" spans="1:3" ht="13.5" thickBot="1" x14ac:dyDescent="0.25">
      <c r="A4278" s="3">
        <v>3728</v>
      </c>
      <c r="B4278" s="28"/>
      <c r="C4278" s="3" t="s">
        <v>3</v>
      </c>
    </row>
    <row r="4279" spans="1:3" ht="13.5" thickBot="1" x14ac:dyDescent="0.25">
      <c r="A4279" s="3">
        <v>7226</v>
      </c>
      <c r="B4279" s="28"/>
      <c r="C4279" s="3" t="s">
        <v>4</v>
      </c>
    </row>
    <row r="4280" spans="1:3" ht="13.5" thickBot="1" x14ac:dyDescent="0.25">
      <c r="A4280" s="3">
        <v>177</v>
      </c>
      <c r="B4280" s="28"/>
      <c r="C4280" s="3" t="s">
        <v>6</v>
      </c>
    </row>
    <row r="4281" spans="1:3" ht="13.5" thickBot="1" x14ac:dyDescent="0.25">
      <c r="A4281" s="3">
        <v>5692</v>
      </c>
      <c r="B4281" s="28"/>
      <c r="C4281" s="3" t="s">
        <v>3</v>
      </c>
    </row>
    <row r="4282" spans="1:3" ht="13.5" thickBot="1" x14ac:dyDescent="0.25">
      <c r="A4282" s="3">
        <v>5266</v>
      </c>
      <c r="B4282" s="28"/>
      <c r="C4282" s="3" t="s">
        <v>4</v>
      </c>
    </row>
    <row r="4283" spans="1:3" ht="13.5" thickBot="1" x14ac:dyDescent="0.25">
      <c r="A4283" s="3">
        <v>6089</v>
      </c>
      <c r="B4283" s="28"/>
      <c r="C4283" s="3" t="s">
        <v>7</v>
      </c>
    </row>
    <row r="4284" spans="1:3" ht="13.5" thickBot="1" x14ac:dyDescent="0.25">
      <c r="A4284" s="3">
        <v>6366</v>
      </c>
      <c r="B4284" s="28"/>
      <c r="C4284" s="3" t="s">
        <v>4</v>
      </c>
    </row>
    <row r="4285" spans="1:3" ht="13.5" thickBot="1" x14ac:dyDescent="0.25">
      <c r="A4285" s="3">
        <v>4628</v>
      </c>
      <c r="B4285" s="28"/>
      <c r="C4285" s="3" t="s">
        <v>3</v>
      </c>
    </row>
    <row r="4286" spans="1:3" ht="13.5" thickBot="1" x14ac:dyDescent="0.25">
      <c r="A4286" s="3">
        <v>7044</v>
      </c>
      <c r="B4286" s="28"/>
      <c r="C4286" s="3" t="s">
        <v>3</v>
      </c>
    </row>
    <row r="4287" spans="1:3" ht="13.5" thickBot="1" x14ac:dyDescent="0.25">
      <c r="A4287" s="3">
        <v>1403</v>
      </c>
      <c r="B4287" s="28"/>
      <c r="C4287" s="3" t="s">
        <v>3</v>
      </c>
    </row>
    <row r="4288" spans="1:3" ht="13.5" thickBot="1" x14ac:dyDescent="0.25">
      <c r="A4288" s="3">
        <v>3160</v>
      </c>
      <c r="B4288" s="28"/>
      <c r="C4288" s="3" t="s">
        <v>7</v>
      </c>
    </row>
    <row r="4289" spans="1:3" ht="13.5" thickBot="1" x14ac:dyDescent="0.25">
      <c r="A4289" s="3">
        <v>694</v>
      </c>
      <c r="B4289" s="28"/>
      <c r="C4289" s="3" t="s">
        <v>5</v>
      </c>
    </row>
    <row r="4290" spans="1:3" ht="13.5" thickBot="1" x14ac:dyDescent="0.25">
      <c r="A4290" s="3">
        <v>3528</v>
      </c>
      <c r="B4290" s="28"/>
      <c r="C4290" s="3" t="s">
        <v>3</v>
      </c>
    </row>
    <row r="4291" spans="1:3" ht="13.5" thickBot="1" x14ac:dyDescent="0.25">
      <c r="A4291" s="3">
        <v>4634</v>
      </c>
      <c r="B4291" s="28"/>
      <c r="C4291" s="3" t="s">
        <v>4</v>
      </c>
    </row>
    <row r="4292" spans="1:3" ht="13.5" thickBot="1" x14ac:dyDescent="0.25">
      <c r="A4292" s="3">
        <v>1787</v>
      </c>
      <c r="B4292" s="28"/>
      <c r="C4292" s="3" t="s">
        <v>3</v>
      </c>
    </row>
    <row r="4293" spans="1:3" ht="13.5" thickBot="1" x14ac:dyDescent="0.25">
      <c r="A4293" s="3">
        <v>7480</v>
      </c>
      <c r="B4293" s="28"/>
      <c r="C4293" s="3" t="s">
        <v>4</v>
      </c>
    </row>
    <row r="4294" spans="1:3" ht="13.5" thickBot="1" x14ac:dyDescent="0.25">
      <c r="A4294" s="3">
        <v>7545</v>
      </c>
      <c r="B4294" s="28"/>
      <c r="C4294" s="3" t="s">
        <v>7</v>
      </c>
    </row>
    <row r="4295" spans="1:3" ht="13.5" thickBot="1" x14ac:dyDescent="0.25">
      <c r="A4295" s="3">
        <v>3486</v>
      </c>
      <c r="B4295" s="28"/>
      <c r="C4295" s="3" t="s">
        <v>3</v>
      </c>
    </row>
    <row r="4296" spans="1:3" ht="13.5" thickBot="1" x14ac:dyDescent="0.25">
      <c r="A4296" s="3">
        <v>7874</v>
      </c>
      <c r="B4296" s="28"/>
      <c r="C4296" s="3" t="s">
        <v>3</v>
      </c>
    </row>
    <row r="4297" spans="1:3" ht="13.5" thickBot="1" x14ac:dyDescent="0.25">
      <c r="A4297" s="3">
        <v>6788</v>
      </c>
      <c r="B4297" s="28"/>
      <c r="C4297" s="3" t="s">
        <v>4</v>
      </c>
    </row>
    <row r="4298" spans="1:3" ht="13.5" thickBot="1" x14ac:dyDescent="0.25">
      <c r="A4298" s="3">
        <v>5399</v>
      </c>
      <c r="B4298" s="28"/>
      <c r="C4298" s="3" t="s">
        <v>4</v>
      </c>
    </row>
    <row r="4299" spans="1:3" ht="13.5" thickBot="1" x14ac:dyDescent="0.25">
      <c r="A4299" s="3">
        <v>1224</v>
      </c>
      <c r="B4299" s="28"/>
      <c r="C4299" s="3" t="s">
        <v>6</v>
      </c>
    </row>
    <row r="4300" spans="1:3" ht="13.5" thickBot="1" x14ac:dyDescent="0.25">
      <c r="A4300" s="3">
        <v>1386</v>
      </c>
      <c r="B4300" s="28"/>
      <c r="C4300" s="3" t="s">
        <v>5</v>
      </c>
    </row>
    <row r="4301" spans="1:3" ht="13.5" thickBot="1" x14ac:dyDescent="0.25">
      <c r="A4301" s="3">
        <v>2631</v>
      </c>
      <c r="B4301" s="28"/>
      <c r="C4301" s="3" t="s">
        <v>3</v>
      </c>
    </row>
    <row r="4302" spans="1:3" ht="13.5" thickBot="1" x14ac:dyDescent="0.25">
      <c r="A4302" s="3">
        <v>3806</v>
      </c>
      <c r="B4302" s="28"/>
      <c r="C4302" s="3" t="s">
        <v>7</v>
      </c>
    </row>
    <row r="4303" spans="1:3" ht="13.5" thickBot="1" x14ac:dyDescent="0.25">
      <c r="A4303" s="3">
        <v>6788</v>
      </c>
      <c r="B4303" s="28"/>
      <c r="C4303" s="3" t="s">
        <v>5</v>
      </c>
    </row>
    <row r="4304" spans="1:3" ht="13.5" thickBot="1" x14ac:dyDescent="0.25">
      <c r="A4304" s="3">
        <v>1071</v>
      </c>
      <c r="B4304" s="28"/>
      <c r="C4304" s="3" t="s">
        <v>3</v>
      </c>
    </row>
    <row r="4305" spans="1:3" ht="13.5" thickBot="1" x14ac:dyDescent="0.25">
      <c r="A4305" s="3">
        <v>1993</v>
      </c>
      <c r="B4305" s="28"/>
      <c r="C4305" s="3" t="s">
        <v>4</v>
      </c>
    </row>
    <row r="4306" spans="1:3" ht="13.5" thickBot="1" x14ac:dyDescent="0.25">
      <c r="A4306" s="3">
        <v>7226</v>
      </c>
      <c r="B4306" s="28"/>
      <c r="C4306" s="3" t="s">
        <v>5</v>
      </c>
    </row>
    <row r="4307" spans="1:3" ht="13.5" thickBot="1" x14ac:dyDescent="0.25">
      <c r="A4307" s="3">
        <v>2837</v>
      </c>
      <c r="B4307" s="28"/>
      <c r="C4307" s="3" t="s">
        <v>5</v>
      </c>
    </row>
    <row r="4308" spans="1:3" ht="13.5" thickBot="1" x14ac:dyDescent="0.25">
      <c r="A4308" s="3">
        <v>6193</v>
      </c>
      <c r="B4308" s="28"/>
      <c r="C4308" s="3" t="s">
        <v>5</v>
      </c>
    </row>
    <row r="4309" spans="1:3" ht="13.5" thickBot="1" x14ac:dyDescent="0.25">
      <c r="A4309" s="3">
        <v>2451</v>
      </c>
      <c r="B4309" s="28"/>
      <c r="C4309" s="3" t="s">
        <v>4</v>
      </c>
    </row>
    <row r="4310" spans="1:3" ht="13.5" thickBot="1" x14ac:dyDescent="0.25">
      <c r="A4310" s="3">
        <v>1178</v>
      </c>
      <c r="B4310" s="28"/>
      <c r="C4310" s="3" t="s">
        <v>3</v>
      </c>
    </row>
    <row r="4311" spans="1:3" ht="13.5" thickBot="1" x14ac:dyDescent="0.25">
      <c r="A4311" s="3">
        <v>3111</v>
      </c>
      <c r="B4311" s="28"/>
      <c r="C4311" s="3" t="s">
        <v>3</v>
      </c>
    </row>
    <row r="4312" spans="1:3" ht="13.5" thickBot="1" x14ac:dyDescent="0.25">
      <c r="A4312" s="3">
        <v>1224</v>
      </c>
      <c r="B4312" s="28"/>
      <c r="C4312" s="3" t="s">
        <v>7</v>
      </c>
    </row>
    <row r="4313" spans="1:3" ht="13.5" thickBot="1" x14ac:dyDescent="0.25">
      <c r="A4313" s="3">
        <v>3736</v>
      </c>
      <c r="B4313" s="28"/>
      <c r="C4313" s="3" t="s">
        <v>3</v>
      </c>
    </row>
    <row r="4314" spans="1:3" ht="13.5" thickBot="1" x14ac:dyDescent="0.25">
      <c r="A4314" s="3">
        <v>2893</v>
      </c>
      <c r="B4314" s="28"/>
      <c r="C4314" s="3" t="s">
        <v>3</v>
      </c>
    </row>
    <row r="4315" spans="1:3" ht="13.5" thickBot="1" x14ac:dyDescent="0.25">
      <c r="A4315" s="3">
        <v>3751</v>
      </c>
      <c r="B4315" s="28"/>
      <c r="C4315" s="3" t="s">
        <v>4</v>
      </c>
    </row>
    <row r="4316" spans="1:3" ht="13.5" thickBot="1" x14ac:dyDescent="0.25">
      <c r="A4316" s="3">
        <v>3153</v>
      </c>
      <c r="B4316" s="28"/>
      <c r="C4316" s="3" t="s">
        <v>3</v>
      </c>
    </row>
    <row r="4317" spans="1:3" ht="13.5" thickBot="1" x14ac:dyDescent="0.25">
      <c r="A4317" s="3">
        <v>7565</v>
      </c>
      <c r="B4317" s="28"/>
      <c r="C4317" s="3" t="s">
        <v>7</v>
      </c>
    </row>
    <row r="4318" spans="1:3" ht="13.5" thickBot="1" x14ac:dyDescent="0.25">
      <c r="A4318" s="3">
        <v>7793</v>
      </c>
      <c r="B4318" s="28"/>
      <c r="C4318" s="3" t="s">
        <v>6</v>
      </c>
    </row>
    <row r="4319" spans="1:3" ht="13.5" thickBot="1" x14ac:dyDescent="0.25">
      <c r="A4319" s="3">
        <v>7226</v>
      </c>
      <c r="B4319" s="28"/>
      <c r="C4319" s="3" t="s">
        <v>3</v>
      </c>
    </row>
    <row r="4320" spans="1:3" ht="13.5" thickBot="1" x14ac:dyDescent="0.25">
      <c r="A4320" s="3">
        <v>2311</v>
      </c>
      <c r="B4320" s="28"/>
      <c r="C4320" s="3" t="s">
        <v>7</v>
      </c>
    </row>
    <row r="4321" spans="1:3" ht="13.5" thickBot="1" x14ac:dyDescent="0.25">
      <c r="A4321" s="3">
        <v>6919</v>
      </c>
      <c r="B4321" s="28"/>
      <c r="C4321" s="3" t="s">
        <v>5</v>
      </c>
    </row>
    <row r="4322" spans="1:3" ht="13.5" thickBot="1" x14ac:dyDescent="0.25">
      <c r="A4322" s="3">
        <v>1666</v>
      </c>
      <c r="B4322" s="28"/>
      <c r="C4322" s="3" t="s">
        <v>5</v>
      </c>
    </row>
    <row r="4323" spans="1:3" ht="13.5" thickBot="1" x14ac:dyDescent="0.25">
      <c r="A4323" s="3">
        <v>6070</v>
      </c>
      <c r="B4323" s="28"/>
      <c r="C4323" s="3" t="s">
        <v>4</v>
      </c>
    </row>
    <row r="4324" spans="1:3" ht="13.5" thickBot="1" x14ac:dyDescent="0.25">
      <c r="A4324" s="3">
        <v>7032</v>
      </c>
      <c r="B4324" s="28"/>
      <c r="C4324" s="3" t="s">
        <v>3</v>
      </c>
    </row>
    <row r="4325" spans="1:3" ht="13.5" thickBot="1" x14ac:dyDescent="0.25">
      <c r="A4325" s="3">
        <v>1090</v>
      </c>
      <c r="B4325" s="28"/>
      <c r="C4325" s="3" t="s">
        <v>3</v>
      </c>
    </row>
    <row r="4326" spans="1:3" ht="13.5" thickBot="1" x14ac:dyDescent="0.25">
      <c r="A4326" s="3">
        <v>6581</v>
      </c>
      <c r="B4326" s="28"/>
      <c r="C4326" s="3" t="s">
        <v>3</v>
      </c>
    </row>
    <row r="4327" spans="1:3" ht="13.5" thickBot="1" x14ac:dyDescent="0.25">
      <c r="A4327" s="3">
        <v>5892</v>
      </c>
      <c r="B4327" s="28"/>
      <c r="C4327" s="3" t="s">
        <v>4</v>
      </c>
    </row>
    <row r="4328" spans="1:3" ht="13.5" thickBot="1" x14ac:dyDescent="0.25">
      <c r="A4328" s="3">
        <v>1222</v>
      </c>
      <c r="B4328" s="28"/>
      <c r="C4328" s="3" t="s">
        <v>5</v>
      </c>
    </row>
    <row r="4329" spans="1:3" ht="13.5" thickBot="1" x14ac:dyDescent="0.25">
      <c r="A4329" s="3">
        <v>2797</v>
      </c>
      <c r="B4329" s="28"/>
      <c r="C4329" s="3" t="s">
        <v>7</v>
      </c>
    </row>
    <row r="4330" spans="1:3" ht="13.5" thickBot="1" x14ac:dyDescent="0.25">
      <c r="A4330" s="3">
        <v>2893</v>
      </c>
      <c r="B4330" s="28"/>
      <c r="C4330" s="3" t="s">
        <v>4</v>
      </c>
    </row>
    <row r="4331" spans="1:3" ht="13.5" thickBot="1" x14ac:dyDescent="0.25">
      <c r="A4331" s="3">
        <v>2803</v>
      </c>
      <c r="B4331" s="28"/>
      <c r="C4331" s="3" t="s">
        <v>6</v>
      </c>
    </row>
    <row r="4332" spans="1:3" ht="13.5" thickBot="1" x14ac:dyDescent="0.25">
      <c r="A4332" s="3">
        <v>7986</v>
      </c>
      <c r="B4332" s="28"/>
      <c r="C4332" s="3" t="s">
        <v>4</v>
      </c>
    </row>
    <row r="4333" spans="1:3" ht="13.5" thickBot="1" x14ac:dyDescent="0.25">
      <c r="A4333" s="3">
        <v>1707</v>
      </c>
      <c r="B4333" s="28"/>
      <c r="C4333" s="3" t="s">
        <v>3</v>
      </c>
    </row>
    <row r="4334" spans="1:3" ht="13.5" thickBot="1" x14ac:dyDescent="0.25">
      <c r="A4334" s="3">
        <v>6072</v>
      </c>
      <c r="B4334" s="28"/>
      <c r="C4334" s="3" t="s">
        <v>3</v>
      </c>
    </row>
    <row r="4335" spans="1:3" ht="13.5" thickBot="1" x14ac:dyDescent="0.25">
      <c r="A4335" s="3">
        <v>2532</v>
      </c>
      <c r="B4335" s="28"/>
      <c r="C4335" s="3" t="s">
        <v>3</v>
      </c>
    </row>
    <row r="4336" spans="1:3" ht="13.5" thickBot="1" x14ac:dyDescent="0.25">
      <c r="A4336" s="3">
        <v>180</v>
      </c>
      <c r="B4336" s="28"/>
      <c r="C4336" s="3" t="s">
        <v>6</v>
      </c>
    </row>
    <row r="4337" spans="1:3" ht="13.5" thickBot="1" x14ac:dyDescent="0.25">
      <c r="A4337" s="3">
        <v>1406</v>
      </c>
      <c r="B4337" s="28"/>
      <c r="C4337" s="3" t="s">
        <v>6</v>
      </c>
    </row>
    <row r="4338" spans="1:3" ht="13.5" thickBot="1" x14ac:dyDescent="0.25">
      <c r="A4338" s="3">
        <v>7257</v>
      </c>
      <c r="B4338" s="28"/>
      <c r="C4338" s="3" t="s">
        <v>3</v>
      </c>
    </row>
    <row r="4339" spans="1:3" ht="13.5" thickBot="1" x14ac:dyDescent="0.25">
      <c r="A4339" s="3">
        <v>5008</v>
      </c>
      <c r="B4339" s="28"/>
      <c r="C4339" s="3" t="s">
        <v>3</v>
      </c>
    </row>
    <row r="4340" spans="1:3" ht="13.5" thickBot="1" x14ac:dyDescent="0.25">
      <c r="A4340" s="3">
        <v>2174</v>
      </c>
      <c r="B4340" s="28"/>
      <c r="C4340" s="3" t="s">
        <v>7</v>
      </c>
    </row>
    <row r="4341" spans="1:3" ht="13.5" thickBot="1" x14ac:dyDescent="0.25">
      <c r="A4341" s="3">
        <v>2997</v>
      </c>
      <c r="B4341" s="28"/>
      <c r="C4341" s="3" t="s">
        <v>6</v>
      </c>
    </row>
    <row r="4342" spans="1:3" ht="13.5" thickBot="1" x14ac:dyDescent="0.25">
      <c r="A4342" s="3">
        <v>7116</v>
      </c>
      <c r="B4342" s="28"/>
      <c r="C4342" s="3" t="s">
        <v>7</v>
      </c>
    </row>
    <row r="4343" spans="1:3" ht="13.5" thickBot="1" x14ac:dyDescent="0.25">
      <c r="A4343" s="3">
        <v>4987</v>
      </c>
      <c r="B4343" s="28"/>
      <c r="C4343" s="3" t="s">
        <v>3</v>
      </c>
    </row>
    <row r="4344" spans="1:3" ht="13.5" thickBot="1" x14ac:dyDescent="0.25">
      <c r="A4344" s="3">
        <v>6429</v>
      </c>
      <c r="B4344" s="28"/>
      <c r="C4344" s="3" t="s">
        <v>3</v>
      </c>
    </row>
    <row r="4345" spans="1:3" ht="13.5" thickBot="1" x14ac:dyDescent="0.25">
      <c r="A4345" s="3">
        <v>7986</v>
      </c>
      <c r="B4345" s="28"/>
      <c r="C4345" s="3" t="s">
        <v>3</v>
      </c>
    </row>
    <row r="4346" spans="1:3" ht="13.5" thickBot="1" x14ac:dyDescent="0.25">
      <c r="A4346" s="3">
        <v>7432</v>
      </c>
      <c r="B4346" s="28"/>
      <c r="C4346" s="3" t="s">
        <v>6</v>
      </c>
    </row>
    <row r="4347" spans="1:3" ht="13.5" thickBot="1" x14ac:dyDescent="0.25">
      <c r="A4347" s="3">
        <v>4799</v>
      </c>
      <c r="B4347" s="28"/>
      <c r="C4347" s="3" t="s">
        <v>3</v>
      </c>
    </row>
    <row r="4348" spans="1:3" ht="13.5" thickBot="1" x14ac:dyDescent="0.25">
      <c r="A4348" s="3">
        <v>3246</v>
      </c>
      <c r="B4348" s="28"/>
      <c r="C4348" s="3" t="s">
        <v>4</v>
      </c>
    </row>
    <row r="4349" spans="1:3" ht="13.5" thickBot="1" x14ac:dyDescent="0.25">
      <c r="A4349" s="3">
        <v>6072</v>
      </c>
      <c r="B4349" s="28"/>
      <c r="C4349" s="3" t="s">
        <v>4</v>
      </c>
    </row>
    <row r="4350" spans="1:3" ht="13.5" thickBot="1" x14ac:dyDescent="0.25">
      <c r="A4350" s="3">
        <v>1353</v>
      </c>
      <c r="B4350" s="28"/>
      <c r="C4350" s="3" t="s">
        <v>3</v>
      </c>
    </row>
    <row r="4351" spans="1:3" ht="13.5" thickBot="1" x14ac:dyDescent="0.25">
      <c r="A4351" s="3">
        <v>294</v>
      </c>
      <c r="B4351" s="28"/>
      <c r="C4351" s="3" t="s">
        <v>6</v>
      </c>
    </row>
    <row r="4352" spans="1:3" ht="13.5" thickBot="1" x14ac:dyDescent="0.25">
      <c r="A4352" s="3">
        <v>1666</v>
      </c>
      <c r="B4352" s="28"/>
      <c r="C4352" s="3" t="s">
        <v>6</v>
      </c>
    </row>
    <row r="4353" spans="1:3" ht="13.5" thickBot="1" x14ac:dyDescent="0.25">
      <c r="A4353" s="3">
        <v>1490</v>
      </c>
      <c r="B4353" s="28"/>
      <c r="C4353" s="3" t="s">
        <v>6</v>
      </c>
    </row>
    <row r="4354" spans="1:3" ht="13.5" thickBot="1" x14ac:dyDescent="0.25">
      <c r="A4354" s="3">
        <v>19</v>
      </c>
      <c r="B4354" s="28"/>
      <c r="C4354" s="3" t="s">
        <v>3</v>
      </c>
    </row>
    <row r="4355" spans="1:3" ht="13.5" thickBot="1" x14ac:dyDescent="0.25">
      <c r="A4355" s="3">
        <v>3246</v>
      </c>
      <c r="B4355" s="28"/>
      <c r="C4355" s="3" t="s">
        <v>3</v>
      </c>
    </row>
    <row r="4356" spans="1:3" ht="13.5" thickBot="1" x14ac:dyDescent="0.25">
      <c r="A4356" s="3">
        <v>4050</v>
      </c>
      <c r="B4356" s="28"/>
      <c r="C4356" s="3" t="s">
        <v>3</v>
      </c>
    </row>
    <row r="4357" spans="1:3" ht="13.5" thickBot="1" x14ac:dyDescent="0.25">
      <c r="A4357" s="3">
        <v>2893</v>
      </c>
      <c r="B4357" s="28"/>
      <c r="C4357" s="3" t="s">
        <v>7</v>
      </c>
    </row>
    <row r="4358" spans="1:3" ht="13.5" thickBot="1" x14ac:dyDescent="0.25">
      <c r="A4358" s="3">
        <v>6203</v>
      </c>
      <c r="B4358" s="28"/>
      <c r="C4358" s="3" t="s">
        <v>4</v>
      </c>
    </row>
    <row r="4359" spans="1:3" ht="13.5" thickBot="1" x14ac:dyDescent="0.25">
      <c r="A4359" s="3">
        <v>5766</v>
      </c>
      <c r="B4359" s="28"/>
      <c r="C4359" s="3" t="s">
        <v>3</v>
      </c>
    </row>
    <row r="4360" spans="1:3" ht="13.5" thickBot="1" x14ac:dyDescent="0.25">
      <c r="A4360" s="3">
        <v>1222</v>
      </c>
      <c r="B4360" s="28"/>
      <c r="C4360" s="3" t="s">
        <v>3</v>
      </c>
    </row>
    <row r="4361" spans="1:3" ht="13.5" thickBot="1" x14ac:dyDescent="0.25">
      <c r="A4361" s="3">
        <v>7570</v>
      </c>
      <c r="B4361" s="28"/>
      <c r="C4361" s="3" t="s">
        <v>3</v>
      </c>
    </row>
    <row r="4362" spans="1:3" ht="13.5" thickBot="1" x14ac:dyDescent="0.25">
      <c r="A4362" s="3">
        <v>240</v>
      </c>
      <c r="B4362" s="28"/>
      <c r="C4362" s="3" t="s">
        <v>7</v>
      </c>
    </row>
    <row r="4363" spans="1:3" ht="13.5" thickBot="1" x14ac:dyDescent="0.25">
      <c r="A4363" s="3">
        <v>7737</v>
      </c>
      <c r="B4363" s="28"/>
      <c r="C4363" s="3" t="s">
        <v>3</v>
      </c>
    </row>
    <row r="4364" spans="1:3" ht="13.5" thickBot="1" x14ac:dyDescent="0.25">
      <c r="A4364" s="3">
        <v>6247</v>
      </c>
      <c r="B4364" s="28"/>
      <c r="C4364" s="3" t="s">
        <v>3</v>
      </c>
    </row>
    <row r="4365" spans="1:3" ht="13.5" thickBot="1" x14ac:dyDescent="0.25">
      <c r="A4365" s="3">
        <v>7961</v>
      </c>
      <c r="B4365" s="28"/>
      <c r="C4365" s="3" t="s">
        <v>3</v>
      </c>
    </row>
    <row r="4366" spans="1:3" ht="13.5" thickBot="1" x14ac:dyDescent="0.25">
      <c r="A4366" s="3">
        <v>4650</v>
      </c>
      <c r="B4366" s="28"/>
      <c r="C4366" s="3" t="s">
        <v>3</v>
      </c>
    </row>
    <row r="4367" spans="1:3" ht="13.5" thickBot="1" x14ac:dyDescent="0.25">
      <c r="A4367" s="3">
        <v>4545</v>
      </c>
      <c r="B4367" s="28"/>
      <c r="C4367" s="3" t="s">
        <v>3</v>
      </c>
    </row>
    <row r="4368" spans="1:3" ht="13.5" thickBot="1" x14ac:dyDescent="0.25">
      <c r="A4368" s="3">
        <v>5248</v>
      </c>
      <c r="B4368" s="28"/>
      <c r="C4368" s="3" t="s">
        <v>4</v>
      </c>
    </row>
    <row r="4369" spans="1:3" ht="13.5" thickBot="1" x14ac:dyDescent="0.25">
      <c r="A4369" s="3">
        <v>5705</v>
      </c>
      <c r="B4369" s="28"/>
      <c r="C4369" s="3" t="s">
        <v>3</v>
      </c>
    </row>
    <row r="4370" spans="1:3" ht="13.5" thickBot="1" x14ac:dyDescent="0.25">
      <c r="A4370" s="3">
        <v>1666</v>
      </c>
      <c r="B4370" s="28"/>
      <c r="C4370" s="3" t="s">
        <v>4</v>
      </c>
    </row>
    <row r="4371" spans="1:3" ht="13.5" thickBot="1" x14ac:dyDescent="0.25">
      <c r="A4371" s="3">
        <v>3445</v>
      </c>
      <c r="B4371" s="28"/>
      <c r="C4371" s="3" t="s">
        <v>3</v>
      </c>
    </row>
    <row r="4372" spans="1:3" ht="13.5" thickBot="1" x14ac:dyDescent="0.25">
      <c r="A4372" s="3">
        <v>5705</v>
      </c>
      <c r="B4372" s="28"/>
      <c r="C4372" s="3" t="s">
        <v>4</v>
      </c>
    </row>
    <row r="4373" spans="1:3" ht="13.5" thickBot="1" x14ac:dyDescent="0.25">
      <c r="A4373" s="3">
        <v>2895</v>
      </c>
      <c r="B4373" s="28"/>
      <c r="C4373" s="3" t="s">
        <v>3</v>
      </c>
    </row>
    <row r="4374" spans="1:3" ht="13.5" thickBot="1" x14ac:dyDescent="0.25">
      <c r="A4374" s="3">
        <v>1544</v>
      </c>
      <c r="B4374" s="28"/>
      <c r="C4374" s="3" t="s">
        <v>5</v>
      </c>
    </row>
    <row r="4375" spans="1:3" ht="13.5" thickBot="1" x14ac:dyDescent="0.25">
      <c r="A4375" s="3">
        <v>7874</v>
      </c>
      <c r="B4375" s="28"/>
      <c r="C4375" s="3" t="s">
        <v>4</v>
      </c>
    </row>
    <row r="4376" spans="1:3" ht="13.5" thickBot="1" x14ac:dyDescent="0.25">
      <c r="A4376" s="3">
        <v>4964</v>
      </c>
      <c r="B4376" s="28"/>
      <c r="C4376" s="3" t="s">
        <v>4</v>
      </c>
    </row>
    <row r="4377" spans="1:3" ht="13.5" thickBot="1" x14ac:dyDescent="0.25">
      <c r="A4377" s="3">
        <v>1403</v>
      </c>
      <c r="B4377" s="28"/>
      <c r="C4377" s="3" t="s">
        <v>4</v>
      </c>
    </row>
    <row r="4378" spans="1:3" ht="13.5" thickBot="1" x14ac:dyDescent="0.25">
      <c r="A4378" s="3">
        <v>1787</v>
      </c>
      <c r="B4378" s="28"/>
      <c r="C4378" s="3" t="s">
        <v>4</v>
      </c>
    </row>
    <row r="4379" spans="1:3" ht="13.5" thickBot="1" x14ac:dyDescent="0.25">
      <c r="A4379" s="3">
        <v>3609</v>
      </c>
      <c r="B4379" s="28"/>
      <c r="C4379" s="3" t="s">
        <v>7</v>
      </c>
    </row>
    <row r="4380" spans="1:3" ht="13.5" thickBot="1" x14ac:dyDescent="0.25">
      <c r="A4380" s="3">
        <v>5034</v>
      </c>
      <c r="B4380" s="28"/>
      <c r="C4380" s="3" t="s">
        <v>3</v>
      </c>
    </row>
    <row r="4381" spans="1:3" ht="13.5" thickBot="1" x14ac:dyDescent="0.25">
      <c r="A4381" s="3">
        <v>4056</v>
      </c>
      <c r="B4381" s="28"/>
      <c r="C4381" s="3" t="s">
        <v>4</v>
      </c>
    </row>
    <row r="4382" spans="1:3" ht="13.5" thickBot="1" x14ac:dyDescent="0.25">
      <c r="A4382" s="3">
        <v>2368</v>
      </c>
      <c r="B4382" s="28"/>
      <c r="C4382" s="3" t="s">
        <v>3</v>
      </c>
    </row>
    <row r="4383" spans="1:3" ht="13.5" thickBot="1" x14ac:dyDescent="0.25">
      <c r="A4383" s="3">
        <v>2444</v>
      </c>
      <c r="B4383" s="28"/>
      <c r="C4383" s="3" t="s">
        <v>3</v>
      </c>
    </row>
    <row r="4384" spans="1:3" ht="13.5" thickBot="1" x14ac:dyDescent="0.25">
      <c r="A4384" s="3">
        <v>6748</v>
      </c>
      <c r="B4384" s="28"/>
      <c r="C4384" s="3" t="s">
        <v>6</v>
      </c>
    </row>
    <row r="4385" spans="1:3" ht="13.5" thickBot="1" x14ac:dyDescent="0.25">
      <c r="A4385" s="3">
        <v>4056</v>
      </c>
      <c r="B4385" s="28"/>
      <c r="C4385" s="3" t="s">
        <v>3</v>
      </c>
    </row>
    <row r="4386" spans="1:3" ht="13.5" thickBot="1" x14ac:dyDescent="0.25">
      <c r="A4386" s="3">
        <v>1629</v>
      </c>
      <c r="B4386" s="28"/>
      <c r="C4386" s="3" t="s">
        <v>3</v>
      </c>
    </row>
    <row r="4387" spans="1:3" ht="13.5" thickBot="1" x14ac:dyDescent="0.25">
      <c r="A4387" s="3">
        <v>7961</v>
      </c>
      <c r="B4387" s="28"/>
      <c r="C4387" s="3" t="s">
        <v>4</v>
      </c>
    </row>
    <row r="4388" spans="1:3" ht="13.5" thickBot="1" x14ac:dyDescent="0.25">
      <c r="A4388" s="3">
        <v>3935</v>
      </c>
      <c r="B4388" s="28"/>
      <c r="C4388" s="3" t="s">
        <v>5</v>
      </c>
    </row>
    <row r="4389" spans="1:3" ht="13.5" thickBot="1" x14ac:dyDescent="0.25">
      <c r="A4389" s="3">
        <v>3474</v>
      </c>
      <c r="B4389" s="28"/>
      <c r="C4389" s="3" t="s">
        <v>6</v>
      </c>
    </row>
    <row r="4390" spans="1:3" ht="13.5" thickBot="1" x14ac:dyDescent="0.25">
      <c r="A4390" s="3">
        <v>7943</v>
      </c>
      <c r="B4390" s="28"/>
      <c r="C4390" s="3" t="s">
        <v>6</v>
      </c>
    </row>
    <row r="4391" spans="1:3" ht="13.5" thickBot="1" x14ac:dyDescent="0.25">
      <c r="A4391" s="3">
        <v>7116</v>
      </c>
      <c r="B4391" s="28"/>
      <c r="C4391" s="3" t="s">
        <v>4</v>
      </c>
    </row>
    <row r="4392" spans="1:3" ht="13.5" thickBot="1" x14ac:dyDescent="0.25">
      <c r="A4392" s="3">
        <v>7904</v>
      </c>
      <c r="B4392" s="28"/>
      <c r="C4392" s="3" t="s">
        <v>3</v>
      </c>
    </row>
    <row r="4393" spans="1:3" ht="13.5" thickBot="1" x14ac:dyDescent="0.25">
      <c r="A4393" s="3">
        <v>7159</v>
      </c>
      <c r="B4393" s="28"/>
      <c r="C4393" s="3" t="s">
        <v>4</v>
      </c>
    </row>
    <row r="4394" spans="1:3" ht="13.5" thickBot="1" x14ac:dyDescent="0.25">
      <c r="A4394" s="3">
        <v>2642</v>
      </c>
      <c r="B4394" s="28"/>
      <c r="C4394" s="3" t="s">
        <v>6</v>
      </c>
    </row>
    <row r="4395" spans="1:3" ht="13.5" thickBot="1" x14ac:dyDescent="0.25">
      <c r="A4395" s="3">
        <v>7640</v>
      </c>
      <c r="B4395" s="28"/>
      <c r="C4395" s="3" t="s">
        <v>6</v>
      </c>
    </row>
    <row r="4396" spans="1:3" ht="13.5" thickBot="1" x14ac:dyDescent="0.25">
      <c r="A4396" s="3">
        <v>7874</v>
      </c>
      <c r="B4396" s="28"/>
      <c r="C4396" s="3" t="s">
        <v>7</v>
      </c>
    </row>
    <row r="4397" spans="1:3" ht="13.5" thickBot="1" x14ac:dyDescent="0.25">
      <c r="A4397" s="3">
        <v>5219</v>
      </c>
      <c r="B4397" s="28"/>
      <c r="C4397" s="3" t="s">
        <v>3</v>
      </c>
    </row>
    <row r="4398" spans="1:3" ht="13.5" thickBot="1" x14ac:dyDescent="0.25">
      <c r="A4398" s="3">
        <v>4098</v>
      </c>
      <c r="B4398" s="28"/>
      <c r="C4398" s="3" t="s">
        <v>4</v>
      </c>
    </row>
    <row r="4399" spans="1:3" ht="13.5" thickBot="1" x14ac:dyDescent="0.25">
      <c r="A4399" s="3">
        <v>6766</v>
      </c>
      <c r="B4399" s="28"/>
      <c r="C4399" s="3" t="s">
        <v>3</v>
      </c>
    </row>
    <row r="4400" spans="1:3" ht="13.5" thickBot="1" x14ac:dyDescent="0.25">
      <c r="A4400" s="3">
        <v>4924</v>
      </c>
      <c r="B4400" s="28"/>
      <c r="C4400" s="3" t="s">
        <v>3</v>
      </c>
    </row>
    <row r="4401" spans="1:3" ht="13.5" thickBot="1" x14ac:dyDescent="0.25">
      <c r="A4401" s="3">
        <v>5866</v>
      </c>
      <c r="B4401" s="28"/>
      <c r="C4401" s="3" t="s">
        <v>3</v>
      </c>
    </row>
    <row r="4402" spans="1:3" ht="13.5" thickBot="1" x14ac:dyDescent="0.25">
      <c r="A4402" s="3">
        <v>2463</v>
      </c>
      <c r="B4402" s="28"/>
      <c r="C4402" s="3" t="s">
        <v>3</v>
      </c>
    </row>
    <row r="4403" spans="1:3" ht="13.5" thickBot="1" x14ac:dyDescent="0.25">
      <c r="A4403" s="3">
        <v>1839</v>
      </c>
      <c r="B4403" s="28"/>
      <c r="C4403" s="3" t="s">
        <v>3</v>
      </c>
    </row>
    <row r="4404" spans="1:3" ht="13.5" thickBot="1" x14ac:dyDescent="0.25">
      <c r="A4404" s="3">
        <v>7172</v>
      </c>
      <c r="B4404" s="28"/>
      <c r="C4404" s="3" t="s">
        <v>3</v>
      </c>
    </row>
    <row r="4405" spans="1:3" ht="13.5" thickBot="1" x14ac:dyDescent="0.25">
      <c r="A4405" s="3">
        <v>3511</v>
      </c>
      <c r="B4405" s="28"/>
      <c r="C4405" s="3" t="s">
        <v>3</v>
      </c>
    </row>
    <row r="4406" spans="1:3" ht="13.5" thickBot="1" x14ac:dyDescent="0.25">
      <c r="A4406" s="3">
        <v>4026</v>
      </c>
      <c r="B4406" s="28"/>
      <c r="C4406" s="3" t="s">
        <v>3</v>
      </c>
    </row>
    <row r="4407" spans="1:3" ht="13.5" thickBot="1" x14ac:dyDescent="0.25">
      <c r="A4407" s="3">
        <v>2612</v>
      </c>
      <c r="B4407" s="28"/>
      <c r="C4407" s="3" t="s">
        <v>3</v>
      </c>
    </row>
    <row r="4408" spans="1:3" ht="13.5" thickBot="1" x14ac:dyDescent="0.25">
      <c r="A4408" s="3">
        <v>5849</v>
      </c>
      <c r="B4408" s="28"/>
      <c r="C4408" s="3" t="s">
        <v>3</v>
      </c>
    </row>
    <row r="4409" spans="1:3" ht="13.5" thickBot="1" x14ac:dyDescent="0.25">
      <c r="A4409" s="3">
        <v>4357</v>
      </c>
      <c r="B4409" s="28"/>
      <c r="C4409" s="3" t="s">
        <v>3</v>
      </c>
    </row>
    <row r="4410" spans="1:3" ht="13.5" thickBot="1" x14ac:dyDescent="0.25">
      <c r="A4410" s="3">
        <v>6772</v>
      </c>
      <c r="B4410" s="28"/>
      <c r="C4410" s="3" t="s">
        <v>5</v>
      </c>
    </row>
    <row r="4411" spans="1:3" ht="13.5" thickBot="1" x14ac:dyDescent="0.25">
      <c r="A4411" s="3">
        <v>4371</v>
      </c>
      <c r="B4411" s="28"/>
      <c r="C4411" s="3" t="s">
        <v>4</v>
      </c>
    </row>
    <row r="4412" spans="1:3" ht="13.5" thickBot="1" x14ac:dyDescent="0.25">
      <c r="A4412" s="3">
        <v>5106</v>
      </c>
      <c r="B4412" s="28"/>
      <c r="C4412" s="3" t="s">
        <v>3</v>
      </c>
    </row>
    <row r="4413" spans="1:3" ht="13.5" thickBot="1" x14ac:dyDescent="0.25">
      <c r="A4413" s="3">
        <v>6050</v>
      </c>
      <c r="B4413" s="28"/>
      <c r="C4413" s="3" t="s">
        <v>7</v>
      </c>
    </row>
    <row r="4414" spans="1:3" ht="13.5" thickBot="1" x14ac:dyDescent="0.25">
      <c r="A4414" s="3">
        <v>6050</v>
      </c>
      <c r="B4414" s="28"/>
      <c r="C4414" s="3" t="s">
        <v>5</v>
      </c>
    </row>
    <row r="4415" spans="1:3" ht="13.5" thickBot="1" x14ac:dyDescent="0.25">
      <c r="A4415" s="3">
        <v>3935</v>
      </c>
      <c r="B4415" s="28"/>
      <c r="C4415" s="3" t="s">
        <v>6</v>
      </c>
    </row>
    <row r="4416" spans="1:3" ht="13.5" thickBot="1" x14ac:dyDescent="0.25">
      <c r="A4416" s="3">
        <v>6772</v>
      </c>
      <c r="B4416" s="28"/>
      <c r="C4416" s="3" t="s">
        <v>3</v>
      </c>
    </row>
    <row r="4417" spans="1:3" ht="13.5" thickBot="1" x14ac:dyDescent="0.25">
      <c r="A4417" s="3">
        <v>1933</v>
      </c>
      <c r="B4417" s="28"/>
      <c r="C4417" s="3" t="s">
        <v>3</v>
      </c>
    </row>
    <row r="4418" spans="1:3" ht="13.5" thickBot="1" x14ac:dyDescent="0.25">
      <c r="A4418" s="3">
        <v>5219</v>
      </c>
      <c r="B4418" s="28"/>
      <c r="C4418" s="3" t="s">
        <v>4</v>
      </c>
    </row>
    <row r="4419" spans="1:3" ht="13.5" thickBot="1" x14ac:dyDescent="0.25">
      <c r="A4419" s="3">
        <v>5248</v>
      </c>
      <c r="B4419" s="28"/>
      <c r="C4419" s="3" t="s">
        <v>5</v>
      </c>
    </row>
    <row r="4420" spans="1:3" ht="13.5" thickBot="1" x14ac:dyDescent="0.25">
      <c r="A4420" s="3">
        <v>1408</v>
      </c>
      <c r="B4420" s="28"/>
      <c r="C4420" s="3" t="s">
        <v>6</v>
      </c>
    </row>
    <row r="4421" spans="1:3" ht="13.5" thickBot="1" x14ac:dyDescent="0.25">
      <c r="A4421" s="3">
        <v>5460</v>
      </c>
      <c r="B4421" s="28"/>
      <c r="C4421" s="3" t="s">
        <v>3</v>
      </c>
    </row>
    <row r="4422" spans="1:3" ht="13.5" thickBot="1" x14ac:dyDescent="0.25">
      <c r="A4422" s="3">
        <v>1993</v>
      </c>
      <c r="B4422" s="28"/>
      <c r="C4422" s="3" t="s">
        <v>5</v>
      </c>
    </row>
    <row r="4423" spans="1:3" ht="13.5" thickBot="1" x14ac:dyDescent="0.25">
      <c r="A4423" s="3">
        <v>3983</v>
      </c>
      <c r="B4423" s="28"/>
      <c r="C4423" s="3" t="s">
        <v>3</v>
      </c>
    </row>
    <row r="4424" spans="1:3" ht="13.5" thickBot="1" x14ac:dyDescent="0.25">
      <c r="A4424" s="3">
        <v>6671</v>
      </c>
      <c r="B4424" s="28"/>
      <c r="C4424" s="3" t="s">
        <v>5</v>
      </c>
    </row>
    <row r="4425" spans="1:3" ht="13.5" thickBot="1" x14ac:dyDescent="0.25">
      <c r="A4425" s="3">
        <v>5082</v>
      </c>
      <c r="B4425" s="28"/>
      <c r="C4425" s="3" t="s">
        <v>7</v>
      </c>
    </row>
    <row r="4426" spans="1:3" ht="13.5" thickBot="1" x14ac:dyDescent="0.25">
      <c r="A4426" s="3">
        <v>5311</v>
      </c>
      <c r="B4426" s="28"/>
      <c r="C4426" s="3" t="s">
        <v>3</v>
      </c>
    </row>
    <row r="4427" spans="1:3" ht="13.5" thickBot="1" x14ac:dyDescent="0.25">
      <c r="A4427" s="3">
        <v>1069</v>
      </c>
      <c r="B4427" s="28"/>
      <c r="C4427" s="3" t="s">
        <v>3</v>
      </c>
    </row>
    <row r="4428" spans="1:3" ht="13.5" thickBot="1" x14ac:dyDescent="0.25">
      <c r="A4428" s="3">
        <v>5580</v>
      </c>
      <c r="B4428" s="28"/>
      <c r="C4428" s="3" t="s">
        <v>3</v>
      </c>
    </row>
    <row r="4429" spans="1:3" ht="13.5" thickBot="1" x14ac:dyDescent="0.25">
      <c r="A4429" s="3">
        <v>6366</v>
      </c>
      <c r="B4429" s="28"/>
      <c r="C4429" s="3" t="s">
        <v>5</v>
      </c>
    </row>
    <row r="4430" spans="1:3" ht="13.5" thickBot="1" x14ac:dyDescent="0.25">
      <c r="A4430" s="3">
        <v>7682</v>
      </c>
      <c r="B4430" s="28"/>
      <c r="C4430" s="3" t="s">
        <v>3</v>
      </c>
    </row>
    <row r="4431" spans="1:3" ht="13.5" thickBot="1" x14ac:dyDescent="0.25">
      <c r="A4431" s="3">
        <v>5034</v>
      </c>
      <c r="B4431" s="28"/>
      <c r="C4431" s="3" t="s">
        <v>4</v>
      </c>
    </row>
    <row r="4432" spans="1:3" ht="13.5" thickBot="1" x14ac:dyDescent="0.25">
      <c r="A4432" s="3">
        <v>3873</v>
      </c>
      <c r="B4432" s="28"/>
      <c r="C4432" s="3" t="s">
        <v>6</v>
      </c>
    </row>
    <row r="4433" spans="1:3" ht="13.5" thickBot="1" x14ac:dyDescent="0.25">
      <c r="A4433" s="3">
        <v>4451</v>
      </c>
      <c r="B4433" s="28"/>
      <c r="C4433" s="3" t="s">
        <v>3</v>
      </c>
    </row>
    <row r="4434" spans="1:3" ht="13.5" thickBot="1" x14ac:dyDescent="0.25">
      <c r="A4434" s="3">
        <v>5849</v>
      </c>
      <c r="B4434" s="28"/>
      <c r="C4434" s="3" t="s">
        <v>4</v>
      </c>
    </row>
    <row r="4435" spans="1:3" ht="13.5" thickBot="1" x14ac:dyDescent="0.25">
      <c r="A4435" s="3">
        <v>2173</v>
      </c>
      <c r="B4435" s="28"/>
      <c r="C4435" s="3" t="s">
        <v>4</v>
      </c>
    </row>
    <row r="4436" spans="1:3" ht="13.5" thickBot="1" x14ac:dyDescent="0.25">
      <c r="A4436" s="3">
        <v>4400</v>
      </c>
      <c r="B4436" s="28"/>
      <c r="C4436" s="3" t="s">
        <v>3</v>
      </c>
    </row>
    <row r="4437" spans="1:3" ht="13.5" thickBot="1" x14ac:dyDescent="0.25">
      <c r="A4437" s="3">
        <v>6745</v>
      </c>
      <c r="B4437" s="28"/>
      <c r="C4437" s="3" t="s">
        <v>3</v>
      </c>
    </row>
    <row r="4438" spans="1:3" ht="13.5" thickBot="1" x14ac:dyDescent="0.25">
      <c r="A4438" s="3">
        <v>752</v>
      </c>
      <c r="B4438" s="28"/>
      <c r="C4438" s="3" t="s">
        <v>3</v>
      </c>
    </row>
    <row r="4439" spans="1:3" ht="13.5" thickBot="1" x14ac:dyDescent="0.25">
      <c r="A4439" s="3">
        <v>1930</v>
      </c>
      <c r="B4439" s="28"/>
      <c r="C4439" s="3" t="s">
        <v>3</v>
      </c>
    </row>
    <row r="4440" spans="1:3" ht="13.5" thickBot="1" x14ac:dyDescent="0.25">
      <c r="A4440" s="3">
        <v>4371</v>
      </c>
      <c r="B4440" s="28"/>
      <c r="C4440" s="3" t="s">
        <v>3</v>
      </c>
    </row>
    <row r="4441" spans="1:3" ht="13.5" thickBot="1" x14ac:dyDescent="0.25">
      <c r="A4441" s="3">
        <v>5008</v>
      </c>
      <c r="B4441" s="28"/>
      <c r="C4441" s="3" t="s">
        <v>4</v>
      </c>
    </row>
    <row r="4442" spans="1:3" ht="13.5" thickBot="1" x14ac:dyDescent="0.25">
      <c r="A4442" s="3">
        <v>252</v>
      </c>
      <c r="B4442" s="28"/>
      <c r="C4442" s="3" t="s">
        <v>3</v>
      </c>
    </row>
    <row r="4443" spans="1:3" ht="13.5" thickBot="1" x14ac:dyDescent="0.25">
      <c r="A4443" s="3">
        <v>6772</v>
      </c>
      <c r="B4443" s="28"/>
      <c r="C4443" s="3" t="s">
        <v>4</v>
      </c>
    </row>
    <row r="4444" spans="1:3" ht="13.5" thickBot="1" x14ac:dyDescent="0.25">
      <c r="A4444" s="3">
        <v>7454</v>
      </c>
      <c r="B4444" s="28"/>
      <c r="C4444" s="3" t="s">
        <v>3</v>
      </c>
    </row>
    <row r="4445" spans="1:3" ht="13.5" thickBot="1" x14ac:dyDescent="0.25">
      <c r="A4445" s="3">
        <v>6745</v>
      </c>
      <c r="B4445" s="28"/>
      <c r="C4445" s="3" t="s">
        <v>5</v>
      </c>
    </row>
    <row r="4446" spans="1:3" ht="13.5" thickBot="1" x14ac:dyDescent="0.25">
      <c r="A4446" s="3">
        <v>6533</v>
      </c>
      <c r="B4446" s="28"/>
      <c r="C4446" s="3" t="s">
        <v>6</v>
      </c>
    </row>
    <row r="4447" spans="1:3" ht="13.5" thickBot="1" x14ac:dyDescent="0.25">
      <c r="A4447" s="3">
        <v>7044</v>
      </c>
      <c r="B4447" s="28"/>
      <c r="C4447" s="3" t="s">
        <v>4</v>
      </c>
    </row>
    <row r="4448" spans="1:3" ht="13.5" thickBot="1" x14ac:dyDescent="0.25">
      <c r="A4448" s="3">
        <v>5106</v>
      </c>
      <c r="B4448" s="28"/>
      <c r="C4448" s="3" t="s">
        <v>4</v>
      </c>
    </row>
    <row r="4449" spans="1:3" ht="13.5" thickBot="1" x14ac:dyDescent="0.25">
      <c r="A4449" s="3">
        <v>3456</v>
      </c>
      <c r="B4449" s="28"/>
      <c r="C4449" s="3" t="s">
        <v>3</v>
      </c>
    </row>
    <row r="4450" spans="1:3" ht="13.5" thickBot="1" x14ac:dyDescent="0.25">
      <c r="A4450" s="3">
        <v>3609</v>
      </c>
      <c r="B4450" s="28"/>
      <c r="C4450" s="3" t="s">
        <v>6</v>
      </c>
    </row>
    <row r="4451" spans="1:3" ht="13.5" thickBot="1" x14ac:dyDescent="0.25">
      <c r="A4451" s="3">
        <v>3246</v>
      </c>
      <c r="B4451" s="28"/>
      <c r="C4451" s="3" t="s">
        <v>5</v>
      </c>
    </row>
    <row r="4452" spans="1:3" ht="13.5" thickBot="1" x14ac:dyDescent="0.25">
      <c r="A4452" s="3">
        <v>2893</v>
      </c>
      <c r="B4452" s="28"/>
      <c r="C4452" s="3" t="s">
        <v>5</v>
      </c>
    </row>
    <row r="4453" spans="1:3" ht="13.5" thickBot="1" x14ac:dyDescent="0.25">
      <c r="A4453" s="3">
        <v>5775</v>
      </c>
      <c r="B4453" s="28"/>
      <c r="C4453" s="3" t="s">
        <v>3</v>
      </c>
    </row>
    <row r="4454" spans="1:3" ht="13.5" thickBot="1" x14ac:dyDescent="0.25">
      <c r="A4454" s="3">
        <v>5375</v>
      </c>
      <c r="B4454" s="28"/>
      <c r="C4454" s="3" t="s">
        <v>3</v>
      </c>
    </row>
    <row r="4455" spans="1:3" ht="13.5" thickBot="1" x14ac:dyDescent="0.25">
      <c r="A4455" s="3">
        <v>5358</v>
      </c>
      <c r="B4455" s="28"/>
      <c r="C4455" s="3" t="s">
        <v>3</v>
      </c>
    </row>
    <row r="4456" spans="1:3" ht="13.5" thickBot="1" x14ac:dyDescent="0.25">
      <c r="A4456" s="3">
        <v>1787</v>
      </c>
      <c r="B4456" s="28"/>
      <c r="C4456" s="3" t="s">
        <v>5</v>
      </c>
    </row>
    <row r="4457" spans="1:3" ht="13.5" thickBot="1" x14ac:dyDescent="0.25">
      <c r="A4457" s="3">
        <v>7911</v>
      </c>
      <c r="B4457" s="28"/>
      <c r="C4457" s="3" t="s">
        <v>3</v>
      </c>
    </row>
    <row r="4458" spans="1:3" ht="13.5" thickBot="1" x14ac:dyDescent="0.25">
      <c r="A4458" s="3">
        <v>7480</v>
      </c>
      <c r="B4458" s="28"/>
      <c r="C4458" s="3" t="s">
        <v>5</v>
      </c>
    </row>
    <row r="4459" spans="1:3" ht="13.5" thickBot="1" x14ac:dyDescent="0.25">
      <c r="A4459" s="3">
        <v>252</v>
      </c>
      <c r="B4459" s="28"/>
      <c r="C4459" s="3" t="s">
        <v>4</v>
      </c>
    </row>
    <row r="4460" spans="1:3" ht="13.5" thickBot="1" x14ac:dyDescent="0.25">
      <c r="A4460" s="3">
        <v>913</v>
      </c>
      <c r="B4460" s="28"/>
      <c r="C4460" s="3" t="s">
        <v>3</v>
      </c>
    </row>
    <row r="4461" spans="1:3" ht="13.5" thickBot="1" x14ac:dyDescent="0.25">
      <c r="A4461" s="3">
        <v>4735</v>
      </c>
      <c r="B4461" s="28"/>
      <c r="C4461" s="3" t="s">
        <v>5</v>
      </c>
    </row>
    <row r="4462" spans="1:3" ht="13.5" thickBot="1" x14ac:dyDescent="0.25">
      <c r="A4462" s="3">
        <v>920</v>
      </c>
      <c r="B4462" s="28"/>
      <c r="C4462" s="3" t="s">
        <v>3</v>
      </c>
    </row>
    <row r="4463" spans="1:3" ht="13.5" thickBot="1" x14ac:dyDescent="0.25">
      <c r="A4463" s="3">
        <v>812</v>
      </c>
      <c r="B4463" s="28"/>
      <c r="C4463" s="3" t="s">
        <v>3</v>
      </c>
    </row>
    <row r="4464" spans="1:3" ht="13.5" thickBot="1" x14ac:dyDescent="0.25">
      <c r="A4464" s="3">
        <v>354</v>
      </c>
      <c r="B4464" s="28"/>
      <c r="C4464" s="3" t="s">
        <v>3</v>
      </c>
    </row>
    <row r="4465" spans="1:3" ht="13.5" thickBot="1" x14ac:dyDescent="0.25">
      <c r="A4465" s="3">
        <v>7570</v>
      </c>
      <c r="B4465" s="28"/>
      <c r="C4465" s="3" t="s">
        <v>4</v>
      </c>
    </row>
    <row r="4466" spans="1:3" ht="13.5" thickBot="1" x14ac:dyDescent="0.25">
      <c r="A4466" s="3">
        <v>752</v>
      </c>
      <c r="B4466" s="28"/>
      <c r="C4466" s="3" t="s">
        <v>4</v>
      </c>
    </row>
    <row r="4467" spans="1:3" ht="13.5" thickBot="1" x14ac:dyDescent="0.25">
      <c r="A4467" s="3">
        <v>7565</v>
      </c>
      <c r="B4467" s="28"/>
      <c r="C4467" s="3" t="s">
        <v>6</v>
      </c>
    </row>
    <row r="4468" spans="1:3" ht="13.5" thickBot="1" x14ac:dyDescent="0.25">
      <c r="A4468" s="3">
        <v>694</v>
      </c>
      <c r="B4468" s="28"/>
      <c r="C4468" s="3" t="s">
        <v>6</v>
      </c>
    </row>
    <row r="4469" spans="1:3" ht="13.5" thickBot="1" x14ac:dyDescent="0.25">
      <c r="A4469" s="3">
        <v>4735</v>
      </c>
      <c r="B4469" s="28"/>
      <c r="C4469" s="3" t="s">
        <v>4</v>
      </c>
    </row>
    <row r="4470" spans="1:3" ht="13.5" thickBot="1" x14ac:dyDescent="0.25">
      <c r="A4470" s="3">
        <v>998</v>
      </c>
      <c r="B4470" s="28"/>
      <c r="C4470" s="3" t="s">
        <v>3</v>
      </c>
    </row>
    <row r="4471" spans="1:3" ht="13.5" thickBot="1" x14ac:dyDescent="0.25">
      <c r="A4471" s="3">
        <v>5705</v>
      </c>
      <c r="B4471" s="28"/>
      <c r="C4471" s="3" t="s">
        <v>7</v>
      </c>
    </row>
    <row r="4472" spans="1:3" ht="13.5" thickBot="1" x14ac:dyDescent="0.25">
      <c r="A4472" s="3">
        <v>368</v>
      </c>
      <c r="B4472" s="28"/>
      <c r="C4472" s="3" t="s">
        <v>3</v>
      </c>
    </row>
    <row r="4473" spans="1:3" ht="13.5" thickBot="1" x14ac:dyDescent="0.25">
      <c r="A4473" s="3">
        <v>3559</v>
      </c>
      <c r="B4473" s="28"/>
      <c r="C4473" s="3" t="s">
        <v>3</v>
      </c>
    </row>
    <row r="4474" spans="1:3" ht="13.5" thickBot="1" x14ac:dyDescent="0.25">
      <c r="A4474" s="3">
        <v>877</v>
      </c>
      <c r="B4474" s="28"/>
      <c r="C4474" s="3" t="s">
        <v>4</v>
      </c>
    </row>
    <row r="4475" spans="1:3" ht="13.5" thickBot="1" x14ac:dyDescent="0.25">
      <c r="A4475" s="3">
        <v>5110</v>
      </c>
      <c r="B4475" s="28"/>
      <c r="C4475" s="3" t="s">
        <v>3</v>
      </c>
    </row>
    <row r="4476" spans="1:3" ht="13.5" thickBot="1" x14ac:dyDescent="0.25">
      <c r="A4476" s="3">
        <v>2630</v>
      </c>
      <c r="B4476" s="28"/>
      <c r="C4476" s="3" t="s">
        <v>3</v>
      </c>
    </row>
    <row r="4477" spans="1:3" ht="13.5" thickBot="1" x14ac:dyDescent="0.25">
      <c r="A4477" s="3">
        <v>998</v>
      </c>
      <c r="B4477" s="28"/>
      <c r="C4477" s="3" t="s">
        <v>5</v>
      </c>
    </row>
    <row r="4478" spans="1:3" ht="13.5" thickBot="1" x14ac:dyDescent="0.25">
      <c r="A4478" s="3">
        <v>2895</v>
      </c>
      <c r="B4478" s="28"/>
      <c r="C4478" s="3" t="s">
        <v>4</v>
      </c>
    </row>
    <row r="4479" spans="1:3" ht="13.5" thickBot="1" x14ac:dyDescent="0.25">
      <c r="A4479" s="3">
        <v>5314</v>
      </c>
      <c r="B4479" s="28"/>
      <c r="C4479" s="3" t="s">
        <v>3</v>
      </c>
    </row>
    <row r="4480" spans="1:3" ht="13.5" thickBot="1" x14ac:dyDescent="0.25">
      <c r="A4480" s="3">
        <v>1402</v>
      </c>
      <c r="B4480" s="28"/>
      <c r="C4480" s="3" t="s">
        <v>3</v>
      </c>
    </row>
    <row r="4481" spans="1:3" ht="13.5" thickBot="1" x14ac:dyDescent="0.25">
      <c r="A4481" s="3">
        <v>5622</v>
      </c>
      <c r="B4481" s="28"/>
      <c r="C4481" s="3" t="s">
        <v>4</v>
      </c>
    </row>
    <row r="4482" spans="1:3" ht="13.5" thickBot="1" x14ac:dyDescent="0.25">
      <c r="A4482" s="3">
        <v>998</v>
      </c>
      <c r="B4482" s="28"/>
      <c r="C4482" s="3" t="s">
        <v>4</v>
      </c>
    </row>
    <row r="4483" spans="1:3" ht="13.5" thickBot="1" x14ac:dyDescent="0.25">
      <c r="A4483" s="3">
        <v>2837</v>
      </c>
      <c r="B4483" s="28"/>
      <c r="C4483" s="3" t="s">
        <v>6</v>
      </c>
    </row>
    <row r="4484" spans="1:3" ht="13.5" thickBot="1" x14ac:dyDescent="0.25">
      <c r="A4484" s="3">
        <v>5334</v>
      </c>
      <c r="B4484" s="28"/>
      <c r="C4484" s="3" t="s">
        <v>6</v>
      </c>
    </row>
    <row r="4485" spans="1:3" ht="13.5" thickBot="1" x14ac:dyDescent="0.25">
      <c r="A4485" s="3">
        <v>3085</v>
      </c>
      <c r="B4485" s="28"/>
      <c r="C4485" s="3" t="s">
        <v>3</v>
      </c>
    </row>
    <row r="4486" spans="1:3" ht="13.5" thickBot="1" x14ac:dyDescent="0.25">
      <c r="A4486" s="3">
        <v>6745</v>
      </c>
      <c r="B4486" s="28"/>
      <c r="C4486" s="3" t="s">
        <v>7</v>
      </c>
    </row>
    <row r="4487" spans="1:3" ht="13.5" thickBot="1" x14ac:dyDescent="0.25">
      <c r="A4487" s="3">
        <v>7682</v>
      </c>
      <c r="B4487" s="28"/>
      <c r="C4487" s="3" t="s">
        <v>5</v>
      </c>
    </row>
    <row r="4488" spans="1:3" ht="13.5" thickBot="1" x14ac:dyDescent="0.25">
      <c r="A4488" s="3">
        <v>6366</v>
      </c>
      <c r="B4488" s="28"/>
      <c r="C4488" s="3" t="s">
        <v>6</v>
      </c>
    </row>
    <row r="4489" spans="1:3" ht="13.5" thickBot="1" x14ac:dyDescent="0.25">
      <c r="A4489" s="3">
        <v>5752</v>
      </c>
      <c r="B4489" s="28"/>
      <c r="C4489" s="3" t="s">
        <v>3</v>
      </c>
    </row>
    <row r="4490" spans="1:3" ht="13.5" thickBot="1" x14ac:dyDescent="0.25">
      <c r="A4490" s="3">
        <v>812</v>
      </c>
      <c r="B4490" s="28"/>
      <c r="C4490" s="3" t="s">
        <v>5</v>
      </c>
    </row>
    <row r="4491" spans="1:3" ht="13.5" thickBot="1" x14ac:dyDescent="0.25">
      <c r="A4491" s="3">
        <v>5256</v>
      </c>
      <c r="B4491" s="28"/>
      <c r="C4491" s="3" t="s">
        <v>3</v>
      </c>
    </row>
    <row r="4492" spans="1:3" ht="13.5" thickBot="1" x14ac:dyDescent="0.25">
      <c r="A4492" s="3">
        <v>3456</v>
      </c>
      <c r="B4492" s="28"/>
      <c r="C4492" s="3" t="s">
        <v>4</v>
      </c>
    </row>
    <row r="4493" spans="1:3" ht="13.5" thickBot="1" x14ac:dyDescent="0.25">
      <c r="A4493" s="3">
        <v>6366</v>
      </c>
      <c r="B4493" s="28"/>
      <c r="C4493" s="3" t="s">
        <v>7</v>
      </c>
    </row>
    <row r="4494" spans="1:3" ht="13.5" thickBot="1" x14ac:dyDescent="0.25">
      <c r="A4494" s="3">
        <v>6745</v>
      </c>
      <c r="B4494" s="28"/>
      <c r="C4494" s="3" t="s">
        <v>4</v>
      </c>
    </row>
    <row r="4495" spans="1:3" ht="13.5" thickBot="1" x14ac:dyDescent="0.25">
      <c r="A4495" s="3">
        <v>4650</v>
      </c>
      <c r="B4495" s="28"/>
      <c r="C4495" s="3" t="s">
        <v>4</v>
      </c>
    </row>
    <row r="4496" spans="1:3" ht="13.5" thickBot="1" x14ac:dyDescent="0.25">
      <c r="A4496" s="3">
        <v>4739</v>
      </c>
      <c r="B4496" s="28"/>
      <c r="C4496" s="3" t="s">
        <v>6</v>
      </c>
    </row>
    <row r="4497" spans="1:3" ht="13.5" thickBot="1" x14ac:dyDescent="0.25">
      <c r="A4497" s="3">
        <v>7686</v>
      </c>
      <c r="B4497" s="28"/>
      <c r="C4497" s="3" t="s">
        <v>6</v>
      </c>
    </row>
    <row r="4498" spans="1:3" ht="13.5" thickBot="1" x14ac:dyDescent="0.25">
      <c r="A4498" s="3">
        <v>4344</v>
      </c>
      <c r="B4498" s="28"/>
      <c r="C4498" s="3" t="s">
        <v>6</v>
      </c>
    </row>
    <row r="4499" spans="1:3" ht="13.5" thickBot="1" x14ac:dyDescent="0.25">
      <c r="A4499" s="3">
        <v>5692</v>
      </c>
      <c r="B4499" s="28"/>
      <c r="C4499" s="3" t="s">
        <v>4</v>
      </c>
    </row>
    <row r="4500" spans="1:3" ht="13.5" thickBot="1" x14ac:dyDescent="0.25">
      <c r="A4500" s="3">
        <v>1468</v>
      </c>
      <c r="B4500" s="28"/>
      <c r="C4500" s="3" t="s">
        <v>3</v>
      </c>
    </row>
    <row r="4501" spans="1:3" ht="13.5" thickBot="1" x14ac:dyDescent="0.25">
      <c r="A4501" s="3">
        <v>6871</v>
      </c>
      <c r="B4501" s="28"/>
      <c r="C4501" s="3" t="s">
        <v>6</v>
      </c>
    </row>
    <row r="4502" spans="1:3" ht="13.5" thickBot="1" x14ac:dyDescent="0.25">
      <c r="A4502" s="3">
        <v>5849</v>
      </c>
      <c r="B4502" s="28"/>
      <c r="C4502" s="3" t="s">
        <v>5</v>
      </c>
    </row>
    <row r="4503" spans="1:3" ht="13.5" thickBot="1" x14ac:dyDescent="0.25">
      <c r="A4503" s="3">
        <v>3863</v>
      </c>
      <c r="B4503" s="28"/>
      <c r="C4503" s="3" t="s">
        <v>3</v>
      </c>
    </row>
    <row r="4504" spans="1:3" ht="13.5" thickBot="1" x14ac:dyDescent="0.25">
      <c r="A4504" s="3">
        <v>5752</v>
      </c>
      <c r="B4504" s="28"/>
      <c r="C4504" s="3" t="s">
        <v>4</v>
      </c>
    </row>
    <row r="4505" spans="1:3" ht="13.5" thickBot="1" x14ac:dyDescent="0.25">
      <c r="A4505" s="3">
        <v>252</v>
      </c>
      <c r="B4505" s="28"/>
      <c r="C4505" s="3" t="s">
        <v>6</v>
      </c>
    </row>
    <row r="4506" spans="1:3" ht="13.5" thickBot="1" x14ac:dyDescent="0.25">
      <c r="A4506" s="3">
        <v>7710</v>
      </c>
      <c r="B4506" s="28"/>
      <c r="C4506" s="3" t="s">
        <v>3</v>
      </c>
    </row>
    <row r="4507" spans="1:3" ht="13.5" thickBot="1" x14ac:dyDescent="0.25">
      <c r="A4507" s="3">
        <v>6429</v>
      </c>
      <c r="B4507" s="28"/>
      <c r="C4507" s="3" t="s">
        <v>4</v>
      </c>
    </row>
    <row r="4508" spans="1:3" ht="13.5" thickBot="1" x14ac:dyDescent="0.25">
      <c r="A4508" s="3">
        <v>2532</v>
      </c>
      <c r="B4508" s="28"/>
      <c r="C4508" s="3" t="s">
        <v>4</v>
      </c>
    </row>
    <row r="4509" spans="1:3" ht="13.5" thickBot="1" x14ac:dyDescent="0.25">
      <c r="A4509" s="3">
        <v>2797</v>
      </c>
      <c r="B4509" s="28"/>
      <c r="C4509" s="3" t="s">
        <v>6</v>
      </c>
    </row>
    <row r="4510" spans="1:3" ht="13.5" thickBot="1" x14ac:dyDescent="0.25">
      <c r="A4510" s="3">
        <v>5401</v>
      </c>
      <c r="B4510" s="28"/>
      <c r="C4510" s="3" t="s">
        <v>6</v>
      </c>
    </row>
    <row r="4511" spans="1:3" ht="13.5" thickBot="1" x14ac:dyDescent="0.25">
      <c r="A4511" s="3">
        <v>1003</v>
      </c>
      <c r="B4511" s="28"/>
      <c r="C4511" s="3" t="s">
        <v>3</v>
      </c>
    </row>
    <row r="4512" spans="1:3" ht="13.5" thickBot="1" x14ac:dyDescent="0.25">
      <c r="A4512" s="3">
        <v>4027</v>
      </c>
      <c r="B4512" s="28"/>
      <c r="C4512" s="3" t="s">
        <v>3</v>
      </c>
    </row>
    <row r="4513" spans="1:3" ht="13.5" thickBot="1" x14ac:dyDescent="0.25">
      <c r="A4513" s="3">
        <v>515</v>
      </c>
      <c r="B4513" s="28"/>
      <c r="C4513" s="3" t="s">
        <v>3</v>
      </c>
    </row>
    <row r="4514" spans="1:3" ht="13.5" thickBot="1" x14ac:dyDescent="0.25">
      <c r="A4514" s="3">
        <v>976</v>
      </c>
      <c r="B4514" s="28"/>
      <c r="C4514" s="3" t="s">
        <v>3</v>
      </c>
    </row>
    <row r="4515" spans="1:3" ht="13.5" thickBot="1" x14ac:dyDescent="0.25">
      <c r="A4515" s="3">
        <v>6247</v>
      </c>
      <c r="B4515" s="28"/>
      <c r="C4515" s="3" t="s">
        <v>4</v>
      </c>
    </row>
    <row r="4516" spans="1:3" ht="13.5" thickBot="1" x14ac:dyDescent="0.25">
      <c r="A4516" s="3">
        <v>5358</v>
      </c>
      <c r="B4516" s="28"/>
      <c r="C4516" s="3" t="s">
        <v>4</v>
      </c>
    </row>
    <row r="4517" spans="1:3" ht="13.5" thickBot="1" x14ac:dyDescent="0.25">
      <c r="A4517" s="3">
        <v>7865</v>
      </c>
      <c r="B4517" s="28"/>
      <c r="C4517" s="3" t="s">
        <v>3</v>
      </c>
    </row>
    <row r="4518" spans="1:3" ht="13.5" thickBot="1" x14ac:dyDescent="0.25">
      <c r="A4518" s="3">
        <v>7710</v>
      </c>
      <c r="B4518" s="28"/>
      <c r="C4518" s="3" t="s">
        <v>4</v>
      </c>
    </row>
    <row r="4519" spans="1:3" ht="13.5" thickBot="1" x14ac:dyDescent="0.25">
      <c r="A4519" s="3">
        <v>177</v>
      </c>
      <c r="B4519" s="28"/>
      <c r="C4519" s="3" t="s">
        <v>7</v>
      </c>
    </row>
    <row r="4520" spans="1:3" ht="13.5" thickBot="1" x14ac:dyDescent="0.25">
      <c r="A4520" s="3">
        <v>1336</v>
      </c>
      <c r="B4520" s="28"/>
      <c r="C4520" s="3" t="s">
        <v>3</v>
      </c>
    </row>
    <row r="4521" spans="1:3" ht="13.5" thickBot="1" x14ac:dyDescent="0.25">
      <c r="A4521" s="3">
        <v>6475</v>
      </c>
      <c r="B4521" s="28"/>
      <c r="C4521" s="3" t="s">
        <v>5</v>
      </c>
    </row>
    <row r="4522" spans="1:3" ht="13.5" thickBot="1" x14ac:dyDescent="0.25">
      <c r="A4522" s="3">
        <v>2358</v>
      </c>
      <c r="B4522" s="28"/>
      <c r="C4522" s="3" t="s">
        <v>6</v>
      </c>
    </row>
    <row r="4523" spans="1:3" ht="13.5" thickBot="1" x14ac:dyDescent="0.25">
      <c r="A4523" s="3">
        <v>1353</v>
      </c>
      <c r="B4523" s="28"/>
      <c r="C4523" s="3" t="s">
        <v>7</v>
      </c>
    </row>
    <row r="4524" spans="1:3" ht="13.5" thickBot="1" x14ac:dyDescent="0.25">
      <c r="A4524" s="3">
        <v>7904</v>
      </c>
      <c r="B4524" s="28"/>
      <c r="C4524" s="3" t="s">
        <v>4</v>
      </c>
    </row>
    <row r="4525" spans="1:3" ht="13.5" thickBot="1" x14ac:dyDescent="0.25">
      <c r="A4525" s="3">
        <v>7032</v>
      </c>
      <c r="B4525" s="28"/>
      <c r="C4525" s="3" t="s">
        <v>4</v>
      </c>
    </row>
    <row r="4526" spans="1:3" ht="13.5" thickBot="1" x14ac:dyDescent="0.25">
      <c r="A4526" s="3">
        <v>4088</v>
      </c>
      <c r="B4526" s="28"/>
      <c r="C4526" s="3" t="s">
        <v>3</v>
      </c>
    </row>
    <row r="4527" spans="1:3" ht="13.5" thickBot="1" x14ac:dyDescent="0.25">
      <c r="A4527" s="3">
        <v>7637</v>
      </c>
      <c r="B4527" s="28"/>
      <c r="C4527" s="3" t="s">
        <v>7</v>
      </c>
    </row>
    <row r="4528" spans="1:3" ht="13.5" thickBot="1" x14ac:dyDescent="0.25">
      <c r="A4528" s="3">
        <v>6581</v>
      </c>
      <c r="B4528" s="28"/>
      <c r="C4528" s="3" t="s">
        <v>4</v>
      </c>
    </row>
    <row r="4529" spans="1:3" ht="13.5" thickBot="1" x14ac:dyDescent="0.25">
      <c r="A4529" s="3">
        <v>4986</v>
      </c>
      <c r="B4529" s="28"/>
      <c r="C4529" s="3" t="s">
        <v>3</v>
      </c>
    </row>
    <row r="4530" spans="1:3" ht="13.5" thickBot="1" x14ac:dyDescent="0.25">
      <c r="A4530" s="3">
        <v>1843</v>
      </c>
      <c r="B4530" s="28"/>
      <c r="C4530" s="3" t="s">
        <v>3</v>
      </c>
    </row>
    <row r="4531" spans="1:3" ht="13.5" thickBot="1" x14ac:dyDescent="0.25">
      <c r="A4531" s="3">
        <v>5460</v>
      </c>
      <c r="B4531" s="28"/>
      <c r="C4531" s="3" t="s">
        <v>6</v>
      </c>
    </row>
    <row r="4532" spans="1:3" ht="13.5" thickBot="1" x14ac:dyDescent="0.25">
      <c r="A4532" s="3">
        <v>2303</v>
      </c>
      <c r="B4532" s="28"/>
      <c r="C4532" s="3" t="s">
        <v>3</v>
      </c>
    </row>
    <row r="4533" spans="1:3" ht="13.5" thickBot="1" x14ac:dyDescent="0.25">
      <c r="A4533" s="3">
        <v>814</v>
      </c>
      <c r="B4533" s="28"/>
      <c r="C4533" s="3" t="s">
        <v>3</v>
      </c>
    </row>
    <row r="4534" spans="1:3" ht="13.5" thickBot="1" x14ac:dyDescent="0.25">
      <c r="A4534" s="3">
        <v>5008</v>
      </c>
      <c r="B4534" s="28"/>
      <c r="C4534" s="3" t="s">
        <v>5</v>
      </c>
    </row>
    <row r="4535" spans="1:3" ht="13.5" thickBot="1" x14ac:dyDescent="0.25">
      <c r="A4535" s="3">
        <v>1222</v>
      </c>
      <c r="B4535" s="28"/>
      <c r="C4535" s="3" t="s">
        <v>7</v>
      </c>
    </row>
    <row r="4536" spans="1:3" ht="13.5" thickBot="1" x14ac:dyDescent="0.25">
      <c r="A4536" s="3">
        <v>1190</v>
      </c>
      <c r="B4536" s="28"/>
      <c r="C4536" s="3" t="s">
        <v>3</v>
      </c>
    </row>
    <row r="4537" spans="1:3" ht="13.5" thickBot="1" x14ac:dyDescent="0.25">
      <c r="A4537" s="3">
        <v>7682</v>
      </c>
      <c r="B4537" s="28"/>
      <c r="C4537" s="3" t="s">
        <v>4</v>
      </c>
    </row>
    <row r="4538" spans="1:3" ht="13.5" thickBot="1" x14ac:dyDescent="0.25">
      <c r="A4538" s="3">
        <v>4483</v>
      </c>
      <c r="B4538" s="28"/>
      <c r="C4538" s="3" t="s">
        <v>3</v>
      </c>
    </row>
    <row r="4539" spans="1:3" ht="13.5" thickBot="1" x14ac:dyDescent="0.25">
      <c r="A4539" s="3">
        <v>5705</v>
      </c>
      <c r="B4539" s="28"/>
      <c r="C4539" s="3" t="s">
        <v>6</v>
      </c>
    </row>
    <row r="4540" spans="1:3" ht="13.5" thickBot="1" x14ac:dyDescent="0.25">
      <c r="A4540" s="3">
        <v>5509</v>
      </c>
      <c r="B4540" s="28"/>
      <c r="C4540" s="3" t="s">
        <v>7</v>
      </c>
    </row>
    <row r="4541" spans="1:3" ht="13.5" thickBot="1" x14ac:dyDescent="0.25">
      <c r="A4541" s="3">
        <v>6574</v>
      </c>
      <c r="B4541" s="28"/>
      <c r="C4541" s="3" t="s">
        <v>3</v>
      </c>
    </row>
    <row r="4542" spans="1:3" ht="13.5" thickBot="1" x14ac:dyDescent="0.25">
      <c r="A4542" s="3">
        <v>2463</v>
      </c>
      <c r="B4542" s="28"/>
      <c r="C4542" s="3" t="s">
        <v>4</v>
      </c>
    </row>
    <row r="4543" spans="1:3" ht="13.5" thickBot="1" x14ac:dyDescent="0.25">
      <c r="A4543" s="3">
        <v>2893</v>
      </c>
      <c r="B4543" s="28"/>
      <c r="C4543" s="3" t="s">
        <v>6</v>
      </c>
    </row>
    <row r="4544" spans="1:3" ht="13.5" thickBot="1" x14ac:dyDescent="0.25">
      <c r="A4544" s="3">
        <v>7374</v>
      </c>
      <c r="B4544" s="28"/>
      <c r="C4544" s="3" t="s">
        <v>3</v>
      </c>
    </row>
    <row r="4545" spans="1:3" ht="13.5" thickBot="1" x14ac:dyDescent="0.25">
      <c r="A4545" s="3">
        <v>5464</v>
      </c>
      <c r="B4545" s="28"/>
      <c r="C4545" s="3" t="s">
        <v>3</v>
      </c>
    </row>
    <row r="4546" spans="1:3" ht="13.5" thickBot="1" x14ac:dyDescent="0.25">
      <c r="A4546" s="3">
        <v>4317</v>
      </c>
      <c r="B4546" s="28"/>
      <c r="C4546" s="3" t="s">
        <v>3</v>
      </c>
    </row>
    <row r="4547" spans="1:3" ht="13.5" thickBot="1" x14ac:dyDescent="0.25">
      <c r="A4547" s="3">
        <v>5705</v>
      </c>
      <c r="B4547" s="28"/>
      <c r="C4547" s="3" t="s">
        <v>5</v>
      </c>
    </row>
    <row r="4548" spans="1:3" ht="13.5" thickBot="1" x14ac:dyDescent="0.25">
      <c r="A4548" s="3">
        <v>1670</v>
      </c>
      <c r="B4548" s="28"/>
      <c r="C4548" s="3" t="s">
        <v>3</v>
      </c>
    </row>
    <row r="4549" spans="1:3" ht="13.5" thickBot="1" x14ac:dyDescent="0.25">
      <c r="A4549" s="3">
        <v>4532</v>
      </c>
      <c r="B4549" s="28"/>
      <c r="C4549" s="3" t="s">
        <v>3</v>
      </c>
    </row>
    <row r="4550" spans="1:3" ht="13.5" thickBot="1" x14ac:dyDescent="0.25">
      <c r="A4550" s="3">
        <v>3962</v>
      </c>
      <c r="B4550" s="28"/>
      <c r="C4550" s="3" t="s">
        <v>4</v>
      </c>
    </row>
    <row r="4551" spans="1:3" ht="13.5" thickBot="1" x14ac:dyDescent="0.25">
      <c r="A4551" s="3">
        <v>1003</v>
      </c>
      <c r="B4551" s="28"/>
      <c r="C4551" s="3" t="s">
        <v>4</v>
      </c>
    </row>
    <row r="4552" spans="1:3" ht="13.5" thickBot="1" x14ac:dyDescent="0.25">
      <c r="A4552" s="3">
        <v>5979</v>
      </c>
      <c r="B4552" s="28"/>
      <c r="C4552" s="3" t="s">
        <v>3</v>
      </c>
    </row>
    <row r="4553" spans="1:3" ht="13.5" thickBot="1" x14ac:dyDescent="0.25">
      <c r="A4553" s="3">
        <v>5775</v>
      </c>
      <c r="B4553" s="28"/>
      <c r="C4553" s="3" t="s">
        <v>4</v>
      </c>
    </row>
    <row r="4554" spans="1:3" ht="13.5" thickBot="1" x14ac:dyDescent="0.25">
      <c r="A4554" s="3">
        <v>3160</v>
      </c>
      <c r="B4554" s="28"/>
      <c r="C4554" s="3" t="s">
        <v>6</v>
      </c>
    </row>
    <row r="4555" spans="1:3" ht="13.5" thickBot="1" x14ac:dyDescent="0.25">
      <c r="A4555" s="3">
        <v>599</v>
      </c>
      <c r="B4555" s="28"/>
      <c r="C4555" s="3" t="s">
        <v>3</v>
      </c>
    </row>
    <row r="4556" spans="1:3" ht="13.5" thickBot="1" x14ac:dyDescent="0.25">
      <c r="A4556" s="3">
        <v>3806</v>
      </c>
      <c r="B4556" s="28"/>
      <c r="C4556" s="3" t="s">
        <v>6</v>
      </c>
    </row>
    <row r="4557" spans="1:3" ht="13.5" thickBot="1" x14ac:dyDescent="0.25">
      <c r="A4557" s="3">
        <v>913</v>
      </c>
      <c r="B4557" s="28"/>
      <c r="C4557" s="3" t="s">
        <v>4</v>
      </c>
    </row>
    <row r="4558" spans="1:3" ht="13.5" thickBot="1" x14ac:dyDescent="0.25">
      <c r="A4558" s="3">
        <v>4762</v>
      </c>
      <c r="B4558" s="28"/>
      <c r="C4558" s="3" t="s">
        <v>3</v>
      </c>
    </row>
    <row r="4559" spans="1:3" ht="13.5" thickBot="1" x14ac:dyDescent="0.25">
      <c r="A4559" s="3">
        <v>2391</v>
      </c>
      <c r="B4559" s="28"/>
      <c r="C4559" s="3" t="s">
        <v>3</v>
      </c>
    </row>
    <row r="4560" spans="1:3" ht="13.5" thickBot="1" x14ac:dyDescent="0.25">
      <c r="A4560" s="3">
        <v>4650</v>
      </c>
      <c r="B4560" s="28"/>
      <c r="C4560" s="3" t="s">
        <v>5</v>
      </c>
    </row>
    <row r="4561" spans="1:3" ht="13.5" thickBot="1" x14ac:dyDescent="0.25">
      <c r="A4561" s="3">
        <v>5877</v>
      </c>
      <c r="B4561" s="28"/>
      <c r="C4561" s="3" t="s">
        <v>4</v>
      </c>
    </row>
    <row r="4562" spans="1:3" ht="13.5" thickBot="1" x14ac:dyDescent="0.25">
      <c r="A4562" s="3">
        <v>5877</v>
      </c>
      <c r="B4562" s="28"/>
      <c r="C4562" s="3" t="s">
        <v>3</v>
      </c>
    </row>
    <row r="4563" spans="1:3" ht="13.5" thickBot="1" x14ac:dyDescent="0.25">
      <c r="A4563" s="3">
        <v>5358</v>
      </c>
      <c r="B4563" s="28"/>
      <c r="C4563" s="3" t="s">
        <v>5</v>
      </c>
    </row>
    <row r="4564" spans="1:3" ht="13.5" thickBot="1" x14ac:dyDescent="0.25">
      <c r="A4564" s="3">
        <v>7865</v>
      </c>
      <c r="B4564" s="28"/>
      <c r="C4564" s="3" t="s">
        <v>5</v>
      </c>
    </row>
    <row r="4565" spans="1:3" ht="13.5" thickBot="1" x14ac:dyDescent="0.25">
      <c r="A4565" s="3">
        <v>1670</v>
      </c>
      <c r="B4565" s="28"/>
      <c r="C4565" s="3" t="s">
        <v>5</v>
      </c>
    </row>
    <row r="4566" spans="1:3" ht="13.5" thickBot="1" x14ac:dyDescent="0.25">
      <c r="A4566" s="3">
        <v>49</v>
      </c>
      <c r="B4566" s="28"/>
      <c r="C4566" s="3" t="s">
        <v>3</v>
      </c>
    </row>
    <row r="4567" spans="1:3" ht="13.5" thickBot="1" x14ac:dyDescent="0.25">
      <c r="A4567" s="3">
        <v>7116</v>
      </c>
      <c r="B4567" s="28"/>
      <c r="C4567" s="3" t="s">
        <v>5</v>
      </c>
    </row>
    <row r="4568" spans="1:3" ht="13.5" thickBot="1" x14ac:dyDescent="0.25">
      <c r="A4568" s="3">
        <v>5258</v>
      </c>
      <c r="B4568" s="28"/>
      <c r="C4568" s="3" t="s">
        <v>3</v>
      </c>
    </row>
    <row r="4569" spans="1:3" ht="13.5" thickBot="1" x14ac:dyDescent="0.25">
      <c r="A4569" s="3">
        <v>3436</v>
      </c>
      <c r="B4569" s="28"/>
      <c r="C4569" s="3" t="s">
        <v>3</v>
      </c>
    </row>
    <row r="4570" spans="1:3" ht="13.5" thickBot="1" x14ac:dyDescent="0.25">
      <c r="A4570" s="3">
        <v>2532</v>
      </c>
      <c r="B4570" s="28"/>
      <c r="C4570" s="3" t="s">
        <v>7</v>
      </c>
    </row>
    <row r="4571" spans="1:3" ht="13.5" thickBot="1" x14ac:dyDescent="0.25">
      <c r="A4571" s="3">
        <v>2630</v>
      </c>
      <c r="B4571" s="28"/>
      <c r="C4571" s="3" t="s">
        <v>7</v>
      </c>
    </row>
    <row r="4572" spans="1:3" ht="13.5" thickBot="1" x14ac:dyDescent="0.25">
      <c r="A4572" s="3">
        <v>6024</v>
      </c>
      <c r="B4572" s="28"/>
      <c r="C4572" s="3" t="s">
        <v>3</v>
      </c>
    </row>
    <row r="4573" spans="1:3" ht="13.5" thickBot="1" x14ac:dyDescent="0.25">
      <c r="A4573" s="3">
        <v>3933</v>
      </c>
      <c r="B4573" s="28"/>
      <c r="C4573" s="3" t="s">
        <v>3</v>
      </c>
    </row>
    <row r="4574" spans="1:3" ht="13.5" thickBot="1" x14ac:dyDescent="0.25">
      <c r="A4574" s="3">
        <v>3559</v>
      </c>
      <c r="B4574" s="28"/>
      <c r="C4574" s="3" t="s">
        <v>6</v>
      </c>
    </row>
    <row r="4575" spans="1:3" ht="13.5" thickBot="1" x14ac:dyDescent="0.25">
      <c r="A4575" s="3">
        <v>7325</v>
      </c>
      <c r="B4575" s="28"/>
      <c r="C4575" s="3" t="s">
        <v>3</v>
      </c>
    </row>
    <row r="4576" spans="1:3" ht="13.5" thickBot="1" x14ac:dyDescent="0.25">
      <c r="A4576" s="3">
        <v>3528</v>
      </c>
      <c r="B4576" s="28"/>
      <c r="C4576" s="3" t="s">
        <v>5</v>
      </c>
    </row>
    <row r="4577" spans="1:3" ht="13.5" thickBot="1" x14ac:dyDescent="0.25">
      <c r="A4577" s="3">
        <v>6871</v>
      </c>
      <c r="B4577" s="28"/>
      <c r="C4577" s="3" t="s">
        <v>5</v>
      </c>
    </row>
    <row r="4578" spans="1:3" ht="13.5" thickBot="1" x14ac:dyDescent="0.25">
      <c r="A4578" s="3">
        <v>2142</v>
      </c>
      <c r="B4578" s="28"/>
      <c r="C4578" s="3" t="s">
        <v>3</v>
      </c>
    </row>
    <row r="4579" spans="1:3" ht="13.5" thickBot="1" x14ac:dyDescent="0.25">
      <c r="A4579" s="3">
        <v>4371</v>
      </c>
      <c r="B4579" s="28"/>
      <c r="C4579" s="3" t="s">
        <v>5</v>
      </c>
    </row>
    <row r="4580" spans="1:3" ht="13.5" thickBot="1" x14ac:dyDescent="0.25">
      <c r="A4580" s="3">
        <v>1930</v>
      </c>
      <c r="B4580" s="28"/>
      <c r="C4580" s="3" t="s">
        <v>4</v>
      </c>
    </row>
    <row r="4581" spans="1:3" ht="13.5" thickBot="1" x14ac:dyDescent="0.25">
      <c r="A4581" s="3">
        <v>4267</v>
      </c>
      <c r="B4581" s="28"/>
      <c r="C4581" s="3" t="s">
        <v>3</v>
      </c>
    </row>
    <row r="4582" spans="1:3" ht="13.5" thickBot="1" x14ac:dyDescent="0.25">
      <c r="A4582" s="3">
        <v>6556</v>
      </c>
      <c r="B4582" s="28"/>
      <c r="C4582" s="3" t="s">
        <v>3</v>
      </c>
    </row>
    <row r="4583" spans="1:3" ht="13.5" thickBot="1" x14ac:dyDescent="0.25">
      <c r="A4583" s="3">
        <v>5849</v>
      </c>
      <c r="B4583" s="28"/>
      <c r="C4583" s="3" t="s">
        <v>7</v>
      </c>
    </row>
    <row r="4584" spans="1:3" ht="13.5" thickBot="1" x14ac:dyDescent="0.25">
      <c r="A4584" s="3">
        <v>7172</v>
      </c>
      <c r="B4584" s="28"/>
      <c r="C4584" s="3" t="s">
        <v>4</v>
      </c>
    </row>
    <row r="4585" spans="1:3" ht="13.5" thickBot="1" x14ac:dyDescent="0.25">
      <c r="A4585" s="3">
        <v>6429</v>
      </c>
      <c r="B4585" s="28"/>
      <c r="C4585" s="3" t="s">
        <v>7</v>
      </c>
    </row>
    <row r="4586" spans="1:3" ht="13.5" thickBot="1" x14ac:dyDescent="0.25">
      <c r="A4586" s="3">
        <v>6574</v>
      </c>
      <c r="B4586" s="28"/>
      <c r="C4586" s="3" t="s">
        <v>5</v>
      </c>
    </row>
    <row r="4587" spans="1:3" ht="13.5" thickBot="1" x14ac:dyDescent="0.25">
      <c r="A4587" s="3">
        <v>3962</v>
      </c>
      <c r="B4587" s="28"/>
      <c r="C4587" s="3" t="s">
        <v>3</v>
      </c>
    </row>
    <row r="4588" spans="1:3" ht="13.5" thickBot="1" x14ac:dyDescent="0.25">
      <c r="A4588" s="3">
        <v>4650</v>
      </c>
      <c r="B4588" s="28"/>
      <c r="C4588" s="3" t="s">
        <v>7</v>
      </c>
    </row>
    <row r="4589" spans="1:3" ht="13.5" thickBot="1" x14ac:dyDescent="0.25">
      <c r="A4589" s="3">
        <v>1379</v>
      </c>
      <c r="B4589" s="28"/>
      <c r="C4589" s="3" t="s">
        <v>3</v>
      </c>
    </row>
    <row r="4590" spans="1:3" ht="13.5" thickBot="1" x14ac:dyDescent="0.25">
      <c r="A4590" s="3">
        <v>7864</v>
      </c>
      <c r="B4590" s="28"/>
      <c r="C4590" s="3" t="s">
        <v>4</v>
      </c>
    </row>
    <row r="4591" spans="1:3" ht="13.5" thickBot="1" x14ac:dyDescent="0.25">
      <c r="A4591" s="3">
        <v>6475</v>
      </c>
      <c r="B4591" s="28"/>
      <c r="C4591" s="3" t="s">
        <v>7</v>
      </c>
    </row>
    <row r="4592" spans="1:3" ht="13.5" thickBot="1" x14ac:dyDescent="0.25">
      <c r="A4592" s="3">
        <v>7374</v>
      </c>
      <c r="B4592" s="28"/>
      <c r="C4592" s="3" t="s">
        <v>4</v>
      </c>
    </row>
    <row r="4593" spans="1:3" ht="13.5" thickBot="1" x14ac:dyDescent="0.25">
      <c r="A4593" s="3">
        <v>6574</v>
      </c>
      <c r="B4593" s="28"/>
      <c r="C4593" s="3" t="s">
        <v>4</v>
      </c>
    </row>
    <row r="4594" spans="1:3" ht="13.5" thickBot="1" x14ac:dyDescent="0.25">
      <c r="A4594" s="3">
        <v>4735</v>
      </c>
      <c r="B4594" s="28"/>
      <c r="C4594" s="3" t="s">
        <v>7</v>
      </c>
    </row>
    <row r="4595" spans="1:3" ht="13.5" thickBot="1" x14ac:dyDescent="0.25">
      <c r="A4595" s="3">
        <v>1544</v>
      </c>
      <c r="B4595" s="28"/>
      <c r="C4595" s="3" t="s">
        <v>6</v>
      </c>
    </row>
    <row r="4596" spans="1:3" ht="13.5" thickBot="1" x14ac:dyDescent="0.25">
      <c r="A4596" s="3">
        <v>2463</v>
      </c>
      <c r="B4596" s="28"/>
      <c r="C4596" s="3" t="s">
        <v>6</v>
      </c>
    </row>
    <row r="4597" spans="1:3" ht="13.5" thickBot="1" x14ac:dyDescent="0.25">
      <c r="A4597" s="3">
        <v>1670</v>
      </c>
      <c r="B4597" s="28"/>
      <c r="C4597" s="3" t="s">
        <v>7</v>
      </c>
    </row>
    <row r="4598" spans="1:3" ht="13.5" thickBot="1" x14ac:dyDescent="0.25">
      <c r="A4598" s="3">
        <v>7116</v>
      </c>
      <c r="B4598" s="28"/>
      <c r="C4598" s="3" t="s">
        <v>6</v>
      </c>
    </row>
    <row r="4599" spans="1:3" ht="13.5" thickBot="1" x14ac:dyDescent="0.25">
      <c r="A4599" s="3">
        <v>4267</v>
      </c>
      <c r="B4599" s="28"/>
      <c r="C4599" s="3" t="s">
        <v>4</v>
      </c>
    </row>
    <row r="4600" spans="1:3" ht="13.5" thickBot="1" x14ac:dyDescent="0.25">
      <c r="A4600" s="3">
        <v>3568</v>
      </c>
      <c r="B4600" s="28"/>
      <c r="C4600" s="3" t="s">
        <v>3</v>
      </c>
    </row>
    <row r="4601" spans="1:3" ht="13.5" thickBot="1" x14ac:dyDescent="0.25">
      <c r="A4601" s="3">
        <v>4405</v>
      </c>
      <c r="B4601" s="28"/>
      <c r="C4601" s="3" t="s">
        <v>3</v>
      </c>
    </row>
    <row r="4602" spans="1:3" ht="13.5" thickBot="1" x14ac:dyDescent="0.25">
      <c r="A4602" s="3">
        <v>2235</v>
      </c>
      <c r="B4602" s="28"/>
      <c r="C4602" s="3" t="s">
        <v>3</v>
      </c>
    </row>
    <row r="4603" spans="1:3" ht="13.5" thickBot="1" x14ac:dyDescent="0.25">
      <c r="A4603" s="3">
        <v>4600</v>
      </c>
      <c r="B4603" s="28"/>
      <c r="C4603" s="3" t="s">
        <v>3</v>
      </c>
    </row>
    <row r="4604" spans="1:3" ht="13.5" thickBot="1" x14ac:dyDescent="0.25">
      <c r="A4604" s="3">
        <v>4200</v>
      </c>
      <c r="B4604" s="28"/>
      <c r="C4604" s="3" t="s">
        <v>3</v>
      </c>
    </row>
    <row r="4605" spans="1:3" ht="13.5" thickBot="1" x14ac:dyDescent="0.25">
      <c r="A4605" s="3">
        <v>5460</v>
      </c>
      <c r="B4605" s="28"/>
      <c r="C4605" s="3" t="s">
        <v>4</v>
      </c>
    </row>
    <row r="4606" spans="1:3" ht="13.5" thickBot="1" x14ac:dyDescent="0.25">
      <c r="A4606" s="3">
        <v>7864</v>
      </c>
      <c r="B4606" s="28"/>
      <c r="C4606" s="3" t="s">
        <v>3</v>
      </c>
    </row>
    <row r="4607" spans="1:3" ht="13.5" thickBot="1" x14ac:dyDescent="0.25">
      <c r="A4607" s="3">
        <v>2532</v>
      </c>
      <c r="B4607" s="28"/>
      <c r="C4607" s="3" t="s">
        <v>5</v>
      </c>
    </row>
    <row r="4608" spans="1:3" ht="13.5" thickBot="1" x14ac:dyDescent="0.25">
      <c r="A4608" s="3">
        <v>752</v>
      </c>
      <c r="B4608" s="28"/>
      <c r="C4608" s="3" t="s">
        <v>5</v>
      </c>
    </row>
    <row r="4609" spans="1:3" ht="13.5" thickBot="1" x14ac:dyDescent="0.25">
      <c r="A4609" s="3">
        <v>4735</v>
      </c>
      <c r="B4609" s="28"/>
      <c r="C4609" s="3" t="s">
        <v>6</v>
      </c>
    </row>
    <row r="4610" spans="1:3" ht="13.5" thickBot="1" x14ac:dyDescent="0.25">
      <c r="A4610" s="3">
        <v>998</v>
      </c>
      <c r="B4610" s="28"/>
      <c r="C4610" s="3" t="s">
        <v>7</v>
      </c>
    </row>
    <row r="4611" spans="1:3" ht="13.5" thickBot="1" x14ac:dyDescent="0.25">
      <c r="A4611" s="3">
        <v>3559</v>
      </c>
      <c r="B4611" s="28"/>
      <c r="C4611" s="3" t="s">
        <v>5</v>
      </c>
    </row>
    <row r="4612" spans="1:3" ht="13.5" thickBot="1" x14ac:dyDescent="0.25">
      <c r="A4612" s="3">
        <v>4451</v>
      </c>
      <c r="B4612" s="28"/>
      <c r="C4612" s="3" t="s">
        <v>5</v>
      </c>
    </row>
    <row r="4613" spans="1:3" ht="13.5" thickBot="1" x14ac:dyDescent="0.25">
      <c r="A4613" s="3">
        <v>2630</v>
      </c>
      <c r="B4613" s="28"/>
      <c r="C4613" s="3" t="s">
        <v>4</v>
      </c>
    </row>
    <row r="4614" spans="1:3" ht="13.5" thickBot="1" x14ac:dyDescent="0.25">
      <c r="A4614" s="3">
        <v>4314</v>
      </c>
      <c r="B4614" s="28"/>
      <c r="C4614" s="3" t="s">
        <v>3</v>
      </c>
    </row>
    <row r="4615" spans="1:3" ht="13.5" thickBot="1" x14ac:dyDescent="0.25">
      <c r="A4615" s="3">
        <v>2200</v>
      </c>
      <c r="B4615" s="28"/>
      <c r="C4615" s="3" t="s">
        <v>6</v>
      </c>
    </row>
    <row r="4616" spans="1:3" ht="13.5" thickBot="1" x14ac:dyDescent="0.25">
      <c r="A4616" s="3">
        <v>240</v>
      </c>
      <c r="B4616" s="28"/>
      <c r="C4616" s="3" t="s">
        <v>6</v>
      </c>
    </row>
    <row r="4617" spans="1:3" ht="13.5" thickBot="1" x14ac:dyDescent="0.25">
      <c r="A4617" s="3">
        <v>812</v>
      </c>
      <c r="B4617" s="28"/>
      <c r="C4617" s="3" t="s">
        <v>4</v>
      </c>
    </row>
    <row r="4618" spans="1:3" ht="13.5" thickBot="1" x14ac:dyDescent="0.25">
      <c r="A4618" s="3">
        <v>5266</v>
      </c>
      <c r="B4618" s="28"/>
      <c r="C4618" s="3" t="s">
        <v>6</v>
      </c>
    </row>
    <row r="4619" spans="1:3" ht="13.5" thickBot="1" x14ac:dyDescent="0.25">
      <c r="A4619" s="3">
        <v>917</v>
      </c>
      <c r="B4619" s="28"/>
      <c r="C4619" s="3" t="s">
        <v>3</v>
      </c>
    </row>
    <row r="4620" spans="1:3" ht="13.5" thickBot="1" x14ac:dyDescent="0.25">
      <c r="A4620" s="3">
        <v>5752</v>
      </c>
      <c r="B4620" s="28"/>
      <c r="C4620" s="3" t="s">
        <v>5</v>
      </c>
    </row>
    <row r="4621" spans="1:3" ht="13.5" thickBot="1" x14ac:dyDescent="0.25">
      <c r="A4621" s="3">
        <v>49</v>
      </c>
      <c r="B4621" s="28"/>
      <c r="C4621" s="3" t="s">
        <v>4</v>
      </c>
    </row>
    <row r="4622" spans="1:3" ht="13.5" thickBot="1" x14ac:dyDescent="0.25">
      <c r="A4622" s="3">
        <v>4056</v>
      </c>
      <c r="B4622" s="28"/>
      <c r="C4622" s="3" t="s">
        <v>6</v>
      </c>
    </row>
    <row r="4623" spans="1:3" ht="13.5" thickBot="1" x14ac:dyDescent="0.25">
      <c r="A4623" s="3">
        <v>3565</v>
      </c>
      <c r="B4623" s="28"/>
      <c r="C4623" s="3" t="s">
        <v>3</v>
      </c>
    </row>
    <row r="4624" spans="1:3" ht="13.5" thickBot="1" x14ac:dyDescent="0.25">
      <c r="A4624" s="3">
        <v>4483</v>
      </c>
      <c r="B4624" s="28"/>
      <c r="C4624" s="3" t="s">
        <v>4</v>
      </c>
    </row>
    <row r="4625" spans="1:3" ht="13.5" thickBot="1" x14ac:dyDescent="0.25">
      <c r="A4625" s="3">
        <v>1468</v>
      </c>
      <c r="B4625" s="28"/>
      <c r="C4625" s="3" t="s">
        <v>7</v>
      </c>
    </row>
    <row r="4626" spans="1:3" ht="13.5" thickBot="1" x14ac:dyDescent="0.25">
      <c r="A4626" s="3">
        <v>1544</v>
      </c>
      <c r="B4626" s="28"/>
      <c r="C4626" s="3" t="s">
        <v>7</v>
      </c>
    </row>
    <row r="4627" spans="1:3" ht="13.5" thickBot="1" x14ac:dyDescent="0.25">
      <c r="A4627" s="3">
        <v>1754</v>
      </c>
      <c r="B4627" s="28"/>
      <c r="C4627" s="3" t="s">
        <v>3</v>
      </c>
    </row>
    <row r="4628" spans="1:3" ht="13.5" thickBot="1" x14ac:dyDescent="0.25">
      <c r="A4628" s="3">
        <v>3291</v>
      </c>
      <c r="B4628" s="28"/>
      <c r="C4628" s="3" t="s">
        <v>6</v>
      </c>
    </row>
    <row r="4629" spans="1:3" ht="13.5" thickBot="1" x14ac:dyDescent="0.25">
      <c r="A4629" s="3">
        <v>5496</v>
      </c>
      <c r="B4629" s="28"/>
      <c r="C4629" s="3" t="s">
        <v>3</v>
      </c>
    </row>
    <row r="4630" spans="1:3" ht="13.5" thickBot="1" x14ac:dyDescent="0.25">
      <c r="A4630" s="3">
        <v>1412</v>
      </c>
      <c r="B4630" s="28"/>
      <c r="C4630" s="3" t="s">
        <v>3</v>
      </c>
    </row>
    <row r="4631" spans="1:3" ht="13.5" thickBot="1" x14ac:dyDescent="0.25">
      <c r="A4631" s="3">
        <v>3935</v>
      </c>
      <c r="B4631" s="28"/>
      <c r="C4631" s="3" t="s">
        <v>7</v>
      </c>
    </row>
    <row r="4632" spans="1:3" ht="13.5" thickBot="1" x14ac:dyDescent="0.25">
      <c r="A4632" s="3">
        <v>3311</v>
      </c>
      <c r="B4632" s="28"/>
      <c r="C4632" s="3" t="s">
        <v>3</v>
      </c>
    </row>
    <row r="4633" spans="1:3" ht="13.5" thickBot="1" x14ac:dyDescent="0.25">
      <c r="A4633" s="3">
        <v>5082</v>
      </c>
      <c r="B4633" s="28"/>
      <c r="C4633" s="3" t="s">
        <v>6</v>
      </c>
    </row>
    <row r="4634" spans="1:3" ht="13.5" thickBot="1" x14ac:dyDescent="0.25">
      <c r="A4634" s="3">
        <v>2311</v>
      </c>
      <c r="B4634" s="28"/>
      <c r="C4634" s="3" t="s">
        <v>6</v>
      </c>
    </row>
    <row r="4635" spans="1:3" ht="13.5" thickBot="1" x14ac:dyDescent="0.25">
      <c r="A4635" s="3">
        <v>4548</v>
      </c>
      <c r="B4635" s="28"/>
      <c r="C4635" s="3" t="s">
        <v>3</v>
      </c>
    </row>
    <row r="4636" spans="1:3" ht="13.5" thickBot="1" x14ac:dyDescent="0.25">
      <c r="A4636" s="3">
        <v>28</v>
      </c>
      <c r="B4636" s="28"/>
      <c r="C4636" s="3" t="s">
        <v>3</v>
      </c>
    </row>
    <row r="4637" spans="1:3" ht="13.5" thickBot="1" x14ac:dyDescent="0.25">
      <c r="A4637" s="3">
        <v>2895</v>
      </c>
      <c r="B4637" s="28"/>
      <c r="C4637" s="3" t="s">
        <v>5</v>
      </c>
    </row>
    <row r="4638" spans="1:3" ht="13.5" thickBot="1" x14ac:dyDescent="0.25">
      <c r="A4638" s="3">
        <v>447</v>
      </c>
      <c r="B4638" s="28"/>
      <c r="C4638" s="3" t="s">
        <v>3</v>
      </c>
    </row>
    <row r="4639" spans="1:3" ht="13.5" thickBot="1" x14ac:dyDescent="0.25">
      <c r="A4639" s="3">
        <v>7374</v>
      </c>
      <c r="B4639" s="28"/>
      <c r="C4639" s="3" t="s">
        <v>6</v>
      </c>
    </row>
    <row r="4640" spans="1:3" ht="13.5" thickBot="1" x14ac:dyDescent="0.25">
      <c r="A4640" s="3">
        <v>3568</v>
      </c>
      <c r="B4640" s="28"/>
      <c r="C4640" s="3" t="s">
        <v>4</v>
      </c>
    </row>
    <row r="4641" spans="1:3" ht="13.5" thickBot="1" x14ac:dyDescent="0.25">
      <c r="A4641" s="3">
        <v>5256</v>
      </c>
      <c r="B4641" s="28"/>
      <c r="C4641" s="3" t="s">
        <v>4</v>
      </c>
    </row>
    <row r="4642" spans="1:3" ht="13.5" thickBot="1" x14ac:dyDescent="0.25">
      <c r="A4642" s="3">
        <v>252</v>
      </c>
      <c r="B4642" s="28"/>
      <c r="C4642" s="3" t="s">
        <v>7</v>
      </c>
    </row>
    <row r="4643" spans="1:3" ht="13.5" thickBot="1" x14ac:dyDescent="0.25">
      <c r="A4643" s="3">
        <v>6785</v>
      </c>
      <c r="B4643" s="28"/>
      <c r="C4643" s="3" t="s">
        <v>3</v>
      </c>
    </row>
    <row r="4644" spans="1:3" ht="13.5" thickBot="1" x14ac:dyDescent="0.25">
      <c r="A4644" s="3">
        <v>7865</v>
      </c>
      <c r="B4644" s="28"/>
      <c r="C4644" s="3" t="s">
        <v>4</v>
      </c>
    </row>
    <row r="4645" spans="1:3" ht="13.5" thickBot="1" x14ac:dyDescent="0.25">
      <c r="A4645" s="3">
        <v>4267</v>
      </c>
      <c r="B4645" s="28"/>
      <c r="C4645" s="3" t="s">
        <v>6</v>
      </c>
    </row>
    <row r="4646" spans="1:3" ht="13.5" thickBot="1" x14ac:dyDescent="0.25">
      <c r="A4646" s="3">
        <v>6203</v>
      </c>
      <c r="B4646" s="28"/>
      <c r="C4646" s="3" t="s">
        <v>6</v>
      </c>
    </row>
    <row r="4647" spans="1:3" ht="13.5" thickBot="1" x14ac:dyDescent="0.25">
      <c r="A4647" s="3">
        <v>4317</v>
      </c>
      <c r="B4647" s="28"/>
      <c r="C4647" s="3" t="s">
        <v>5</v>
      </c>
    </row>
    <row r="4648" spans="1:3" ht="13.5" thickBot="1" x14ac:dyDescent="0.25">
      <c r="A4648" s="3">
        <v>385</v>
      </c>
      <c r="B4648" s="28"/>
      <c r="C4648" s="3" t="s">
        <v>3</v>
      </c>
    </row>
    <row r="4649" spans="1:3" ht="13.5" thickBot="1" x14ac:dyDescent="0.25">
      <c r="A4649" s="3">
        <v>6072</v>
      </c>
      <c r="B4649" s="28"/>
      <c r="C4649" s="3" t="s">
        <v>5</v>
      </c>
    </row>
    <row r="4650" spans="1:3" ht="13.5" thickBot="1" x14ac:dyDescent="0.25">
      <c r="A4650" s="3">
        <v>860</v>
      </c>
      <c r="B4650" s="28"/>
      <c r="C4650" s="3" t="s">
        <v>3</v>
      </c>
    </row>
    <row r="4651" spans="1:3" ht="13.5" thickBot="1" x14ac:dyDescent="0.25">
      <c r="A4651" s="3">
        <v>839</v>
      </c>
      <c r="B4651" s="28"/>
      <c r="C4651" s="3" t="s">
        <v>3</v>
      </c>
    </row>
    <row r="4652" spans="1:3" ht="13.5" thickBot="1" x14ac:dyDescent="0.25">
      <c r="A4652" s="3">
        <v>5877</v>
      </c>
      <c r="B4652" s="28"/>
      <c r="C4652" s="3" t="s">
        <v>7</v>
      </c>
    </row>
    <row r="4653" spans="1:3" ht="13.5" thickBot="1" x14ac:dyDescent="0.25">
      <c r="A4653" s="3">
        <v>4946</v>
      </c>
      <c r="B4653" s="28"/>
      <c r="C4653" s="3" t="s">
        <v>3</v>
      </c>
    </row>
    <row r="4654" spans="1:3" ht="13.5" thickBot="1" x14ac:dyDescent="0.25">
      <c r="A4654" s="3">
        <v>2007</v>
      </c>
      <c r="B4654" s="28"/>
      <c r="C4654" s="3" t="s">
        <v>3</v>
      </c>
    </row>
    <row r="4655" spans="1:3" ht="13.5" thickBot="1" x14ac:dyDescent="0.25">
      <c r="A4655" s="3">
        <v>3528</v>
      </c>
      <c r="B4655" s="28"/>
      <c r="C4655" s="3" t="s">
        <v>6</v>
      </c>
    </row>
    <row r="4656" spans="1:3" ht="13.5" thickBot="1" x14ac:dyDescent="0.25">
      <c r="A4656" s="3">
        <v>880</v>
      </c>
      <c r="B4656" s="28"/>
      <c r="C4656" s="3" t="s">
        <v>3</v>
      </c>
    </row>
    <row r="4657" spans="1:3" ht="13.5" thickBot="1" x14ac:dyDescent="0.25">
      <c r="A4657" s="3">
        <v>4483</v>
      </c>
      <c r="B4657" s="28"/>
      <c r="C4657" s="3" t="s">
        <v>6</v>
      </c>
    </row>
    <row r="4658" spans="1:3" ht="13.5" thickBot="1" x14ac:dyDescent="0.25">
      <c r="A4658" s="3">
        <v>982</v>
      </c>
      <c r="B4658" s="28"/>
      <c r="C4658" s="3" t="s">
        <v>3</v>
      </c>
    </row>
    <row r="4659" spans="1:3" ht="13.5" thickBot="1" x14ac:dyDescent="0.25">
      <c r="A4659" s="3">
        <v>4252</v>
      </c>
      <c r="B4659" s="28"/>
      <c r="C4659" s="3" t="s">
        <v>3</v>
      </c>
    </row>
    <row r="4660" spans="1:3" ht="13.5" thickBot="1" x14ac:dyDescent="0.25">
      <c r="A4660" s="3">
        <v>368</v>
      </c>
      <c r="B4660" s="28"/>
      <c r="C4660" s="3" t="s">
        <v>5</v>
      </c>
    </row>
    <row r="4661" spans="1:3" ht="13.5" thickBot="1" x14ac:dyDescent="0.25">
      <c r="A4661" s="3">
        <v>4215</v>
      </c>
      <c r="B4661" s="28"/>
      <c r="C4661" s="3" t="s">
        <v>3</v>
      </c>
    </row>
    <row r="4662" spans="1:3" ht="13.5" thickBot="1" x14ac:dyDescent="0.25">
      <c r="A4662" s="3">
        <v>2808</v>
      </c>
      <c r="B4662" s="28"/>
      <c r="C4662" s="3" t="s">
        <v>3</v>
      </c>
    </row>
    <row r="4663" spans="1:3" ht="13.5" thickBot="1" x14ac:dyDescent="0.25">
      <c r="A4663" s="3">
        <v>2630</v>
      </c>
      <c r="B4663" s="28"/>
      <c r="C4663" s="3" t="s">
        <v>5</v>
      </c>
    </row>
    <row r="4664" spans="1:3" ht="13.5" thickBot="1" x14ac:dyDescent="0.25">
      <c r="A4664" s="3">
        <v>7829</v>
      </c>
      <c r="B4664" s="28"/>
      <c r="C4664" s="3" t="s">
        <v>4</v>
      </c>
    </row>
    <row r="4665" spans="1:3" ht="13.5" thickBot="1" x14ac:dyDescent="0.25">
      <c r="A4665" s="3">
        <v>4987</v>
      </c>
      <c r="B4665" s="28"/>
      <c r="C4665" s="3" t="s">
        <v>4</v>
      </c>
    </row>
    <row r="4666" spans="1:3" ht="13.5" thickBot="1" x14ac:dyDescent="0.25">
      <c r="A4666" s="3">
        <v>6429</v>
      </c>
      <c r="B4666" s="28"/>
      <c r="C4666" s="3" t="s">
        <v>5</v>
      </c>
    </row>
    <row r="4667" spans="1:3" ht="13.5" thickBot="1" x14ac:dyDescent="0.25">
      <c r="A4667" s="3">
        <v>385</v>
      </c>
      <c r="B4667" s="28"/>
      <c r="C4667" s="3" t="s">
        <v>4</v>
      </c>
    </row>
    <row r="4668" spans="1:3" ht="13.5" thickBot="1" x14ac:dyDescent="0.25">
      <c r="A4668" s="3">
        <v>7864</v>
      </c>
      <c r="B4668" s="28"/>
      <c r="C4668" s="3" t="s">
        <v>7</v>
      </c>
    </row>
    <row r="4669" spans="1:3" ht="13.5" thickBot="1" x14ac:dyDescent="0.25">
      <c r="A4669" s="3">
        <v>982</v>
      </c>
      <c r="B4669" s="28"/>
      <c r="C4669" s="3" t="s">
        <v>4</v>
      </c>
    </row>
    <row r="4670" spans="1:3" ht="13.5" thickBot="1" x14ac:dyDescent="0.25">
      <c r="A4670" s="3">
        <v>2490</v>
      </c>
      <c r="B4670" s="28"/>
      <c r="C4670" s="3" t="s">
        <v>3</v>
      </c>
    </row>
    <row r="4671" spans="1:3" ht="13.5" thickBot="1" x14ac:dyDescent="0.25">
      <c r="A4671" s="3">
        <v>1670</v>
      </c>
      <c r="B4671" s="28"/>
      <c r="C4671" s="3" t="s">
        <v>6</v>
      </c>
    </row>
    <row r="4672" spans="1:3" ht="13.5" thickBot="1" x14ac:dyDescent="0.25">
      <c r="A4672" s="3">
        <v>1707</v>
      </c>
      <c r="B4672" s="28"/>
      <c r="C4672" s="3" t="s">
        <v>5</v>
      </c>
    </row>
    <row r="4673" spans="1:3" ht="13.5" thickBot="1" x14ac:dyDescent="0.25">
      <c r="A4673" s="3">
        <v>5013</v>
      </c>
      <c r="B4673" s="28"/>
      <c r="C4673" s="3" t="s">
        <v>3</v>
      </c>
    </row>
    <row r="4674" spans="1:3" ht="13.5" thickBot="1" x14ac:dyDescent="0.25">
      <c r="A4674" s="3">
        <v>3871</v>
      </c>
      <c r="B4674" s="28"/>
      <c r="C4674" s="3" t="s">
        <v>6</v>
      </c>
    </row>
    <row r="4675" spans="1:3" ht="13.5" thickBot="1" x14ac:dyDescent="0.25">
      <c r="A4675" s="3">
        <v>3290</v>
      </c>
      <c r="B4675" s="28"/>
      <c r="C4675" s="3" t="s">
        <v>3</v>
      </c>
    </row>
    <row r="4676" spans="1:3" ht="13.5" thickBot="1" x14ac:dyDescent="0.25">
      <c r="A4676" s="3">
        <v>3962</v>
      </c>
      <c r="B4676" s="28"/>
      <c r="C4676" s="3" t="s">
        <v>5</v>
      </c>
    </row>
    <row r="4677" spans="1:3" ht="13.5" thickBot="1" x14ac:dyDescent="0.25">
      <c r="A4677" s="3">
        <v>4420</v>
      </c>
      <c r="B4677" s="28"/>
      <c r="C4677" s="3" t="s">
        <v>4</v>
      </c>
    </row>
    <row r="4678" spans="1:3" ht="13.5" thickBot="1" x14ac:dyDescent="0.25">
      <c r="A4678" s="3">
        <v>5013</v>
      </c>
      <c r="B4678" s="28"/>
      <c r="C4678" s="3" t="s">
        <v>4</v>
      </c>
    </row>
    <row r="4679" spans="1:3" ht="13.5" thickBot="1" x14ac:dyDescent="0.25">
      <c r="A4679" s="3">
        <v>3290</v>
      </c>
      <c r="B4679" s="28"/>
      <c r="C4679" s="3" t="s">
        <v>4</v>
      </c>
    </row>
    <row r="4680" spans="1:3" ht="13.5" thickBot="1" x14ac:dyDescent="0.25">
      <c r="A4680" s="3">
        <v>184</v>
      </c>
      <c r="B4680" s="28"/>
      <c r="C4680" s="3" t="s">
        <v>3</v>
      </c>
    </row>
    <row r="4681" spans="1:3" ht="13.5" thickBot="1" x14ac:dyDescent="0.25">
      <c r="A4681" s="3">
        <v>4317</v>
      </c>
      <c r="B4681" s="28"/>
      <c r="C4681" s="3" t="s">
        <v>4</v>
      </c>
    </row>
    <row r="4682" spans="1:3" ht="13.5" thickBot="1" x14ac:dyDescent="0.25">
      <c r="A4682" s="3">
        <v>4799</v>
      </c>
      <c r="B4682" s="28"/>
      <c r="C4682" s="3" t="s">
        <v>4</v>
      </c>
    </row>
    <row r="4683" spans="1:3" ht="13.5" thickBot="1" x14ac:dyDescent="0.25">
      <c r="A4683" s="3">
        <v>4317</v>
      </c>
      <c r="B4683" s="28"/>
      <c r="C4683" s="3" t="s">
        <v>7</v>
      </c>
    </row>
    <row r="4684" spans="1:3" ht="13.5" thickBot="1" x14ac:dyDescent="0.25">
      <c r="A4684" s="3">
        <v>6671</v>
      </c>
      <c r="B4684" s="28"/>
      <c r="C4684" s="3" t="s">
        <v>6</v>
      </c>
    </row>
    <row r="4685" spans="1:3" ht="13.5" thickBot="1" x14ac:dyDescent="0.25">
      <c r="A4685" s="3">
        <v>322</v>
      </c>
      <c r="B4685" s="28"/>
      <c r="C4685" s="3" t="s">
        <v>3</v>
      </c>
    </row>
    <row r="4686" spans="1:3" ht="13.5" thickBot="1" x14ac:dyDescent="0.25">
      <c r="A4686" s="3">
        <v>5008</v>
      </c>
      <c r="B4686" s="28"/>
      <c r="C4686" s="3" t="s">
        <v>6</v>
      </c>
    </row>
    <row r="4687" spans="1:3" ht="13.5" thickBot="1" x14ac:dyDescent="0.25">
      <c r="A4687" s="3">
        <v>4650</v>
      </c>
      <c r="B4687" s="28"/>
      <c r="C4687" s="3" t="s">
        <v>6</v>
      </c>
    </row>
    <row r="4688" spans="1:3" ht="13.5" thickBot="1" x14ac:dyDescent="0.25">
      <c r="A4688" s="3">
        <v>1812</v>
      </c>
      <c r="B4688" s="28"/>
      <c r="C4688" s="3" t="s">
        <v>3</v>
      </c>
    </row>
    <row r="4689" spans="1:3" ht="13.5" thickBot="1" x14ac:dyDescent="0.25">
      <c r="A4689" s="3">
        <v>5258</v>
      </c>
      <c r="B4689" s="28"/>
      <c r="C4689" s="3" t="s">
        <v>4</v>
      </c>
    </row>
    <row r="4690" spans="1:3" ht="13.5" thickBot="1" x14ac:dyDescent="0.25">
      <c r="A4690" s="3">
        <v>2303</v>
      </c>
      <c r="B4690" s="28"/>
      <c r="C4690" s="3" t="s">
        <v>6</v>
      </c>
    </row>
    <row r="4691" spans="1:3" ht="13.5" thickBot="1" x14ac:dyDescent="0.25">
      <c r="A4691" s="3">
        <v>5586</v>
      </c>
      <c r="B4691" s="28"/>
      <c r="C4691" s="3" t="s">
        <v>3</v>
      </c>
    </row>
    <row r="4692" spans="1:3" ht="13.5" thickBot="1" x14ac:dyDescent="0.25">
      <c r="A4692" s="3">
        <v>1812</v>
      </c>
      <c r="B4692" s="28"/>
      <c r="C4692" s="3" t="s">
        <v>5</v>
      </c>
    </row>
    <row r="4693" spans="1:3" ht="13.5" thickBot="1" x14ac:dyDescent="0.25">
      <c r="A4693" s="3">
        <v>3783</v>
      </c>
      <c r="B4693" s="28"/>
      <c r="C4693" s="3" t="s">
        <v>6</v>
      </c>
    </row>
    <row r="4694" spans="1:3" ht="13.5" thickBot="1" x14ac:dyDescent="0.25">
      <c r="A4694" s="3">
        <v>2636</v>
      </c>
      <c r="B4694" s="28"/>
      <c r="C4694" s="3" t="s">
        <v>3</v>
      </c>
    </row>
    <row r="4695" spans="1:3" ht="13.5" thickBot="1" x14ac:dyDescent="0.25">
      <c r="A4695" s="3">
        <v>1670</v>
      </c>
      <c r="B4695" s="28"/>
      <c r="C4695" s="3" t="s">
        <v>4</v>
      </c>
    </row>
    <row r="4696" spans="1:3" ht="13.5" thickBot="1" x14ac:dyDescent="0.25">
      <c r="A4696" s="3">
        <v>6475</v>
      </c>
      <c r="B4696" s="28"/>
      <c r="C4696" s="3" t="s">
        <v>6</v>
      </c>
    </row>
    <row r="4697" spans="1:3" ht="13.5" thickBot="1" x14ac:dyDescent="0.25">
      <c r="A4697" s="3">
        <v>4356</v>
      </c>
      <c r="B4697" s="28"/>
      <c r="C4697" s="3" t="s">
        <v>3</v>
      </c>
    </row>
    <row r="4698" spans="1:3" ht="13.5" thickBot="1" x14ac:dyDescent="0.25">
      <c r="A4698" s="3">
        <v>6455</v>
      </c>
      <c r="B4698" s="28"/>
      <c r="C4698" s="3" t="s">
        <v>3</v>
      </c>
    </row>
    <row r="4699" spans="1:3" ht="13.5" thickBot="1" x14ac:dyDescent="0.25">
      <c r="A4699" s="3">
        <v>6772</v>
      </c>
      <c r="B4699" s="28"/>
      <c r="C4699" s="3" t="s">
        <v>6</v>
      </c>
    </row>
    <row r="4700" spans="1:3" ht="13.5" thickBot="1" x14ac:dyDescent="0.25">
      <c r="A4700" s="3">
        <v>6153</v>
      </c>
      <c r="B4700" s="28"/>
      <c r="C4700" s="3" t="s">
        <v>3</v>
      </c>
    </row>
    <row r="4701" spans="1:3" ht="13.5" thickBot="1" x14ac:dyDescent="0.25">
      <c r="A4701" s="3">
        <v>28</v>
      </c>
      <c r="B4701" s="28"/>
      <c r="C4701" s="3" t="s">
        <v>4</v>
      </c>
    </row>
    <row r="4702" spans="1:3" ht="13.5" thickBot="1" x14ac:dyDescent="0.25">
      <c r="A4702" s="3">
        <v>1468</v>
      </c>
      <c r="B4702" s="28"/>
      <c r="C4702" s="3" t="s">
        <v>4</v>
      </c>
    </row>
    <row r="4703" spans="1:3" ht="13.5" thickBot="1" x14ac:dyDescent="0.25">
      <c r="A4703" s="3">
        <v>183</v>
      </c>
      <c r="B4703" s="28"/>
      <c r="C4703" s="3" t="s">
        <v>3</v>
      </c>
    </row>
    <row r="4704" spans="1:3" ht="13.5" thickBot="1" x14ac:dyDescent="0.25">
      <c r="A4704" s="3">
        <v>3568</v>
      </c>
      <c r="B4704" s="28"/>
      <c r="C4704" s="3" t="s">
        <v>5</v>
      </c>
    </row>
    <row r="4705" spans="1:3" ht="13.5" thickBot="1" x14ac:dyDescent="0.25">
      <c r="A4705" s="3">
        <v>1926</v>
      </c>
      <c r="B4705" s="28"/>
      <c r="C4705" s="3" t="s">
        <v>3</v>
      </c>
    </row>
    <row r="4706" spans="1:3" ht="13.5" thickBot="1" x14ac:dyDescent="0.25">
      <c r="A4706" s="3">
        <v>7829</v>
      </c>
      <c r="B4706" s="28"/>
      <c r="C4706" s="3" t="s">
        <v>3</v>
      </c>
    </row>
    <row r="4707" spans="1:3" ht="13.5" thickBot="1" x14ac:dyDescent="0.25">
      <c r="A4707" s="3">
        <v>4405</v>
      </c>
      <c r="B4707" s="28"/>
      <c r="C4707" s="3" t="s">
        <v>7</v>
      </c>
    </row>
    <row r="4708" spans="1:3" ht="13.5" thickBot="1" x14ac:dyDescent="0.25">
      <c r="A4708" s="3">
        <v>4420</v>
      </c>
      <c r="B4708" s="28"/>
      <c r="C4708" s="3" t="s">
        <v>3</v>
      </c>
    </row>
    <row r="4709" spans="1:3" ht="13.5" thickBot="1" x14ac:dyDescent="0.25">
      <c r="A4709" s="3">
        <v>4596</v>
      </c>
      <c r="B4709" s="28"/>
      <c r="C4709" s="3" t="s">
        <v>3</v>
      </c>
    </row>
    <row r="4710" spans="1:3" ht="13.5" thickBot="1" x14ac:dyDescent="0.25">
      <c r="A4710" s="3">
        <v>2895</v>
      </c>
      <c r="B4710" s="28"/>
      <c r="C4710" s="3" t="s">
        <v>6</v>
      </c>
    </row>
    <row r="4711" spans="1:3" ht="13.5" thickBot="1" x14ac:dyDescent="0.25">
      <c r="A4711" s="3">
        <v>5311</v>
      </c>
      <c r="B4711" s="28"/>
      <c r="C4711" s="3" t="s">
        <v>4</v>
      </c>
    </row>
    <row r="4712" spans="1:3" ht="13.5" thickBot="1" x14ac:dyDescent="0.25">
      <c r="A4712" s="3">
        <v>2532</v>
      </c>
      <c r="B4712" s="28"/>
      <c r="C4712" s="3" t="s">
        <v>6</v>
      </c>
    </row>
    <row r="4713" spans="1:3" ht="13.5" thickBot="1" x14ac:dyDescent="0.25">
      <c r="A4713" s="3">
        <v>1812</v>
      </c>
      <c r="B4713" s="28"/>
      <c r="C4713" s="3" t="s">
        <v>6</v>
      </c>
    </row>
    <row r="4714" spans="1:3" ht="13.5" thickBot="1" x14ac:dyDescent="0.25">
      <c r="A4714" s="3">
        <v>4946</v>
      </c>
      <c r="B4714" s="28"/>
      <c r="C4714" s="3" t="s">
        <v>4</v>
      </c>
    </row>
    <row r="4715" spans="1:3" ht="13.5" thickBot="1" x14ac:dyDescent="0.25">
      <c r="A4715" s="3">
        <v>252</v>
      </c>
      <c r="B4715" s="28"/>
      <c r="C4715" s="3" t="s">
        <v>5</v>
      </c>
    </row>
    <row r="4716" spans="1:3" ht="13.5" thickBot="1" x14ac:dyDescent="0.25">
      <c r="A4716" s="3">
        <v>3933</v>
      </c>
      <c r="B4716" s="28"/>
      <c r="C4716" s="3" t="s">
        <v>4</v>
      </c>
    </row>
    <row r="4717" spans="1:3" ht="13.5" thickBot="1" x14ac:dyDescent="0.25">
      <c r="A4717" s="3">
        <v>3621</v>
      </c>
      <c r="B4717" s="28"/>
      <c r="C4717" s="3" t="s">
        <v>5</v>
      </c>
    </row>
    <row r="4718" spans="1:3" ht="13.5" thickBot="1" x14ac:dyDescent="0.25">
      <c r="A4718" s="3">
        <v>5296</v>
      </c>
      <c r="B4718" s="28"/>
      <c r="C4718" s="3" t="s">
        <v>3</v>
      </c>
    </row>
    <row r="4719" spans="1:3" ht="13.5" thickBot="1" x14ac:dyDescent="0.25">
      <c r="A4719" s="3">
        <v>812</v>
      </c>
      <c r="B4719" s="28"/>
      <c r="C4719" s="3" t="s">
        <v>6</v>
      </c>
    </row>
    <row r="4720" spans="1:3" ht="13.5" thickBot="1" x14ac:dyDescent="0.25">
      <c r="A4720" s="3">
        <v>4496</v>
      </c>
      <c r="B4720" s="28"/>
      <c r="C4720" s="3" t="s">
        <v>3</v>
      </c>
    </row>
    <row r="4721" spans="1:3" ht="13.5" thickBot="1" x14ac:dyDescent="0.25">
      <c r="A4721" s="3">
        <v>7874</v>
      </c>
      <c r="B4721" s="28"/>
      <c r="C4721" s="3" t="s">
        <v>6</v>
      </c>
    </row>
    <row r="4722" spans="1:3" ht="13.5" thickBot="1" x14ac:dyDescent="0.25">
      <c r="A4722" s="3">
        <v>7946</v>
      </c>
      <c r="B4722" s="28"/>
      <c r="C4722" s="3" t="s">
        <v>3</v>
      </c>
    </row>
    <row r="4723" spans="1:3" ht="13.5" thickBot="1" x14ac:dyDescent="0.25">
      <c r="A4723" s="3">
        <v>2928</v>
      </c>
      <c r="B4723" s="28"/>
      <c r="C4723" s="3" t="s">
        <v>4</v>
      </c>
    </row>
    <row r="4724" spans="1:3" ht="13.5" thickBot="1" x14ac:dyDescent="0.25">
      <c r="A4724" s="3">
        <v>5495</v>
      </c>
      <c r="B4724" s="28"/>
      <c r="C4724" s="3" t="s">
        <v>3</v>
      </c>
    </row>
    <row r="4725" spans="1:3" ht="13.5" thickBot="1" x14ac:dyDescent="0.25">
      <c r="A4725" s="3">
        <v>2928</v>
      </c>
      <c r="B4725" s="28"/>
      <c r="C4725" s="3" t="s">
        <v>3</v>
      </c>
    </row>
    <row r="4726" spans="1:3" ht="13.5" thickBot="1" x14ac:dyDescent="0.25">
      <c r="A4726" s="3">
        <v>6072</v>
      </c>
      <c r="B4726" s="28"/>
      <c r="C4726" s="3" t="s">
        <v>6</v>
      </c>
    </row>
    <row r="4727" spans="1:3" ht="13.5" thickBot="1" x14ac:dyDescent="0.25">
      <c r="A4727" s="3">
        <v>6455</v>
      </c>
      <c r="B4727" s="28"/>
      <c r="C4727" s="3" t="s">
        <v>4</v>
      </c>
    </row>
    <row r="4728" spans="1:3" ht="13.5" thickBot="1" x14ac:dyDescent="0.25">
      <c r="A4728" s="3">
        <v>2808</v>
      </c>
      <c r="B4728" s="28"/>
      <c r="C4728" s="3" t="s">
        <v>5</v>
      </c>
    </row>
    <row r="4729" spans="1:3" ht="13.5" thickBot="1" x14ac:dyDescent="0.25">
      <c r="A4729" s="3">
        <v>433</v>
      </c>
      <c r="B4729" s="28"/>
      <c r="C4729" s="3" t="s">
        <v>3</v>
      </c>
    </row>
    <row r="4730" spans="1:3" ht="13.5" thickBot="1" x14ac:dyDescent="0.25">
      <c r="A4730" s="3">
        <v>3124</v>
      </c>
      <c r="B4730" s="28"/>
      <c r="C4730" s="3" t="s">
        <v>3</v>
      </c>
    </row>
    <row r="4731" spans="1:3" ht="13.5" thickBot="1" x14ac:dyDescent="0.25">
      <c r="A4731" s="3">
        <v>2928</v>
      </c>
      <c r="B4731" s="28"/>
      <c r="C4731" s="3" t="s">
        <v>5</v>
      </c>
    </row>
    <row r="4732" spans="1:3" ht="13.5" thickBot="1" x14ac:dyDescent="0.25">
      <c r="A4732" s="3">
        <v>6796</v>
      </c>
      <c r="B4732" s="28"/>
      <c r="C4732" s="3" t="s">
        <v>4</v>
      </c>
    </row>
    <row r="4733" spans="1:3" ht="13.5" thickBot="1" x14ac:dyDescent="0.25">
      <c r="A4733" s="3">
        <v>5586</v>
      </c>
      <c r="B4733" s="28"/>
      <c r="C4733" s="3" t="s">
        <v>4</v>
      </c>
    </row>
    <row r="4734" spans="1:3" ht="13.5" thickBot="1" x14ac:dyDescent="0.25">
      <c r="A4734" s="3">
        <v>3621</v>
      </c>
      <c r="B4734" s="28"/>
      <c r="C4734" s="3" t="s">
        <v>4</v>
      </c>
    </row>
    <row r="4735" spans="1:3" ht="13.5" thickBot="1" x14ac:dyDescent="0.25">
      <c r="A4735" s="3">
        <v>3621</v>
      </c>
      <c r="B4735" s="28"/>
      <c r="C4735" s="3" t="s">
        <v>3</v>
      </c>
    </row>
    <row r="4736" spans="1:3" ht="13.5" thickBot="1" x14ac:dyDescent="0.25">
      <c r="A4736" s="3">
        <v>2860</v>
      </c>
      <c r="B4736" s="28"/>
      <c r="C4736" s="3" t="s">
        <v>3</v>
      </c>
    </row>
    <row r="4737" spans="1:3" ht="13.5" thickBot="1" x14ac:dyDescent="0.25">
      <c r="A4737" s="3">
        <v>5062</v>
      </c>
      <c r="B4737" s="28"/>
      <c r="C4737" s="3" t="s">
        <v>3</v>
      </c>
    </row>
    <row r="4738" spans="1:3" ht="13.5" thickBot="1" x14ac:dyDescent="0.25">
      <c r="A4738" s="3">
        <v>4405</v>
      </c>
      <c r="B4738" s="28"/>
      <c r="C4738" s="3" t="s">
        <v>4</v>
      </c>
    </row>
    <row r="4739" spans="1:3" ht="13.5" thickBot="1" x14ac:dyDescent="0.25">
      <c r="A4739" s="3">
        <v>5460</v>
      </c>
      <c r="B4739" s="28"/>
      <c r="C4739" s="3" t="s">
        <v>5</v>
      </c>
    </row>
    <row r="4740" spans="1:3" ht="13.5" thickBot="1" x14ac:dyDescent="0.25">
      <c r="A4740" s="3">
        <v>6063</v>
      </c>
      <c r="B4740" s="28"/>
      <c r="C4740" s="3" t="s">
        <v>4</v>
      </c>
    </row>
    <row r="4741" spans="1:3" ht="13.5" thickBot="1" x14ac:dyDescent="0.25">
      <c r="A4741" s="3">
        <v>1812</v>
      </c>
      <c r="B4741" s="28"/>
      <c r="C4741" s="3" t="s">
        <v>4</v>
      </c>
    </row>
    <row r="4742" spans="1:3" ht="13.5" thickBot="1" x14ac:dyDescent="0.25">
      <c r="A4742" s="3">
        <v>4252</v>
      </c>
      <c r="B4742" s="28"/>
      <c r="C4742" s="3" t="s">
        <v>4</v>
      </c>
    </row>
    <row r="4743" spans="1:3" ht="13.5" thickBot="1" x14ac:dyDescent="0.25">
      <c r="A4743" s="3">
        <v>1402</v>
      </c>
      <c r="B4743" s="28"/>
      <c r="C4743" s="3" t="s">
        <v>4</v>
      </c>
    </row>
    <row r="4744" spans="1:3" ht="13.5" thickBot="1" x14ac:dyDescent="0.25">
      <c r="A4744" s="3">
        <v>3456</v>
      </c>
      <c r="B4744" s="28"/>
      <c r="C4744" s="3" t="s">
        <v>6</v>
      </c>
    </row>
    <row r="4745" spans="1:3" ht="13.5" thickBot="1" x14ac:dyDescent="0.25">
      <c r="A4745" s="3">
        <v>2808</v>
      </c>
      <c r="B4745" s="28"/>
      <c r="C4745" s="3" t="s">
        <v>4</v>
      </c>
    </row>
    <row r="4746" spans="1:3" ht="13.5" thickBot="1" x14ac:dyDescent="0.25">
      <c r="A4746" s="3">
        <v>7480</v>
      </c>
      <c r="B4746" s="28"/>
      <c r="C4746" s="3" t="s">
        <v>6</v>
      </c>
    </row>
    <row r="4747" spans="1:3" ht="13.5" thickBot="1" x14ac:dyDescent="0.25">
      <c r="A4747" s="3">
        <v>2488</v>
      </c>
      <c r="B4747" s="28"/>
      <c r="C4747" s="3" t="s">
        <v>3</v>
      </c>
    </row>
    <row r="4748" spans="1:3" ht="13.5" thickBot="1" x14ac:dyDescent="0.25">
      <c r="A4748" s="3">
        <v>5995</v>
      </c>
      <c r="B4748" s="28"/>
      <c r="C4748" s="3" t="s">
        <v>3</v>
      </c>
    </row>
    <row r="4749" spans="1:3" ht="13.5" thickBot="1" x14ac:dyDescent="0.25">
      <c r="A4749" s="3">
        <v>986</v>
      </c>
      <c r="B4749" s="28"/>
      <c r="C4749" s="3" t="s">
        <v>3</v>
      </c>
    </row>
    <row r="4750" spans="1:3" ht="13.5" thickBot="1" x14ac:dyDescent="0.25">
      <c r="A4750" s="3">
        <v>7374</v>
      </c>
      <c r="B4750" s="28"/>
      <c r="C4750" s="3" t="s">
        <v>5</v>
      </c>
    </row>
    <row r="4751" spans="1:3" ht="13.5" thickBot="1" x14ac:dyDescent="0.25">
      <c r="A4751" s="3">
        <v>2499</v>
      </c>
      <c r="B4751" s="28"/>
      <c r="C4751" s="3" t="s">
        <v>3</v>
      </c>
    </row>
    <row r="4752" spans="1:3" ht="13.5" thickBot="1" x14ac:dyDescent="0.25">
      <c r="A4752" s="3">
        <v>3382</v>
      </c>
      <c r="B4752" s="28"/>
      <c r="C4752" s="3" t="s">
        <v>3</v>
      </c>
    </row>
    <row r="4753" spans="1:3" ht="13.5" thickBot="1" x14ac:dyDescent="0.25">
      <c r="A4753" s="3">
        <v>6788</v>
      </c>
      <c r="B4753" s="28"/>
      <c r="C4753" s="3" t="s">
        <v>6</v>
      </c>
    </row>
    <row r="4754" spans="1:3" ht="13.5" thickBot="1" x14ac:dyDescent="0.25">
      <c r="A4754" s="3">
        <v>6785</v>
      </c>
      <c r="B4754" s="28"/>
      <c r="C4754" s="3" t="s">
        <v>4</v>
      </c>
    </row>
    <row r="4755" spans="1:3" ht="13.5" thickBot="1" x14ac:dyDescent="0.25">
      <c r="A4755" s="3">
        <v>6919</v>
      </c>
      <c r="B4755" s="28"/>
      <c r="C4755" s="3" t="s">
        <v>6</v>
      </c>
    </row>
    <row r="4756" spans="1:3" ht="13.5" thickBot="1" x14ac:dyDescent="0.25">
      <c r="A4756" s="3">
        <v>3933</v>
      </c>
      <c r="B4756" s="28"/>
      <c r="C4756" s="3" t="s">
        <v>5</v>
      </c>
    </row>
    <row r="4757" spans="1:3" ht="13.5" thickBot="1" x14ac:dyDescent="0.25">
      <c r="A4757" s="3">
        <v>322</v>
      </c>
      <c r="B4757" s="28"/>
      <c r="C4757" s="3" t="s">
        <v>4</v>
      </c>
    </row>
    <row r="4758" spans="1:3" ht="13.5" thickBot="1" x14ac:dyDescent="0.25">
      <c r="A4758" s="3">
        <v>2174</v>
      </c>
      <c r="B4758" s="28"/>
      <c r="C4758" s="3" t="s">
        <v>6</v>
      </c>
    </row>
    <row r="4759" spans="1:3" ht="13.5" thickBot="1" x14ac:dyDescent="0.25">
      <c r="A4759" s="3">
        <v>4946</v>
      </c>
      <c r="B4759" s="28"/>
      <c r="C4759" s="3" t="s">
        <v>5</v>
      </c>
    </row>
    <row r="4760" spans="1:3" ht="13.5" thickBot="1" x14ac:dyDescent="0.25">
      <c r="A4760" s="3">
        <v>3456</v>
      </c>
      <c r="B4760" s="28"/>
      <c r="C4760" s="3" t="s">
        <v>5</v>
      </c>
    </row>
    <row r="4761" spans="1:3" ht="13.5" thickBot="1" x14ac:dyDescent="0.25">
      <c r="A4761" s="3">
        <v>6063</v>
      </c>
      <c r="B4761" s="28"/>
      <c r="C4761" s="3" t="s">
        <v>3</v>
      </c>
    </row>
    <row r="4762" spans="1:3" ht="13.5" thickBot="1" x14ac:dyDescent="0.25">
      <c r="A4762" s="3">
        <v>5258</v>
      </c>
      <c r="B4762" s="28"/>
      <c r="C4762" s="3" t="s">
        <v>5</v>
      </c>
    </row>
    <row r="4763" spans="1:3" ht="13.5" thickBot="1" x14ac:dyDescent="0.25">
      <c r="A4763" s="3">
        <v>2808</v>
      </c>
      <c r="B4763" s="28"/>
      <c r="C4763" s="3" t="s">
        <v>7</v>
      </c>
    </row>
    <row r="4764" spans="1:3" ht="13.5" thickBot="1" x14ac:dyDescent="0.25">
      <c r="A4764" s="3">
        <v>3466</v>
      </c>
      <c r="B4764" s="28"/>
      <c r="C4764" s="3" t="s">
        <v>3</v>
      </c>
    </row>
    <row r="4765" spans="1:3" ht="13.5" thickBot="1" x14ac:dyDescent="0.25">
      <c r="A4765" s="3">
        <v>2824</v>
      </c>
      <c r="B4765" s="28"/>
      <c r="C4765" s="3" t="s">
        <v>3</v>
      </c>
    </row>
    <row r="4766" spans="1:3" ht="13.5" thickBot="1" x14ac:dyDescent="0.25">
      <c r="A4766" s="3">
        <v>5657</v>
      </c>
      <c r="B4766" s="28"/>
      <c r="C4766" s="3" t="s">
        <v>3</v>
      </c>
    </row>
    <row r="4767" spans="1:3" ht="13.5" thickBot="1" x14ac:dyDescent="0.25">
      <c r="A4767" s="3">
        <v>7946</v>
      </c>
      <c r="B4767" s="28"/>
      <c r="C4767" s="3" t="s">
        <v>5</v>
      </c>
    </row>
    <row r="4768" spans="1:3" ht="13.5" thickBot="1" x14ac:dyDescent="0.25">
      <c r="A4768" s="3">
        <v>6247</v>
      </c>
      <c r="B4768" s="28"/>
      <c r="C4768" s="3" t="s">
        <v>7</v>
      </c>
    </row>
    <row r="4769" spans="1:3" ht="13.5" thickBot="1" x14ac:dyDescent="0.25">
      <c r="A4769" s="3">
        <v>2630</v>
      </c>
      <c r="B4769" s="28"/>
      <c r="C4769" s="3" t="s">
        <v>6</v>
      </c>
    </row>
    <row r="4770" spans="1:3" ht="13.5" thickBot="1" x14ac:dyDescent="0.25">
      <c r="A4770" s="3">
        <v>7710</v>
      </c>
      <c r="B4770" s="28"/>
      <c r="C4770" s="3" t="s">
        <v>7</v>
      </c>
    </row>
    <row r="4771" spans="1:3" ht="13.5" thickBot="1" x14ac:dyDescent="0.25">
      <c r="A4771" s="3">
        <v>3685</v>
      </c>
      <c r="B4771" s="28"/>
      <c r="C4771" s="3" t="s">
        <v>3</v>
      </c>
    </row>
    <row r="4772" spans="1:3" ht="13.5" thickBot="1" x14ac:dyDescent="0.25">
      <c r="A4772" s="3">
        <v>4252</v>
      </c>
      <c r="B4772" s="28"/>
      <c r="C4772" s="3" t="s">
        <v>5</v>
      </c>
    </row>
    <row r="4773" spans="1:3" ht="13.5" thickBot="1" x14ac:dyDescent="0.25">
      <c r="A4773" s="3">
        <v>6574</v>
      </c>
      <c r="B4773" s="28"/>
      <c r="C4773" s="3" t="s">
        <v>6</v>
      </c>
    </row>
    <row r="4774" spans="1:3" ht="13.5" thickBot="1" x14ac:dyDescent="0.25">
      <c r="A4774" s="3">
        <v>4451</v>
      </c>
      <c r="B4774" s="28"/>
      <c r="C4774" s="3" t="s">
        <v>7</v>
      </c>
    </row>
    <row r="4775" spans="1:3" ht="13.5" thickBot="1" x14ac:dyDescent="0.25">
      <c r="A4775" s="3">
        <v>3863</v>
      </c>
      <c r="B4775" s="28"/>
      <c r="C4775" s="3" t="s">
        <v>4</v>
      </c>
    </row>
    <row r="4776" spans="1:3" ht="13.5" thickBot="1" x14ac:dyDescent="0.25">
      <c r="A4776" s="3">
        <v>3973</v>
      </c>
      <c r="B4776" s="28"/>
      <c r="C4776" s="3" t="s">
        <v>3</v>
      </c>
    </row>
    <row r="4777" spans="1:3" ht="13.5" thickBot="1" x14ac:dyDescent="0.25">
      <c r="A4777" s="3">
        <v>4088</v>
      </c>
      <c r="B4777" s="28"/>
      <c r="C4777" s="3" t="s">
        <v>4</v>
      </c>
    </row>
    <row r="4778" spans="1:3" ht="13.5" thickBot="1" x14ac:dyDescent="0.25">
      <c r="A4778" s="3">
        <v>4831</v>
      </c>
      <c r="B4778" s="28"/>
      <c r="C4778" s="3" t="s">
        <v>3</v>
      </c>
    </row>
    <row r="4779" spans="1:3" ht="13.5" thickBot="1" x14ac:dyDescent="0.25">
      <c r="A4779" s="3">
        <v>4483</v>
      </c>
      <c r="B4779" s="28"/>
      <c r="C4779" s="3" t="s">
        <v>5</v>
      </c>
    </row>
    <row r="4780" spans="1:3" ht="13.5" thickBot="1" x14ac:dyDescent="0.25">
      <c r="A4780" s="3">
        <v>260</v>
      </c>
      <c r="B4780" s="28"/>
      <c r="C4780" s="3" t="s">
        <v>3</v>
      </c>
    </row>
    <row r="4781" spans="1:3" ht="13.5" thickBot="1" x14ac:dyDescent="0.25">
      <c r="A4781" s="3">
        <v>5775</v>
      </c>
      <c r="B4781" s="28"/>
      <c r="C4781" s="3" t="s">
        <v>5</v>
      </c>
    </row>
    <row r="4782" spans="1:3" ht="13.5" thickBot="1" x14ac:dyDescent="0.25">
      <c r="A4782" s="3">
        <v>5013</v>
      </c>
      <c r="B4782" s="28"/>
      <c r="C4782" s="3" t="s">
        <v>6</v>
      </c>
    </row>
    <row r="4783" spans="1:3" ht="13.5" thickBot="1" x14ac:dyDescent="0.25">
      <c r="A4783" s="3">
        <v>1415</v>
      </c>
      <c r="B4783" s="28"/>
      <c r="C4783" s="3" t="s">
        <v>3</v>
      </c>
    </row>
    <row r="4784" spans="1:3" ht="13.5" thickBot="1" x14ac:dyDescent="0.25">
      <c r="A4784" s="3">
        <v>6796</v>
      </c>
      <c r="B4784" s="28"/>
      <c r="C4784" s="3" t="s">
        <v>3</v>
      </c>
    </row>
    <row r="4785" spans="1:3" ht="13.5" thickBot="1" x14ac:dyDescent="0.25">
      <c r="A4785" s="3">
        <v>57</v>
      </c>
      <c r="B4785" s="28"/>
      <c r="C4785" s="3" t="s">
        <v>3</v>
      </c>
    </row>
    <row r="4786" spans="1:3" ht="13.5" thickBot="1" x14ac:dyDescent="0.25">
      <c r="A4786" s="3">
        <v>4596</v>
      </c>
      <c r="B4786" s="28"/>
      <c r="C4786" s="3" t="s">
        <v>4</v>
      </c>
    </row>
    <row r="4787" spans="1:3" ht="13.5" thickBot="1" x14ac:dyDescent="0.25">
      <c r="A4787" s="3">
        <v>354</v>
      </c>
      <c r="B4787" s="28"/>
      <c r="C4787" s="3" t="s">
        <v>6</v>
      </c>
    </row>
    <row r="4788" spans="1:3" ht="13.5" thickBot="1" x14ac:dyDescent="0.25">
      <c r="A4788" s="3">
        <v>5369</v>
      </c>
      <c r="B4788" s="28"/>
      <c r="C4788" s="3" t="s">
        <v>3</v>
      </c>
    </row>
    <row r="4789" spans="1:3" ht="13.5" thickBot="1" x14ac:dyDescent="0.25">
      <c r="A4789" s="3">
        <v>322</v>
      </c>
      <c r="B4789" s="28"/>
      <c r="C4789" s="3" t="s">
        <v>5</v>
      </c>
    </row>
    <row r="4790" spans="1:3" ht="13.5" thickBot="1" x14ac:dyDescent="0.25">
      <c r="A4790" s="3">
        <v>752</v>
      </c>
      <c r="B4790" s="28"/>
      <c r="C4790" s="3" t="s">
        <v>7</v>
      </c>
    </row>
    <row r="4791" spans="1:3" ht="13.5" thickBot="1" x14ac:dyDescent="0.25">
      <c r="A4791" s="3">
        <v>1353</v>
      </c>
      <c r="B4791" s="28"/>
      <c r="C4791" s="3" t="s">
        <v>6</v>
      </c>
    </row>
    <row r="4792" spans="1:3" ht="13.5" thickBot="1" x14ac:dyDescent="0.25">
      <c r="A4792" s="3">
        <v>6698</v>
      </c>
      <c r="B4792" s="28"/>
      <c r="C4792" s="3" t="s">
        <v>3</v>
      </c>
    </row>
    <row r="4793" spans="1:3" ht="13.5" thickBot="1" x14ac:dyDescent="0.25">
      <c r="A4793" s="3">
        <v>2490</v>
      </c>
      <c r="B4793" s="28"/>
      <c r="C4793" s="3" t="s">
        <v>4</v>
      </c>
    </row>
    <row r="4794" spans="1:3" ht="13.5" thickBot="1" x14ac:dyDescent="0.25">
      <c r="A4794" s="3">
        <v>1415</v>
      </c>
      <c r="B4794" s="28"/>
      <c r="C4794" s="3" t="s">
        <v>4</v>
      </c>
    </row>
    <row r="4795" spans="1:3" ht="13.5" thickBot="1" x14ac:dyDescent="0.25">
      <c r="A4795" s="3">
        <v>6050</v>
      </c>
      <c r="B4795" s="28"/>
      <c r="C4795" s="3" t="s">
        <v>6</v>
      </c>
    </row>
    <row r="4796" spans="1:3" ht="13.5" thickBot="1" x14ac:dyDescent="0.25">
      <c r="A4796" s="3">
        <v>4900</v>
      </c>
      <c r="B4796" s="28"/>
      <c r="C4796" s="3" t="s">
        <v>3</v>
      </c>
    </row>
    <row r="4797" spans="1:3" ht="13.5" thickBot="1" x14ac:dyDescent="0.25">
      <c r="A4797" s="3">
        <v>2450</v>
      </c>
      <c r="B4797" s="28"/>
      <c r="C4797" s="3" t="s">
        <v>3</v>
      </c>
    </row>
    <row r="4798" spans="1:3" ht="13.5" thickBot="1" x14ac:dyDescent="0.25">
      <c r="A4798" s="3">
        <v>368</v>
      </c>
      <c r="B4798" s="28"/>
      <c r="C4798" s="3" t="s">
        <v>7</v>
      </c>
    </row>
    <row r="4799" spans="1:3" ht="13.5" thickBot="1" x14ac:dyDescent="0.25">
      <c r="A4799" s="3">
        <v>4314</v>
      </c>
      <c r="B4799" s="28"/>
      <c r="C4799" s="3" t="s">
        <v>5</v>
      </c>
    </row>
    <row r="4800" spans="1:3" ht="13.5" thickBot="1" x14ac:dyDescent="0.25">
      <c r="A4800" s="3">
        <v>3215</v>
      </c>
      <c r="B4800" s="28"/>
      <c r="C4800" s="3" t="s">
        <v>3</v>
      </c>
    </row>
    <row r="4801" spans="1:3" ht="13.5" thickBot="1" x14ac:dyDescent="0.25">
      <c r="A4801" s="3">
        <v>5775</v>
      </c>
      <c r="B4801" s="28"/>
      <c r="C4801" s="3" t="s">
        <v>7</v>
      </c>
    </row>
    <row r="4802" spans="1:3" ht="13.5" thickBot="1" x14ac:dyDescent="0.25">
      <c r="A4802" s="3">
        <v>5258</v>
      </c>
      <c r="B4802" s="28"/>
      <c r="C4802" s="3" t="s">
        <v>7</v>
      </c>
    </row>
    <row r="4803" spans="1:3" ht="13.5" thickBot="1" x14ac:dyDescent="0.25">
      <c r="A4803" s="3">
        <v>7710</v>
      </c>
      <c r="B4803" s="28"/>
      <c r="C4803" s="3" t="s">
        <v>5</v>
      </c>
    </row>
    <row r="4804" spans="1:3" ht="13.5" thickBot="1" x14ac:dyDescent="0.25">
      <c r="A4804" s="3">
        <v>2860</v>
      </c>
      <c r="B4804" s="28"/>
      <c r="C4804" s="3" t="s">
        <v>4</v>
      </c>
    </row>
    <row r="4805" spans="1:3" ht="13.5" thickBot="1" x14ac:dyDescent="0.25">
      <c r="A4805" s="3">
        <v>3724</v>
      </c>
      <c r="B4805" s="28"/>
      <c r="C4805" s="3" t="s">
        <v>4</v>
      </c>
    </row>
    <row r="4806" spans="1:3" ht="13.5" thickBot="1" x14ac:dyDescent="0.25">
      <c r="A4806" s="3">
        <v>4024</v>
      </c>
      <c r="B4806" s="28"/>
      <c r="C4806" s="3" t="s">
        <v>3</v>
      </c>
    </row>
    <row r="4807" spans="1:3" ht="13.5" thickBot="1" x14ac:dyDescent="0.25">
      <c r="A4807" s="3">
        <v>4017</v>
      </c>
      <c r="B4807" s="28"/>
      <c r="C4807" s="3" t="s">
        <v>3</v>
      </c>
    </row>
    <row r="4808" spans="1:3" ht="13.5" thickBot="1" x14ac:dyDescent="0.25">
      <c r="A4808" s="3">
        <v>1309</v>
      </c>
      <c r="B4808" s="28"/>
      <c r="C4808" s="3" t="s">
        <v>3</v>
      </c>
    </row>
    <row r="4809" spans="1:3" ht="13.5" thickBot="1" x14ac:dyDescent="0.25">
      <c r="A4809" s="3">
        <v>7183</v>
      </c>
      <c r="B4809" s="28"/>
      <c r="C4809" s="3" t="s">
        <v>3</v>
      </c>
    </row>
    <row r="4810" spans="1:3" ht="13.5" thickBot="1" x14ac:dyDescent="0.25">
      <c r="A4810" s="3">
        <v>3466</v>
      </c>
      <c r="B4810" s="28"/>
      <c r="C4810" s="3" t="s">
        <v>4</v>
      </c>
    </row>
    <row r="4811" spans="1:3" ht="13.5" thickBot="1" x14ac:dyDescent="0.25">
      <c r="A4811" s="3">
        <v>7875</v>
      </c>
      <c r="B4811" s="28"/>
      <c r="C4811" s="3" t="s">
        <v>3</v>
      </c>
    </row>
    <row r="4812" spans="1:3" ht="13.5" thickBot="1" x14ac:dyDescent="0.25">
      <c r="A4812" s="3">
        <v>4356</v>
      </c>
      <c r="B4812" s="28"/>
      <c r="C4812" s="3" t="s">
        <v>4</v>
      </c>
    </row>
    <row r="4813" spans="1:3" ht="13.5" thickBot="1" x14ac:dyDescent="0.25">
      <c r="A4813" s="3">
        <v>3724</v>
      </c>
      <c r="B4813" s="28"/>
      <c r="C4813" s="3" t="s">
        <v>3</v>
      </c>
    </row>
    <row r="4814" spans="1:3" ht="13.5" thickBot="1" x14ac:dyDescent="0.25">
      <c r="A4814" s="3">
        <v>5225</v>
      </c>
      <c r="B4814" s="28"/>
      <c r="C4814" s="3" t="s">
        <v>3</v>
      </c>
    </row>
    <row r="4815" spans="1:3" ht="13.5" thickBot="1" x14ac:dyDescent="0.25">
      <c r="A4815" s="3">
        <v>4317</v>
      </c>
      <c r="B4815" s="28"/>
      <c r="C4815" s="3" t="s">
        <v>6</v>
      </c>
    </row>
    <row r="4816" spans="1:3" ht="13.5" thickBot="1" x14ac:dyDescent="0.25">
      <c r="A4816" s="3">
        <v>880</v>
      </c>
      <c r="B4816" s="28"/>
      <c r="C4816" s="3" t="s">
        <v>4</v>
      </c>
    </row>
    <row r="4817" spans="1:3" ht="13.5" thickBot="1" x14ac:dyDescent="0.25">
      <c r="A4817" s="3">
        <v>4407</v>
      </c>
      <c r="B4817" s="28"/>
      <c r="C4817" s="3" t="s">
        <v>3</v>
      </c>
    </row>
    <row r="4818" spans="1:3" ht="13.5" thickBot="1" x14ac:dyDescent="0.25">
      <c r="A4818" s="3">
        <v>2141</v>
      </c>
      <c r="B4818" s="28"/>
      <c r="C4818" s="3" t="s">
        <v>3</v>
      </c>
    </row>
    <row r="4819" spans="1:3" ht="13.5" thickBot="1" x14ac:dyDescent="0.25">
      <c r="A4819" s="3">
        <v>878</v>
      </c>
      <c r="B4819" s="28"/>
      <c r="C4819" s="3" t="s">
        <v>3</v>
      </c>
    </row>
    <row r="4820" spans="1:3" ht="13.5" thickBot="1" x14ac:dyDescent="0.25">
      <c r="A4820" s="3">
        <v>6087</v>
      </c>
      <c r="B4820" s="28"/>
      <c r="C4820" s="3" t="s">
        <v>3</v>
      </c>
    </row>
    <row r="4821" spans="1:3" ht="13.5" thickBot="1" x14ac:dyDescent="0.25">
      <c r="A4821" s="3">
        <v>310</v>
      </c>
      <c r="B4821" s="28"/>
      <c r="C4821" s="3" t="s">
        <v>3</v>
      </c>
    </row>
    <row r="4822" spans="1:3" ht="13.5" thickBot="1" x14ac:dyDescent="0.25">
      <c r="A4822" s="3">
        <v>2488</v>
      </c>
      <c r="B4822" s="28"/>
      <c r="C4822" s="3" t="s">
        <v>4</v>
      </c>
    </row>
    <row r="4823" spans="1:3" ht="13.5" thickBot="1" x14ac:dyDescent="0.25">
      <c r="A4823" s="3">
        <v>5013</v>
      </c>
      <c r="B4823" s="28"/>
      <c r="C4823" s="3" t="s">
        <v>5</v>
      </c>
    </row>
    <row r="4824" spans="1:3" ht="13.5" thickBot="1" x14ac:dyDescent="0.25">
      <c r="A4824" s="3">
        <v>3685</v>
      </c>
      <c r="B4824" s="28"/>
      <c r="C4824" s="3" t="s">
        <v>4</v>
      </c>
    </row>
    <row r="4825" spans="1:3" ht="13.5" thickBot="1" x14ac:dyDescent="0.25">
      <c r="A4825" s="3">
        <v>2023</v>
      </c>
      <c r="B4825" s="28"/>
      <c r="C4825" s="3" t="s">
        <v>3</v>
      </c>
    </row>
    <row r="4826" spans="1:3" ht="13.5" thickBot="1" x14ac:dyDescent="0.25">
      <c r="A4826" s="3">
        <v>3685</v>
      </c>
      <c r="B4826" s="28"/>
      <c r="C4826" s="3" t="s">
        <v>5</v>
      </c>
    </row>
    <row r="4827" spans="1:3" ht="13.5" thickBot="1" x14ac:dyDescent="0.25">
      <c r="A4827" s="3">
        <v>1960</v>
      </c>
      <c r="B4827" s="28"/>
      <c r="C4827" s="3" t="s">
        <v>3</v>
      </c>
    </row>
    <row r="4828" spans="1:3" ht="13.5" thickBot="1" x14ac:dyDescent="0.25">
      <c r="A4828" s="3">
        <v>812</v>
      </c>
      <c r="B4828" s="28"/>
      <c r="C4828" s="3" t="s">
        <v>7</v>
      </c>
    </row>
    <row r="4829" spans="1:3" ht="13.5" thickBot="1" x14ac:dyDescent="0.25">
      <c r="A4829" s="3">
        <v>260</v>
      </c>
      <c r="B4829" s="28"/>
      <c r="C4829" s="3" t="s">
        <v>4</v>
      </c>
    </row>
    <row r="4830" spans="1:3" ht="13.5" thickBot="1" x14ac:dyDescent="0.25">
      <c r="A4830" s="3">
        <v>4634</v>
      </c>
      <c r="B4830" s="28"/>
      <c r="C4830" s="3" t="s">
        <v>6</v>
      </c>
    </row>
    <row r="4831" spans="1:3" ht="13.5" thickBot="1" x14ac:dyDescent="0.25">
      <c r="A4831" s="3">
        <v>878</v>
      </c>
      <c r="B4831" s="28"/>
      <c r="C4831" s="3" t="s">
        <v>5</v>
      </c>
    </row>
    <row r="4832" spans="1:3" ht="13.5" thickBot="1" x14ac:dyDescent="0.25">
      <c r="A4832" s="3">
        <v>2346</v>
      </c>
      <c r="B4832" s="28"/>
      <c r="C4832" s="3" t="s">
        <v>3</v>
      </c>
    </row>
    <row r="4833" spans="1:3" ht="13.5" thickBot="1" x14ac:dyDescent="0.25">
      <c r="A4833" s="3">
        <v>7183</v>
      </c>
      <c r="B4833" s="28"/>
      <c r="C4833" s="3" t="s">
        <v>4</v>
      </c>
    </row>
    <row r="4834" spans="1:3" ht="13.5" thickBot="1" x14ac:dyDescent="0.25">
      <c r="A4834" s="3">
        <v>1190</v>
      </c>
      <c r="B4834" s="28"/>
      <c r="C4834" s="3" t="s">
        <v>4</v>
      </c>
    </row>
    <row r="4835" spans="1:3" ht="13.5" thickBot="1" x14ac:dyDescent="0.25">
      <c r="A4835" s="3">
        <v>700</v>
      </c>
      <c r="B4835" s="28"/>
      <c r="C4835" s="3" t="s">
        <v>3</v>
      </c>
    </row>
    <row r="4836" spans="1:3" ht="13.5" thickBot="1" x14ac:dyDescent="0.25">
      <c r="A4836" s="3">
        <v>433</v>
      </c>
      <c r="B4836" s="28"/>
      <c r="C4836" s="3" t="s">
        <v>4</v>
      </c>
    </row>
    <row r="4837" spans="1:3" ht="13.5" thickBot="1" x14ac:dyDescent="0.25">
      <c r="A4837" s="3">
        <v>3124</v>
      </c>
      <c r="B4837" s="28"/>
      <c r="C4837" s="3" t="s">
        <v>5</v>
      </c>
    </row>
    <row r="4838" spans="1:3" ht="13.5" thickBot="1" x14ac:dyDescent="0.25">
      <c r="A4838" s="3">
        <v>5358</v>
      </c>
      <c r="B4838" s="28"/>
      <c r="C4838" s="3" t="s">
        <v>6</v>
      </c>
    </row>
    <row r="4839" spans="1:3" ht="13.5" thickBot="1" x14ac:dyDescent="0.25">
      <c r="A4839" s="3">
        <v>1222</v>
      </c>
      <c r="B4839" s="28"/>
      <c r="C4839" s="3" t="s">
        <v>6</v>
      </c>
    </row>
    <row r="4840" spans="1:3" ht="13.5" thickBot="1" x14ac:dyDescent="0.25">
      <c r="A4840" s="3">
        <v>1003</v>
      </c>
      <c r="B4840" s="28"/>
      <c r="C4840" s="3" t="s">
        <v>7</v>
      </c>
    </row>
    <row r="4841" spans="1:3" ht="13.5" thickBot="1" x14ac:dyDescent="0.25">
      <c r="A4841" s="3">
        <v>260</v>
      </c>
      <c r="B4841" s="28"/>
      <c r="C4841" s="3" t="s">
        <v>5</v>
      </c>
    </row>
    <row r="4842" spans="1:3" ht="13.5" thickBot="1" x14ac:dyDescent="0.25">
      <c r="A4842" s="3">
        <v>1336</v>
      </c>
      <c r="B4842" s="28"/>
      <c r="C4842" s="3" t="s">
        <v>5</v>
      </c>
    </row>
    <row r="4843" spans="1:3" ht="13.5" thickBot="1" x14ac:dyDescent="0.25">
      <c r="A4843" s="3">
        <v>2178</v>
      </c>
      <c r="B4843" s="28"/>
      <c r="C4843" s="3" t="s">
        <v>3</v>
      </c>
    </row>
    <row r="4844" spans="1:3" ht="13.5" thickBot="1" x14ac:dyDescent="0.25">
      <c r="A4844" s="3">
        <v>839</v>
      </c>
      <c r="B4844" s="28"/>
      <c r="C4844" s="3" t="s">
        <v>5</v>
      </c>
    </row>
    <row r="4845" spans="1:3" ht="13.5" thickBot="1" x14ac:dyDescent="0.25">
      <c r="A4845" s="3">
        <v>4479</v>
      </c>
      <c r="B4845" s="28"/>
      <c r="C4845" s="3" t="s">
        <v>3</v>
      </c>
    </row>
    <row r="4846" spans="1:3" ht="13.5" thickBot="1" x14ac:dyDescent="0.25">
      <c r="A4846" s="3">
        <v>7875</v>
      </c>
      <c r="B4846" s="28"/>
      <c r="C4846" s="3" t="s">
        <v>5</v>
      </c>
    </row>
    <row r="4847" spans="1:3" ht="13.5" thickBot="1" x14ac:dyDescent="0.25">
      <c r="A4847" s="3">
        <v>6072</v>
      </c>
      <c r="B4847" s="28"/>
      <c r="C4847" s="3" t="s">
        <v>7</v>
      </c>
    </row>
    <row r="4848" spans="1:3" ht="13.5" thickBot="1" x14ac:dyDescent="0.25">
      <c r="A4848" s="3">
        <v>3215</v>
      </c>
      <c r="B4848" s="28"/>
      <c r="C4848" s="3" t="s">
        <v>4</v>
      </c>
    </row>
    <row r="4849" spans="1:3" ht="13.5" thickBot="1" x14ac:dyDescent="0.25">
      <c r="A4849" s="3">
        <v>7710</v>
      </c>
      <c r="B4849" s="28"/>
      <c r="C4849" s="3" t="s">
        <v>6</v>
      </c>
    </row>
    <row r="4850" spans="1:3" ht="13.5" thickBot="1" x14ac:dyDescent="0.25">
      <c r="A4850" s="3">
        <v>2346</v>
      </c>
      <c r="B4850" s="28"/>
      <c r="C4850" s="3" t="s">
        <v>4</v>
      </c>
    </row>
    <row r="4851" spans="1:3" ht="13.5" thickBot="1" x14ac:dyDescent="0.25">
      <c r="A4851" s="3">
        <v>5248</v>
      </c>
      <c r="B4851" s="28"/>
      <c r="C4851" s="3" t="s">
        <v>6</v>
      </c>
    </row>
    <row r="4852" spans="1:3" ht="13.5" thickBot="1" x14ac:dyDescent="0.25">
      <c r="A4852" s="3">
        <v>4762</v>
      </c>
      <c r="B4852" s="28"/>
      <c r="C4852" s="3" t="s">
        <v>4</v>
      </c>
    </row>
    <row r="4853" spans="1:3" ht="13.5" thickBot="1" x14ac:dyDescent="0.25">
      <c r="A4853" s="3">
        <v>3124</v>
      </c>
      <c r="B4853" s="28"/>
      <c r="C4853" s="3" t="s">
        <v>6</v>
      </c>
    </row>
    <row r="4854" spans="1:3" ht="13.5" thickBot="1" x14ac:dyDescent="0.25">
      <c r="A4854" s="3">
        <v>82</v>
      </c>
      <c r="B4854" s="28"/>
      <c r="C4854" s="3" t="s">
        <v>4</v>
      </c>
    </row>
    <row r="4855" spans="1:3" ht="13.5" thickBot="1" x14ac:dyDescent="0.25">
      <c r="A4855" s="3">
        <v>6429</v>
      </c>
      <c r="B4855" s="28"/>
      <c r="C4855" s="3" t="s">
        <v>6</v>
      </c>
    </row>
    <row r="4856" spans="1:3" ht="13.5" thickBot="1" x14ac:dyDescent="0.25">
      <c r="A4856" s="3">
        <v>4596</v>
      </c>
      <c r="B4856" s="28"/>
      <c r="C4856" s="3" t="s">
        <v>7</v>
      </c>
    </row>
    <row r="4857" spans="1:3" ht="13.5" thickBot="1" x14ac:dyDescent="0.25">
      <c r="A4857" s="3">
        <v>5580</v>
      </c>
      <c r="B4857" s="28"/>
      <c r="C4857" s="3" t="s">
        <v>6</v>
      </c>
    </row>
    <row r="4858" spans="1:3" ht="13.5" thickBot="1" x14ac:dyDescent="0.25">
      <c r="A4858" s="3">
        <v>4831</v>
      </c>
      <c r="B4858" s="28"/>
      <c r="C4858" s="3" t="s">
        <v>4</v>
      </c>
    </row>
    <row r="4859" spans="1:3" ht="13.5" thickBot="1" x14ac:dyDescent="0.25">
      <c r="A4859" s="3">
        <v>7946</v>
      </c>
      <c r="B4859" s="28"/>
      <c r="C4859" s="3" t="s">
        <v>4</v>
      </c>
    </row>
    <row r="4860" spans="1:3" ht="13.5" thickBot="1" x14ac:dyDescent="0.25">
      <c r="A4860" s="3">
        <v>4831</v>
      </c>
      <c r="B4860" s="28"/>
      <c r="C4860" s="3" t="s">
        <v>7</v>
      </c>
    </row>
    <row r="4861" spans="1:3" ht="13.5" thickBot="1" x14ac:dyDescent="0.25">
      <c r="A4861" s="3">
        <v>878</v>
      </c>
      <c r="B4861" s="28"/>
      <c r="C4861" s="3" t="s">
        <v>6</v>
      </c>
    </row>
    <row r="4862" spans="1:3" ht="13.5" thickBot="1" x14ac:dyDescent="0.25">
      <c r="A4862" s="3">
        <v>6890</v>
      </c>
      <c r="B4862" s="28"/>
      <c r="C4862" s="3" t="s">
        <v>3</v>
      </c>
    </row>
    <row r="4863" spans="1:3" ht="13.5" thickBot="1" x14ac:dyDescent="0.25">
      <c r="A4863" s="3">
        <v>7172</v>
      </c>
      <c r="B4863" s="28"/>
      <c r="C4863" s="3" t="s">
        <v>7</v>
      </c>
    </row>
    <row r="4864" spans="1:3" ht="13.5" thickBot="1" x14ac:dyDescent="0.25">
      <c r="A4864" s="3">
        <v>5892</v>
      </c>
      <c r="B4864" s="28"/>
      <c r="C4864" s="3" t="s">
        <v>6</v>
      </c>
    </row>
    <row r="4865" spans="1:3" ht="13.5" thickBot="1" x14ac:dyDescent="0.25">
      <c r="A4865" s="3">
        <v>6179</v>
      </c>
      <c r="B4865" s="28"/>
      <c r="C4865" s="3" t="s">
        <v>3</v>
      </c>
    </row>
    <row r="4866" spans="1:3" ht="13.5" thickBot="1" x14ac:dyDescent="0.25">
      <c r="A4866" s="3">
        <v>4946</v>
      </c>
      <c r="B4866" s="28"/>
      <c r="C4866" s="3" t="s">
        <v>6</v>
      </c>
    </row>
    <row r="4867" spans="1:3" ht="13.5" thickBot="1" x14ac:dyDescent="0.25">
      <c r="A4867" s="3">
        <v>7946</v>
      </c>
      <c r="B4867" s="28"/>
      <c r="C4867" s="3" t="s">
        <v>7</v>
      </c>
    </row>
    <row r="4868" spans="1:3" ht="13.5" thickBot="1" x14ac:dyDescent="0.25">
      <c r="A4868" s="3">
        <v>5356</v>
      </c>
      <c r="B4868" s="28"/>
      <c r="C4868" s="3" t="s">
        <v>3</v>
      </c>
    </row>
    <row r="4869" spans="1:3" ht="13.5" thickBot="1" x14ac:dyDescent="0.25">
      <c r="A4869" s="3">
        <v>2499</v>
      </c>
      <c r="B4869" s="28"/>
      <c r="C4869" s="3" t="s">
        <v>4</v>
      </c>
    </row>
    <row r="4870" spans="1:3" ht="13.5" thickBot="1" x14ac:dyDescent="0.25">
      <c r="A4870" s="3">
        <v>4267</v>
      </c>
      <c r="B4870" s="28"/>
      <c r="C4870" s="3" t="s">
        <v>5</v>
      </c>
    </row>
    <row r="4871" spans="1:3" ht="13.5" thickBot="1" x14ac:dyDescent="0.25">
      <c r="A4871" s="3">
        <v>5496</v>
      </c>
      <c r="B4871" s="28"/>
      <c r="C4871" s="3" t="s">
        <v>4</v>
      </c>
    </row>
    <row r="4872" spans="1:3" ht="13.5" thickBot="1" x14ac:dyDescent="0.25">
      <c r="A4872" s="3">
        <v>7864</v>
      </c>
      <c r="B4872" s="28"/>
      <c r="C4872" s="3" t="s">
        <v>6</v>
      </c>
    </row>
    <row r="4873" spans="1:3" ht="13.5" thickBot="1" x14ac:dyDescent="0.25">
      <c r="A4873" s="3">
        <v>2499</v>
      </c>
      <c r="B4873" s="28"/>
      <c r="C4873" s="3" t="s">
        <v>5</v>
      </c>
    </row>
    <row r="4874" spans="1:3" ht="13.5" thickBot="1" x14ac:dyDescent="0.25">
      <c r="A4874" s="3">
        <v>3963</v>
      </c>
      <c r="B4874" s="28"/>
      <c r="C4874" s="3" t="s">
        <v>3</v>
      </c>
    </row>
    <row r="4875" spans="1:3" ht="13.5" thickBot="1" x14ac:dyDescent="0.25">
      <c r="A4875" s="3">
        <v>7611</v>
      </c>
      <c r="B4875" s="28"/>
      <c r="C4875" s="3" t="s">
        <v>3</v>
      </c>
    </row>
    <row r="4876" spans="1:3" ht="13.5" thickBot="1" x14ac:dyDescent="0.25">
      <c r="A4876" s="3">
        <v>5358</v>
      </c>
      <c r="B4876" s="28"/>
      <c r="C4876" s="3" t="s">
        <v>7</v>
      </c>
    </row>
    <row r="4877" spans="1:3" ht="13.5" thickBot="1" x14ac:dyDescent="0.25">
      <c r="A4877" s="3">
        <v>2636</v>
      </c>
      <c r="B4877" s="28"/>
      <c r="C4877" s="3" t="s">
        <v>4</v>
      </c>
    </row>
    <row r="4878" spans="1:3" ht="13.5" thickBot="1" x14ac:dyDescent="0.25">
      <c r="A4878" s="3">
        <v>1412</v>
      </c>
      <c r="B4878" s="28"/>
      <c r="C4878" s="3" t="s">
        <v>4</v>
      </c>
    </row>
    <row r="4879" spans="1:3" ht="13.5" thickBot="1" x14ac:dyDescent="0.25">
      <c r="A4879" s="3">
        <v>1336</v>
      </c>
      <c r="B4879" s="28"/>
      <c r="C4879" s="3" t="s">
        <v>6</v>
      </c>
    </row>
    <row r="4880" spans="1:3" ht="13.5" thickBot="1" x14ac:dyDescent="0.25">
      <c r="A4880" s="3">
        <v>5413</v>
      </c>
      <c r="B4880" s="28"/>
      <c r="C4880" s="3" t="s">
        <v>3</v>
      </c>
    </row>
    <row r="4881" spans="1:3" ht="13.5" thickBot="1" x14ac:dyDescent="0.25">
      <c r="A4881" s="3">
        <v>2499</v>
      </c>
      <c r="B4881" s="28"/>
      <c r="C4881" s="3" t="s">
        <v>7</v>
      </c>
    </row>
    <row r="4882" spans="1:3" ht="13.5" thickBot="1" x14ac:dyDescent="0.25">
      <c r="A4882" s="3">
        <v>4405</v>
      </c>
      <c r="B4882" s="28"/>
      <c r="C4882" s="3" t="s">
        <v>6</v>
      </c>
    </row>
    <row r="4883" spans="1:3" ht="13.5" thickBot="1" x14ac:dyDescent="0.25">
      <c r="A4883" s="3">
        <v>3124</v>
      </c>
      <c r="B4883" s="28"/>
      <c r="C4883" s="3" t="s">
        <v>4</v>
      </c>
    </row>
    <row r="4884" spans="1:3" ht="13.5" thickBot="1" x14ac:dyDescent="0.25">
      <c r="A4884" s="3">
        <v>880</v>
      </c>
      <c r="B4884" s="28"/>
      <c r="C4884" s="3" t="s">
        <v>6</v>
      </c>
    </row>
    <row r="4885" spans="1:3" ht="13.5" thickBot="1" x14ac:dyDescent="0.25">
      <c r="A4885" s="3">
        <v>3621</v>
      </c>
      <c r="B4885" s="28"/>
      <c r="C4885" s="3" t="s">
        <v>7</v>
      </c>
    </row>
    <row r="4886" spans="1:3" ht="13.5" thickBot="1" x14ac:dyDescent="0.25">
      <c r="A4886" s="3">
        <v>4596</v>
      </c>
      <c r="B4886" s="28"/>
      <c r="C4886" s="3" t="s">
        <v>5</v>
      </c>
    </row>
    <row r="4887" spans="1:3" ht="13.5" thickBot="1" x14ac:dyDescent="0.25">
      <c r="A4887" s="3">
        <v>839</v>
      </c>
      <c r="B4887" s="28"/>
      <c r="C4887" s="3" t="s">
        <v>6</v>
      </c>
    </row>
    <row r="4888" spans="1:3" ht="13.5" thickBot="1" x14ac:dyDescent="0.25">
      <c r="A4888" s="3">
        <v>82</v>
      </c>
      <c r="B4888" s="28"/>
      <c r="C4888" s="3" t="s">
        <v>3</v>
      </c>
    </row>
    <row r="4889" spans="1:3" ht="13.5" thickBot="1" x14ac:dyDescent="0.25">
      <c r="A4889" s="3">
        <v>433</v>
      </c>
      <c r="B4889" s="28"/>
      <c r="C4889" s="3" t="s">
        <v>5</v>
      </c>
    </row>
    <row r="4890" spans="1:3" ht="13.5" thickBot="1" x14ac:dyDescent="0.25">
      <c r="A4890" s="3">
        <v>2463</v>
      </c>
      <c r="B4890" s="28"/>
      <c r="C4890" s="3" t="s">
        <v>7</v>
      </c>
    </row>
    <row r="4891" spans="1:3" ht="13.5" thickBot="1" x14ac:dyDescent="0.25">
      <c r="A4891" s="3">
        <v>2499</v>
      </c>
      <c r="B4891" s="28"/>
      <c r="C4891" s="3" t="s">
        <v>6</v>
      </c>
    </row>
    <row r="4892" spans="1:3" ht="13.5" thickBot="1" x14ac:dyDescent="0.25">
      <c r="A4892" s="3">
        <v>7004</v>
      </c>
      <c r="B4892" s="28"/>
      <c r="C4892" s="3" t="s">
        <v>3</v>
      </c>
    </row>
    <row r="4893" spans="1:3" ht="13.5" thickBot="1" x14ac:dyDescent="0.25">
      <c r="A4893" s="3">
        <v>314</v>
      </c>
      <c r="B4893" s="28"/>
      <c r="C4893" s="3" t="s">
        <v>3</v>
      </c>
    </row>
    <row r="4894" spans="1:3" ht="13.5" thickBot="1" x14ac:dyDescent="0.25">
      <c r="A4894" s="3">
        <v>4371</v>
      </c>
      <c r="B4894" s="28"/>
      <c r="C4894" s="3" t="s">
        <v>6</v>
      </c>
    </row>
    <row r="4895" spans="1:3" ht="13.5" thickBot="1" x14ac:dyDescent="0.25">
      <c r="A4895" s="3">
        <v>1041</v>
      </c>
      <c r="B4895" s="28"/>
      <c r="C4895" s="3" t="s">
        <v>3</v>
      </c>
    </row>
    <row r="4896" spans="1:3" ht="13.5" thickBot="1" x14ac:dyDescent="0.25">
      <c r="A4896" s="3">
        <v>461</v>
      </c>
      <c r="B4896" s="28"/>
      <c r="C4896" s="3" t="s">
        <v>3</v>
      </c>
    </row>
    <row r="4897" spans="1:3" ht="13.5" thickBot="1" x14ac:dyDescent="0.25">
      <c r="A4897" s="3">
        <v>983</v>
      </c>
      <c r="B4897" s="28"/>
      <c r="C4897" s="3" t="s">
        <v>3</v>
      </c>
    </row>
    <row r="4898" spans="1:3" ht="13.5" thickBot="1" x14ac:dyDescent="0.25">
      <c r="A4898" s="3">
        <v>3090</v>
      </c>
      <c r="B4898" s="28"/>
      <c r="C4898" s="3" t="s">
        <v>3</v>
      </c>
    </row>
    <row r="4899" spans="1:3" ht="13.5" thickBot="1" x14ac:dyDescent="0.25">
      <c r="A4899" s="3">
        <v>7469</v>
      </c>
      <c r="B4899" s="28"/>
      <c r="C4899" s="3" t="s">
        <v>3</v>
      </c>
    </row>
    <row r="4900" spans="1:3" ht="13.5" thickBot="1" x14ac:dyDescent="0.25">
      <c r="A4900" s="3">
        <v>6765</v>
      </c>
      <c r="B4900" s="28"/>
      <c r="C4900" s="3" t="s">
        <v>3</v>
      </c>
    </row>
    <row r="4901" spans="1:3" ht="13.5" thickBot="1" x14ac:dyDescent="0.25">
      <c r="A4901" s="3">
        <v>878</v>
      </c>
      <c r="B4901" s="28"/>
      <c r="C4901" s="3" t="s">
        <v>4</v>
      </c>
    </row>
    <row r="4902" spans="1:3" ht="13.5" thickBot="1" x14ac:dyDescent="0.25">
      <c r="A4902" s="3">
        <v>7044</v>
      </c>
      <c r="B4902" s="28"/>
      <c r="C4902" s="3" t="s">
        <v>6</v>
      </c>
    </row>
    <row r="4903" spans="1:3" ht="13.5" thickBot="1" x14ac:dyDescent="0.25">
      <c r="A4903" s="3">
        <v>2303</v>
      </c>
      <c r="B4903" s="28"/>
      <c r="C4903" s="3" t="s">
        <v>7</v>
      </c>
    </row>
    <row r="4904" spans="1:3" ht="13.5" thickBot="1" x14ac:dyDescent="0.25">
      <c r="A4904" s="3">
        <v>314</v>
      </c>
      <c r="B4904" s="28"/>
      <c r="C4904" s="3" t="s">
        <v>4</v>
      </c>
    </row>
    <row r="4905" spans="1:3" ht="13.5" thickBot="1" x14ac:dyDescent="0.25">
      <c r="A4905" s="3">
        <v>5112</v>
      </c>
      <c r="B4905" s="28"/>
      <c r="C4905" s="3" t="s">
        <v>3</v>
      </c>
    </row>
    <row r="4906" spans="1:3" ht="13.5" thickBot="1" x14ac:dyDescent="0.25">
      <c r="A4906" s="3">
        <v>4356</v>
      </c>
      <c r="B4906" s="28"/>
      <c r="C4906" s="3" t="s">
        <v>7</v>
      </c>
    </row>
    <row r="4907" spans="1:3" ht="13.5" thickBot="1" x14ac:dyDescent="0.25">
      <c r="A4907" s="3">
        <v>7002</v>
      </c>
      <c r="B4907" s="28"/>
      <c r="C4907" s="3" t="s">
        <v>3</v>
      </c>
    </row>
    <row r="4908" spans="1:3" ht="13.5" thickBot="1" x14ac:dyDescent="0.25">
      <c r="A4908" s="3">
        <v>983</v>
      </c>
      <c r="B4908" s="28"/>
      <c r="C4908" s="3" t="s">
        <v>4</v>
      </c>
    </row>
    <row r="4909" spans="1:3" ht="13.5" thickBot="1" x14ac:dyDescent="0.25">
      <c r="A4909" s="3">
        <v>6783</v>
      </c>
      <c r="B4909" s="28"/>
      <c r="C4909" s="3" t="s">
        <v>3</v>
      </c>
    </row>
    <row r="4910" spans="1:3" ht="13.5" thickBot="1" x14ac:dyDescent="0.25">
      <c r="A4910" s="3">
        <v>4000</v>
      </c>
      <c r="B4910" s="28"/>
      <c r="C4910" s="3" t="s">
        <v>3</v>
      </c>
    </row>
    <row r="4911" spans="1:3" ht="13.5" thickBot="1" x14ac:dyDescent="0.25">
      <c r="A4911" s="3">
        <v>1415</v>
      </c>
      <c r="B4911" s="28"/>
      <c r="C4911" s="3" t="s">
        <v>7</v>
      </c>
    </row>
    <row r="4912" spans="1:3" ht="13.5" thickBot="1" x14ac:dyDescent="0.25">
      <c r="A4912" s="3">
        <v>880</v>
      </c>
      <c r="B4912" s="28"/>
      <c r="C4912" s="3" t="s">
        <v>7</v>
      </c>
    </row>
    <row r="4913" spans="1:3" ht="13.5" thickBot="1" x14ac:dyDescent="0.25">
      <c r="A4913" s="3">
        <v>3175</v>
      </c>
      <c r="B4913" s="28"/>
      <c r="C4913" s="3" t="s">
        <v>3</v>
      </c>
    </row>
    <row r="4914" spans="1:3" ht="13.5" thickBot="1" x14ac:dyDescent="0.25">
      <c r="A4914" s="3">
        <v>6063</v>
      </c>
      <c r="B4914" s="28"/>
      <c r="C4914" s="3" t="s">
        <v>7</v>
      </c>
    </row>
    <row r="4915" spans="1:3" ht="13.5" thickBot="1" x14ac:dyDescent="0.25">
      <c r="A4915" s="3">
        <v>6607</v>
      </c>
      <c r="B4915" s="28"/>
      <c r="C4915" s="3" t="s">
        <v>3</v>
      </c>
    </row>
    <row r="4916" spans="1:3" ht="13.5" thickBot="1" x14ac:dyDescent="0.25">
      <c r="A4916" s="3">
        <v>110</v>
      </c>
      <c r="B4916" s="28"/>
      <c r="C4916" s="3" t="s">
        <v>3</v>
      </c>
    </row>
    <row r="4917" spans="1:3" ht="13.5" thickBot="1" x14ac:dyDescent="0.25">
      <c r="A4917" s="3">
        <v>880</v>
      </c>
      <c r="B4917" s="28"/>
      <c r="C4917" s="3" t="s">
        <v>5</v>
      </c>
    </row>
    <row r="4918" spans="1:3" ht="13.5" thickBot="1" x14ac:dyDescent="0.25">
      <c r="A4918" s="3">
        <v>6998</v>
      </c>
      <c r="B4918" s="28"/>
      <c r="C4918" s="3" t="s">
        <v>3</v>
      </c>
    </row>
    <row r="4919" spans="1:3" ht="13.5" thickBot="1" x14ac:dyDescent="0.25">
      <c r="A4919" s="3">
        <v>7875</v>
      </c>
      <c r="B4919" s="28"/>
      <c r="C4919" s="3" t="s">
        <v>6</v>
      </c>
    </row>
    <row r="4920" spans="1:3" ht="13.5" thickBot="1" x14ac:dyDescent="0.25">
      <c r="A4920" s="3">
        <v>322</v>
      </c>
      <c r="B4920" s="28"/>
      <c r="C4920" s="3" t="s">
        <v>6</v>
      </c>
    </row>
    <row r="4921" spans="1:3" ht="13.5" thickBot="1" x14ac:dyDescent="0.25">
      <c r="A4921" s="3">
        <v>6063</v>
      </c>
      <c r="B4921" s="28"/>
      <c r="C4921" s="3" t="s">
        <v>5</v>
      </c>
    </row>
    <row r="4922" spans="1:3" ht="13.5" thickBot="1" x14ac:dyDescent="0.25">
      <c r="A4922" s="3">
        <v>4356</v>
      </c>
      <c r="B4922" s="28"/>
      <c r="C4922" s="3" t="s">
        <v>6</v>
      </c>
    </row>
    <row r="4923" spans="1:3" ht="13.5" thickBot="1" x14ac:dyDescent="0.25">
      <c r="A4923" s="3">
        <v>3001</v>
      </c>
      <c r="B4923" s="28"/>
      <c r="C4923" s="3" t="s">
        <v>3</v>
      </c>
    </row>
    <row r="4924" spans="1:3" ht="13.5" thickBot="1" x14ac:dyDescent="0.25">
      <c r="A4924" s="3">
        <v>1432</v>
      </c>
      <c r="B4924" s="28"/>
      <c r="C4924" s="3" t="s">
        <v>3</v>
      </c>
    </row>
    <row r="4925" spans="1:3" ht="13.5" thickBot="1" x14ac:dyDescent="0.25">
      <c r="A4925" s="3">
        <v>1403</v>
      </c>
      <c r="B4925" s="28"/>
      <c r="C4925" s="3" t="s">
        <v>6</v>
      </c>
    </row>
    <row r="4926" spans="1:3" ht="13.5" thickBot="1" x14ac:dyDescent="0.25">
      <c r="A4926" s="3">
        <v>3186</v>
      </c>
      <c r="B4926" s="28"/>
      <c r="C4926" s="3" t="s">
        <v>3</v>
      </c>
    </row>
    <row r="4927" spans="1:3" ht="13.5" thickBot="1" x14ac:dyDescent="0.25">
      <c r="A4927" s="3">
        <v>2178</v>
      </c>
      <c r="B4927" s="28"/>
      <c r="C4927" s="3" t="s">
        <v>4</v>
      </c>
    </row>
    <row r="4928" spans="1:3" ht="13.5" thickBot="1" x14ac:dyDescent="0.25">
      <c r="A4928" s="3">
        <v>1787</v>
      </c>
      <c r="B4928" s="28"/>
      <c r="C4928" s="3" t="s">
        <v>6</v>
      </c>
    </row>
    <row r="4929" spans="1:3" ht="13.5" thickBot="1" x14ac:dyDescent="0.25">
      <c r="A4929" s="3">
        <v>6247</v>
      </c>
      <c r="B4929" s="28"/>
      <c r="C4929" s="3" t="s">
        <v>6</v>
      </c>
    </row>
    <row r="4930" spans="1:3" ht="13.5" thickBot="1" x14ac:dyDescent="0.25">
      <c r="A4930" s="3">
        <v>5657</v>
      </c>
      <c r="B4930" s="28"/>
      <c r="C4930" s="3" t="s">
        <v>4</v>
      </c>
    </row>
    <row r="4931" spans="1:3" ht="13.5" thickBot="1" x14ac:dyDescent="0.25">
      <c r="A4931" s="3">
        <v>24</v>
      </c>
      <c r="B4931" s="28"/>
      <c r="C4931" s="3" t="s">
        <v>4</v>
      </c>
    </row>
    <row r="4932" spans="1:3" ht="13.5" thickBot="1" x14ac:dyDescent="0.25">
      <c r="A4932" s="3">
        <v>3394</v>
      </c>
      <c r="B4932" s="28"/>
      <c r="C4932" s="3" t="s">
        <v>3</v>
      </c>
    </row>
    <row r="4933" spans="1:3" ht="13.5" thickBot="1" x14ac:dyDescent="0.25">
      <c r="A4933" s="3">
        <v>6890</v>
      </c>
      <c r="B4933" s="28"/>
      <c r="C4933" s="3" t="s">
        <v>4</v>
      </c>
    </row>
    <row r="4934" spans="1:3" ht="13.5" thickBot="1" x14ac:dyDescent="0.25">
      <c r="A4934" s="3">
        <v>1415</v>
      </c>
      <c r="B4934" s="28"/>
      <c r="C4934" s="3" t="s">
        <v>5</v>
      </c>
    </row>
    <row r="4935" spans="1:3" ht="13.5" thickBot="1" x14ac:dyDescent="0.25">
      <c r="A4935" s="3">
        <v>1018</v>
      </c>
      <c r="B4935" s="28"/>
      <c r="C4935" s="3" t="s">
        <v>3</v>
      </c>
    </row>
    <row r="4936" spans="1:3" ht="13.5" thickBot="1" x14ac:dyDescent="0.25">
      <c r="A4936" s="3">
        <v>368</v>
      </c>
      <c r="B4936" s="28"/>
      <c r="C4936" s="3" t="s">
        <v>6</v>
      </c>
    </row>
    <row r="4937" spans="1:3" ht="13.5" thickBot="1" x14ac:dyDescent="0.25">
      <c r="A4937" s="3">
        <v>7682</v>
      </c>
      <c r="B4937" s="28"/>
      <c r="C4937" s="3" t="s">
        <v>6</v>
      </c>
    </row>
    <row r="4938" spans="1:3" ht="13.5" thickBot="1" x14ac:dyDescent="0.25">
      <c r="A4938" s="3">
        <v>860</v>
      </c>
      <c r="B4938" s="28"/>
      <c r="C4938" s="3" t="s">
        <v>4</v>
      </c>
    </row>
    <row r="4939" spans="1:3" ht="13.5" thickBot="1" x14ac:dyDescent="0.25">
      <c r="A4939" s="3">
        <v>7825</v>
      </c>
      <c r="B4939" s="28"/>
      <c r="C4939" s="3" t="s">
        <v>3</v>
      </c>
    </row>
    <row r="4940" spans="1:3" ht="13.5" thickBot="1" x14ac:dyDescent="0.25">
      <c r="A4940" s="3">
        <v>3951</v>
      </c>
      <c r="B4940" s="28"/>
      <c r="C4940" s="3" t="s">
        <v>3</v>
      </c>
    </row>
    <row r="4941" spans="1:3" ht="13.5" thickBot="1" x14ac:dyDescent="0.25">
      <c r="A4941" s="3">
        <v>7318</v>
      </c>
      <c r="B4941" s="28"/>
      <c r="C4941" s="3" t="s">
        <v>3</v>
      </c>
    </row>
    <row r="4942" spans="1:3" ht="13.5" thickBot="1" x14ac:dyDescent="0.25">
      <c r="A4942" s="3">
        <v>7875</v>
      </c>
      <c r="B4942" s="28"/>
      <c r="C4942" s="3" t="s">
        <v>4</v>
      </c>
    </row>
    <row r="4943" spans="1:3" ht="13.5" thickBot="1" x14ac:dyDescent="0.25">
      <c r="A4943" s="3">
        <v>998</v>
      </c>
      <c r="B4943" s="28"/>
      <c r="C4943" s="3" t="s">
        <v>6</v>
      </c>
    </row>
    <row r="4944" spans="1:3" ht="13.5" thickBot="1" x14ac:dyDescent="0.25">
      <c r="A4944" s="3">
        <v>5849</v>
      </c>
      <c r="B4944" s="28"/>
      <c r="C4944" s="3" t="s">
        <v>6</v>
      </c>
    </row>
    <row r="4945" spans="1:3" ht="13.5" thickBot="1" x14ac:dyDescent="0.25">
      <c r="A4945" s="3">
        <v>365</v>
      </c>
      <c r="B4945" s="28"/>
      <c r="C4945" s="3" t="s">
        <v>3</v>
      </c>
    </row>
    <row r="4946" spans="1:3" ht="13.5" thickBot="1" x14ac:dyDescent="0.25">
      <c r="A4946" s="3">
        <v>5775</v>
      </c>
      <c r="B4946" s="28"/>
      <c r="C4946" s="3" t="s">
        <v>6</v>
      </c>
    </row>
    <row r="4947" spans="1:3" ht="13.5" thickBot="1" x14ac:dyDescent="0.25">
      <c r="A4947" s="3">
        <v>975</v>
      </c>
      <c r="B4947" s="28"/>
      <c r="C4947" s="3" t="s">
        <v>3</v>
      </c>
    </row>
    <row r="4948" spans="1:3" ht="13.5" thickBot="1" x14ac:dyDescent="0.25">
      <c r="A4948" s="3">
        <v>4479</v>
      </c>
      <c r="B4948" s="28"/>
      <c r="C4948" s="3" t="s">
        <v>4</v>
      </c>
    </row>
    <row r="4949" spans="1:3" ht="13.5" thickBot="1" x14ac:dyDescent="0.25">
      <c r="A4949" s="3">
        <v>2023</v>
      </c>
      <c r="B4949" s="28"/>
      <c r="C4949" s="3" t="s">
        <v>5</v>
      </c>
    </row>
    <row r="4950" spans="1:3" ht="13.5" thickBot="1" x14ac:dyDescent="0.25">
      <c r="A4950" s="3">
        <v>7226</v>
      </c>
      <c r="B4950" s="28"/>
      <c r="C4950" s="3" t="s">
        <v>6</v>
      </c>
    </row>
    <row r="4951" spans="1:3" ht="13.5" thickBot="1" x14ac:dyDescent="0.25">
      <c r="A4951" s="3">
        <v>406</v>
      </c>
      <c r="B4951" s="28"/>
      <c r="C4951" s="3" t="s">
        <v>3</v>
      </c>
    </row>
    <row r="4952" spans="1:3" ht="13.5" thickBot="1" x14ac:dyDescent="0.25">
      <c r="A4952" s="3">
        <v>3568</v>
      </c>
      <c r="B4952" s="28"/>
      <c r="C4952" s="3" t="s">
        <v>6</v>
      </c>
    </row>
    <row r="4953" spans="1:3" ht="13.5" thickBot="1" x14ac:dyDescent="0.25">
      <c r="A4953" s="3">
        <v>322</v>
      </c>
      <c r="B4953" s="28"/>
      <c r="C4953" s="3" t="s">
        <v>7</v>
      </c>
    </row>
    <row r="4954" spans="1:3" ht="13.5" thickBot="1" x14ac:dyDescent="0.25">
      <c r="A4954" s="3">
        <v>4314</v>
      </c>
      <c r="B4954" s="28"/>
      <c r="C4954" s="3" t="s">
        <v>7</v>
      </c>
    </row>
    <row r="4955" spans="1:3" ht="13.5" thickBot="1" x14ac:dyDescent="0.25">
      <c r="A4955" s="3">
        <v>6195</v>
      </c>
      <c r="B4955" s="28"/>
      <c r="C4955" s="3" t="s">
        <v>3</v>
      </c>
    </row>
    <row r="4956" spans="1:3" ht="13.5" thickBot="1" x14ac:dyDescent="0.25">
      <c r="A4956" s="3">
        <v>86</v>
      </c>
      <c r="B4956" s="28"/>
      <c r="C4956" s="3" t="s">
        <v>3</v>
      </c>
    </row>
    <row r="4957" spans="1:3" ht="13.5" thickBot="1" x14ac:dyDescent="0.25">
      <c r="A4957" s="3">
        <v>2023</v>
      </c>
      <c r="B4957" s="28"/>
      <c r="C4957" s="3" t="s">
        <v>4</v>
      </c>
    </row>
    <row r="4958" spans="1:3" ht="13.5" thickBot="1" x14ac:dyDescent="0.25">
      <c r="A4958" s="3">
        <v>2488</v>
      </c>
      <c r="B4958" s="28"/>
      <c r="C4958" s="3" t="s">
        <v>7</v>
      </c>
    </row>
    <row r="4959" spans="1:3" ht="13.5" thickBot="1" x14ac:dyDescent="0.25">
      <c r="A4959" s="3">
        <v>4946</v>
      </c>
      <c r="B4959" s="28"/>
      <c r="C4959" s="3" t="s">
        <v>7</v>
      </c>
    </row>
    <row r="4960" spans="1:3" ht="13.5" thickBot="1" x14ac:dyDescent="0.25">
      <c r="A4960" s="3">
        <v>24</v>
      </c>
      <c r="B4960" s="28"/>
      <c r="C4960" s="3" t="s">
        <v>3</v>
      </c>
    </row>
    <row r="4961" spans="1:3" ht="13.5" thickBot="1" x14ac:dyDescent="0.25">
      <c r="A4961" s="3">
        <v>2211</v>
      </c>
      <c r="B4961" s="28"/>
      <c r="C4961" s="3" t="s">
        <v>3</v>
      </c>
    </row>
    <row r="4962" spans="1:3" ht="13.5" thickBot="1" x14ac:dyDescent="0.25">
      <c r="A4962" s="3">
        <v>3246</v>
      </c>
      <c r="B4962" s="28"/>
      <c r="C4962" s="3" t="s">
        <v>6</v>
      </c>
    </row>
    <row r="4963" spans="1:3" ht="13.5" thickBot="1" x14ac:dyDescent="0.25">
      <c r="A4963" s="3">
        <v>4077</v>
      </c>
      <c r="B4963" s="28"/>
      <c r="C4963" s="3" t="s">
        <v>3</v>
      </c>
    </row>
    <row r="4964" spans="1:3" ht="13.5" thickBot="1" x14ac:dyDescent="0.25">
      <c r="A4964" s="3">
        <v>49</v>
      </c>
      <c r="B4964" s="28"/>
      <c r="C4964" s="3" t="s">
        <v>6</v>
      </c>
    </row>
    <row r="4965" spans="1:3" ht="13.5" thickBot="1" x14ac:dyDescent="0.25">
      <c r="A4965" s="3">
        <v>260</v>
      </c>
      <c r="B4965" s="28"/>
      <c r="C4965" s="3" t="s">
        <v>7</v>
      </c>
    </row>
    <row r="4966" spans="1:3" ht="13.5" thickBot="1" x14ac:dyDescent="0.25">
      <c r="A4966" s="3">
        <v>6335</v>
      </c>
      <c r="B4966" s="28"/>
      <c r="C4966" s="3" t="s">
        <v>3</v>
      </c>
    </row>
    <row r="4967" spans="1:3" ht="13.5" thickBot="1" x14ac:dyDescent="0.25">
      <c r="A4967" s="3">
        <v>2488</v>
      </c>
      <c r="B4967" s="28"/>
      <c r="C4967" s="3" t="s">
        <v>5</v>
      </c>
    </row>
    <row r="4968" spans="1:3" ht="13.5" thickBot="1" x14ac:dyDescent="0.25">
      <c r="A4968" s="3">
        <v>7002</v>
      </c>
      <c r="B4968" s="28"/>
      <c r="C4968" s="3" t="s">
        <v>7</v>
      </c>
    </row>
    <row r="4969" spans="1:3" ht="13.5" thickBot="1" x14ac:dyDescent="0.25">
      <c r="A4969" s="3">
        <v>1707</v>
      </c>
      <c r="B4969" s="28"/>
      <c r="C4969" s="3" t="s">
        <v>6</v>
      </c>
    </row>
    <row r="4970" spans="1:3" ht="13.5" thickBot="1" x14ac:dyDescent="0.25">
      <c r="A4970" s="3">
        <v>34</v>
      </c>
      <c r="B4970" s="28"/>
      <c r="C4970" s="3" t="s">
        <v>3</v>
      </c>
    </row>
    <row r="4971" spans="1:3" ht="13.5" thickBot="1" x14ac:dyDescent="0.25">
      <c r="A4971" s="3">
        <v>3765</v>
      </c>
      <c r="B4971" s="28"/>
      <c r="C4971" s="3" t="s">
        <v>3</v>
      </c>
    </row>
    <row r="4972" spans="1:3" ht="13.5" thickBot="1" x14ac:dyDescent="0.25">
      <c r="A4972" s="3">
        <v>7829</v>
      </c>
      <c r="B4972" s="28"/>
      <c r="C4972" s="3" t="s">
        <v>6</v>
      </c>
    </row>
    <row r="4973" spans="1:3" ht="13.5" thickBot="1" x14ac:dyDescent="0.25">
      <c r="A4973" s="3">
        <v>4077</v>
      </c>
      <c r="B4973" s="28"/>
      <c r="C4973" s="3" t="s">
        <v>4</v>
      </c>
    </row>
    <row r="4974" spans="1:3" ht="13.5" thickBot="1" x14ac:dyDescent="0.25">
      <c r="A4974" s="3">
        <v>7186</v>
      </c>
      <c r="B4974" s="28"/>
      <c r="C4974" s="3" t="s">
        <v>3</v>
      </c>
    </row>
    <row r="4975" spans="1:3" ht="13.5" thickBot="1" x14ac:dyDescent="0.25">
      <c r="A4975" s="3">
        <v>3298</v>
      </c>
      <c r="B4975" s="28"/>
      <c r="C4975" s="3" t="s">
        <v>3</v>
      </c>
    </row>
    <row r="4976" spans="1:3" ht="13.5" thickBot="1" x14ac:dyDescent="0.25">
      <c r="A4976" s="3">
        <v>5488</v>
      </c>
      <c r="B4976" s="28"/>
      <c r="C4976" s="3" t="s">
        <v>3</v>
      </c>
    </row>
    <row r="4977" spans="1:3" ht="13.5" thickBot="1" x14ac:dyDescent="0.25">
      <c r="A4977" s="3">
        <v>4382</v>
      </c>
      <c r="B4977" s="28"/>
      <c r="C4977" s="3" t="s">
        <v>4</v>
      </c>
    </row>
    <row r="4978" spans="1:3" ht="13.5" thickBot="1" x14ac:dyDescent="0.25">
      <c r="A4978" s="3">
        <v>3124</v>
      </c>
      <c r="B4978" s="28"/>
      <c r="C4978" s="3" t="s">
        <v>7</v>
      </c>
    </row>
    <row r="4979" spans="1:3" ht="13.5" thickBot="1" x14ac:dyDescent="0.25">
      <c r="A4979" s="3">
        <v>7797</v>
      </c>
      <c r="B4979" s="28"/>
      <c r="C4979" s="3" t="s">
        <v>3</v>
      </c>
    </row>
    <row r="4980" spans="1:3" ht="13.5" thickBot="1" x14ac:dyDescent="0.25">
      <c r="A4980" s="3">
        <v>6607</v>
      </c>
      <c r="B4980" s="28"/>
      <c r="C4980" s="3" t="s">
        <v>4</v>
      </c>
    </row>
    <row r="4981" spans="1:3" ht="13.5" thickBot="1" x14ac:dyDescent="0.25">
      <c r="A4981" s="3">
        <v>5752</v>
      </c>
      <c r="B4981" s="28"/>
      <c r="C4981" s="3" t="s">
        <v>6</v>
      </c>
    </row>
    <row r="4982" spans="1:3" ht="13.5" thickBot="1" x14ac:dyDescent="0.25">
      <c r="A4982" s="3">
        <v>5495</v>
      </c>
      <c r="B4982" s="28"/>
      <c r="C4982" s="3" t="s">
        <v>7</v>
      </c>
    </row>
    <row r="4983" spans="1:3" ht="13.5" thickBot="1" x14ac:dyDescent="0.25">
      <c r="A4983" s="3">
        <v>365</v>
      </c>
      <c r="B4983" s="28"/>
      <c r="C4983" s="3" t="s">
        <v>4</v>
      </c>
    </row>
    <row r="4984" spans="1:3" ht="13.5" thickBot="1" x14ac:dyDescent="0.25">
      <c r="A4984" s="3">
        <v>3839</v>
      </c>
      <c r="B4984" s="28"/>
      <c r="C4984" s="3" t="s">
        <v>3</v>
      </c>
    </row>
    <row r="4985" spans="1:3" ht="13.5" thickBot="1" x14ac:dyDescent="0.25">
      <c r="A4985" s="3">
        <v>6972</v>
      </c>
      <c r="B4985" s="28"/>
      <c r="C4985" s="3" t="s">
        <v>3</v>
      </c>
    </row>
    <row r="4986" spans="1:3" ht="13.5" thickBot="1" x14ac:dyDescent="0.25">
      <c r="A4986" s="3">
        <v>1079</v>
      </c>
      <c r="B4986" s="28"/>
      <c r="C4986" s="3" t="s">
        <v>3</v>
      </c>
    </row>
    <row r="4987" spans="1:3" ht="13.5" thickBot="1" x14ac:dyDescent="0.25">
      <c r="A4987" s="3">
        <v>1365</v>
      </c>
      <c r="B4987" s="28"/>
      <c r="C4987" s="3" t="s">
        <v>4</v>
      </c>
    </row>
    <row r="4988" spans="1:3" ht="13.5" thickBot="1" x14ac:dyDescent="0.25">
      <c r="A4988" s="3">
        <v>2023</v>
      </c>
      <c r="B4988" s="28"/>
      <c r="C4988" s="3" t="s">
        <v>7</v>
      </c>
    </row>
    <row r="4989" spans="1:3" ht="13.5" thickBot="1" x14ac:dyDescent="0.25">
      <c r="A4989" s="3">
        <v>5474</v>
      </c>
      <c r="B4989" s="28"/>
      <c r="C4989" s="3" t="s">
        <v>3</v>
      </c>
    </row>
    <row r="4990" spans="1:3" ht="13.5" thickBot="1" x14ac:dyDescent="0.25">
      <c r="A4990" s="3">
        <v>6745</v>
      </c>
      <c r="B4990" s="28"/>
      <c r="C4990" s="3" t="s">
        <v>6</v>
      </c>
    </row>
    <row r="4991" spans="1:3" ht="13.5" thickBot="1" x14ac:dyDescent="0.25">
      <c r="A4991" s="3">
        <v>3186</v>
      </c>
      <c r="B4991" s="28"/>
      <c r="C4991" s="3" t="s">
        <v>7</v>
      </c>
    </row>
    <row r="4992" spans="1:3" ht="13.5" thickBot="1" x14ac:dyDescent="0.25">
      <c r="A4992" s="3">
        <v>6628</v>
      </c>
      <c r="B4992" s="28"/>
      <c r="C4992" s="3" t="s">
        <v>3</v>
      </c>
    </row>
    <row r="4993" spans="1:3" ht="13.5" thickBot="1" x14ac:dyDescent="0.25">
      <c r="A4993" s="3">
        <v>1365</v>
      </c>
      <c r="B4993" s="28"/>
      <c r="C4993" s="3" t="s">
        <v>3</v>
      </c>
    </row>
    <row r="4994" spans="1:3" ht="13.5" thickBot="1" x14ac:dyDescent="0.25">
      <c r="A4994" s="3">
        <v>2949</v>
      </c>
      <c r="B4994" s="28"/>
      <c r="C4994" s="3" t="s">
        <v>3</v>
      </c>
    </row>
    <row r="4995" spans="1:3" ht="13.5" thickBot="1" x14ac:dyDescent="0.25">
      <c r="A4995" s="3">
        <v>7301</v>
      </c>
      <c r="B4995" s="28"/>
      <c r="C4995" s="3" t="s">
        <v>4</v>
      </c>
    </row>
    <row r="4996" spans="1:3" ht="13.5" thickBot="1" x14ac:dyDescent="0.25">
      <c r="A4996" s="3">
        <v>4502</v>
      </c>
      <c r="B4996" s="28"/>
      <c r="C4996" s="3" t="s">
        <v>3</v>
      </c>
    </row>
    <row r="4997" spans="1:3" ht="13.5" thickBot="1" x14ac:dyDescent="0.25">
      <c r="A4997" s="3">
        <v>1653</v>
      </c>
      <c r="B4997" s="28"/>
      <c r="C4997" s="3" t="s">
        <v>3</v>
      </c>
    </row>
    <row r="4998" spans="1:3" ht="13.5" thickBot="1" x14ac:dyDescent="0.25">
      <c r="A4998" s="3">
        <v>1018</v>
      </c>
      <c r="B4998" s="28"/>
      <c r="C4998" s="3" t="s">
        <v>6</v>
      </c>
    </row>
    <row r="4999" spans="1:3" ht="13.5" thickBot="1" x14ac:dyDescent="0.25">
      <c r="A4999" s="3">
        <v>6493</v>
      </c>
      <c r="B4999" s="28"/>
      <c r="C4999" s="3" t="s">
        <v>4</v>
      </c>
    </row>
    <row r="5000" spans="1:3" ht="13.5" thickBot="1" x14ac:dyDescent="0.25">
      <c r="A5000" s="3">
        <v>3571</v>
      </c>
      <c r="B5000" s="28"/>
      <c r="C5000" s="3" t="s">
        <v>3</v>
      </c>
    </row>
    <row r="5001" spans="1:3" ht="13.5" thickBot="1" x14ac:dyDescent="0.25">
      <c r="A5001" s="3">
        <v>4652</v>
      </c>
      <c r="B5001" s="28"/>
      <c r="C5001" s="3" t="s">
        <v>3</v>
      </c>
    </row>
    <row r="5002" spans="1:3" ht="13.5" thickBot="1" x14ac:dyDescent="0.25">
      <c r="A5002" s="3">
        <v>5877</v>
      </c>
      <c r="B5002" s="28"/>
      <c r="C5002" s="3" t="s">
        <v>6</v>
      </c>
    </row>
    <row r="5003" spans="1:3" ht="13.5" thickBot="1" x14ac:dyDescent="0.25">
      <c r="A5003" s="3">
        <v>3568</v>
      </c>
      <c r="B5003" s="28"/>
      <c r="C5003" s="3" t="s">
        <v>7</v>
      </c>
    </row>
    <row r="5004" spans="1:3" ht="13.5" thickBot="1" x14ac:dyDescent="0.25">
      <c r="A5004" s="3">
        <v>4382</v>
      </c>
      <c r="B5004" s="28"/>
      <c r="C5004" s="3" t="s">
        <v>3</v>
      </c>
    </row>
    <row r="5005" spans="1:3" ht="13.5" thickBot="1" x14ac:dyDescent="0.25">
      <c r="A5005" s="3">
        <v>2860</v>
      </c>
      <c r="B5005" s="28"/>
      <c r="C5005" s="3" t="s">
        <v>5</v>
      </c>
    </row>
    <row r="5006" spans="1:3" ht="13.5" thickBot="1" x14ac:dyDescent="0.25">
      <c r="A5006" s="3">
        <v>5003</v>
      </c>
      <c r="B5006" s="28"/>
      <c r="C5006" s="3" t="s">
        <v>3</v>
      </c>
    </row>
    <row r="5007" spans="1:3" ht="13.5" thickBot="1" x14ac:dyDescent="0.25">
      <c r="A5007" s="3">
        <v>3215</v>
      </c>
      <c r="B5007" s="28"/>
      <c r="C5007" s="3" t="s">
        <v>5</v>
      </c>
    </row>
    <row r="5008" spans="1:3" ht="13.5" thickBot="1" x14ac:dyDescent="0.25">
      <c r="A5008" s="3">
        <v>4216</v>
      </c>
      <c r="B5008" s="28"/>
      <c r="C5008" s="3" t="s">
        <v>3</v>
      </c>
    </row>
    <row r="5009" spans="1:3" ht="13.5" thickBot="1" x14ac:dyDescent="0.25">
      <c r="A5009" s="3">
        <v>5003</v>
      </c>
      <c r="B5009" s="28"/>
      <c r="C5009" s="3" t="s">
        <v>5</v>
      </c>
    </row>
    <row r="5010" spans="1:3" ht="13.5" thickBot="1" x14ac:dyDescent="0.25">
      <c r="A5010" s="3">
        <v>1299</v>
      </c>
      <c r="B5010" s="28"/>
      <c r="C5010" s="3" t="s">
        <v>3</v>
      </c>
    </row>
    <row r="5011" spans="1:3" ht="13.5" thickBot="1" x14ac:dyDescent="0.25">
      <c r="A5011" s="3">
        <v>3963</v>
      </c>
      <c r="B5011" s="28"/>
      <c r="C5011" s="3" t="s">
        <v>4</v>
      </c>
    </row>
    <row r="5012" spans="1:3" ht="13.5" thickBot="1" x14ac:dyDescent="0.25">
      <c r="A5012" s="3">
        <v>1942</v>
      </c>
      <c r="B5012" s="28"/>
      <c r="C5012" s="3" t="s">
        <v>3</v>
      </c>
    </row>
    <row r="5013" spans="1:3" ht="13.5" thickBot="1" x14ac:dyDescent="0.25">
      <c r="A5013" s="3">
        <v>4998</v>
      </c>
      <c r="B5013" s="28"/>
      <c r="C5013" s="3" t="s">
        <v>3</v>
      </c>
    </row>
    <row r="5014" spans="1:3" ht="13.5" thickBot="1" x14ac:dyDescent="0.25">
      <c r="A5014" s="3">
        <v>5474</v>
      </c>
      <c r="B5014" s="28"/>
      <c r="C5014" s="3" t="s">
        <v>4</v>
      </c>
    </row>
    <row r="5015" spans="1:3" ht="13.5" thickBot="1" x14ac:dyDescent="0.25">
      <c r="A5015" s="3">
        <v>1254</v>
      </c>
      <c r="B5015" s="28"/>
      <c r="C5015" s="3" t="s">
        <v>5</v>
      </c>
    </row>
    <row r="5016" spans="1:3" ht="13.5" thickBot="1" x14ac:dyDescent="0.25">
      <c r="A5016" s="3">
        <v>1018</v>
      </c>
      <c r="B5016" s="28"/>
      <c r="C5016" s="3" t="s">
        <v>5</v>
      </c>
    </row>
    <row r="5017" spans="1:3" ht="13.5" thickBot="1" x14ac:dyDescent="0.25">
      <c r="A5017" s="3">
        <v>1079</v>
      </c>
      <c r="B5017" s="28"/>
      <c r="C5017" s="3" t="s">
        <v>4</v>
      </c>
    </row>
    <row r="5018" spans="1:3" ht="13.5" thickBot="1" x14ac:dyDescent="0.25">
      <c r="A5018" s="3">
        <v>2139</v>
      </c>
      <c r="B5018" s="28"/>
      <c r="C5018" s="3" t="s">
        <v>3</v>
      </c>
    </row>
    <row r="5019" spans="1:3" ht="13.5" thickBot="1" x14ac:dyDescent="0.25">
      <c r="A5019" s="3">
        <v>6026</v>
      </c>
      <c r="B5019" s="28"/>
      <c r="C5019" s="3" t="s">
        <v>3</v>
      </c>
    </row>
    <row r="5020" spans="1:3" ht="13.5" thickBot="1" x14ac:dyDescent="0.25">
      <c r="A5020" s="3">
        <v>1018</v>
      </c>
      <c r="B5020" s="28"/>
      <c r="C5020" s="3" t="s">
        <v>4</v>
      </c>
    </row>
    <row r="5021" spans="1:3" ht="13.5" thickBot="1" x14ac:dyDescent="0.25">
      <c r="A5021" s="3">
        <v>2649</v>
      </c>
      <c r="B5021" s="28"/>
      <c r="C5021" s="3" t="s">
        <v>4</v>
      </c>
    </row>
    <row r="5022" spans="1:3" ht="13.5" thickBot="1" x14ac:dyDescent="0.25">
      <c r="A5022" s="3">
        <v>4884</v>
      </c>
      <c r="B5022" s="28"/>
      <c r="C5022" s="3" t="s">
        <v>3</v>
      </c>
    </row>
    <row r="5023" spans="1:3" ht="13.5" thickBot="1" x14ac:dyDescent="0.25">
      <c r="A5023" s="3">
        <v>5225</v>
      </c>
      <c r="B5023" s="28"/>
      <c r="C5023" s="3" t="s">
        <v>4</v>
      </c>
    </row>
    <row r="5024" spans="1:3" ht="13.5" thickBot="1" x14ac:dyDescent="0.25">
      <c r="A5024" s="3">
        <v>4161</v>
      </c>
      <c r="B5024" s="28"/>
      <c r="C5024" s="3" t="s">
        <v>3</v>
      </c>
    </row>
    <row r="5025" spans="1:3" ht="13.5" thickBot="1" x14ac:dyDescent="0.25">
      <c r="A5025" s="3">
        <v>7301</v>
      </c>
      <c r="B5025" s="28"/>
      <c r="C5025" s="3" t="s">
        <v>3</v>
      </c>
    </row>
    <row r="5026" spans="1:3" ht="13.5" thickBot="1" x14ac:dyDescent="0.25">
      <c r="A5026" s="3">
        <v>878</v>
      </c>
      <c r="B5026" s="28"/>
      <c r="C5026" s="3" t="s">
        <v>7</v>
      </c>
    </row>
    <row r="5027" spans="1:3" ht="13.5" thickBot="1" x14ac:dyDescent="0.25">
      <c r="A5027" s="3">
        <v>7946</v>
      </c>
      <c r="B5027" s="28"/>
      <c r="C5027" s="3" t="s">
        <v>6</v>
      </c>
    </row>
    <row r="5028" spans="1:3" ht="13.5" thickBot="1" x14ac:dyDescent="0.25">
      <c r="A5028" s="3">
        <v>1653</v>
      </c>
      <c r="B5028" s="28"/>
      <c r="C5028" s="3" t="s">
        <v>4</v>
      </c>
    </row>
    <row r="5029" spans="1:3" ht="13.5" thickBot="1" x14ac:dyDescent="0.25">
      <c r="A5029" s="3">
        <v>6469</v>
      </c>
      <c r="B5029" s="28"/>
      <c r="C5029" s="3" t="s">
        <v>3</v>
      </c>
    </row>
    <row r="5030" spans="1:3" ht="13.5" thickBot="1" x14ac:dyDescent="0.25">
      <c r="A5030" s="3">
        <v>7002</v>
      </c>
      <c r="B5030" s="28"/>
      <c r="C5030" s="3" t="s">
        <v>4</v>
      </c>
    </row>
    <row r="5031" spans="1:3" ht="13.5" thickBot="1" x14ac:dyDescent="0.25">
      <c r="A5031" s="3">
        <v>1468</v>
      </c>
      <c r="B5031" s="28"/>
      <c r="C5031" s="3" t="s">
        <v>6</v>
      </c>
    </row>
    <row r="5032" spans="1:3" ht="13.5" thickBot="1" x14ac:dyDescent="0.25">
      <c r="A5032" s="3">
        <v>24</v>
      </c>
      <c r="B5032" s="28"/>
      <c r="C5032" s="3" t="s">
        <v>6</v>
      </c>
    </row>
    <row r="5033" spans="1:3" ht="13.5" thickBot="1" x14ac:dyDescent="0.25">
      <c r="A5033" s="3">
        <v>6281</v>
      </c>
      <c r="B5033" s="28"/>
      <c r="C5033" s="3" t="s">
        <v>3</v>
      </c>
    </row>
    <row r="5034" spans="1:3" ht="13.5" thickBot="1" x14ac:dyDescent="0.25">
      <c r="A5034" s="3">
        <v>5003</v>
      </c>
      <c r="B5034" s="28"/>
      <c r="C5034" s="3" t="s">
        <v>4</v>
      </c>
    </row>
    <row r="5035" spans="1:3" ht="13.5" thickBot="1" x14ac:dyDescent="0.25">
      <c r="A5035" s="3">
        <v>1254</v>
      </c>
      <c r="B5035" s="28"/>
      <c r="C5035" s="3" t="s">
        <v>3</v>
      </c>
    </row>
    <row r="5036" spans="1:3" ht="13.5" thickBot="1" x14ac:dyDescent="0.25">
      <c r="A5036" s="3">
        <v>2649</v>
      </c>
      <c r="B5036" s="28"/>
      <c r="C5036" s="3" t="s">
        <v>3</v>
      </c>
    </row>
    <row r="5037" spans="1:3" ht="13.5" thickBot="1" x14ac:dyDescent="0.25">
      <c r="A5037" s="3">
        <v>3394</v>
      </c>
      <c r="B5037" s="28"/>
      <c r="C5037" s="3" t="s">
        <v>7</v>
      </c>
    </row>
    <row r="5038" spans="1:3" ht="13.5" thickBot="1" x14ac:dyDescent="0.25">
      <c r="A5038" s="3">
        <v>3215</v>
      </c>
      <c r="B5038" s="28"/>
      <c r="C5038" s="3" t="s">
        <v>6</v>
      </c>
    </row>
    <row r="5039" spans="1:3" ht="13.5" thickBot="1" x14ac:dyDescent="0.25">
      <c r="A5039" s="3">
        <v>589</v>
      </c>
      <c r="B5039" s="28"/>
      <c r="C5039" s="3" t="s">
        <v>3</v>
      </c>
    </row>
    <row r="5040" spans="1:3" ht="13.5" thickBot="1" x14ac:dyDescent="0.25">
      <c r="A5040" s="3">
        <v>1054</v>
      </c>
      <c r="B5040" s="28"/>
      <c r="C5040" s="3" t="s">
        <v>3</v>
      </c>
    </row>
    <row r="5041" spans="1:3" ht="13.5" thickBot="1" x14ac:dyDescent="0.25">
      <c r="A5041" s="3">
        <v>4077</v>
      </c>
      <c r="B5041" s="28"/>
      <c r="C5041" s="3" t="s">
        <v>7</v>
      </c>
    </row>
    <row r="5042" spans="1:3" ht="13.5" thickBot="1" x14ac:dyDescent="0.25">
      <c r="A5042" s="3">
        <v>6068</v>
      </c>
      <c r="B5042" s="28"/>
      <c r="C5042" s="3" t="s">
        <v>3</v>
      </c>
    </row>
    <row r="5043" spans="1:3" ht="13.5" thickBot="1" x14ac:dyDescent="0.25">
      <c r="A5043" s="3">
        <v>6493</v>
      </c>
      <c r="B5043" s="28"/>
      <c r="C5043" s="3" t="s">
        <v>3</v>
      </c>
    </row>
    <row r="5044" spans="1:3" ht="13.5" thickBot="1" x14ac:dyDescent="0.25">
      <c r="A5044" s="3">
        <v>6068</v>
      </c>
      <c r="B5044" s="28"/>
      <c r="C5044" s="3" t="s">
        <v>4</v>
      </c>
    </row>
    <row r="5045" spans="1:3" ht="13.5" thickBot="1" x14ac:dyDescent="0.25">
      <c r="A5045" s="3">
        <v>5221</v>
      </c>
      <c r="B5045" s="28"/>
      <c r="C5045" s="3" t="s">
        <v>3</v>
      </c>
    </row>
    <row r="5046" spans="1:3" ht="13.5" thickBot="1" x14ac:dyDescent="0.25">
      <c r="A5046" s="3">
        <v>4451</v>
      </c>
      <c r="B5046" s="28"/>
      <c r="C5046" s="3" t="s">
        <v>6</v>
      </c>
    </row>
    <row r="5047" spans="1:3" ht="13.5" thickBot="1" x14ac:dyDescent="0.25">
      <c r="A5047" s="3">
        <v>6890</v>
      </c>
      <c r="B5047" s="28"/>
      <c r="C5047" s="3" t="s">
        <v>6</v>
      </c>
    </row>
    <row r="5048" spans="1:3" ht="13.5" thickBot="1" x14ac:dyDescent="0.25">
      <c r="A5048" s="3">
        <v>3839</v>
      </c>
      <c r="B5048" s="28"/>
      <c r="C5048" s="3" t="s">
        <v>6</v>
      </c>
    </row>
    <row r="5049" spans="1:3" ht="13.5" thickBot="1" x14ac:dyDescent="0.25">
      <c r="A5049" s="3">
        <v>7611</v>
      </c>
      <c r="B5049" s="28"/>
      <c r="C5049" s="3" t="s">
        <v>4</v>
      </c>
    </row>
    <row r="5050" spans="1:3" ht="13.5" thickBot="1" x14ac:dyDescent="0.25">
      <c r="A5050" s="3">
        <v>4382</v>
      </c>
      <c r="B5050" s="28"/>
      <c r="C5050" s="3" t="s">
        <v>6</v>
      </c>
    </row>
    <row r="5051" spans="1:3" ht="13.5" thickBot="1" x14ac:dyDescent="0.25">
      <c r="A5051" s="3">
        <v>3912</v>
      </c>
      <c r="B5051" s="28"/>
      <c r="C5051" s="3" t="s">
        <v>3</v>
      </c>
    </row>
    <row r="5052" spans="1:3" ht="13.5" thickBot="1" x14ac:dyDescent="0.25">
      <c r="A5052" s="3">
        <v>6335</v>
      </c>
      <c r="B5052" s="28"/>
      <c r="C5052" s="3" t="s">
        <v>7</v>
      </c>
    </row>
    <row r="5053" spans="1:3" ht="13.5" thickBot="1" x14ac:dyDescent="0.25">
      <c r="A5053" s="3">
        <v>6466</v>
      </c>
      <c r="B5053" s="28"/>
      <c r="C5053" s="3" t="s">
        <v>3</v>
      </c>
    </row>
    <row r="5054" spans="1:3" ht="13.5" thickBot="1" x14ac:dyDescent="0.25">
      <c r="A5054" s="3">
        <v>905</v>
      </c>
      <c r="B5054" s="28"/>
      <c r="C5054" s="3" t="s">
        <v>3</v>
      </c>
    </row>
    <row r="5055" spans="1:3" ht="13.5" thickBot="1" x14ac:dyDescent="0.25">
      <c r="A5055" s="3">
        <v>4388</v>
      </c>
      <c r="B5055" s="28"/>
      <c r="C5055" s="3" t="s">
        <v>3</v>
      </c>
    </row>
    <row r="5056" spans="1:3" ht="13.5" thickBot="1" x14ac:dyDescent="0.25">
      <c r="A5056" s="3">
        <v>4252</v>
      </c>
      <c r="B5056" s="28"/>
      <c r="C5056" s="3" t="s">
        <v>7</v>
      </c>
    </row>
    <row r="5057" spans="1:3" ht="13.5" thickBot="1" x14ac:dyDescent="0.25">
      <c r="A5057" s="3">
        <v>6335</v>
      </c>
      <c r="B5057" s="28"/>
      <c r="C5057" s="3" t="s">
        <v>4</v>
      </c>
    </row>
    <row r="5058" spans="1:3" ht="13.5" thickBot="1" x14ac:dyDescent="0.25">
      <c r="A5058" s="3">
        <v>1432</v>
      </c>
      <c r="B5058" s="28"/>
      <c r="C5058" s="3" t="s">
        <v>4</v>
      </c>
    </row>
    <row r="5059" spans="1:3" ht="13.5" thickBot="1" x14ac:dyDescent="0.25">
      <c r="A5059" s="3">
        <v>7113</v>
      </c>
      <c r="B5059" s="28"/>
      <c r="C5059" s="3" t="s">
        <v>5</v>
      </c>
    </row>
    <row r="5060" spans="1:3" ht="13.5" thickBot="1" x14ac:dyDescent="0.25">
      <c r="A5060" s="3">
        <v>5316</v>
      </c>
      <c r="B5060" s="28"/>
      <c r="C5060" s="3" t="s">
        <v>3</v>
      </c>
    </row>
    <row r="5061" spans="1:3" ht="13.5" thickBot="1" x14ac:dyDescent="0.25">
      <c r="A5061" s="3">
        <v>4884</v>
      </c>
      <c r="B5061" s="28"/>
      <c r="C5061" s="3" t="s">
        <v>4</v>
      </c>
    </row>
    <row r="5062" spans="1:3" ht="13.5" thickBot="1" x14ac:dyDescent="0.25">
      <c r="A5062" s="3">
        <v>1062</v>
      </c>
      <c r="B5062" s="28"/>
      <c r="C5062" s="3" t="s">
        <v>3</v>
      </c>
    </row>
    <row r="5063" spans="1:3" ht="13.5" thickBot="1" x14ac:dyDescent="0.25">
      <c r="A5063" s="3">
        <v>3839</v>
      </c>
      <c r="B5063" s="28"/>
      <c r="C5063" s="3" t="s">
        <v>7</v>
      </c>
    </row>
    <row r="5064" spans="1:3" ht="13.5" thickBot="1" x14ac:dyDescent="0.25">
      <c r="A5064" s="3">
        <v>2178</v>
      </c>
      <c r="B5064" s="28"/>
      <c r="C5064" s="3" t="s">
        <v>5</v>
      </c>
    </row>
    <row r="5065" spans="1:3" ht="13.5" thickBot="1" x14ac:dyDescent="0.25">
      <c r="A5065" s="3">
        <v>7825</v>
      </c>
      <c r="B5065" s="28"/>
      <c r="C5065" s="3" t="s">
        <v>4</v>
      </c>
    </row>
    <row r="5066" spans="1:3" ht="13.5" thickBot="1" x14ac:dyDescent="0.25">
      <c r="A5066" s="3">
        <v>6439</v>
      </c>
      <c r="B5066" s="28"/>
      <c r="C5066" s="3" t="s">
        <v>3</v>
      </c>
    </row>
    <row r="5067" spans="1:3" ht="13.5" thickBot="1" x14ac:dyDescent="0.25">
      <c r="A5067" s="3">
        <v>3394</v>
      </c>
      <c r="B5067" s="28"/>
      <c r="C5067" s="3" t="s">
        <v>5</v>
      </c>
    </row>
    <row r="5068" spans="1:3" ht="13.5" thickBot="1" x14ac:dyDescent="0.25">
      <c r="A5068" s="3">
        <v>990</v>
      </c>
      <c r="B5068" s="28"/>
      <c r="C5068" s="3" t="s">
        <v>3</v>
      </c>
    </row>
    <row r="5069" spans="1:3" ht="13.5" thickBot="1" x14ac:dyDescent="0.25">
      <c r="A5069" s="3">
        <v>1653</v>
      </c>
      <c r="B5069" s="28"/>
      <c r="C5069" s="3" t="s">
        <v>5</v>
      </c>
    </row>
    <row r="5070" spans="1:3" ht="13.5" thickBot="1" x14ac:dyDescent="0.25">
      <c r="A5070" s="3">
        <v>7300</v>
      </c>
      <c r="B5070" s="28"/>
      <c r="C5070" s="3" t="s">
        <v>3</v>
      </c>
    </row>
    <row r="5071" spans="1:3" ht="13.5" thickBot="1" x14ac:dyDescent="0.25">
      <c r="A5071" s="3">
        <v>1640</v>
      </c>
      <c r="B5071" s="28"/>
      <c r="C5071" s="3" t="s">
        <v>3</v>
      </c>
    </row>
    <row r="5072" spans="1:3" ht="13.5" thickBot="1" x14ac:dyDescent="0.25">
      <c r="A5072" s="3">
        <v>3850</v>
      </c>
      <c r="B5072" s="28"/>
      <c r="C5072" s="3" t="s">
        <v>3</v>
      </c>
    </row>
    <row r="5073" spans="1:3" ht="13.5" thickBot="1" x14ac:dyDescent="0.25">
      <c r="A5073" s="3">
        <v>983</v>
      </c>
      <c r="B5073" s="28"/>
      <c r="C5073" s="3" t="s">
        <v>5</v>
      </c>
    </row>
    <row r="5074" spans="1:3" ht="13.5" thickBot="1" x14ac:dyDescent="0.25">
      <c r="A5074" s="3">
        <v>5661</v>
      </c>
      <c r="B5074" s="28"/>
      <c r="C5074" s="3" t="s">
        <v>3</v>
      </c>
    </row>
    <row r="5075" spans="1:3" ht="13.5" thickBot="1" x14ac:dyDescent="0.25">
      <c r="A5075" s="3">
        <v>2919</v>
      </c>
      <c r="B5075" s="28"/>
      <c r="C5075" s="3" t="s">
        <v>3</v>
      </c>
    </row>
    <row r="5076" spans="1:3" ht="13.5" thickBot="1" x14ac:dyDescent="0.25">
      <c r="A5076" s="3">
        <v>7113</v>
      </c>
      <c r="B5076" s="28"/>
      <c r="C5076" s="3" t="s">
        <v>3</v>
      </c>
    </row>
    <row r="5077" spans="1:3" ht="13.5" thickBot="1" x14ac:dyDescent="0.25">
      <c r="A5077" s="3">
        <v>4024</v>
      </c>
      <c r="B5077" s="28"/>
      <c r="C5077" s="3" t="s">
        <v>4</v>
      </c>
    </row>
    <row r="5078" spans="1:3" ht="13.5" thickBot="1" x14ac:dyDescent="0.25">
      <c r="A5078" s="3">
        <v>4611</v>
      </c>
      <c r="B5078" s="28"/>
      <c r="C5078" s="3" t="s">
        <v>3</v>
      </c>
    </row>
    <row r="5079" spans="1:3" ht="13.5" thickBot="1" x14ac:dyDescent="0.25">
      <c r="A5079" s="3">
        <v>1183</v>
      </c>
      <c r="B5079" s="28"/>
      <c r="C5079" s="3" t="s">
        <v>3</v>
      </c>
    </row>
    <row r="5080" spans="1:3" ht="13.5" thickBot="1" x14ac:dyDescent="0.25">
      <c r="A5080" s="3">
        <v>3942</v>
      </c>
      <c r="B5080" s="28"/>
      <c r="C5080" s="3" t="s">
        <v>3</v>
      </c>
    </row>
    <row r="5081" spans="1:3" ht="13.5" thickBot="1" x14ac:dyDescent="0.25">
      <c r="A5081" s="3">
        <v>1652</v>
      </c>
      <c r="B5081" s="28"/>
      <c r="C5081" s="3" t="s">
        <v>3</v>
      </c>
    </row>
    <row r="5082" spans="1:3" ht="13.5" thickBot="1" x14ac:dyDescent="0.25">
      <c r="A5082" s="3">
        <v>6592</v>
      </c>
      <c r="B5082" s="28"/>
      <c r="C5082" s="3" t="s">
        <v>3</v>
      </c>
    </row>
    <row r="5083" spans="1:3" ht="13.5" thickBot="1" x14ac:dyDescent="0.25">
      <c r="A5083" s="3">
        <v>5287</v>
      </c>
      <c r="B5083" s="28"/>
      <c r="C5083" s="3" t="s">
        <v>3</v>
      </c>
    </row>
    <row r="5084" spans="1:3" ht="13.5" thickBot="1" x14ac:dyDescent="0.25">
      <c r="A5084" s="3">
        <v>7859</v>
      </c>
      <c r="B5084" s="28"/>
      <c r="C5084" s="3" t="s">
        <v>3</v>
      </c>
    </row>
    <row r="5085" spans="1:3" ht="13.5" thickBot="1" x14ac:dyDescent="0.25">
      <c r="A5085" s="3">
        <v>1003</v>
      </c>
      <c r="B5085" s="28"/>
      <c r="C5085" s="3" t="s">
        <v>6</v>
      </c>
    </row>
    <row r="5086" spans="1:3" ht="13.5" thickBot="1" x14ac:dyDescent="0.25">
      <c r="A5086" s="3">
        <v>1054</v>
      </c>
      <c r="B5086" s="28"/>
      <c r="C5086" s="3" t="s">
        <v>7</v>
      </c>
    </row>
    <row r="5087" spans="1:3" ht="13.5" thickBot="1" x14ac:dyDescent="0.25">
      <c r="A5087" s="3">
        <v>4388</v>
      </c>
      <c r="B5087" s="28"/>
      <c r="C5087" s="3" t="s">
        <v>5</v>
      </c>
    </row>
    <row r="5088" spans="1:3" ht="13.5" thickBot="1" x14ac:dyDescent="0.25">
      <c r="A5088" s="3">
        <v>6493</v>
      </c>
      <c r="B5088" s="28"/>
      <c r="C5088" s="3" t="s">
        <v>5</v>
      </c>
    </row>
    <row r="5089" spans="1:3" ht="13.5" thickBot="1" x14ac:dyDescent="0.25">
      <c r="A5089" s="3">
        <v>3913</v>
      </c>
      <c r="B5089" s="28"/>
      <c r="C5089" s="3" t="s">
        <v>3</v>
      </c>
    </row>
    <row r="5090" spans="1:3" ht="13.5" thickBot="1" x14ac:dyDescent="0.25">
      <c r="A5090" s="3">
        <v>752</v>
      </c>
      <c r="B5090" s="28"/>
      <c r="C5090" s="3" t="s">
        <v>6</v>
      </c>
    </row>
    <row r="5091" spans="1:3" ht="13.5" thickBot="1" x14ac:dyDescent="0.25">
      <c r="A5091" s="3">
        <v>6660</v>
      </c>
      <c r="B5091" s="28"/>
      <c r="C5091" s="3" t="s">
        <v>3</v>
      </c>
    </row>
    <row r="5092" spans="1:3" ht="13.5" thickBot="1" x14ac:dyDescent="0.25">
      <c r="A5092" s="3">
        <v>3105</v>
      </c>
      <c r="B5092" s="28"/>
      <c r="C5092" s="3" t="s">
        <v>3</v>
      </c>
    </row>
    <row r="5093" spans="1:3" ht="13.5" thickBot="1" x14ac:dyDescent="0.25">
      <c r="A5093" s="3">
        <v>2139</v>
      </c>
      <c r="B5093" s="28"/>
      <c r="C5093" s="3" t="s">
        <v>5</v>
      </c>
    </row>
    <row r="5094" spans="1:3" ht="13.5" thickBot="1" x14ac:dyDescent="0.25">
      <c r="A5094" s="3">
        <v>2919</v>
      </c>
      <c r="B5094" s="28"/>
      <c r="C5094" s="3" t="s">
        <v>4</v>
      </c>
    </row>
    <row r="5095" spans="1:3" ht="13.5" thickBot="1" x14ac:dyDescent="0.25">
      <c r="A5095" s="3">
        <v>5287</v>
      </c>
      <c r="B5095" s="28"/>
      <c r="C5095" s="3" t="s">
        <v>4</v>
      </c>
    </row>
    <row r="5096" spans="1:3" ht="13.5" thickBot="1" x14ac:dyDescent="0.25">
      <c r="A5096" s="3">
        <v>7865</v>
      </c>
      <c r="B5096" s="28"/>
      <c r="C5096" s="3" t="s">
        <v>6</v>
      </c>
    </row>
    <row r="5097" spans="1:3" ht="13.5" thickBot="1" x14ac:dyDescent="0.25">
      <c r="A5097" s="3">
        <v>4578</v>
      </c>
      <c r="B5097" s="28"/>
      <c r="C5097" s="3" t="s">
        <v>3</v>
      </c>
    </row>
    <row r="5098" spans="1:3" ht="13.5" thickBot="1" x14ac:dyDescent="0.25">
      <c r="A5098" s="3">
        <v>5271</v>
      </c>
      <c r="B5098" s="28"/>
      <c r="C5098" s="3" t="s">
        <v>3</v>
      </c>
    </row>
    <row r="5099" spans="1:3" ht="13.5" thickBot="1" x14ac:dyDescent="0.25">
      <c r="A5099" s="3">
        <v>5593</v>
      </c>
      <c r="B5099" s="28"/>
      <c r="C5099" s="3" t="s">
        <v>3</v>
      </c>
    </row>
    <row r="5100" spans="1:3" ht="13.5" thickBot="1" x14ac:dyDescent="0.25">
      <c r="A5100" s="3">
        <v>6466</v>
      </c>
      <c r="B5100" s="28"/>
      <c r="C5100" s="3" t="s">
        <v>4</v>
      </c>
    </row>
    <row r="5101" spans="1:3" ht="13.5" thickBot="1" x14ac:dyDescent="0.25">
      <c r="A5101" s="3">
        <v>1177</v>
      </c>
      <c r="B5101" s="28"/>
      <c r="C5101" s="3" t="s">
        <v>3</v>
      </c>
    </row>
    <row r="5102" spans="1:3" ht="13.5" thickBot="1" x14ac:dyDescent="0.25">
      <c r="A5102" s="3">
        <v>1415</v>
      </c>
      <c r="B5102" s="28"/>
      <c r="C5102" s="3" t="s">
        <v>6</v>
      </c>
    </row>
    <row r="5103" spans="1:3" ht="13.5" thickBot="1" x14ac:dyDescent="0.25">
      <c r="A5103" s="3">
        <v>2949</v>
      </c>
      <c r="B5103" s="28"/>
      <c r="C5103" s="3" t="s">
        <v>4</v>
      </c>
    </row>
    <row r="5104" spans="1:3" ht="13.5" thickBot="1" x14ac:dyDescent="0.25">
      <c r="A5104" s="3">
        <v>3186</v>
      </c>
      <c r="B5104" s="28"/>
      <c r="C5104" s="3" t="s">
        <v>4</v>
      </c>
    </row>
    <row r="5105" spans="1:3" ht="13.5" thickBot="1" x14ac:dyDescent="0.25">
      <c r="A5105" s="3">
        <v>86</v>
      </c>
      <c r="B5105" s="28"/>
      <c r="C5105" s="3" t="s">
        <v>4</v>
      </c>
    </row>
    <row r="5106" spans="1:3" ht="13.5" thickBot="1" x14ac:dyDescent="0.25">
      <c r="A5106" s="3">
        <v>3406</v>
      </c>
      <c r="B5106" s="28"/>
      <c r="C5106" s="3" t="s">
        <v>4</v>
      </c>
    </row>
    <row r="5107" spans="1:3" ht="13.5" thickBot="1" x14ac:dyDescent="0.25">
      <c r="A5107" s="3">
        <v>983</v>
      </c>
      <c r="B5107" s="28"/>
      <c r="C5107" s="3" t="s">
        <v>6</v>
      </c>
    </row>
    <row r="5108" spans="1:3" ht="13.5" thickBot="1" x14ac:dyDescent="0.25">
      <c r="A5108" s="3">
        <v>3406</v>
      </c>
      <c r="B5108" s="28"/>
      <c r="C5108" s="3" t="s">
        <v>3</v>
      </c>
    </row>
    <row r="5109" spans="1:3" ht="13.5" thickBot="1" x14ac:dyDescent="0.25">
      <c r="A5109" s="3">
        <v>1026</v>
      </c>
      <c r="B5109" s="28"/>
      <c r="C5109" s="3" t="s">
        <v>3</v>
      </c>
    </row>
    <row r="5110" spans="1:3" ht="13.5" thickBot="1" x14ac:dyDescent="0.25">
      <c r="A5110" s="3">
        <v>905</v>
      </c>
      <c r="B5110" s="28"/>
      <c r="C5110" s="3" t="s">
        <v>4</v>
      </c>
    </row>
    <row r="5111" spans="1:3" ht="13.5" thickBot="1" x14ac:dyDescent="0.25">
      <c r="A5111" s="3">
        <v>7172</v>
      </c>
      <c r="B5111" s="28"/>
      <c r="C5111" s="3" t="s">
        <v>6</v>
      </c>
    </row>
    <row r="5112" spans="1:3" ht="13.5" thickBot="1" x14ac:dyDescent="0.25">
      <c r="A5112" s="3">
        <v>2860</v>
      </c>
      <c r="B5112" s="28"/>
      <c r="C5112" s="3" t="s">
        <v>6</v>
      </c>
    </row>
    <row r="5113" spans="1:3" ht="13.5" thickBot="1" x14ac:dyDescent="0.25">
      <c r="A5113" s="3">
        <v>6628</v>
      </c>
      <c r="B5113" s="28"/>
      <c r="C5113" s="3" t="s">
        <v>7</v>
      </c>
    </row>
    <row r="5114" spans="1:3" ht="13.5" thickBot="1" x14ac:dyDescent="0.25">
      <c r="A5114" s="3">
        <v>4578</v>
      </c>
      <c r="B5114" s="28"/>
      <c r="C5114" s="3" t="s">
        <v>4</v>
      </c>
    </row>
    <row r="5115" spans="1:3" ht="13.5" thickBot="1" x14ac:dyDescent="0.25">
      <c r="A5115" s="3">
        <v>3001</v>
      </c>
      <c r="B5115" s="28"/>
      <c r="C5115" s="3" t="s">
        <v>5</v>
      </c>
    </row>
    <row r="5116" spans="1:3" ht="13.5" thickBot="1" x14ac:dyDescent="0.25">
      <c r="A5116" s="3">
        <v>5369</v>
      </c>
      <c r="B5116" s="28"/>
      <c r="C5116" s="3" t="s">
        <v>4</v>
      </c>
    </row>
    <row r="5117" spans="1:3" ht="13.5" thickBot="1" x14ac:dyDescent="0.25">
      <c r="A5117" s="3">
        <v>3955</v>
      </c>
      <c r="B5117" s="28"/>
      <c r="C5117" s="3" t="s">
        <v>3</v>
      </c>
    </row>
    <row r="5118" spans="1:3" ht="13.5" thickBot="1" x14ac:dyDescent="0.25">
      <c r="A5118" s="3">
        <v>1062</v>
      </c>
      <c r="B5118" s="28"/>
      <c r="C5118" s="3" t="s">
        <v>4</v>
      </c>
    </row>
    <row r="5119" spans="1:3" ht="13.5" thickBot="1" x14ac:dyDescent="0.25">
      <c r="A5119" s="3">
        <v>5551</v>
      </c>
      <c r="B5119" s="28"/>
      <c r="C5119" s="3" t="s">
        <v>3</v>
      </c>
    </row>
    <row r="5120" spans="1:3" ht="13.5" thickBot="1" x14ac:dyDescent="0.25">
      <c r="A5120" s="3">
        <v>1883</v>
      </c>
      <c r="B5120" s="28"/>
      <c r="C5120" s="3" t="s">
        <v>3</v>
      </c>
    </row>
    <row r="5121" spans="1:3" ht="13.5" thickBot="1" x14ac:dyDescent="0.25">
      <c r="A5121" s="3">
        <v>4884</v>
      </c>
      <c r="B5121" s="28"/>
      <c r="C5121" s="3" t="s">
        <v>7</v>
      </c>
    </row>
    <row r="5122" spans="1:3" ht="13.5" thickBot="1" x14ac:dyDescent="0.25">
      <c r="A5122" s="3">
        <v>1942</v>
      </c>
      <c r="B5122" s="28"/>
      <c r="C5122" s="3" t="s">
        <v>4</v>
      </c>
    </row>
    <row r="5123" spans="1:3" ht="13.5" thickBot="1" x14ac:dyDescent="0.25">
      <c r="A5123" s="3">
        <v>7183</v>
      </c>
      <c r="B5123" s="28"/>
      <c r="C5123" s="3" t="s">
        <v>6</v>
      </c>
    </row>
    <row r="5124" spans="1:3" ht="13.5" thickBot="1" x14ac:dyDescent="0.25">
      <c r="A5124" s="3">
        <v>4828</v>
      </c>
      <c r="B5124" s="28"/>
      <c r="C5124" s="3" t="s">
        <v>5</v>
      </c>
    </row>
    <row r="5125" spans="1:3" ht="13.5" thickBot="1" x14ac:dyDescent="0.25">
      <c r="A5125" s="3">
        <v>433</v>
      </c>
      <c r="B5125" s="28"/>
      <c r="C5125" s="3" t="s">
        <v>7</v>
      </c>
    </row>
    <row r="5126" spans="1:3" ht="13.5" thickBot="1" x14ac:dyDescent="0.25">
      <c r="A5126" s="3">
        <v>6592</v>
      </c>
      <c r="B5126" s="28"/>
      <c r="C5126" s="3" t="s">
        <v>4</v>
      </c>
    </row>
    <row r="5127" spans="1:3" ht="13.5" thickBot="1" x14ac:dyDescent="0.25">
      <c r="A5127" s="3">
        <v>4077</v>
      </c>
      <c r="B5127" s="28"/>
      <c r="C5127" s="3" t="s">
        <v>6</v>
      </c>
    </row>
    <row r="5128" spans="1:3" ht="13.5" thickBot="1" x14ac:dyDescent="0.25">
      <c r="A5128" s="3">
        <v>7840</v>
      </c>
      <c r="B5128" s="28"/>
      <c r="C5128" s="3" t="s">
        <v>3</v>
      </c>
    </row>
    <row r="5129" spans="1:3" ht="13.5" thickBot="1" x14ac:dyDescent="0.25">
      <c r="A5129" s="3">
        <v>7797</v>
      </c>
      <c r="B5129" s="28"/>
      <c r="C5129" s="3" t="s">
        <v>4</v>
      </c>
    </row>
    <row r="5130" spans="1:3" ht="13.5" thickBot="1" x14ac:dyDescent="0.25">
      <c r="A5130" s="3">
        <v>7271</v>
      </c>
      <c r="B5130" s="28"/>
      <c r="C5130" s="3" t="s">
        <v>3</v>
      </c>
    </row>
    <row r="5131" spans="1:3" ht="13.5" thickBot="1" x14ac:dyDescent="0.25">
      <c r="A5131" s="3">
        <v>4382</v>
      </c>
      <c r="B5131" s="28"/>
      <c r="C5131" s="3" t="s">
        <v>5</v>
      </c>
    </row>
    <row r="5132" spans="1:3" ht="13.5" thickBot="1" x14ac:dyDescent="0.25">
      <c r="A5132" s="3">
        <v>2211</v>
      </c>
      <c r="B5132" s="28"/>
      <c r="C5132" s="3" t="s">
        <v>5</v>
      </c>
    </row>
    <row r="5133" spans="1:3" ht="13.5" thickBot="1" x14ac:dyDescent="0.25">
      <c r="A5133" s="3">
        <v>589</v>
      </c>
      <c r="B5133" s="28"/>
      <c r="C5133" s="3" t="s">
        <v>4</v>
      </c>
    </row>
    <row r="5134" spans="1:3" ht="13.5" thickBot="1" x14ac:dyDescent="0.25">
      <c r="A5134" s="3">
        <v>6469</v>
      </c>
      <c r="B5134" s="28"/>
      <c r="C5134" s="3" t="s">
        <v>4</v>
      </c>
    </row>
    <row r="5135" spans="1:3" ht="13.5" thickBot="1" x14ac:dyDescent="0.25">
      <c r="A5135" s="3">
        <v>2346</v>
      </c>
      <c r="B5135" s="28"/>
      <c r="C5135" s="3" t="s">
        <v>7</v>
      </c>
    </row>
    <row r="5136" spans="1:3" ht="13.5" thickBot="1" x14ac:dyDescent="0.25">
      <c r="A5136" s="3">
        <v>7146</v>
      </c>
      <c r="B5136" s="28"/>
      <c r="C5136" s="3" t="s">
        <v>3</v>
      </c>
    </row>
    <row r="5137" spans="1:3" ht="13.5" thickBot="1" x14ac:dyDescent="0.25">
      <c r="A5137" s="3">
        <v>7322</v>
      </c>
      <c r="B5137" s="28"/>
      <c r="C5137" s="3" t="s">
        <v>3</v>
      </c>
    </row>
    <row r="5138" spans="1:3" ht="13.5" thickBot="1" x14ac:dyDescent="0.25">
      <c r="A5138" s="3">
        <v>286</v>
      </c>
      <c r="B5138" s="28"/>
      <c r="C5138" s="3" t="s">
        <v>3</v>
      </c>
    </row>
    <row r="5139" spans="1:3" ht="13.5" thickBot="1" x14ac:dyDescent="0.25">
      <c r="A5139" s="3">
        <v>7373</v>
      </c>
      <c r="B5139" s="28"/>
      <c r="C5139" s="3" t="s">
        <v>3</v>
      </c>
    </row>
    <row r="5140" spans="1:3" ht="13.5" thickBot="1" x14ac:dyDescent="0.25">
      <c r="A5140" s="3">
        <v>7907</v>
      </c>
      <c r="B5140" s="28"/>
      <c r="C5140" s="3" t="s">
        <v>4</v>
      </c>
    </row>
    <row r="5141" spans="1:3" ht="13.5" thickBot="1" x14ac:dyDescent="0.25">
      <c r="A5141" s="3">
        <v>3406</v>
      </c>
      <c r="B5141" s="28"/>
      <c r="C5141" s="3" t="s">
        <v>5</v>
      </c>
    </row>
    <row r="5142" spans="1:3" ht="13.5" thickBot="1" x14ac:dyDescent="0.25">
      <c r="A5142" s="3">
        <v>6890</v>
      </c>
      <c r="B5142" s="28"/>
      <c r="C5142" s="3" t="s">
        <v>5</v>
      </c>
    </row>
    <row r="5143" spans="1:3" ht="13.5" thickBot="1" x14ac:dyDescent="0.25">
      <c r="A5143" s="3">
        <v>6607</v>
      </c>
      <c r="B5143" s="28"/>
      <c r="C5143" s="3" t="s">
        <v>6</v>
      </c>
    </row>
    <row r="5144" spans="1:3" ht="13.5" thickBot="1" x14ac:dyDescent="0.25">
      <c r="A5144" s="3">
        <v>2488</v>
      </c>
      <c r="B5144" s="28"/>
      <c r="C5144" s="3" t="s">
        <v>6</v>
      </c>
    </row>
    <row r="5145" spans="1:3" ht="13.5" thickBot="1" x14ac:dyDescent="0.25">
      <c r="A5145" s="3">
        <v>1026</v>
      </c>
      <c r="B5145" s="28"/>
      <c r="C5145" s="3" t="s">
        <v>4</v>
      </c>
    </row>
    <row r="5146" spans="1:3" ht="13.5" thickBot="1" x14ac:dyDescent="0.25">
      <c r="A5146" s="3">
        <v>5099</v>
      </c>
      <c r="B5146" s="28"/>
      <c r="C5146" s="3" t="s">
        <v>3</v>
      </c>
    </row>
    <row r="5147" spans="1:3" ht="13.5" thickBot="1" x14ac:dyDescent="0.25">
      <c r="A5147" s="3">
        <v>1054</v>
      </c>
      <c r="B5147" s="28"/>
      <c r="C5147" s="3" t="s">
        <v>4</v>
      </c>
    </row>
    <row r="5148" spans="1:3" ht="13.5" thickBot="1" x14ac:dyDescent="0.25">
      <c r="A5148" s="3">
        <v>7004</v>
      </c>
      <c r="B5148" s="28"/>
      <c r="C5148" s="3" t="s">
        <v>4</v>
      </c>
    </row>
    <row r="5149" spans="1:3" ht="13.5" thickBot="1" x14ac:dyDescent="0.25">
      <c r="A5149" s="3">
        <v>4828</v>
      </c>
      <c r="B5149" s="28"/>
      <c r="C5149" s="3" t="s">
        <v>3</v>
      </c>
    </row>
    <row r="5150" spans="1:3" ht="13.5" thickBot="1" x14ac:dyDescent="0.25">
      <c r="A5150" s="3">
        <v>7613</v>
      </c>
      <c r="B5150" s="28"/>
      <c r="C5150" s="3" t="s">
        <v>4</v>
      </c>
    </row>
    <row r="5151" spans="1:3" ht="13.5" thickBot="1" x14ac:dyDescent="0.25">
      <c r="A5151" s="3">
        <v>905</v>
      </c>
      <c r="B5151" s="28"/>
      <c r="C5151" s="3" t="s">
        <v>6</v>
      </c>
    </row>
    <row r="5152" spans="1:3" ht="13.5" thickBot="1" x14ac:dyDescent="0.25">
      <c r="A5152" s="3">
        <v>286</v>
      </c>
      <c r="B5152" s="28"/>
      <c r="C5152" s="3" t="s">
        <v>4</v>
      </c>
    </row>
    <row r="5153" spans="1:3" ht="13.5" thickBot="1" x14ac:dyDescent="0.25">
      <c r="A5153" s="3">
        <v>6711</v>
      </c>
      <c r="B5153" s="28"/>
      <c r="C5153" s="3" t="s">
        <v>3</v>
      </c>
    </row>
    <row r="5154" spans="1:3" ht="13.5" thickBot="1" x14ac:dyDescent="0.25">
      <c r="A5154" s="3">
        <v>1182</v>
      </c>
      <c r="B5154" s="28"/>
      <c r="C5154" s="3" t="s">
        <v>5</v>
      </c>
    </row>
    <row r="5155" spans="1:3" ht="13.5" thickBot="1" x14ac:dyDescent="0.25">
      <c r="A5155" s="3">
        <v>4998</v>
      </c>
      <c r="B5155" s="28"/>
      <c r="C5155" s="3" t="s">
        <v>7</v>
      </c>
    </row>
    <row r="5156" spans="1:3" ht="13.5" thickBot="1" x14ac:dyDescent="0.25">
      <c r="A5156" s="3">
        <v>5791</v>
      </c>
      <c r="B5156" s="28"/>
      <c r="C5156" s="3" t="s">
        <v>3</v>
      </c>
    </row>
    <row r="5157" spans="1:3" ht="13.5" thickBot="1" x14ac:dyDescent="0.25">
      <c r="A5157" s="3">
        <v>3839</v>
      </c>
      <c r="B5157" s="28"/>
      <c r="C5157" s="3" t="s">
        <v>4</v>
      </c>
    </row>
    <row r="5158" spans="1:3" ht="13.5" thickBot="1" x14ac:dyDescent="0.25">
      <c r="A5158" s="3">
        <v>5158</v>
      </c>
      <c r="B5158" s="28"/>
      <c r="C5158" s="3" t="s">
        <v>3</v>
      </c>
    </row>
    <row r="5159" spans="1:3" ht="13.5" thickBot="1" x14ac:dyDescent="0.25">
      <c r="A5159" s="3">
        <v>488</v>
      </c>
      <c r="B5159" s="28"/>
      <c r="C5159" s="3" t="s">
        <v>3</v>
      </c>
    </row>
    <row r="5160" spans="1:3" ht="13.5" thickBot="1" x14ac:dyDescent="0.25">
      <c r="A5160" s="3">
        <v>6972</v>
      </c>
      <c r="B5160" s="28"/>
      <c r="C5160" s="3" t="s">
        <v>4</v>
      </c>
    </row>
    <row r="5161" spans="1:3" ht="13.5" thickBot="1" x14ac:dyDescent="0.25">
      <c r="A5161" s="3">
        <v>4388</v>
      </c>
      <c r="B5161" s="28"/>
      <c r="C5161" s="3" t="s">
        <v>6</v>
      </c>
    </row>
    <row r="5162" spans="1:3" ht="13.5" thickBot="1" x14ac:dyDescent="0.25">
      <c r="A5162" s="3">
        <v>488</v>
      </c>
      <c r="B5162" s="28"/>
      <c r="C5162" s="3" t="s">
        <v>5</v>
      </c>
    </row>
    <row r="5163" spans="1:3" ht="13.5" thickBot="1" x14ac:dyDescent="0.25">
      <c r="A5163" s="3">
        <v>7002</v>
      </c>
      <c r="B5163" s="28"/>
      <c r="C5163" s="3" t="s">
        <v>5</v>
      </c>
    </row>
    <row r="5164" spans="1:3" ht="13.5" thickBot="1" x14ac:dyDescent="0.25">
      <c r="A5164" s="3">
        <v>3542</v>
      </c>
      <c r="B5164" s="28"/>
      <c r="C5164" s="3" t="s">
        <v>3</v>
      </c>
    </row>
    <row r="5165" spans="1:3" ht="13.5" thickBot="1" x14ac:dyDescent="0.25">
      <c r="A5165" s="3">
        <v>6628</v>
      </c>
      <c r="B5165" s="28"/>
      <c r="C5165" s="3" t="s">
        <v>4</v>
      </c>
    </row>
    <row r="5166" spans="1:3" ht="13.5" thickBot="1" x14ac:dyDescent="0.25">
      <c r="A5166" s="3">
        <v>3090</v>
      </c>
      <c r="B5166" s="28"/>
      <c r="C5166" s="3" t="s">
        <v>4</v>
      </c>
    </row>
    <row r="5167" spans="1:3" ht="13.5" thickBot="1" x14ac:dyDescent="0.25">
      <c r="A5167" s="3">
        <v>7002</v>
      </c>
      <c r="B5167" s="28"/>
      <c r="C5167" s="3" t="s">
        <v>6</v>
      </c>
    </row>
    <row r="5168" spans="1:3" ht="13.5" thickBot="1" x14ac:dyDescent="0.25">
      <c r="A5168" s="3">
        <v>1883</v>
      </c>
      <c r="B5168" s="28"/>
      <c r="C5168" s="3" t="s">
        <v>4</v>
      </c>
    </row>
    <row r="5169" spans="1:3" ht="13.5" thickBot="1" x14ac:dyDescent="0.25">
      <c r="A5169" s="3">
        <v>6335</v>
      </c>
      <c r="B5169" s="28"/>
      <c r="C5169" s="3" t="s">
        <v>6</v>
      </c>
    </row>
    <row r="5170" spans="1:3" ht="13.5" thickBot="1" x14ac:dyDescent="0.25">
      <c r="A5170" s="3">
        <v>3933</v>
      </c>
      <c r="B5170" s="28"/>
      <c r="C5170" s="3" t="s">
        <v>6</v>
      </c>
    </row>
    <row r="5171" spans="1:3" ht="13.5" thickBot="1" x14ac:dyDescent="0.25">
      <c r="A5171" s="3">
        <v>4596</v>
      </c>
      <c r="B5171" s="28"/>
      <c r="C5171" s="3" t="s">
        <v>6</v>
      </c>
    </row>
    <row r="5172" spans="1:3" ht="13.5" thickBot="1" x14ac:dyDescent="0.25">
      <c r="A5172" s="3">
        <v>7825</v>
      </c>
      <c r="B5172" s="28"/>
      <c r="C5172" s="3" t="s">
        <v>7</v>
      </c>
    </row>
    <row r="5173" spans="1:3" ht="13.5" thickBot="1" x14ac:dyDescent="0.25">
      <c r="A5173" s="3">
        <v>6660</v>
      </c>
      <c r="B5173" s="28"/>
      <c r="C5173" s="3" t="s">
        <v>4</v>
      </c>
    </row>
    <row r="5174" spans="1:3" ht="13.5" thickBot="1" x14ac:dyDescent="0.25">
      <c r="A5174" s="3">
        <v>7613</v>
      </c>
      <c r="B5174" s="28"/>
      <c r="C5174" s="3" t="s">
        <v>3</v>
      </c>
    </row>
    <row r="5175" spans="1:3" ht="13.5" thickBot="1" x14ac:dyDescent="0.25">
      <c r="A5175" s="3">
        <v>3951</v>
      </c>
      <c r="B5175" s="28"/>
      <c r="C5175" s="3" t="s">
        <v>4</v>
      </c>
    </row>
    <row r="5176" spans="1:3" ht="13.5" thickBot="1" x14ac:dyDescent="0.25">
      <c r="A5176" s="3">
        <v>4230</v>
      </c>
      <c r="B5176" s="28"/>
      <c r="C5176" s="3" t="s">
        <v>3</v>
      </c>
    </row>
    <row r="5177" spans="1:3" ht="13.5" thickBot="1" x14ac:dyDescent="0.25">
      <c r="A5177" s="3">
        <v>1299</v>
      </c>
      <c r="B5177" s="28"/>
      <c r="C5177" s="3" t="s">
        <v>4</v>
      </c>
    </row>
    <row r="5178" spans="1:3" ht="13.5" thickBot="1" x14ac:dyDescent="0.25">
      <c r="A5178" s="3">
        <v>7907</v>
      </c>
      <c r="B5178" s="28"/>
      <c r="C5178" s="3" t="s">
        <v>3</v>
      </c>
    </row>
    <row r="5179" spans="1:3" ht="13.5" thickBot="1" x14ac:dyDescent="0.25">
      <c r="A5179" s="3">
        <v>5551</v>
      </c>
      <c r="B5179" s="28"/>
      <c r="C5179" s="3" t="s">
        <v>4</v>
      </c>
    </row>
    <row r="5180" spans="1:3" ht="13.5" thickBot="1" x14ac:dyDescent="0.25">
      <c r="A5180" s="3">
        <v>57</v>
      </c>
      <c r="B5180" s="28"/>
      <c r="C5180" s="3" t="s">
        <v>6</v>
      </c>
    </row>
    <row r="5181" spans="1:3" ht="13.5" thickBot="1" x14ac:dyDescent="0.25">
      <c r="A5181" s="3">
        <v>6765</v>
      </c>
      <c r="B5181" s="28"/>
      <c r="C5181" s="3" t="s">
        <v>4</v>
      </c>
    </row>
    <row r="5182" spans="1:3" ht="13.5" thickBot="1" x14ac:dyDescent="0.25">
      <c r="A5182" s="3">
        <v>7969</v>
      </c>
      <c r="B5182" s="28"/>
      <c r="C5182" s="3" t="s">
        <v>3</v>
      </c>
    </row>
    <row r="5183" spans="1:3" ht="13.5" thickBot="1" x14ac:dyDescent="0.25">
      <c r="A5183" s="3">
        <v>2649</v>
      </c>
      <c r="B5183" s="28"/>
      <c r="C5183" s="3" t="s">
        <v>5</v>
      </c>
    </row>
    <row r="5184" spans="1:3" ht="13.5" thickBot="1" x14ac:dyDescent="0.25">
      <c r="A5184" s="3">
        <v>7528</v>
      </c>
      <c r="B5184" s="28"/>
      <c r="C5184" s="3" t="s">
        <v>3</v>
      </c>
    </row>
    <row r="5185" spans="1:3" ht="13.5" thickBot="1" x14ac:dyDescent="0.25">
      <c r="A5185" s="3">
        <v>6179</v>
      </c>
      <c r="B5185" s="28"/>
      <c r="C5185" s="3" t="s">
        <v>4</v>
      </c>
    </row>
    <row r="5186" spans="1:3" ht="13.5" thickBot="1" x14ac:dyDescent="0.25">
      <c r="A5186" s="3">
        <v>6628</v>
      </c>
      <c r="B5186" s="28"/>
      <c r="C5186" s="3" t="s">
        <v>5</v>
      </c>
    </row>
    <row r="5187" spans="1:3" ht="13.5" thickBot="1" x14ac:dyDescent="0.25">
      <c r="A5187" s="3">
        <v>1182</v>
      </c>
      <c r="B5187" s="28"/>
      <c r="C5187" s="3" t="s">
        <v>3</v>
      </c>
    </row>
    <row r="5188" spans="1:3" ht="13.5" thickBot="1" x14ac:dyDescent="0.25">
      <c r="A5188" s="3">
        <v>34</v>
      </c>
      <c r="B5188" s="28"/>
      <c r="C5188" s="3" t="s">
        <v>5</v>
      </c>
    </row>
    <row r="5189" spans="1:3" ht="13.5" thickBot="1" x14ac:dyDescent="0.25">
      <c r="A5189" s="3">
        <v>3986</v>
      </c>
      <c r="B5189" s="28"/>
      <c r="C5189" s="3" t="s">
        <v>3</v>
      </c>
    </row>
    <row r="5190" spans="1:3" ht="13.5" thickBot="1" x14ac:dyDescent="0.25">
      <c r="A5190" s="3">
        <v>2178</v>
      </c>
      <c r="B5190" s="28"/>
      <c r="C5190" s="3" t="s">
        <v>6</v>
      </c>
    </row>
    <row r="5191" spans="1:3" ht="13.5" thickBot="1" x14ac:dyDescent="0.25">
      <c r="A5191" s="3">
        <v>834</v>
      </c>
      <c r="B5191" s="28"/>
      <c r="C5191" s="3" t="s">
        <v>3</v>
      </c>
    </row>
    <row r="5192" spans="1:3" ht="13.5" thickBot="1" x14ac:dyDescent="0.25">
      <c r="A5192" s="3">
        <v>1062</v>
      </c>
      <c r="B5192" s="28"/>
      <c r="C5192" s="3" t="s">
        <v>5</v>
      </c>
    </row>
    <row r="5193" spans="1:3" ht="13.5" thickBot="1" x14ac:dyDescent="0.25">
      <c r="A5193" s="3">
        <v>3961</v>
      </c>
      <c r="B5193" s="28"/>
      <c r="C5193" s="3" t="s">
        <v>3</v>
      </c>
    </row>
    <row r="5194" spans="1:3" ht="13.5" thickBot="1" x14ac:dyDescent="0.25">
      <c r="A5194" s="3">
        <v>4828</v>
      </c>
      <c r="B5194" s="28"/>
      <c r="C5194" s="3" t="s">
        <v>4</v>
      </c>
    </row>
    <row r="5195" spans="1:3" ht="13.5" thickBot="1" x14ac:dyDescent="0.25">
      <c r="A5195" s="3">
        <v>6439</v>
      </c>
      <c r="B5195" s="28"/>
      <c r="C5195" s="3" t="s">
        <v>4</v>
      </c>
    </row>
    <row r="5196" spans="1:3" ht="13.5" thickBot="1" x14ac:dyDescent="0.25">
      <c r="A5196" s="3">
        <v>2139</v>
      </c>
      <c r="B5196" s="28"/>
      <c r="C5196" s="3" t="s">
        <v>6</v>
      </c>
    </row>
    <row r="5197" spans="1:3" ht="13.5" thickBot="1" x14ac:dyDescent="0.25">
      <c r="A5197" s="3">
        <v>7364</v>
      </c>
      <c r="B5197" s="28"/>
      <c r="C5197" s="3" t="s">
        <v>3</v>
      </c>
    </row>
    <row r="5198" spans="1:3" ht="13.5" thickBot="1" x14ac:dyDescent="0.25">
      <c r="A5198" s="3">
        <v>7300</v>
      </c>
      <c r="B5198" s="28"/>
      <c r="C5198" s="3" t="s">
        <v>5</v>
      </c>
    </row>
    <row r="5199" spans="1:3" ht="13.5" thickBot="1" x14ac:dyDescent="0.25">
      <c r="A5199" s="3">
        <v>7301</v>
      </c>
      <c r="B5199" s="28"/>
      <c r="C5199" s="3" t="s">
        <v>5</v>
      </c>
    </row>
    <row r="5200" spans="1:3" ht="13.5" thickBot="1" x14ac:dyDescent="0.25">
      <c r="A5200" s="3">
        <v>1209</v>
      </c>
      <c r="B5200" s="28"/>
      <c r="C5200" s="3" t="s">
        <v>3</v>
      </c>
    </row>
    <row r="5201" spans="1:3" ht="13.5" thickBot="1" x14ac:dyDescent="0.25">
      <c r="A5201" s="3">
        <v>7113</v>
      </c>
      <c r="B5201" s="28"/>
      <c r="C5201" s="3" t="s">
        <v>4</v>
      </c>
    </row>
    <row r="5202" spans="1:3" ht="13.5" thickBot="1" x14ac:dyDescent="0.25">
      <c r="A5202" s="3">
        <v>5019</v>
      </c>
      <c r="B5202" s="28"/>
      <c r="C5202" s="3" t="s">
        <v>3</v>
      </c>
    </row>
    <row r="5203" spans="1:3" ht="13.5" thickBot="1" x14ac:dyDescent="0.25">
      <c r="A5203" s="3">
        <v>3672</v>
      </c>
      <c r="B5203" s="28"/>
      <c r="C5203" s="3" t="s">
        <v>3</v>
      </c>
    </row>
    <row r="5204" spans="1:3" ht="13.5" thickBot="1" x14ac:dyDescent="0.25">
      <c r="A5204" s="3">
        <v>5495</v>
      </c>
      <c r="B5204" s="28"/>
      <c r="C5204" s="3" t="s">
        <v>6</v>
      </c>
    </row>
    <row r="5205" spans="1:3" ht="13.5" thickBot="1" x14ac:dyDescent="0.25">
      <c r="A5205" s="3">
        <v>2858</v>
      </c>
      <c r="B5205" s="28"/>
      <c r="C5205" s="3" t="s">
        <v>3</v>
      </c>
    </row>
    <row r="5206" spans="1:3" ht="13.5" thickBot="1" x14ac:dyDescent="0.25">
      <c r="A5206" s="3">
        <v>3621</v>
      </c>
      <c r="B5206" s="28"/>
      <c r="C5206" s="3" t="s">
        <v>6</v>
      </c>
    </row>
    <row r="5207" spans="1:3" ht="13.5" thickBot="1" x14ac:dyDescent="0.25">
      <c r="A5207" s="3">
        <v>6836</v>
      </c>
      <c r="B5207" s="28"/>
      <c r="C5207" s="3" t="s">
        <v>3</v>
      </c>
    </row>
    <row r="5208" spans="1:3" ht="13.5" thickBot="1" x14ac:dyDescent="0.25">
      <c r="A5208" s="3">
        <v>2813</v>
      </c>
      <c r="B5208" s="28"/>
      <c r="C5208" s="3" t="s">
        <v>3</v>
      </c>
    </row>
    <row r="5209" spans="1:3" ht="13.5" thickBot="1" x14ac:dyDescent="0.25">
      <c r="A5209" s="3">
        <v>4314</v>
      </c>
      <c r="B5209" s="28"/>
      <c r="C5209" s="3" t="s">
        <v>6</v>
      </c>
    </row>
    <row r="5210" spans="1:3" ht="13.5" thickBot="1" x14ac:dyDescent="0.25">
      <c r="A5210" s="3">
        <v>6068</v>
      </c>
      <c r="B5210" s="28"/>
      <c r="C5210" s="3" t="s">
        <v>7</v>
      </c>
    </row>
    <row r="5211" spans="1:3" ht="13.5" thickBot="1" x14ac:dyDescent="0.25">
      <c r="A5211" s="3">
        <v>1640</v>
      </c>
      <c r="B5211" s="28"/>
      <c r="C5211" s="3" t="s">
        <v>4</v>
      </c>
    </row>
    <row r="5212" spans="1:3" ht="13.5" thickBot="1" x14ac:dyDescent="0.25">
      <c r="A5212" s="3">
        <v>7137</v>
      </c>
      <c r="B5212" s="28"/>
      <c r="C5212" s="3" t="s">
        <v>3</v>
      </c>
    </row>
    <row r="5213" spans="1:3" ht="13.5" thickBot="1" x14ac:dyDescent="0.25">
      <c r="A5213" s="3">
        <v>7840</v>
      </c>
      <c r="B5213" s="28"/>
      <c r="C5213" s="3" t="s">
        <v>7</v>
      </c>
    </row>
    <row r="5214" spans="1:3" ht="13.5" thickBot="1" x14ac:dyDescent="0.25">
      <c r="A5214" s="3">
        <v>5003</v>
      </c>
      <c r="B5214" s="28"/>
      <c r="C5214" s="3" t="s">
        <v>7</v>
      </c>
    </row>
    <row r="5215" spans="1:3" ht="13.5" thickBot="1" x14ac:dyDescent="0.25">
      <c r="A5215" s="3">
        <v>108</v>
      </c>
      <c r="B5215" s="28"/>
      <c r="C5215" s="3" t="s">
        <v>3</v>
      </c>
    </row>
    <row r="5216" spans="1:3" ht="13.5" thickBot="1" x14ac:dyDescent="0.25">
      <c r="A5216" s="3">
        <v>1893</v>
      </c>
      <c r="B5216" s="28"/>
      <c r="C5216" s="3" t="s">
        <v>3</v>
      </c>
    </row>
    <row r="5217" spans="1:3" ht="13.5" thickBot="1" x14ac:dyDescent="0.25">
      <c r="A5217" s="3">
        <v>7743</v>
      </c>
      <c r="B5217" s="28"/>
      <c r="C5217" s="3" t="s">
        <v>3</v>
      </c>
    </row>
    <row r="5218" spans="1:3" ht="13.5" thickBot="1" x14ac:dyDescent="0.25">
      <c r="A5218" s="3">
        <v>488</v>
      </c>
      <c r="B5218" s="28"/>
      <c r="C5218" s="3" t="s">
        <v>4</v>
      </c>
    </row>
    <row r="5219" spans="1:3" ht="13.5" thickBot="1" x14ac:dyDescent="0.25">
      <c r="A5219" s="3">
        <v>3962</v>
      </c>
      <c r="B5219" s="28"/>
      <c r="C5219" s="3" t="s">
        <v>6</v>
      </c>
    </row>
    <row r="5220" spans="1:3" ht="13.5" thickBot="1" x14ac:dyDescent="0.25">
      <c r="A5220" s="3">
        <v>6439</v>
      </c>
      <c r="B5220" s="28"/>
      <c r="C5220" s="3" t="s">
        <v>6</v>
      </c>
    </row>
    <row r="5221" spans="1:3" ht="13.5" thickBot="1" x14ac:dyDescent="0.25">
      <c r="A5221" s="3">
        <v>1177</v>
      </c>
      <c r="B5221" s="28"/>
      <c r="C5221" s="3" t="s">
        <v>5</v>
      </c>
    </row>
    <row r="5222" spans="1:3" ht="13.5" thickBot="1" x14ac:dyDescent="0.25">
      <c r="A5222" s="3">
        <v>5158</v>
      </c>
      <c r="B5222" s="28"/>
      <c r="C5222" s="3" t="s">
        <v>4</v>
      </c>
    </row>
    <row r="5223" spans="1:3" ht="13.5" thickBot="1" x14ac:dyDescent="0.25">
      <c r="A5223" s="3">
        <v>6607</v>
      </c>
      <c r="B5223" s="28"/>
      <c r="C5223" s="3" t="s">
        <v>5</v>
      </c>
    </row>
    <row r="5224" spans="1:3" ht="13.5" thickBot="1" x14ac:dyDescent="0.25">
      <c r="A5224" s="3">
        <v>2919</v>
      </c>
      <c r="B5224" s="28"/>
      <c r="C5224" s="3" t="s">
        <v>6</v>
      </c>
    </row>
    <row r="5225" spans="1:3" ht="13.5" thickBot="1" x14ac:dyDescent="0.25">
      <c r="A5225" s="3">
        <v>5689</v>
      </c>
      <c r="B5225" s="28"/>
      <c r="C5225" s="3" t="s">
        <v>3</v>
      </c>
    </row>
    <row r="5226" spans="1:3" ht="13.5" thickBot="1" x14ac:dyDescent="0.25">
      <c r="A5226" s="3">
        <v>6487</v>
      </c>
      <c r="B5226" s="28"/>
      <c r="C5226" s="3" t="s">
        <v>3</v>
      </c>
    </row>
    <row r="5227" spans="1:3" ht="13.5" thickBot="1" x14ac:dyDescent="0.25">
      <c r="A5227" s="3">
        <v>3765</v>
      </c>
      <c r="B5227" s="28"/>
      <c r="C5227" s="3" t="s">
        <v>4</v>
      </c>
    </row>
    <row r="5228" spans="1:3" ht="13.5" thickBot="1" x14ac:dyDescent="0.25">
      <c r="A5228" s="3">
        <v>2178</v>
      </c>
      <c r="B5228" s="28"/>
      <c r="C5228" s="3" t="s">
        <v>7</v>
      </c>
    </row>
    <row r="5229" spans="1:3" ht="13.5" thickBot="1" x14ac:dyDescent="0.25">
      <c r="A5229" s="3">
        <v>2991</v>
      </c>
      <c r="B5229" s="28"/>
      <c r="C5229" s="3" t="s">
        <v>3</v>
      </c>
    </row>
    <row r="5230" spans="1:3" ht="13.5" thickBot="1" x14ac:dyDescent="0.25">
      <c r="A5230" s="3">
        <v>905</v>
      </c>
      <c r="B5230" s="28"/>
      <c r="C5230" s="3" t="s">
        <v>5</v>
      </c>
    </row>
    <row r="5231" spans="1:3" ht="13.5" thickBot="1" x14ac:dyDescent="0.25">
      <c r="A5231" s="3">
        <v>1079</v>
      </c>
      <c r="B5231" s="28"/>
      <c r="C5231" s="3" t="s">
        <v>7</v>
      </c>
    </row>
    <row r="5232" spans="1:3" ht="13.5" thickBot="1" x14ac:dyDescent="0.25">
      <c r="A5232" s="3">
        <v>6439</v>
      </c>
      <c r="B5232" s="28"/>
      <c r="C5232" s="3" t="s">
        <v>5</v>
      </c>
    </row>
    <row r="5233" spans="1:3" ht="13.5" thickBot="1" x14ac:dyDescent="0.25">
      <c r="A5233" s="3">
        <v>4359</v>
      </c>
      <c r="B5233" s="28"/>
      <c r="C5233" s="3" t="s">
        <v>3</v>
      </c>
    </row>
    <row r="5234" spans="1:3" ht="13.5" thickBot="1" x14ac:dyDescent="0.25">
      <c r="A5234" s="3">
        <v>34</v>
      </c>
      <c r="B5234" s="28"/>
      <c r="C5234" s="3" t="s">
        <v>6</v>
      </c>
    </row>
    <row r="5235" spans="1:3" ht="13.5" thickBot="1" x14ac:dyDescent="0.25">
      <c r="A5235" s="3">
        <v>1883</v>
      </c>
      <c r="B5235" s="28"/>
      <c r="C5235" s="3" t="s">
        <v>5</v>
      </c>
    </row>
    <row r="5236" spans="1:3" ht="13.5" thickBot="1" x14ac:dyDescent="0.25">
      <c r="A5236" s="3">
        <v>2813</v>
      </c>
      <c r="B5236" s="28"/>
      <c r="C5236" s="3" t="s">
        <v>5</v>
      </c>
    </row>
    <row r="5237" spans="1:3" ht="13.5" thickBot="1" x14ac:dyDescent="0.25">
      <c r="A5237" s="3">
        <v>6386</v>
      </c>
      <c r="B5237" s="28"/>
      <c r="C5237" s="3" t="s">
        <v>3</v>
      </c>
    </row>
    <row r="5238" spans="1:3" ht="13.5" thickBot="1" x14ac:dyDescent="0.25">
      <c r="A5238" s="3">
        <v>5717</v>
      </c>
      <c r="B5238" s="28"/>
      <c r="C5238" s="3" t="s">
        <v>3</v>
      </c>
    </row>
    <row r="5239" spans="1:3" ht="13.5" thickBot="1" x14ac:dyDescent="0.25">
      <c r="A5239" s="3">
        <v>6265</v>
      </c>
      <c r="B5239" s="28"/>
      <c r="C5239" s="3" t="s">
        <v>3</v>
      </c>
    </row>
    <row r="5240" spans="1:3" ht="13.5" thickBot="1" x14ac:dyDescent="0.25">
      <c r="A5240" s="3">
        <v>2551</v>
      </c>
      <c r="B5240" s="28"/>
      <c r="C5240" s="3" t="s">
        <v>3</v>
      </c>
    </row>
    <row r="5241" spans="1:3" ht="13.5" thickBot="1" x14ac:dyDescent="0.25">
      <c r="A5241" s="3">
        <v>2718</v>
      </c>
      <c r="B5241" s="28"/>
      <c r="C5241" s="3" t="s">
        <v>3</v>
      </c>
    </row>
    <row r="5242" spans="1:3" ht="13.5" thickBot="1" x14ac:dyDescent="0.25">
      <c r="A5242" s="3">
        <v>108</v>
      </c>
      <c r="B5242" s="28"/>
      <c r="C5242" s="3" t="s">
        <v>4</v>
      </c>
    </row>
    <row r="5243" spans="1:3" ht="13.5" thickBot="1" x14ac:dyDescent="0.25">
      <c r="A5243" s="3">
        <v>5258</v>
      </c>
      <c r="B5243" s="28"/>
      <c r="C5243" s="3" t="s">
        <v>6</v>
      </c>
    </row>
    <row r="5244" spans="1:3" ht="13.5" thickBot="1" x14ac:dyDescent="0.25">
      <c r="A5244" s="3">
        <v>6582</v>
      </c>
      <c r="B5244" s="28"/>
      <c r="C5244" s="3" t="s">
        <v>3</v>
      </c>
    </row>
    <row r="5245" spans="1:3" ht="13.5" thickBot="1" x14ac:dyDescent="0.25">
      <c r="A5245" s="3">
        <v>3186</v>
      </c>
      <c r="B5245" s="28"/>
      <c r="C5245" s="3" t="s">
        <v>5</v>
      </c>
    </row>
    <row r="5246" spans="1:3" ht="13.5" thickBot="1" x14ac:dyDescent="0.25">
      <c r="A5246" s="3">
        <v>68</v>
      </c>
      <c r="B5246" s="28"/>
      <c r="C5246" s="3" t="s">
        <v>3</v>
      </c>
    </row>
    <row r="5247" spans="1:3" ht="13.5" thickBot="1" x14ac:dyDescent="0.25">
      <c r="A5247" s="3">
        <v>3735</v>
      </c>
      <c r="B5247" s="28"/>
      <c r="C5247" s="3" t="s">
        <v>3</v>
      </c>
    </row>
    <row r="5248" spans="1:3" ht="13.5" thickBot="1" x14ac:dyDescent="0.25">
      <c r="A5248" s="3">
        <v>7364</v>
      </c>
      <c r="B5248" s="28"/>
      <c r="C5248" s="3" t="s">
        <v>4</v>
      </c>
    </row>
    <row r="5249" spans="1:3" ht="13.5" thickBot="1" x14ac:dyDescent="0.25">
      <c r="A5249" s="3">
        <v>6664</v>
      </c>
      <c r="B5249" s="28"/>
      <c r="C5249" s="3" t="s">
        <v>3</v>
      </c>
    </row>
    <row r="5250" spans="1:3" ht="13.5" thickBot="1" x14ac:dyDescent="0.25">
      <c r="A5250" s="3">
        <v>433</v>
      </c>
      <c r="B5250" s="28"/>
      <c r="C5250" s="3" t="s">
        <v>6</v>
      </c>
    </row>
    <row r="5251" spans="1:3" ht="13.5" thickBot="1" x14ac:dyDescent="0.25">
      <c r="A5251" s="3">
        <v>1421</v>
      </c>
      <c r="B5251" s="28"/>
      <c r="C5251" s="3" t="s">
        <v>3</v>
      </c>
    </row>
    <row r="5252" spans="1:3" ht="13.5" thickBot="1" x14ac:dyDescent="0.25">
      <c r="A5252" s="3">
        <v>3072</v>
      </c>
      <c r="B5252" s="28"/>
      <c r="C5252" s="3" t="s">
        <v>3</v>
      </c>
    </row>
    <row r="5253" spans="1:3" ht="13.5" thickBot="1" x14ac:dyDescent="0.25">
      <c r="A5253" s="3">
        <v>4175</v>
      </c>
      <c r="B5253" s="28"/>
      <c r="C5253" s="3" t="s">
        <v>3</v>
      </c>
    </row>
    <row r="5254" spans="1:3" ht="13.5" thickBot="1" x14ac:dyDescent="0.25">
      <c r="A5254" s="3">
        <v>7342</v>
      </c>
      <c r="B5254" s="28"/>
      <c r="C5254" s="3" t="s">
        <v>3</v>
      </c>
    </row>
    <row r="5255" spans="1:3" ht="13.5" thickBot="1" x14ac:dyDescent="0.25">
      <c r="A5255" s="3">
        <v>4388</v>
      </c>
      <c r="B5255" s="28"/>
      <c r="C5255" s="3" t="s">
        <v>4</v>
      </c>
    </row>
    <row r="5256" spans="1:3" ht="13.5" thickBot="1" x14ac:dyDescent="0.25">
      <c r="A5256" s="3">
        <v>6265</v>
      </c>
      <c r="B5256" s="28"/>
      <c r="C5256" s="3" t="s">
        <v>4</v>
      </c>
    </row>
    <row r="5257" spans="1:3" ht="13.5" thickBot="1" x14ac:dyDescent="0.25">
      <c r="A5257" s="3">
        <v>6487</v>
      </c>
      <c r="B5257" s="28"/>
      <c r="C5257" s="3" t="s">
        <v>4</v>
      </c>
    </row>
    <row r="5258" spans="1:3" ht="13.5" thickBot="1" x14ac:dyDescent="0.25">
      <c r="A5258" s="3">
        <v>1942</v>
      </c>
      <c r="B5258" s="28"/>
      <c r="C5258" s="3" t="s">
        <v>5</v>
      </c>
    </row>
    <row r="5259" spans="1:3" ht="13.5" thickBot="1" x14ac:dyDescent="0.25">
      <c r="A5259" s="3">
        <v>5208</v>
      </c>
      <c r="B5259" s="28"/>
      <c r="C5259" s="3" t="s">
        <v>3</v>
      </c>
    </row>
    <row r="5260" spans="1:3" ht="13.5" thickBot="1" x14ac:dyDescent="0.25">
      <c r="A5260" s="3">
        <v>1182</v>
      </c>
      <c r="B5260" s="28"/>
      <c r="C5260" s="3" t="s">
        <v>4</v>
      </c>
    </row>
    <row r="5261" spans="1:3" ht="13.5" thickBot="1" x14ac:dyDescent="0.25">
      <c r="A5261" s="3">
        <v>1947</v>
      </c>
      <c r="B5261" s="28"/>
      <c r="C5261" s="3" t="s">
        <v>3</v>
      </c>
    </row>
    <row r="5262" spans="1:3" ht="13.5" thickBot="1" x14ac:dyDescent="0.25">
      <c r="A5262" s="3">
        <v>4876</v>
      </c>
      <c r="B5262" s="28"/>
      <c r="C5262" s="3" t="s">
        <v>3</v>
      </c>
    </row>
    <row r="5263" spans="1:3" ht="13.5" thickBot="1" x14ac:dyDescent="0.25">
      <c r="A5263" s="3">
        <v>3986</v>
      </c>
      <c r="B5263" s="28"/>
      <c r="C5263" s="3" t="s">
        <v>5</v>
      </c>
    </row>
    <row r="5264" spans="1:3" ht="13.5" thickBot="1" x14ac:dyDescent="0.25">
      <c r="A5264" s="3">
        <v>6738</v>
      </c>
      <c r="B5264" s="28"/>
      <c r="C5264" s="3" t="s">
        <v>3</v>
      </c>
    </row>
    <row r="5265" spans="1:3" ht="13.5" thickBot="1" x14ac:dyDescent="0.25">
      <c r="A5265" s="3">
        <v>1862</v>
      </c>
      <c r="B5265" s="28"/>
      <c r="C5265" s="3" t="s">
        <v>3</v>
      </c>
    </row>
    <row r="5266" spans="1:3" ht="13.5" thickBot="1" x14ac:dyDescent="0.25">
      <c r="A5266" s="3">
        <v>7741</v>
      </c>
      <c r="B5266" s="28"/>
      <c r="C5266" s="3" t="s">
        <v>3</v>
      </c>
    </row>
    <row r="5267" spans="1:3" ht="13.5" thickBot="1" x14ac:dyDescent="0.25">
      <c r="A5267" s="3">
        <v>4116</v>
      </c>
      <c r="B5267" s="28"/>
      <c r="C5267" s="3" t="s">
        <v>3</v>
      </c>
    </row>
    <row r="5268" spans="1:3" ht="13.5" thickBot="1" x14ac:dyDescent="0.25">
      <c r="A5268" s="3">
        <v>197</v>
      </c>
      <c r="B5268" s="28"/>
      <c r="C5268" s="3" t="s">
        <v>4</v>
      </c>
    </row>
    <row r="5269" spans="1:3" ht="13.5" thickBot="1" x14ac:dyDescent="0.25">
      <c r="A5269" s="3">
        <v>5019</v>
      </c>
      <c r="B5269" s="28"/>
      <c r="C5269" s="3" t="s">
        <v>4</v>
      </c>
    </row>
    <row r="5270" spans="1:3" ht="13.5" thickBot="1" x14ac:dyDescent="0.25">
      <c r="A5270" s="3">
        <v>7613</v>
      </c>
      <c r="B5270" s="28"/>
      <c r="C5270" s="3" t="s">
        <v>5</v>
      </c>
    </row>
    <row r="5271" spans="1:3" ht="13.5" thickBot="1" x14ac:dyDescent="0.25">
      <c r="A5271" s="3">
        <v>1182</v>
      </c>
      <c r="B5271" s="28"/>
      <c r="C5271" s="3" t="s">
        <v>6</v>
      </c>
    </row>
    <row r="5272" spans="1:3" ht="13.5" thickBot="1" x14ac:dyDescent="0.25">
      <c r="A5272" s="3">
        <v>253</v>
      </c>
      <c r="B5272" s="28"/>
      <c r="C5272" s="3" t="s">
        <v>3</v>
      </c>
    </row>
    <row r="5273" spans="1:3" ht="13.5" thickBot="1" x14ac:dyDescent="0.25">
      <c r="A5273" s="3">
        <v>5474</v>
      </c>
      <c r="B5273" s="28"/>
      <c r="C5273" s="3" t="s">
        <v>6</v>
      </c>
    </row>
    <row r="5274" spans="1:3" ht="13.5" thickBot="1" x14ac:dyDescent="0.25">
      <c r="A5274" s="3">
        <v>2949</v>
      </c>
      <c r="B5274" s="28"/>
      <c r="C5274" s="3" t="s">
        <v>5</v>
      </c>
    </row>
    <row r="5275" spans="1:3" ht="13.5" thickBot="1" x14ac:dyDescent="0.25">
      <c r="A5275" s="3">
        <v>6857</v>
      </c>
      <c r="B5275" s="28"/>
      <c r="C5275" s="3" t="s">
        <v>3</v>
      </c>
    </row>
    <row r="5276" spans="1:3" ht="13.5" thickBot="1" x14ac:dyDescent="0.25">
      <c r="A5276" s="3">
        <v>483</v>
      </c>
      <c r="B5276" s="28"/>
      <c r="C5276" s="3" t="s">
        <v>3</v>
      </c>
    </row>
    <row r="5277" spans="1:3" ht="13.5" thickBot="1" x14ac:dyDescent="0.25">
      <c r="A5277" s="3">
        <v>2919</v>
      </c>
      <c r="B5277" s="28"/>
      <c r="C5277" s="3" t="s">
        <v>7</v>
      </c>
    </row>
    <row r="5278" spans="1:3" ht="13.5" thickBot="1" x14ac:dyDescent="0.25">
      <c r="A5278" s="3">
        <v>6469</v>
      </c>
      <c r="B5278" s="28"/>
      <c r="C5278" s="3" t="s">
        <v>5</v>
      </c>
    </row>
    <row r="5279" spans="1:3" ht="13.5" thickBot="1" x14ac:dyDescent="0.25">
      <c r="A5279" s="3">
        <v>2417</v>
      </c>
      <c r="B5279" s="28"/>
      <c r="C5279" s="3" t="s">
        <v>3</v>
      </c>
    </row>
    <row r="5280" spans="1:3" ht="13.5" thickBot="1" x14ac:dyDescent="0.25">
      <c r="A5280" s="3">
        <v>7300</v>
      </c>
      <c r="B5280" s="28"/>
      <c r="C5280" s="3" t="s">
        <v>7</v>
      </c>
    </row>
    <row r="5281" spans="1:3" ht="13.5" thickBot="1" x14ac:dyDescent="0.25">
      <c r="A5281" s="3">
        <v>1026</v>
      </c>
      <c r="B5281" s="28"/>
      <c r="C5281" s="3" t="s">
        <v>7</v>
      </c>
    </row>
    <row r="5282" spans="1:3" ht="13.5" thickBot="1" x14ac:dyDescent="0.25">
      <c r="A5282" s="3">
        <v>1026</v>
      </c>
      <c r="B5282" s="28"/>
      <c r="C5282" s="3" t="s">
        <v>5</v>
      </c>
    </row>
    <row r="5283" spans="1:3" ht="13.5" thickBot="1" x14ac:dyDescent="0.25">
      <c r="A5283" s="3">
        <v>1421</v>
      </c>
      <c r="B5283" s="28"/>
      <c r="C5283" s="3" t="s">
        <v>4</v>
      </c>
    </row>
    <row r="5284" spans="1:3" ht="13.5" thickBot="1" x14ac:dyDescent="0.25">
      <c r="A5284" s="3">
        <v>3072</v>
      </c>
      <c r="B5284" s="28"/>
      <c r="C5284" s="3" t="s">
        <v>7</v>
      </c>
    </row>
    <row r="5285" spans="1:3" ht="13.5" thickBot="1" x14ac:dyDescent="0.25">
      <c r="A5285" s="3">
        <v>4670</v>
      </c>
      <c r="B5285" s="28"/>
      <c r="C5285" s="3" t="s">
        <v>3</v>
      </c>
    </row>
    <row r="5286" spans="1:3" ht="13.5" thickBot="1" x14ac:dyDescent="0.25">
      <c r="A5286" s="3">
        <v>6428</v>
      </c>
      <c r="B5286" s="28"/>
      <c r="C5286" s="3" t="s">
        <v>3</v>
      </c>
    </row>
    <row r="5287" spans="1:3" ht="13.5" thickBot="1" x14ac:dyDescent="0.25">
      <c r="A5287" s="3">
        <v>7790</v>
      </c>
      <c r="B5287" s="28"/>
      <c r="C5287" s="3" t="s">
        <v>3</v>
      </c>
    </row>
    <row r="5288" spans="1:3" ht="13.5" thickBot="1" x14ac:dyDescent="0.25">
      <c r="A5288" s="3">
        <v>6386</v>
      </c>
      <c r="B5288" s="28"/>
      <c r="C5288" s="3" t="s">
        <v>5</v>
      </c>
    </row>
    <row r="5289" spans="1:3" ht="13.5" thickBot="1" x14ac:dyDescent="0.25">
      <c r="A5289" s="3">
        <v>1936</v>
      </c>
      <c r="B5289" s="28"/>
      <c r="C5289" s="3" t="s">
        <v>3</v>
      </c>
    </row>
    <row r="5290" spans="1:3" ht="13.5" thickBot="1" x14ac:dyDescent="0.25">
      <c r="A5290" s="3">
        <v>2808</v>
      </c>
      <c r="B5290" s="28"/>
      <c r="C5290" s="3" t="s">
        <v>6</v>
      </c>
    </row>
    <row r="5291" spans="1:3" ht="13.5" thickBot="1" x14ac:dyDescent="0.25">
      <c r="A5291" s="3">
        <v>6537</v>
      </c>
      <c r="B5291" s="28"/>
      <c r="C5291" s="3" t="s">
        <v>3</v>
      </c>
    </row>
    <row r="5292" spans="1:3" ht="13.5" thickBot="1" x14ac:dyDescent="0.25">
      <c r="A5292" s="3">
        <v>2346</v>
      </c>
      <c r="B5292" s="28"/>
      <c r="C5292" s="3" t="s">
        <v>6</v>
      </c>
    </row>
    <row r="5293" spans="1:3" ht="13.5" thickBot="1" x14ac:dyDescent="0.25">
      <c r="A5293" s="3">
        <v>1773</v>
      </c>
      <c r="B5293" s="28"/>
      <c r="C5293" s="3" t="s">
        <v>3</v>
      </c>
    </row>
    <row r="5294" spans="1:3" ht="13.5" thickBot="1" x14ac:dyDescent="0.25">
      <c r="A5294" s="3">
        <v>2386</v>
      </c>
      <c r="B5294" s="28"/>
      <c r="C5294" s="3" t="s">
        <v>3</v>
      </c>
    </row>
    <row r="5295" spans="1:3" ht="13.5" thickBot="1" x14ac:dyDescent="0.25">
      <c r="A5295" s="3">
        <v>7301</v>
      </c>
      <c r="B5295" s="28"/>
      <c r="C5295" s="3" t="s">
        <v>7</v>
      </c>
    </row>
    <row r="5296" spans="1:3" ht="13.5" thickBot="1" x14ac:dyDescent="0.25">
      <c r="A5296" s="3">
        <v>4998</v>
      </c>
      <c r="B5296" s="28"/>
      <c r="C5296" s="3" t="s">
        <v>5</v>
      </c>
    </row>
    <row r="5297" spans="1:3" ht="13.5" thickBot="1" x14ac:dyDescent="0.25">
      <c r="A5297" s="3">
        <v>4831</v>
      </c>
      <c r="B5297" s="28"/>
      <c r="C5297" s="3" t="s">
        <v>6</v>
      </c>
    </row>
    <row r="5298" spans="1:3" ht="13.5" thickBot="1" x14ac:dyDescent="0.25">
      <c r="A5298" s="3">
        <v>3986</v>
      </c>
      <c r="B5298" s="28"/>
      <c r="C5298" s="3" t="s">
        <v>7</v>
      </c>
    </row>
    <row r="5299" spans="1:3" ht="13.5" thickBot="1" x14ac:dyDescent="0.25">
      <c r="A5299" s="3">
        <v>7322</v>
      </c>
      <c r="B5299" s="28"/>
      <c r="C5299" s="3" t="s">
        <v>4</v>
      </c>
    </row>
    <row r="5300" spans="1:3" ht="13.5" thickBot="1" x14ac:dyDescent="0.25">
      <c r="A5300" s="3">
        <v>6859</v>
      </c>
      <c r="B5300" s="28"/>
      <c r="C5300" s="3" t="s">
        <v>3</v>
      </c>
    </row>
    <row r="5301" spans="1:3" ht="13.5" thickBot="1" x14ac:dyDescent="0.25">
      <c r="A5301" s="3">
        <v>2023</v>
      </c>
      <c r="B5301" s="28"/>
      <c r="C5301" s="3" t="s">
        <v>6</v>
      </c>
    </row>
    <row r="5302" spans="1:3" ht="13.5" thickBot="1" x14ac:dyDescent="0.25">
      <c r="A5302" s="3">
        <v>197</v>
      </c>
      <c r="B5302" s="28"/>
      <c r="C5302" s="3" t="s">
        <v>3</v>
      </c>
    </row>
    <row r="5303" spans="1:3" ht="13.5" thickBot="1" x14ac:dyDescent="0.25">
      <c r="A5303" s="3">
        <v>7342</v>
      </c>
      <c r="B5303" s="28"/>
      <c r="C5303" s="3" t="s">
        <v>4</v>
      </c>
    </row>
    <row r="5304" spans="1:3" ht="13.5" thickBot="1" x14ac:dyDescent="0.25">
      <c r="A5304" s="3">
        <v>5675</v>
      </c>
      <c r="B5304" s="28"/>
      <c r="C5304" s="3" t="s">
        <v>4</v>
      </c>
    </row>
    <row r="5305" spans="1:3" ht="13.5" thickBot="1" x14ac:dyDescent="0.25">
      <c r="A5305" s="3">
        <v>6410</v>
      </c>
      <c r="B5305" s="28"/>
      <c r="C5305" s="3" t="s">
        <v>3</v>
      </c>
    </row>
    <row r="5306" spans="1:3" ht="13.5" thickBot="1" x14ac:dyDescent="0.25">
      <c r="A5306" s="3">
        <v>6466</v>
      </c>
      <c r="B5306" s="28"/>
      <c r="C5306" s="3" t="s">
        <v>7</v>
      </c>
    </row>
    <row r="5307" spans="1:3" ht="13.5" thickBot="1" x14ac:dyDescent="0.25">
      <c r="A5307" s="3">
        <v>483</v>
      </c>
      <c r="B5307" s="28"/>
      <c r="C5307" s="3" t="s">
        <v>4</v>
      </c>
    </row>
    <row r="5308" spans="1:3" ht="13.5" thickBot="1" x14ac:dyDescent="0.25">
      <c r="A5308" s="3">
        <v>7790</v>
      </c>
      <c r="B5308" s="28"/>
      <c r="C5308" s="3" t="s">
        <v>5</v>
      </c>
    </row>
    <row r="5309" spans="1:3" ht="13.5" thickBot="1" x14ac:dyDescent="0.25">
      <c r="A5309" s="3">
        <v>848</v>
      </c>
      <c r="B5309" s="28"/>
      <c r="C5309" s="3" t="s">
        <v>3</v>
      </c>
    </row>
    <row r="5310" spans="1:3" ht="13.5" thickBot="1" x14ac:dyDescent="0.25">
      <c r="A5310" s="3">
        <v>6497</v>
      </c>
      <c r="B5310" s="28"/>
      <c r="C5310" s="3" t="s">
        <v>5</v>
      </c>
    </row>
    <row r="5311" spans="1:3" ht="13.5" thickBot="1" x14ac:dyDescent="0.25">
      <c r="A5311" s="3">
        <v>6410</v>
      </c>
      <c r="B5311" s="28"/>
      <c r="C5311" s="3" t="s">
        <v>4</v>
      </c>
    </row>
    <row r="5312" spans="1:3" ht="13.5" thickBot="1" x14ac:dyDescent="0.25">
      <c r="A5312" s="3">
        <v>108</v>
      </c>
      <c r="B5312" s="28"/>
      <c r="C5312" s="3" t="s">
        <v>7</v>
      </c>
    </row>
    <row r="5313" spans="1:3" ht="13.5" thickBot="1" x14ac:dyDescent="0.25">
      <c r="A5313" s="3">
        <v>5675</v>
      </c>
      <c r="B5313" s="28"/>
      <c r="C5313" s="3" t="s">
        <v>3</v>
      </c>
    </row>
    <row r="5314" spans="1:3" ht="13.5" thickBot="1" x14ac:dyDescent="0.25">
      <c r="A5314" s="3">
        <v>5577</v>
      </c>
      <c r="B5314" s="28"/>
      <c r="C5314" s="3" t="s">
        <v>3</v>
      </c>
    </row>
    <row r="5315" spans="1:3" ht="13.5" thickBot="1" x14ac:dyDescent="0.25">
      <c r="A5315" s="3">
        <v>3685</v>
      </c>
      <c r="B5315" s="28"/>
      <c r="C5315" s="3" t="s">
        <v>6</v>
      </c>
    </row>
    <row r="5316" spans="1:3" ht="13.5" thickBot="1" x14ac:dyDescent="0.25">
      <c r="A5316" s="3">
        <v>6664</v>
      </c>
      <c r="B5316" s="28"/>
      <c r="C5316" s="3" t="s">
        <v>4</v>
      </c>
    </row>
    <row r="5317" spans="1:3" ht="13.5" thickBot="1" x14ac:dyDescent="0.25">
      <c r="A5317" s="3">
        <v>6497</v>
      </c>
      <c r="B5317" s="28"/>
      <c r="C5317" s="3" t="s">
        <v>4</v>
      </c>
    </row>
    <row r="5318" spans="1:3" ht="13.5" thickBot="1" x14ac:dyDescent="0.25">
      <c r="A5318" s="3">
        <v>7459</v>
      </c>
      <c r="B5318" s="28"/>
      <c r="C5318" s="3" t="s">
        <v>3</v>
      </c>
    </row>
    <row r="5319" spans="1:3" ht="13.5" thickBot="1" x14ac:dyDescent="0.25">
      <c r="A5319" s="3">
        <v>6497</v>
      </c>
      <c r="B5319" s="28"/>
      <c r="C5319" s="3" t="s">
        <v>3</v>
      </c>
    </row>
    <row r="5320" spans="1:3" ht="13.5" thickBot="1" x14ac:dyDescent="0.25">
      <c r="A5320" s="3">
        <v>3735</v>
      </c>
      <c r="B5320" s="28"/>
      <c r="C5320" s="3" t="s">
        <v>4</v>
      </c>
    </row>
    <row r="5321" spans="1:3" ht="13.5" thickBot="1" x14ac:dyDescent="0.25">
      <c r="A5321" s="3">
        <v>3605</v>
      </c>
      <c r="B5321" s="28"/>
      <c r="C5321" s="3" t="s">
        <v>3</v>
      </c>
    </row>
    <row r="5322" spans="1:3" ht="13.5" thickBot="1" x14ac:dyDescent="0.25">
      <c r="A5322" s="3">
        <v>505</v>
      </c>
      <c r="B5322" s="28"/>
      <c r="C5322" s="3" t="s">
        <v>3</v>
      </c>
    </row>
    <row r="5323" spans="1:3" ht="13.5" thickBot="1" x14ac:dyDescent="0.25">
      <c r="A5323" s="3">
        <v>7459</v>
      </c>
      <c r="B5323" s="28"/>
      <c r="C5323" s="3" t="s">
        <v>4</v>
      </c>
    </row>
    <row r="5324" spans="1:3" ht="13.5" thickBot="1" x14ac:dyDescent="0.25">
      <c r="A5324" s="3">
        <v>1018</v>
      </c>
      <c r="B5324" s="28"/>
      <c r="C5324" s="3" t="s">
        <v>7</v>
      </c>
    </row>
    <row r="5325" spans="1:3" ht="13.5" thickBot="1" x14ac:dyDescent="0.25">
      <c r="A5325" s="3">
        <v>1832</v>
      </c>
      <c r="B5325" s="28"/>
      <c r="C5325" s="3" t="s">
        <v>3</v>
      </c>
    </row>
    <row r="5326" spans="1:3" ht="13.5" thickBot="1" x14ac:dyDescent="0.25">
      <c r="A5326" s="3">
        <v>3070</v>
      </c>
      <c r="B5326" s="28"/>
      <c r="C5326" s="3" t="s">
        <v>3</v>
      </c>
    </row>
    <row r="5327" spans="1:3" ht="13.5" thickBot="1" x14ac:dyDescent="0.25">
      <c r="A5327" s="3">
        <v>4828</v>
      </c>
      <c r="B5327" s="28"/>
      <c r="C5327" s="3" t="s">
        <v>6</v>
      </c>
    </row>
    <row r="5328" spans="1:3" ht="13.5" thickBot="1" x14ac:dyDescent="0.25">
      <c r="A5328" s="3">
        <v>178</v>
      </c>
      <c r="B5328" s="28"/>
      <c r="C5328" s="3" t="s">
        <v>3</v>
      </c>
    </row>
    <row r="5329" spans="1:3" ht="13.5" thickBot="1" x14ac:dyDescent="0.25">
      <c r="A5329" s="3">
        <v>1536</v>
      </c>
      <c r="B5329" s="28"/>
      <c r="C5329" s="3" t="s">
        <v>3</v>
      </c>
    </row>
    <row r="5330" spans="1:3" ht="13.5" thickBot="1" x14ac:dyDescent="0.25">
      <c r="A5330" s="3">
        <v>5570</v>
      </c>
      <c r="B5330" s="28"/>
      <c r="C5330" s="3" t="s">
        <v>3</v>
      </c>
    </row>
    <row r="5331" spans="1:3" ht="13.5" thickBot="1" x14ac:dyDescent="0.25">
      <c r="A5331" s="3">
        <v>6493</v>
      </c>
      <c r="B5331" s="28"/>
      <c r="C5331" s="3" t="s">
        <v>6</v>
      </c>
    </row>
    <row r="5332" spans="1:3" ht="13.5" thickBot="1" x14ac:dyDescent="0.25">
      <c r="A5332" s="3">
        <v>2348</v>
      </c>
      <c r="B5332" s="28"/>
      <c r="C5332" s="3" t="s">
        <v>3</v>
      </c>
    </row>
    <row r="5333" spans="1:3" ht="13.5" thickBot="1" x14ac:dyDescent="0.25">
      <c r="A5333" s="3">
        <v>6684</v>
      </c>
      <c r="B5333" s="28"/>
      <c r="C5333" s="3" t="s">
        <v>3</v>
      </c>
    </row>
    <row r="5334" spans="1:3" ht="13.5" thickBot="1" x14ac:dyDescent="0.25">
      <c r="A5334" s="3">
        <v>2187</v>
      </c>
      <c r="B5334" s="28"/>
      <c r="C5334" s="3" t="s">
        <v>3</v>
      </c>
    </row>
    <row r="5335" spans="1:3" ht="13.5" thickBot="1" x14ac:dyDescent="0.25">
      <c r="A5335" s="3">
        <v>2551</v>
      </c>
      <c r="B5335" s="28"/>
      <c r="C5335" s="3" t="s">
        <v>4</v>
      </c>
    </row>
    <row r="5336" spans="1:3" ht="13.5" thickBot="1" x14ac:dyDescent="0.25">
      <c r="A5336" s="3">
        <v>2919</v>
      </c>
      <c r="B5336" s="28"/>
      <c r="C5336" s="3" t="s">
        <v>5</v>
      </c>
    </row>
    <row r="5337" spans="1:3" ht="13.5" thickBot="1" x14ac:dyDescent="0.25">
      <c r="A5337" s="3">
        <v>1299</v>
      </c>
      <c r="B5337" s="28"/>
      <c r="C5337" s="3" t="s">
        <v>5</v>
      </c>
    </row>
    <row r="5338" spans="1:3" ht="13.5" thickBot="1" x14ac:dyDescent="0.25">
      <c r="A5338" s="3">
        <v>5158</v>
      </c>
      <c r="B5338" s="28"/>
      <c r="C5338" s="3" t="s">
        <v>5</v>
      </c>
    </row>
    <row r="5339" spans="1:3" ht="13.5" thickBot="1" x14ac:dyDescent="0.25">
      <c r="A5339" s="3">
        <v>1054</v>
      </c>
      <c r="B5339" s="28"/>
      <c r="C5339" s="3" t="s">
        <v>5</v>
      </c>
    </row>
    <row r="5340" spans="1:3" ht="13.5" thickBot="1" x14ac:dyDescent="0.25">
      <c r="A5340" s="3">
        <v>735</v>
      </c>
      <c r="B5340" s="28"/>
      <c r="C5340" s="3" t="s">
        <v>3</v>
      </c>
    </row>
    <row r="5341" spans="1:3" ht="13.5" thickBot="1" x14ac:dyDescent="0.25">
      <c r="A5341" s="3">
        <v>2522</v>
      </c>
      <c r="B5341" s="28"/>
      <c r="C5341" s="3" t="s">
        <v>3</v>
      </c>
    </row>
    <row r="5342" spans="1:3" ht="13.5" thickBot="1" x14ac:dyDescent="0.25">
      <c r="A5342" s="3">
        <v>108</v>
      </c>
      <c r="B5342" s="28"/>
      <c r="C5342" s="3" t="s">
        <v>5</v>
      </c>
    </row>
    <row r="5343" spans="1:3" ht="13.5" thickBot="1" x14ac:dyDescent="0.25">
      <c r="A5343" s="3">
        <v>364</v>
      </c>
      <c r="B5343" s="28"/>
      <c r="C5343" s="3" t="s">
        <v>3</v>
      </c>
    </row>
    <row r="5344" spans="1:3" ht="13.5" thickBot="1" x14ac:dyDescent="0.25">
      <c r="A5344" s="3">
        <v>7907</v>
      </c>
      <c r="B5344" s="28"/>
      <c r="C5344" s="3" t="s">
        <v>5</v>
      </c>
    </row>
    <row r="5345" spans="1:3" ht="13.5" thickBot="1" x14ac:dyDescent="0.25">
      <c r="A5345" s="3">
        <v>2578</v>
      </c>
      <c r="B5345" s="28"/>
      <c r="C5345" s="3" t="s">
        <v>3</v>
      </c>
    </row>
    <row r="5346" spans="1:3" ht="13.5" thickBot="1" x14ac:dyDescent="0.25">
      <c r="A5346" s="3">
        <v>260</v>
      </c>
      <c r="B5346" s="28"/>
      <c r="C5346" s="3" t="s">
        <v>6</v>
      </c>
    </row>
    <row r="5347" spans="1:3" ht="13.5" thickBot="1" x14ac:dyDescent="0.25">
      <c r="A5347" s="3">
        <v>1954</v>
      </c>
      <c r="B5347" s="28"/>
      <c r="C5347" s="3" t="s">
        <v>3</v>
      </c>
    </row>
    <row r="5348" spans="1:3" ht="13.5" thickBot="1" x14ac:dyDescent="0.25">
      <c r="A5348" s="3">
        <v>5689</v>
      </c>
      <c r="B5348" s="28"/>
      <c r="C5348" s="3" t="s">
        <v>7</v>
      </c>
    </row>
    <row r="5349" spans="1:3" ht="13.5" thickBot="1" x14ac:dyDescent="0.25">
      <c r="A5349" s="3">
        <v>4252</v>
      </c>
      <c r="B5349" s="28"/>
      <c r="C5349" s="3" t="s">
        <v>6</v>
      </c>
    </row>
    <row r="5350" spans="1:3" ht="13.5" thickBot="1" x14ac:dyDescent="0.25">
      <c r="A5350" s="3">
        <v>5635</v>
      </c>
      <c r="B5350" s="28"/>
      <c r="C5350" s="3" t="s">
        <v>3</v>
      </c>
    </row>
    <row r="5351" spans="1:3" ht="13.5" thickBot="1" x14ac:dyDescent="0.25">
      <c r="A5351" s="3">
        <v>4670</v>
      </c>
      <c r="B5351" s="28"/>
      <c r="C5351" s="3" t="s">
        <v>5</v>
      </c>
    </row>
    <row r="5352" spans="1:3" ht="13.5" thickBot="1" x14ac:dyDescent="0.25">
      <c r="A5352" s="3">
        <v>6684</v>
      </c>
      <c r="B5352" s="28"/>
      <c r="C5352" s="3" t="s">
        <v>7</v>
      </c>
    </row>
    <row r="5353" spans="1:3" ht="13.5" thickBot="1" x14ac:dyDescent="0.25">
      <c r="A5353" s="3">
        <v>1920</v>
      </c>
      <c r="B5353" s="28"/>
      <c r="C5353" s="3" t="s">
        <v>4</v>
      </c>
    </row>
    <row r="5354" spans="1:3" ht="13.5" thickBot="1" x14ac:dyDescent="0.25">
      <c r="A5354" s="3">
        <v>4648</v>
      </c>
      <c r="B5354" s="28"/>
      <c r="C5354" s="3" t="s">
        <v>3</v>
      </c>
    </row>
    <row r="5355" spans="1:3" ht="13.5" thickBot="1" x14ac:dyDescent="0.25">
      <c r="A5355" s="3">
        <v>7907</v>
      </c>
      <c r="B5355" s="28"/>
      <c r="C5355" s="3" t="s">
        <v>7</v>
      </c>
    </row>
    <row r="5356" spans="1:3" ht="13.5" thickBot="1" x14ac:dyDescent="0.25">
      <c r="A5356" s="3">
        <v>7790</v>
      </c>
      <c r="B5356" s="28"/>
      <c r="C5356" s="3" t="s">
        <v>4</v>
      </c>
    </row>
    <row r="5357" spans="1:3" ht="13.5" thickBot="1" x14ac:dyDescent="0.25">
      <c r="A5357" s="3">
        <v>5826</v>
      </c>
      <c r="B5357" s="28"/>
      <c r="C5357" s="3" t="s">
        <v>3</v>
      </c>
    </row>
    <row r="5358" spans="1:3" ht="13.5" thickBot="1" x14ac:dyDescent="0.25">
      <c r="A5358" s="3">
        <v>5803</v>
      </c>
      <c r="B5358" s="28"/>
      <c r="C5358" s="3" t="s">
        <v>5</v>
      </c>
    </row>
    <row r="5359" spans="1:3" ht="13.5" thickBot="1" x14ac:dyDescent="0.25">
      <c r="A5359" s="3">
        <v>2950</v>
      </c>
      <c r="B5359" s="28"/>
      <c r="C5359" s="3" t="s">
        <v>3</v>
      </c>
    </row>
    <row r="5360" spans="1:3" ht="13.5" thickBot="1" x14ac:dyDescent="0.25">
      <c r="A5360" s="3">
        <v>834</v>
      </c>
      <c r="B5360" s="28"/>
      <c r="C5360" s="3" t="s">
        <v>4</v>
      </c>
    </row>
    <row r="5361" spans="1:3" ht="13.5" thickBot="1" x14ac:dyDescent="0.25">
      <c r="A5361" s="3">
        <v>7828</v>
      </c>
      <c r="B5361" s="28"/>
      <c r="C5361" s="3" t="s">
        <v>3</v>
      </c>
    </row>
    <row r="5362" spans="1:3" ht="13.5" thickBot="1" x14ac:dyDescent="0.25">
      <c r="A5362" s="3">
        <v>3986</v>
      </c>
      <c r="B5362" s="28"/>
      <c r="C5362" s="3" t="s">
        <v>4</v>
      </c>
    </row>
    <row r="5363" spans="1:3" ht="13.5" thickBot="1" x14ac:dyDescent="0.25">
      <c r="A5363" s="3">
        <v>1973</v>
      </c>
      <c r="B5363" s="28"/>
      <c r="C5363" s="3" t="s">
        <v>3</v>
      </c>
    </row>
    <row r="5364" spans="1:3" ht="13.5" thickBot="1" x14ac:dyDescent="0.25">
      <c r="A5364" s="3">
        <v>7613</v>
      </c>
      <c r="B5364" s="28"/>
      <c r="C5364" s="3" t="s">
        <v>6</v>
      </c>
    </row>
    <row r="5365" spans="1:3" ht="13.5" thickBot="1" x14ac:dyDescent="0.25">
      <c r="A5365" s="3">
        <v>6607</v>
      </c>
      <c r="B5365" s="28"/>
      <c r="C5365" s="3" t="s">
        <v>7</v>
      </c>
    </row>
    <row r="5366" spans="1:3" ht="13.5" thickBot="1" x14ac:dyDescent="0.25">
      <c r="A5366" s="3">
        <v>2522</v>
      </c>
      <c r="B5366" s="28"/>
      <c r="C5366" s="3" t="s">
        <v>4</v>
      </c>
    </row>
    <row r="5367" spans="1:3" ht="13.5" thickBot="1" x14ac:dyDescent="0.25">
      <c r="A5367" s="3">
        <v>3406</v>
      </c>
      <c r="B5367" s="28"/>
      <c r="C5367" s="3" t="s">
        <v>6</v>
      </c>
    </row>
    <row r="5368" spans="1:3" ht="13.5" thickBot="1" x14ac:dyDescent="0.25">
      <c r="A5368" s="3">
        <v>2334</v>
      </c>
      <c r="B5368" s="28"/>
      <c r="C5368" s="3" t="s">
        <v>3</v>
      </c>
    </row>
    <row r="5369" spans="1:3" ht="13.5" thickBot="1" x14ac:dyDescent="0.25">
      <c r="A5369" s="3">
        <v>5556</v>
      </c>
      <c r="B5369" s="28"/>
      <c r="C5369" s="3" t="s">
        <v>3</v>
      </c>
    </row>
    <row r="5370" spans="1:3" ht="13.5" thickBot="1" x14ac:dyDescent="0.25">
      <c r="A5370" s="3">
        <v>1920</v>
      </c>
      <c r="B5370" s="28"/>
      <c r="C5370" s="3" t="s">
        <v>3</v>
      </c>
    </row>
    <row r="5371" spans="1:3" ht="13.5" thickBot="1" x14ac:dyDescent="0.25">
      <c r="A5371" s="3">
        <v>7377</v>
      </c>
      <c r="B5371" s="28"/>
      <c r="C5371" s="3" t="s">
        <v>5</v>
      </c>
    </row>
    <row r="5372" spans="1:3" ht="13.5" thickBot="1" x14ac:dyDescent="0.25">
      <c r="A5372" s="3">
        <v>1942</v>
      </c>
      <c r="B5372" s="28"/>
      <c r="C5372" s="3" t="s">
        <v>6</v>
      </c>
    </row>
    <row r="5373" spans="1:3" ht="13.5" thickBot="1" x14ac:dyDescent="0.25">
      <c r="A5373" s="3">
        <v>6386</v>
      </c>
      <c r="B5373" s="28"/>
      <c r="C5373" s="3" t="s">
        <v>4</v>
      </c>
    </row>
    <row r="5374" spans="1:3" ht="13.5" thickBot="1" x14ac:dyDescent="0.25">
      <c r="A5374" s="3">
        <v>3072</v>
      </c>
      <c r="B5374" s="28"/>
      <c r="C5374" s="3" t="s">
        <v>4</v>
      </c>
    </row>
    <row r="5375" spans="1:3" ht="13.5" thickBot="1" x14ac:dyDescent="0.25">
      <c r="A5375" s="3">
        <v>7377</v>
      </c>
      <c r="B5375" s="28"/>
      <c r="C5375" s="3" t="s">
        <v>3</v>
      </c>
    </row>
    <row r="5376" spans="1:3" ht="13.5" thickBot="1" x14ac:dyDescent="0.25">
      <c r="A5376" s="3">
        <v>2340</v>
      </c>
      <c r="B5376" s="28"/>
      <c r="C5376" s="3" t="s">
        <v>3</v>
      </c>
    </row>
    <row r="5377" spans="1:3" ht="13.5" thickBot="1" x14ac:dyDescent="0.25">
      <c r="A5377" s="3">
        <v>6063</v>
      </c>
      <c r="B5377" s="28"/>
      <c r="C5377" s="3" t="s">
        <v>6</v>
      </c>
    </row>
    <row r="5378" spans="1:3" ht="13.5" thickBot="1" x14ac:dyDescent="0.25">
      <c r="A5378" s="3">
        <v>5803</v>
      </c>
      <c r="B5378" s="28"/>
      <c r="C5378" s="3" t="s">
        <v>3</v>
      </c>
    </row>
    <row r="5379" spans="1:3" ht="13.5" thickBot="1" x14ac:dyDescent="0.25">
      <c r="A5379" s="3">
        <v>178</v>
      </c>
      <c r="B5379" s="28"/>
      <c r="C5379" s="3" t="s">
        <v>5</v>
      </c>
    </row>
    <row r="5380" spans="1:3" ht="13.5" thickBot="1" x14ac:dyDescent="0.25">
      <c r="A5380" s="3">
        <v>554</v>
      </c>
      <c r="B5380" s="28"/>
      <c r="C5380" s="3" t="s">
        <v>3</v>
      </c>
    </row>
    <row r="5381" spans="1:3" ht="13.5" thickBot="1" x14ac:dyDescent="0.25">
      <c r="A5381" s="3">
        <v>4388</v>
      </c>
      <c r="B5381" s="28"/>
      <c r="C5381" s="3" t="s">
        <v>7</v>
      </c>
    </row>
    <row r="5382" spans="1:3" ht="13.5" thickBot="1" x14ac:dyDescent="0.25">
      <c r="A5382" s="3">
        <v>3888</v>
      </c>
      <c r="B5382" s="28"/>
      <c r="C5382" s="3" t="s">
        <v>3</v>
      </c>
    </row>
    <row r="5383" spans="1:3" ht="13.5" thickBot="1" x14ac:dyDescent="0.25">
      <c r="A5383" s="3">
        <v>5689</v>
      </c>
      <c r="B5383" s="28"/>
      <c r="C5383" s="3" t="s">
        <v>5</v>
      </c>
    </row>
    <row r="5384" spans="1:3" ht="13.5" thickBot="1" x14ac:dyDescent="0.25">
      <c r="A5384" s="3">
        <v>3892</v>
      </c>
      <c r="B5384" s="28"/>
      <c r="C5384" s="3" t="s">
        <v>3</v>
      </c>
    </row>
    <row r="5385" spans="1:3" ht="13.5" thickBot="1" x14ac:dyDescent="0.25">
      <c r="A5385" s="3">
        <v>4175</v>
      </c>
      <c r="B5385" s="28"/>
      <c r="C5385" s="3" t="s">
        <v>5</v>
      </c>
    </row>
    <row r="5386" spans="1:3" ht="13.5" thickBot="1" x14ac:dyDescent="0.25">
      <c r="A5386" s="3">
        <v>3953</v>
      </c>
      <c r="B5386" s="28"/>
      <c r="C5386" s="3" t="s">
        <v>3</v>
      </c>
    </row>
    <row r="5387" spans="1:3" ht="13.5" thickBot="1" x14ac:dyDescent="0.25">
      <c r="A5387" s="3">
        <v>6038</v>
      </c>
      <c r="B5387" s="28"/>
      <c r="C5387" s="3" t="s">
        <v>5</v>
      </c>
    </row>
    <row r="5388" spans="1:3" ht="13.5" thickBot="1" x14ac:dyDescent="0.25">
      <c r="A5388" s="3">
        <v>2928</v>
      </c>
      <c r="B5388" s="28"/>
      <c r="C5388" s="3" t="s">
        <v>6</v>
      </c>
    </row>
    <row r="5389" spans="1:3" ht="13.5" thickBot="1" x14ac:dyDescent="0.25">
      <c r="A5389" s="3">
        <v>7213</v>
      </c>
      <c r="B5389" s="28"/>
      <c r="C5389" s="3" t="s">
        <v>3</v>
      </c>
    </row>
    <row r="5390" spans="1:3" ht="13.5" thickBot="1" x14ac:dyDescent="0.25">
      <c r="A5390" s="3">
        <v>1118</v>
      </c>
      <c r="B5390" s="28"/>
      <c r="C5390" s="3" t="s">
        <v>3</v>
      </c>
    </row>
    <row r="5391" spans="1:3" ht="13.5" thickBot="1" x14ac:dyDescent="0.25">
      <c r="A5391" s="3">
        <v>710</v>
      </c>
      <c r="B5391" s="28"/>
      <c r="C5391" s="3" t="s">
        <v>3</v>
      </c>
    </row>
    <row r="5392" spans="1:3" ht="13.5" thickBot="1" x14ac:dyDescent="0.25">
      <c r="A5392" s="3">
        <v>7926</v>
      </c>
      <c r="B5392" s="28"/>
      <c r="C5392" s="3" t="s">
        <v>3</v>
      </c>
    </row>
    <row r="5393" spans="1:3" ht="13.5" thickBot="1" x14ac:dyDescent="0.25">
      <c r="A5393" s="3">
        <v>4230</v>
      </c>
      <c r="B5393" s="28"/>
      <c r="C5393" s="3" t="s">
        <v>5</v>
      </c>
    </row>
    <row r="5394" spans="1:3" ht="13.5" thickBot="1" x14ac:dyDescent="0.25">
      <c r="A5394" s="3">
        <v>197</v>
      </c>
      <c r="B5394" s="28"/>
      <c r="C5394" s="3" t="s">
        <v>5</v>
      </c>
    </row>
    <row r="5395" spans="1:3" ht="13.5" thickBot="1" x14ac:dyDescent="0.25">
      <c r="A5395" s="3">
        <v>7613</v>
      </c>
      <c r="B5395" s="28"/>
      <c r="C5395" s="3" t="s">
        <v>7</v>
      </c>
    </row>
    <row r="5396" spans="1:3" ht="13.5" thickBot="1" x14ac:dyDescent="0.25">
      <c r="A5396" s="3">
        <v>5990</v>
      </c>
      <c r="B5396" s="28"/>
      <c r="C5396" s="3" t="s">
        <v>3</v>
      </c>
    </row>
    <row r="5397" spans="1:3" ht="13.5" thickBot="1" x14ac:dyDescent="0.25">
      <c r="A5397" s="3">
        <v>1883</v>
      </c>
      <c r="B5397" s="28"/>
      <c r="C5397" s="3" t="s">
        <v>7</v>
      </c>
    </row>
    <row r="5398" spans="1:3" ht="13.5" thickBot="1" x14ac:dyDescent="0.25">
      <c r="A5398" s="3">
        <v>4648</v>
      </c>
      <c r="B5398" s="28"/>
      <c r="C5398" s="3" t="s">
        <v>5</v>
      </c>
    </row>
    <row r="5399" spans="1:3" ht="13.5" thickBot="1" x14ac:dyDescent="0.25">
      <c r="A5399" s="3">
        <v>848</v>
      </c>
      <c r="B5399" s="28"/>
      <c r="C5399" s="3" t="s">
        <v>7</v>
      </c>
    </row>
    <row r="5400" spans="1:3" ht="13.5" thickBot="1" x14ac:dyDescent="0.25">
      <c r="A5400" s="3">
        <v>6410</v>
      </c>
      <c r="B5400" s="28"/>
      <c r="C5400" s="3" t="s">
        <v>5</v>
      </c>
    </row>
    <row r="5401" spans="1:3" ht="13.5" thickBot="1" x14ac:dyDescent="0.25">
      <c r="A5401" s="3">
        <v>7859</v>
      </c>
      <c r="B5401" s="28"/>
      <c r="C5401" s="3" t="s">
        <v>4</v>
      </c>
    </row>
    <row r="5402" spans="1:3" ht="13.5" thickBot="1" x14ac:dyDescent="0.25">
      <c r="A5402" s="3">
        <v>1177</v>
      </c>
      <c r="B5402" s="28"/>
      <c r="C5402" s="3" t="s">
        <v>6</v>
      </c>
    </row>
    <row r="5403" spans="1:3" ht="13.5" thickBot="1" x14ac:dyDescent="0.25">
      <c r="A5403" s="3">
        <v>3187</v>
      </c>
      <c r="B5403" s="28"/>
      <c r="C5403" s="3" t="s">
        <v>3</v>
      </c>
    </row>
    <row r="5404" spans="1:3" ht="13.5" thickBot="1" x14ac:dyDescent="0.25">
      <c r="A5404" s="3">
        <v>5800</v>
      </c>
      <c r="B5404" s="28"/>
      <c r="C5404" s="3" t="s">
        <v>3</v>
      </c>
    </row>
    <row r="5405" spans="1:3" ht="13.5" thickBot="1" x14ac:dyDescent="0.25">
      <c r="A5405" s="3">
        <v>834</v>
      </c>
      <c r="B5405" s="28"/>
      <c r="C5405" s="3" t="s">
        <v>5</v>
      </c>
    </row>
    <row r="5406" spans="1:3" ht="13.5" thickBot="1" x14ac:dyDescent="0.25">
      <c r="A5406" s="3">
        <v>2211</v>
      </c>
      <c r="B5406" s="28"/>
      <c r="C5406" s="3" t="s">
        <v>6</v>
      </c>
    </row>
    <row r="5407" spans="1:3" ht="13.5" thickBot="1" x14ac:dyDescent="0.25">
      <c r="A5407" s="3">
        <v>108</v>
      </c>
      <c r="B5407" s="28"/>
      <c r="C5407" s="3" t="s">
        <v>6</v>
      </c>
    </row>
    <row r="5408" spans="1:3" ht="13.5" thickBot="1" x14ac:dyDescent="0.25">
      <c r="A5408" s="3">
        <v>197</v>
      </c>
      <c r="B5408" s="28"/>
      <c r="C5408" s="3" t="s">
        <v>7</v>
      </c>
    </row>
    <row r="5409" spans="1:3" ht="13.5" thickBot="1" x14ac:dyDescent="0.25">
      <c r="A5409" s="3">
        <v>735</v>
      </c>
      <c r="B5409" s="28"/>
      <c r="C5409" s="3" t="s">
        <v>5</v>
      </c>
    </row>
    <row r="5410" spans="1:3" ht="13.5" thickBot="1" x14ac:dyDescent="0.25">
      <c r="A5410" s="3">
        <v>735</v>
      </c>
      <c r="B5410" s="28"/>
      <c r="C5410" s="3" t="s">
        <v>4</v>
      </c>
    </row>
    <row r="5411" spans="1:3" ht="13.5" thickBot="1" x14ac:dyDescent="0.25">
      <c r="A5411" s="3">
        <v>534</v>
      </c>
      <c r="B5411" s="28"/>
      <c r="C5411" s="3" t="s">
        <v>3</v>
      </c>
    </row>
    <row r="5412" spans="1:3" ht="13.5" thickBot="1" x14ac:dyDescent="0.25">
      <c r="A5412" s="3">
        <v>3287</v>
      </c>
      <c r="B5412" s="28"/>
      <c r="C5412" s="3" t="s">
        <v>3</v>
      </c>
    </row>
    <row r="5413" spans="1:3" ht="13.5" thickBot="1" x14ac:dyDescent="0.25">
      <c r="A5413" s="3">
        <v>2334</v>
      </c>
      <c r="B5413" s="28"/>
      <c r="C5413" s="3" t="s">
        <v>4</v>
      </c>
    </row>
    <row r="5414" spans="1:3" ht="13.5" thickBot="1" x14ac:dyDescent="0.25">
      <c r="A5414" s="3">
        <v>7741</v>
      </c>
      <c r="B5414" s="28"/>
      <c r="C5414" s="3" t="s">
        <v>4</v>
      </c>
    </row>
    <row r="5415" spans="1:3" ht="13.5" thickBot="1" x14ac:dyDescent="0.25">
      <c r="A5415" s="3">
        <v>5316</v>
      </c>
      <c r="B5415" s="28"/>
      <c r="C5415" s="3" t="s">
        <v>4</v>
      </c>
    </row>
    <row r="5416" spans="1:3" ht="13.5" thickBot="1" x14ac:dyDescent="0.25">
      <c r="A5416" s="3">
        <v>6684</v>
      </c>
      <c r="B5416" s="28"/>
      <c r="C5416" s="3" t="s">
        <v>4</v>
      </c>
    </row>
    <row r="5417" spans="1:3" ht="13.5" thickBot="1" x14ac:dyDescent="0.25">
      <c r="A5417" s="3">
        <v>888</v>
      </c>
      <c r="B5417" s="28"/>
      <c r="C5417" s="3" t="s">
        <v>3</v>
      </c>
    </row>
    <row r="5418" spans="1:3" ht="13.5" thickBot="1" x14ac:dyDescent="0.25">
      <c r="A5418" s="3">
        <v>857</v>
      </c>
      <c r="B5418" s="28"/>
      <c r="C5418" s="3" t="s">
        <v>5</v>
      </c>
    </row>
    <row r="5419" spans="1:3" ht="13.5" thickBot="1" x14ac:dyDescent="0.25">
      <c r="A5419" s="3">
        <v>6265</v>
      </c>
      <c r="B5419" s="28"/>
      <c r="C5419" s="3" t="s">
        <v>6</v>
      </c>
    </row>
    <row r="5420" spans="1:3" ht="13.5" thickBot="1" x14ac:dyDescent="0.25">
      <c r="A5420" s="3">
        <v>5616</v>
      </c>
      <c r="B5420" s="28"/>
      <c r="C5420" s="3" t="s">
        <v>3</v>
      </c>
    </row>
    <row r="5421" spans="1:3" ht="13.5" thickBot="1" x14ac:dyDescent="0.25">
      <c r="A5421" s="3">
        <v>5717</v>
      </c>
      <c r="B5421" s="28"/>
      <c r="C5421" s="3" t="s">
        <v>5</v>
      </c>
    </row>
    <row r="5422" spans="1:3" ht="13.5" thickBot="1" x14ac:dyDescent="0.25">
      <c r="A5422" s="3">
        <v>6038</v>
      </c>
      <c r="B5422" s="28"/>
      <c r="C5422" s="3" t="s">
        <v>3</v>
      </c>
    </row>
    <row r="5423" spans="1:3" ht="13.5" thickBot="1" x14ac:dyDescent="0.25">
      <c r="A5423" s="3">
        <v>3913</v>
      </c>
      <c r="B5423" s="28"/>
      <c r="C5423" s="3" t="s">
        <v>4</v>
      </c>
    </row>
    <row r="5424" spans="1:3" ht="13.5" thickBot="1" x14ac:dyDescent="0.25">
      <c r="A5424" s="3">
        <v>6955</v>
      </c>
      <c r="B5424" s="28"/>
      <c r="C5424" s="3" t="s">
        <v>3</v>
      </c>
    </row>
    <row r="5425" spans="1:3" ht="13.5" thickBot="1" x14ac:dyDescent="0.25">
      <c r="A5425" s="3">
        <v>5661</v>
      </c>
      <c r="B5425" s="28"/>
      <c r="C5425" s="3" t="s">
        <v>4</v>
      </c>
    </row>
    <row r="5426" spans="1:3" ht="13.5" thickBot="1" x14ac:dyDescent="0.25">
      <c r="A5426" s="3">
        <v>5717</v>
      </c>
      <c r="B5426" s="28"/>
      <c r="C5426" s="3" t="s">
        <v>4</v>
      </c>
    </row>
    <row r="5427" spans="1:3" ht="13.5" thickBot="1" x14ac:dyDescent="0.25">
      <c r="A5427" s="3">
        <v>857</v>
      </c>
      <c r="B5427" s="28"/>
      <c r="C5427" s="3" t="s">
        <v>3</v>
      </c>
    </row>
    <row r="5428" spans="1:3" ht="13.5" thickBot="1" x14ac:dyDescent="0.25">
      <c r="A5428" s="3">
        <v>4501</v>
      </c>
      <c r="B5428" s="28"/>
      <c r="C5428" s="3" t="s">
        <v>3</v>
      </c>
    </row>
    <row r="5429" spans="1:3" ht="13.5" thickBot="1" x14ac:dyDescent="0.25">
      <c r="A5429" s="3">
        <v>2565</v>
      </c>
      <c r="B5429" s="28"/>
      <c r="C5429" s="3" t="s">
        <v>3</v>
      </c>
    </row>
    <row r="5430" spans="1:3" ht="13.5" thickBot="1" x14ac:dyDescent="0.25">
      <c r="A5430" s="3">
        <v>909</v>
      </c>
      <c r="B5430" s="28"/>
      <c r="C5430" s="3" t="s">
        <v>3</v>
      </c>
    </row>
    <row r="5431" spans="1:3" ht="13.5" thickBot="1" x14ac:dyDescent="0.25">
      <c r="A5431" s="3">
        <v>5803</v>
      </c>
      <c r="B5431" s="28"/>
      <c r="C5431" s="3" t="s">
        <v>4</v>
      </c>
    </row>
    <row r="5432" spans="1:3" ht="13.5" thickBot="1" x14ac:dyDescent="0.25">
      <c r="A5432" s="3">
        <v>1875</v>
      </c>
      <c r="B5432" s="28"/>
      <c r="C5432" s="3" t="s">
        <v>3</v>
      </c>
    </row>
    <row r="5433" spans="1:3" ht="13.5" thickBot="1" x14ac:dyDescent="0.25">
      <c r="A5433" s="3">
        <v>3697</v>
      </c>
      <c r="B5433" s="28"/>
      <c r="C5433" s="3" t="s">
        <v>3</v>
      </c>
    </row>
    <row r="5434" spans="1:3" ht="13.5" thickBot="1" x14ac:dyDescent="0.25">
      <c r="A5434" s="3">
        <v>4670</v>
      </c>
      <c r="B5434" s="28"/>
      <c r="C5434" s="3" t="s">
        <v>6</v>
      </c>
    </row>
    <row r="5435" spans="1:3" ht="13.5" thickBot="1" x14ac:dyDescent="0.25">
      <c r="A5435" s="3">
        <v>2334</v>
      </c>
      <c r="B5435" s="28"/>
      <c r="C5435" s="3" t="s">
        <v>7</v>
      </c>
    </row>
    <row r="5436" spans="1:3" ht="13.5" thickBot="1" x14ac:dyDescent="0.25">
      <c r="A5436" s="3">
        <v>6386</v>
      </c>
      <c r="B5436" s="28"/>
      <c r="C5436" s="3" t="s">
        <v>6</v>
      </c>
    </row>
    <row r="5437" spans="1:3" ht="13.5" thickBot="1" x14ac:dyDescent="0.25">
      <c r="A5437" s="3">
        <v>2551</v>
      </c>
      <c r="B5437" s="28"/>
      <c r="C5437" s="3" t="s">
        <v>5</v>
      </c>
    </row>
    <row r="5438" spans="1:3" ht="13.5" thickBot="1" x14ac:dyDescent="0.25">
      <c r="A5438" s="3">
        <v>3967</v>
      </c>
      <c r="B5438" s="28"/>
      <c r="C5438" s="3" t="s">
        <v>3</v>
      </c>
    </row>
    <row r="5439" spans="1:3" ht="13.5" thickBot="1" x14ac:dyDescent="0.25">
      <c r="A5439" s="3">
        <v>534</v>
      </c>
      <c r="B5439" s="28"/>
      <c r="C5439" s="3" t="s">
        <v>7</v>
      </c>
    </row>
    <row r="5440" spans="1:3" ht="13.5" thickBot="1" x14ac:dyDescent="0.25">
      <c r="A5440" s="3">
        <v>6578</v>
      </c>
      <c r="B5440" s="28"/>
      <c r="C5440" s="3" t="s">
        <v>3</v>
      </c>
    </row>
    <row r="5441" spans="1:3" ht="13.5" thickBot="1" x14ac:dyDescent="0.25">
      <c r="A5441" s="3">
        <v>1209</v>
      </c>
      <c r="B5441" s="28"/>
      <c r="C5441" s="3" t="s">
        <v>4</v>
      </c>
    </row>
    <row r="5442" spans="1:3" ht="13.5" thickBot="1" x14ac:dyDescent="0.25">
      <c r="A5442" s="3">
        <v>3308</v>
      </c>
      <c r="B5442" s="28"/>
      <c r="C5442" s="3" t="s">
        <v>3</v>
      </c>
    </row>
    <row r="5443" spans="1:3" ht="13.5" thickBot="1" x14ac:dyDescent="0.25">
      <c r="A5443" s="3">
        <v>2334</v>
      </c>
      <c r="B5443" s="28"/>
      <c r="C5443" s="3" t="s">
        <v>5</v>
      </c>
    </row>
    <row r="5444" spans="1:3" ht="13.5" thickBot="1" x14ac:dyDescent="0.25">
      <c r="A5444" s="3">
        <v>3697</v>
      </c>
      <c r="B5444" s="28"/>
      <c r="C5444" s="3" t="s">
        <v>4</v>
      </c>
    </row>
    <row r="5445" spans="1:3" ht="13.5" thickBot="1" x14ac:dyDescent="0.25">
      <c r="A5445" s="3">
        <v>4421</v>
      </c>
      <c r="B5445" s="28"/>
      <c r="C5445" s="3" t="s">
        <v>4</v>
      </c>
    </row>
    <row r="5446" spans="1:3" ht="13.5" thickBot="1" x14ac:dyDescent="0.25">
      <c r="A5446" s="3">
        <v>4501</v>
      </c>
      <c r="B5446" s="28"/>
      <c r="C5446" s="3" t="s">
        <v>7</v>
      </c>
    </row>
    <row r="5447" spans="1:3" ht="13.5" thickBot="1" x14ac:dyDescent="0.25">
      <c r="A5447" s="3">
        <v>5635</v>
      </c>
      <c r="B5447" s="28"/>
      <c r="C5447" s="3" t="s">
        <v>4</v>
      </c>
    </row>
    <row r="5448" spans="1:3" ht="13.5" thickBot="1" x14ac:dyDescent="0.25">
      <c r="A5448" s="3">
        <v>178</v>
      </c>
      <c r="B5448" s="28"/>
      <c r="C5448" s="3" t="s">
        <v>4</v>
      </c>
    </row>
    <row r="5449" spans="1:3" ht="13.5" thickBot="1" x14ac:dyDescent="0.25">
      <c r="A5449" s="3">
        <v>3820</v>
      </c>
      <c r="B5449" s="28"/>
      <c r="C5449" s="3" t="s">
        <v>3</v>
      </c>
    </row>
    <row r="5450" spans="1:3" ht="13.5" thickBot="1" x14ac:dyDescent="0.25">
      <c r="A5450" s="3">
        <v>3672</v>
      </c>
      <c r="B5450" s="28"/>
      <c r="C5450" s="3" t="s">
        <v>4</v>
      </c>
    </row>
    <row r="5451" spans="1:3" ht="13.5" thickBot="1" x14ac:dyDescent="0.25">
      <c r="A5451" s="3">
        <v>6263</v>
      </c>
      <c r="B5451" s="28"/>
      <c r="C5451" s="3" t="s">
        <v>3</v>
      </c>
    </row>
    <row r="5452" spans="1:3" ht="13.5" thickBot="1" x14ac:dyDescent="0.25">
      <c r="A5452" s="3">
        <v>7113</v>
      </c>
      <c r="B5452" s="28"/>
      <c r="C5452" s="3" t="s">
        <v>6</v>
      </c>
    </row>
    <row r="5453" spans="1:3" ht="13.5" thickBot="1" x14ac:dyDescent="0.25">
      <c r="A5453" s="3">
        <v>2578</v>
      </c>
      <c r="B5453" s="28"/>
      <c r="C5453" s="3" t="s">
        <v>7</v>
      </c>
    </row>
    <row r="5454" spans="1:3" ht="13.5" thickBot="1" x14ac:dyDescent="0.25">
      <c r="A5454" s="3">
        <v>1710</v>
      </c>
      <c r="B5454" s="28"/>
      <c r="C5454" s="3" t="s">
        <v>3</v>
      </c>
    </row>
    <row r="5455" spans="1:3" ht="13.5" thickBot="1" x14ac:dyDescent="0.25">
      <c r="A5455" s="3">
        <v>2088</v>
      </c>
      <c r="B5455" s="28"/>
      <c r="C5455" s="3" t="s">
        <v>3</v>
      </c>
    </row>
    <row r="5456" spans="1:3" ht="13.5" thickBot="1" x14ac:dyDescent="0.25">
      <c r="A5456" s="3">
        <v>5104</v>
      </c>
      <c r="B5456" s="28"/>
      <c r="C5456" s="3" t="s">
        <v>3</v>
      </c>
    </row>
    <row r="5457" spans="1:3" ht="13.5" thickBot="1" x14ac:dyDescent="0.25">
      <c r="A5457" s="3">
        <v>6406</v>
      </c>
      <c r="B5457" s="28"/>
      <c r="C5457" s="3" t="s">
        <v>4</v>
      </c>
    </row>
    <row r="5458" spans="1:3" ht="13.5" thickBot="1" x14ac:dyDescent="0.25">
      <c r="A5458" s="3">
        <v>6660</v>
      </c>
      <c r="B5458" s="28"/>
      <c r="C5458" s="3" t="s">
        <v>6</v>
      </c>
    </row>
    <row r="5459" spans="1:3" ht="13.5" thickBot="1" x14ac:dyDescent="0.25">
      <c r="A5459" s="3">
        <v>1076</v>
      </c>
      <c r="B5459" s="28"/>
      <c r="C5459" s="3" t="s">
        <v>3</v>
      </c>
    </row>
    <row r="5460" spans="1:3" ht="13.5" thickBot="1" x14ac:dyDescent="0.25">
      <c r="A5460" s="3">
        <v>7322</v>
      </c>
      <c r="B5460" s="28"/>
      <c r="C5460" s="3" t="s">
        <v>7</v>
      </c>
    </row>
    <row r="5461" spans="1:3" ht="13.5" thickBot="1" x14ac:dyDescent="0.25">
      <c r="A5461" s="3">
        <v>5758</v>
      </c>
      <c r="B5461" s="28"/>
      <c r="C5461" s="3" t="s">
        <v>3</v>
      </c>
    </row>
    <row r="5462" spans="1:3" ht="13.5" thickBot="1" x14ac:dyDescent="0.25">
      <c r="A5462" s="3">
        <v>4998</v>
      </c>
      <c r="B5462" s="28"/>
      <c r="C5462" s="3" t="s">
        <v>6</v>
      </c>
    </row>
    <row r="5463" spans="1:3" ht="13.5" thickBot="1" x14ac:dyDescent="0.25">
      <c r="A5463" s="3">
        <v>3033</v>
      </c>
      <c r="B5463" s="28"/>
      <c r="C5463" s="3" t="s">
        <v>3</v>
      </c>
    </row>
    <row r="5464" spans="1:3" ht="13.5" thickBot="1" x14ac:dyDescent="0.25">
      <c r="A5464" s="3">
        <v>5578</v>
      </c>
      <c r="B5464" s="28"/>
      <c r="C5464" s="3" t="s">
        <v>3</v>
      </c>
    </row>
    <row r="5465" spans="1:3" ht="13.5" thickBot="1" x14ac:dyDescent="0.25">
      <c r="A5465" s="3">
        <v>4229</v>
      </c>
      <c r="B5465" s="28"/>
      <c r="C5465" s="3" t="s">
        <v>3</v>
      </c>
    </row>
    <row r="5466" spans="1:3" ht="13.5" thickBot="1" x14ac:dyDescent="0.25">
      <c r="A5466" s="3">
        <v>6265</v>
      </c>
      <c r="B5466" s="28"/>
      <c r="C5466" s="3" t="s">
        <v>5</v>
      </c>
    </row>
    <row r="5467" spans="1:3" ht="13.5" thickBot="1" x14ac:dyDescent="0.25">
      <c r="A5467" s="3">
        <v>7377</v>
      </c>
      <c r="B5467" s="28"/>
      <c r="C5467" s="3" t="s">
        <v>6</v>
      </c>
    </row>
    <row r="5468" spans="1:3" ht="13.5" thickBot="1" x14ac:dyDescent="0.25">
      <c r="A5468" s="3">
        <v>6068</v>
      </c>
      <c r="B5468" s="28"/>
      <c r="C5468" s="3" t="s">
        <v>6</v>
      </c>
    </row>
    <row r="5469" spans="1:3" ht="13.5" thickBot="1" x14ac:dyDescent="0.25">
      <c r="A5469" s="3">
        <v>5019</v>
      </c>
      <c r="B5469" s="28"/>
      <c r="C5469" s="3" t="s">
        <v>5</v>
      </c>
    </row>
    <row r="5470" spans="1:3" ht="13.5" thickBot="1" x14ac:dyDescent="0.25">
      <c r="A5470" s="3">
        <v>7342</v>
      </c>
      <c r="B5470" s="28"/>
      <c r="C5470" s="3" t="s">
        <v>5</v>
      </c>
    </row>
    <row r="5471" spans="1:3" ht="13.5" thickBot="1" x14ac:dyDescent="0.25">
      <c r="A5471" s="3">
        <v>905</v>
      </c>
      <c r="B5471" s="28"/>
      <c r="C5471" s="3" t="s">
        <v>7</v>
      </c>
    </row>
    <row r="5472" spans="1:3" ht="13.5" thickBot="1" x14ac:dyDescent="0.25">
      <c r="A5472" s="3">
        <v>6354</v>
      </c>
      <c r="B5472" s="28"/>
      <c r="C5472" s="3" t="s">
        <v>3</v>
      </c>
    </row>
    <row r="5473" spans="1:3" ht="13.5" thickBot="1" x14ac:dyDescent="0.25">
      <c r="A5473" s="3">
        <v>7459</v>
      </c>
      <c r="B5473" s="28"/>
      <c r="C5473" s="3" t="s">
        <v>5</v>
      </c>
    </row>
    <row r="5474" spans="1:3" ht="13.5" thickBot="1" x14ac:dyDescent="0.25">
      <c r="A5474" s="3">
        <v>3409</v>
      </c>
      <c r="B5474" s="28"/>
      <c r="C5474" s="3" t="s">
        <v>3</v>
      </c>
    </row>
    <row r="5475" spans="1:3" ht="13.5" thickBot="1" x14ac:dyDescent="0.25">
      <c r="A5475" s="3">
        <v>4358</v>
      </c>
      <c r="B5475" s="28"/>
      <c r="C5475" s="3" t="s">
        <v>3</v>
      </c>
    </row>
    <row r="5476" spans="1:3" ht="13.5" thickBot="1" x14ac:dyDescent="0.25">
      <c r="A5476" s="3">
        <v>2121</v>
      </c>
      <c r="B5476" s="28"/>
      <c r="C5476" s="3" t="s">
        <v>4</v>
      </c>
    </row>
    <row r="5477" spans="1:3" ht="13.5" thickBot="1" x14ac:dyDescent="0.25">
      <c r="A5477" s="3">
        <v>1177</v>
      </c>
      <c r="B5477" s="28"/>
      <c r="C5477" s="3" t="s">
        <v>7</v>
      </c>
    </row>
    <row r="5478" spans="1:3" ht="13.5" thickBot="1" x14ac:dyDescent="0.25">
      <c r="A5478" s="3">
        <v>6660</v>
      </c>
      <c r="B5478" s="28"/>
      <c r="C5478" s="3" t="s">
        <v>7</v>
      </c>
    </row>
    <row r="5479" spans="1:3" ht="13.5" thickBot="1" x14ac:dyDescent="0.25">
      <c r="A5479" s="3">
        <v>6738</v>
      </c>
      <c r="B5479" s="28"/>
      <c r="C5479" s="3" t="s">
        <v>4</v>
      </c>
    </row>
    <row r="5480" spans="1:3" ht="13.5" thickBot="1" x14ac:dyDescent="0.25">
      <c r="A5480" s="3">
        <v>5803</v>
      </c>
      <c r="B5480" s="28"/>
      <c r="C5480" s="3" t="s">
        <v>6</v>
      </c>
    </row>
    <row r="5481" spans="1:3" ht="13.5" thickBot="1" x14ac:dyDescent="0.25">
      <c r="A5481" s="3">
        <v>4884</v>
      </c>
      <c r="B5481" s="28"/>
      <c r="C5481" s="3" t="s">
        <v>6</v>
      </c>
    </row>
    <row r="5482" spans="1:3" ht="13.5" thickBot="1" x14ac:dyDescent="0.25">
      <c r="A5482" s="3">
        <v>550</v>
      </c>
      <c r="B5482" s="28"/>
      <c r="C5482" s="3" t="s">
        <v>3</v>
      </c>
    </row>
    <row r="5483" spans="1:3" ht="13.5" thickBot="1" x14ac:dyDescent="0.25">
      <c r="A5483" s="3">
        <v>7322</v>
      </c>
      <c r="B5483" s="28"/>
      <c r="C5483" s="3" t="s">
        <v>6</v>
      </c>
    </row>
    <row r="5484" spans="1:3" ht="13.5" thickBot="1" x14ac:dyDescent="0.25">
      <c r="A5484" s="3">
        <v>2088</v>
      </c>
      <c r="B5484" s="28"/>
      <c r="C5484" s="3" t="s">
        <v>4</v>
      </c>
    </row>
    <row r="5485" spans="1:3" ht="13.5" thickBot="1" x14ac:dyDescent="0.25">
      <c r="A5485" s="3">
        <v>909</v>
      </c>
      <c r="B5485" s="28"/>
      <c r="C5485" s="3" t="s">
        <v>5</v>
      </c>
    </row>
    <row r="5486" spans="1:3" ht="13.5" thickBot="1" x14ac:dyDescent="0.25">
      <c r="A5486" s="3">
        <v>6406</v>
      </c>
      <c r="B5486" s="28"/>
      <c r="C5486" s="3" t="s">
        <v>3</v>
      </c>
    </row>
    <row r="5487" spans="1:3" ht="13.5" thickBot="1" x14ac:dyDescent="0.25">
      <c r="A5487" s="3">
        <v>5697</v>
      </c>
      <c r="B5487" s="28"/>
      <c r="C5487" s="3" t="s">
        <v>3</v>
      </c>
    </row>
    <row r="5488" spans="1:3" ht="13.5" thickBot="1" x14ac:dyDescent="0.25">
      <c r="A5488" s="3">
        <v>7828</v>
      </c>
      <c r="B5488" s="28"/>
      <c r="C5488" s="3" t="s">
        <v>5</v>
      </c>
    </row>
    <row r="5489" spans="1:3" ht="13.5" thickBot="1" x14ac:dyDescent="0.25">
      <c r="A5489" s="3">
        <v>1536</v>
      </c>
      <c r="B5489" s="28"/>
      <c r="C5489" s="3" t="s">
        <v>5</v>
      </c>
    </row>
    <row r="5490" spans="1:3" ht="13.5" thickBot="1" x14ac:dyDescent="0.25">
      <c r="A5490" s="3">
        <v>1054</v>
      </c>
      <c r="B5490" s="28"/>
      <c r="C5490" s="3" t="s">
        <v>6</v>
      </c>
    </row>
    <row r="5491" spans="1:3" ht="13.5" thickBot="1" x14ac:dyDescent="0.25">
      <c r="A5491" s="3">
        <v>4654</v>
      </c>
      <c r="B5491" s="28"/>
      <c r="C5491" s="3" t="s">
        <v>3</v>
      </c>
    </row>
    <row r="5492" spans="1:3" ht="13.5" thickBot="1" x14ac:dyDescent="0.25">
      <c r="A5492" s="3">
        <v>197</v>
      </c>
      <c r="B5492" s="28"/>
      <c r="C5492" s="3" t="s">
        <v>6</v>
      </c>
    </row>
    <row r="5493" spans="1:3" ht="13.5" thickBot="1" x14ac:dyDescent="0.25">
      <c r="A5493" s="3">
        <v>5902</v>
      </c>
      <c r="B5493" s="28"/>
      <c r="C5493" s="3" t="s">
        <v>3</v>
      </c>
    </row>
    <row r="5494" spans="1:3" ht="13.5" thickBot="1" x14ac:dyDescent="0.25">
      <c r="A5494" s="3">
        <v>39</v>
      </c>
      <c r="B5494" s="28"/>
      <c r="C5494" s="3" t="s">
        <v>3</v>
      </c>
    </row>
    <row r="5495" spans="1:3" ht="13.5" thickBot="1" x14ac:dyDescent="0.25">
      <c r="A5495" s="3">
        <v>7926</v>
      </c>
      <c r="B5495" s="28"/>
      <c r="C5495" s="3" t="s">
        <v>4</v>
      </c>
    </row>
    <row r="5496" spans="1:3" ht="13.5" thickBot="1" x14ac:dyDescent="0.25">
      <c r="A5496" s="3">
        <v>2139</v>
      </c>
      <c r="B5496" s="28"/>
      <c r="C5496" s="3" t="s">
        <v>7</v>
      </c>
    </row>
    <row r="5497" spans="1:3" ht="13.5" thickBot="1" x14ac:dyDescent="0.25">
      <c r="A5497" s="3">
        <v>3735</v>
      </c>
      <c r="B5497" s="28"/>
      <c r="C5497" s="3" t="s">
        <v>7</v>
      </c>
    </row>
    <row r="5498" spans="1:3" ht="13.5" thickBot="1" x14ac:dyDescent="0.25">
      <c r="A5498" s="3">
        <v>3062</v>
      </c>
      <c r="B5498" s="28"/>
      <c r="C5498" s="3" t="s">
        <v>3</v>
      </c>
    </row>
    <row r="5499" spans="1:3" ht="13.5" thickBot="1" x14ac:dyDescent="0.25">
      <c r="A5499" s="3">
        <v>7213</v>
      </c>
      <c r="B5499" s="28"/>
      <c r="C5499" s="3" t="s">
        <v>4</v>
      </c>
    </row>
    <row r="5500" spans="1:3" ht="13.5" thickBot="1" x14ac:dyDescent="0.25">
      <c r="A5500" s="3">
        <v>178</v>
      </c>
      <c r="B5500" s="28"/>
      <c r="C5500" s="3" t="s">
        <v>7</v>
      </c>
    </row>
    <row r="5501" spans="1:3" ht="13.5" thickBot="1" x14ac:dyDescent="0.25">
      <c r="A5501" s="3">
        <v>7741</v>
      </c>
      <c r="B5501" s="28"/>
      <c r="C5501" s="3" t="s">
        <v>5</v>
      </c>
    </row>
    <row r="5502" spans="1:3" ht="13.5" thickBot="1" x14ac:dyDescent="0.25">
      <c r="A5502" s="3">
        <v>2588</v>
      </c>
      <c r="B5502" s="28"/>
      <c r="C5502" s="3" t="s">
        <v>3</v>
      </c>
    </row>
    <row r="5503" spans="1:3" ht="13.5" thickBot="1" x14ac:dyDescent="0.25">
      <c r="A5503" s="3">
        <v>4421</v>
      </c>
      <c r="B5503" s="28"/>
      <c r="C5503" s="3" t="s">
        <v>3</v>
      </c>
    </row>
    <row r="5504" spans="1:3" ht="13.5" thickBot="1" x14ac:dyDescent="0.25">
      <c r="A5504" s="3">
        <v>6895</v>
      </c>
      <c r="B5504" s="28"/>
      <c r="C5504" s="3" t="s">
        <v>3</v>
      </c>
    </row>
    <row r="5505" spans="1:3" ht="13.5" thickBot="1" x14ac:dyDescent="0.25">
      <c r="A5505" s="3">
        <v>7535</v>
      </c>
      <c r="B5505" s="28"/>
      <c r="C5505" s="3" t="s">
        <v>3</v>
      </c>
    </row>
    <row r="5506" spans="1:3" ht="13.5" thickBot="1" x14ac:dyDescent="0.25">
      <c r="A5506" s="3">
        <v>1254</v>
      </c>
      <c r="B5506" s="28"/>
      <c r="C5506" s="3" t="s">
        <v>6</v>
      </c>
    </row>
    <row r="5507" spans="1:3" ht="13.5" thickBot="1" x14ac:dyDescent="0.25">
      <c r="A5507" s="3">
        <v>6124</v>
      </c>
      <c r="B5507" s="28"/>
      <c r="C5507" s="3" t="s">
        <v>3</v>
      </c>
    </row>
    <row r="5508" spans="1:3" ht="13.5" thickBot="1" x14ac:dyDescent="0.25">
      <c r="A5508" s="3">
        <v>225</v>
      </c>
      <c r="B5508" s="28"/>
      <c r="C5508" s="3" t="s">
        <v>3</v>
      </c>
    </row>
    <row r="5509" spans="1:3" ht="13.5" thickBot="1" x14ac:dyDescent="0.25">
      <c r="A5509" s="3">
        <v>1536</v>
      </c>
      <c r="B5509" s="28"/>
      <c r="C5509" s="3" t="s">
        <v>6</v>
      </c>
    </row>
    <row r="5510" spans="1:3" ht="13.5" thickBot="1" x14ac:dyDescent="0.25">
      <c r="A5510" s="3">
        <v>7609</v>
      </c>
      <c r="B5510" s="28"/>
      <c r="C5510" s="3" t="s">
        <v>3</v>
      </c>
    </row>
    <row r="5511" spans="1:3" ht="13.5" thickBot="1" x14ac:dyDescent="0.25">
      <c r="A5511" s="3">
        <v>225</v>
      </c>
      <c r="B5511" s="28"/>
      <c r="C5511" s="3" t="s">
        <v>4</v>
      </c>
    </row>
    <row r="5512" spans="1:3" ht="13.5" thickBot="1" x14ac:dyDescent="0.25">
      <c r="A5512" s="3">
        <v>2121</v>
      </c>
      <c r="B5512" s="28"/>
      <c r="C5512" s="3" t="s">
        <v>3</v>
      </c>
    </row>
    <row r="5513" spans="1:3" ht="13.5" thickBot="1" x14ac:dyDescent="0.25">
      <c r="A5513" s="3">
        <v>5643</v>
      </c>
      <c r="B5513" s="28"/>
      <c r="C5513" s="3" t="s">
        <v>3</v>
      </c>
    </row>
    <row r="5514" spans="1:3" ht="13.5" thickBot="1" x14ac:dyDescent="0.25">
      <c r="A5514" s="3">
        <v>2949</v>
      </c>
      <c r="B5514" s="28"/>
      <c r="C5514" s="3" t="s">
        <v>6</v>
      </c>
    </row>
    <row r="5515" spans="1:3" ht="13.5" thickBot="1" x14ac:dyDescent="0.25">
      <c r="A5515" s="3">
        <v>6038</v>
      </c>
      <c r="B5515" s="28"/>
      <c r="C5515" s="3" t="s">
        <v>4</v>
      </c>
    </row>
    <row r="5516" spans="1:3" ht="13.5" thickBot="1" x14ac:dyDescent="0.25">
      <c r="A5516" s="3">
        <v>6386</v>
      </c>
      <c r="B5516" s="28"/>
      <c r="C5516" s="3" t="s">
        <v>7</v>
      </c>
    </row>
    <row r="5517" spans="1:3" ht="13.5" thickBot="1" x14ac:dyDescent="0.25">
      <c r="A5517" s="3">
        <v>5628</v>
      </c>
      <c r="B5517" s="28"/>
      <c r="C5517" s="3" t="s">
        <v>5</v>
      </c>
    </row>
    <row r="5518" spans="1:3" ht="13.5" thickBot="1" x14ac:dyDescent="0.25">
      <c r="A5518" s="3">
        <v>488</v>
      </c>
      <c r="B5518" s="28"/>
      <c r="C5518" s="3" t="s">
        <v>6</v>
      </c>
    </row>
    <row r="5519" spans="1:3" ht="13.5" thickBot="1" x14ac:dyDescent="0.25">
      <c r="A5519" s="3">
        <v>6578</v>
      </c>
      <c r="B5519" s="28"/>
      <c r="C5519" s="3" t="s">
        <v>4</v>
      </c>
    </row>
    <row r="5520" spans="1:3" ht="13.5" thickBot="1" x14ac:dyDescent="0.25">
      <c r="A5520" s="3">
        <v>6073</v>
      </c>
      <c r="B5520" s="28"/>
      <c r="C5520" s="3" t="s">
        <v>3</v>
      </c>
    </row>
    <row r="5521" spans="1:3" ht="13.5" thickBot="1" x14ac:dyDescent="0.25">
      <c r="A5521" s="3">
        <v>613</v>
      </c>
      <c r="B5521" s="28"/>
      <c r="C5521" s="3" t="s">
        <v>3</v>
      </c>
    </row>
    <row r="5522" spans="1:3" ht="13.5" thickBot="1" x14ac:dyDescent="0.25">
      <c r="A5522" s="3">
        <v>4862</v>
      </c>
      <c r="B5522" s="28"/>
      <c r="C5522" s="3" t="s">
        <v>3</v>
      </c>
    </row>
    <row r="5523" spans="1:3" ht="13.5" thickBot="1" x14ac:dyDescent="0.25">
      <c r="A5523" s="3">
        <v>5104</v>
      </c>
      <c r="B5523" s="28"/>
      <c r="C5523" s="3" t="s">
        <v>5</v>
      </c>
    </row>
    <row r="5524" spans="1:3" ht="13.5" thickBot="1" x14ac:dyDescent="0.25">
      <c r="A5524" s="3">
        <v>150</v>
      </c>
      <c r="B5524" s="28"/>
      <c r="C5524" s="3" t="s">
        <v>4</v>
      </c>
    </row>
    <row r="5525" spans="1:3" ht="13.5" thickBot="1" x14ac:dyDescent="0.25">
      <c r="A5525" s="3">
        <v>1973</v>
      </c>
      <c r="B5525" s="28"/>
      <c r="C5525" s="3" t="s">
        <v>5</v>
      </c>
    </row>
    <row r="5526" spans="1:3" ht="13.5" thickBot="1" x14ac:dyDescent="0.25">
      <c r="A5526" s="3">
        <v>1973</v>
      </c>
      <c r="B5526" s="28"/>
      <c r="C5526" s="3" t="s">
        <v>4</v>
      </c>
    </row>
    <row r="5527" spans="1:3" ht="13.5" thickBot="1" x14ac:dyDescent="0.25">
      <c r="A5527" s="3">
        <v>5104</v>
      </c>
      <c r="B5527" s="28"/>
      <c r="C5527" s="3" t="s">
        <v>4</v>
      </c>
    </row>
    <row r="5528" spans="1:3" ht="13.5" thickBot="1" x14ac:dyDescent="0.25">
      <c r="A5528" s="3">
        <v>6801</v>
      </c>
      <c r="B5528" s="28"/>
      <c r="C5528" s="3" t="s">
        <v>4</v>
      </c>
    </row>
    <row r="5529" spans="1:3" ht="13.5" thickBot="1" x14ac:dyDescent="0.25">
      <c r="A5529" s="3">
        <v>6487</v>
      </c>
      <c r="B5529" s="28"/>
      <c r="C5529" s="3" t="s">
        <v>7</v>
      </c>
    </row>
    <row r="5530" spans="1:3" ht="13.5" thickBot="1" x14ac:dyDescent="0.25">
      <c r="A5530" s="3">
        <v>3961</v>
      </c>
      <c r="B5530" s="28"/>
      <c r="C5530" s="3" t="s">
        <v>5</v>
      </c>
    </row>
    <row r="5531" spans="1:3" ht="13.5" thickBot="1" x14ac:dyDescent="0.25">
      <c r="A5531" s="3">
        <v>7066</v>
      </c>
      <c r="B5531" s="28"/>
      <c r="C5531" s="3" t="s">
        <v>3</v>
      </c>
    </row>
    <row r="5532" spans="1:3" ht="13.5" thickBot="1" x14ac:dyDescent="0.25">
      <c r="A5532" s="3">
        <v>3450</v>
      </c>
      <c r="B5532" s="28"/>
      <c r="C5532" s="3" t="s">
        <v>3</v>
      </c>
    </row>
    <row r="5533" spans="1:3" ht="13.5" thickBot="1" x14ac:dyDescent="0.25">
      <c r="A5533" s="3">
        <v>2658</v>
      </c>
      <c r="B5533" s="28"/>
      <c r="C5533" s="3" t="s">
        <v>3</v>
      </c>
    </row>
    <row r="5534" spans="1:3" ht="13.5" thickBot="1" x14ac:dyDescent="0.25">
      <c r="A5534" s="3">
        <v>3287</v>
      </c>
      <c r="B5534" s="28"/>
      <c r="C5534" s="3" t="s">
        <v>7</v>
      </c>
    </row>
    <row r="5535" spans="1:3" ht="13.5" thickBot="1" x14ac:dyDescent="0.25">
      <c r="A5535" s="3">
        <v>2148</v>
      </c>
      <c r="B5535" s="28"/>
      <c r="C5535" s="3" t="s">
        <v>3</v>
      </c>
    </row>
    <row r="5536" spans="1:3" ht="13.5" thickBot="1" x14ac:dyDescent="0.25">
      <c r="A5536" s="3">
        <v>5506</v>
      </c>
      <c r="B5536" s="28"/>
      <c r="C5536" s="3" t="s">
        <v>3</v>
      </c>
    </row>
    <row r="5537" spans="1:3" ht="13.5" thickBot="1" x14ac:dyDescent="0.25">
      <c r="A5537" s="3">
        <v>2813</v>
      </c>
      <c r="B5537" s="28"/>
      <c r="C5537" s="3" t="s">
        <v>6</v>
      </c>
    </row>
    <row r="5538" spans="1:3" ht="13.5" thickBot="1" x14ac:dyDescent="0.25">
      <c r="A5538" s="3">
        <v>3001</v>
      </c>
      <c r="B5538" s="28"/>
      <c r="C5538" s="3" t="s">
        <v>6</v>
      </c>
    </row>
    <row r="5539" spans="1:3" ht="13.5" thickBot="1" x14ac:dyDescent="0.25">
      <c r="A5539" s="3">
        <v>1079</v>
      </c>
      <c r="B5539" s="28"/>
      <c r="C5539" s="3" t="s">
        <v>6</v>
      </c>
    </row>
    <row r="5540" spans="1:3" ht="13.5" thickBot="1" x14ac:dyDescent="0.25">
      <c r="A5540" s="3">
        <v>6497</v>
      </c>
      <c r="B5540" s="28"/>
      <c r="C5540" s="3" t="s">
        <v>7</v>
      </c>
    </row>
    <row r="5541" spans="1:3" ht="13.5" thickBot="1" x14ac:dyDescent="0.25">
      <c r="A5541" s="3">
        <v>4914</v>
      </c>
      <c r="B5541" s="28"/>
      <c r="C5541" s="3" t="s">
        <v>4</v>
      </c>
    </row>
    <row r="5542" spans="1:3" ht="13.5" thickBot="1" x14ac:dyDescent="0.25">
      <c r="A5542" s="3">
        <v>550</v>
      </c>
      <c r="B5542" s="28"/>
      <c r="C5542" s="3" t="s">
        <v>6</v>
      </c>
    </row>
    <row r="5543" spans="1:3" ht="13.5" thickBot="1" x14ac:dyDescent="0.25">
      <c r="A5543" s="3">
        <v>857</v>
      </c>
      <c r="B5543" s="28"/>
      <c r="C5543" s="3" t="s">
        <v>4</v>
      </c>
    </row>
    <row r="5544" spans="1:3" ht="13.5" thickBot="1" x14ac:dyDescent="0.25">
      <c r="A5544" s="3">
        <v>7828</v>
      </c>
      <c r="B5544" s="28"/>
      <c r="C5544" s="3" t="s">
        <v>4</v>
      </c>
    </row>
    <row r="5545" spans="1:3" ht="13.5" thickBot="1" x14ac:dyDescent="0.25">
      <c r="A5545" s="3">
        <v>4661</v>
      </c>
      <c r="B5545" s="28"/>
      <c r="C5545" s="3" t="s">
        <v>4</v>
      </c>
    </row>
    <row r="5546" spans="1:3" ht="13.5" thickBot="1" x14ac:dyDescent="0.25">
      <c r="A5546" s="3">
        <v>1659</v>
      </c>
      <c r="B5546" s="28"/>
      <c r="C5546" s="3" t="s">
        <v>3</v>
      </c>
    </row>
    <row r="5547" spans="1:3" ht="13.5" thickBot="1" x14ac:dyDescent="0.25">
      <c r="A5547" s="3">
        <v>6342</v>
      </c>
      <c r="B5547" s="28"/>
      <c r="C5547" s="3" t="s">
        <v>4</v>
      </c>
    </row>
    <row r="5548" spans="1:3" ht="13.5" thickBot="1" x14ac:dyDescent="0.25">
      <c r="A5548" s="3">
        <v>1421</v>
      </c>
      <c r="B5548" s="28"/>
      <c r="C5548" s="3" t="s">
        <v>5</v>
      </c>
    </row>
    <row r="5549" spans="1:3" ht="13.5" thickBot="1" x14ac:dyDescent="0.25">
      <c r="A5549" s="3">
        <v>5064</v>
      </c>
      <c r="B5549" s="28"/>
      <c r="C5549" s="3" t="s">
        <v>3</v>
      </c>
    </row>
    <row r="5550" spans="1:3" ht="13.5" thickBot="1" x14ac:dyDescent="0.25">
      <c r="A5550" s="3">
        <v>2946</v>
      </c>
      <c r="B5550" s="28"/>
      <c r="C5550" s="3" t="s">
        <v>4</v>
      </c>
    </row>
    <row r="5551" spans="1:3" ht="13.5" thickBot="1" x14ac:dyDescent="0.25">
      <c r="A5551" s="3">
        <v>5517</v>
      </c>
      <c r="B5551" s="28"/>
      <c r="C5551" s="3" t="s">
        <v>4</v>
      </c>
    </row>
    <row r="5552" spans="1:3" ht="13.5" thickBot="1" x14ac:dyDescent="0.25">
      <c r="A5552" s="3">
        <v>7301</v>
      </c>
      <c r="B5552" s="28"/>
      <c r="C5552" s="3" t="s">
        <v>6</v>
      </c>
    </row>
    <row r="5553" spans="1:3" ht="13.5" thickBot="1" x14ac:dyDescent="0.25">
      <c r="A5553" s="3">
        <v>4438</v>
      </c>
      <c r="B5553" s="28"/>
      <c r="C5553" s="3" t="s">
        <v>3</v>
      </c>
    </row>
    <row r="5554" spans="1:3" ht="13.5" thickBot="1" x14ac:dyDescent="0.25">
      <c r="A5554" s="3">
        <v>3072</v>
      </c>
      <c r="B5554" s="28"/>
      <c r="C5554" s="3" t="s">
        <v>6</v>
      </c>
    </row>
    <row r="5555" spans="1:3" ht="13.5" thickBot="1" x14ac:dyDescent="0.25">
      <c r="A5555" s="3">
        <v>3394</v>
      </c>
      <c r="B5555" s="28"/>
      <c r="C5555" s="3" t="s">
        <v>6</v>
      </c>
    </row>
    <row r="5556" spans="1:3" ht="13.5" thickBot="1" x14ac:dyDescent="0.25">
      <c r="A5556" s="3">
        <v>4914</v>
      </c>
      <c r="B5556" s="28"/>
      <c r="C5556" s="3" t="s">
        <v>3</v>
      </c>
    </row>
    <row r="5557" spans="1:3" ht="13.5" thickBot="1" x14ac:dyDescent="0.25">
      <c r="A5557" s="3">
        <v>4862</v>
      </c>
      <c r="B5557" s="28"/>
      <c r="C5557" s="3" t="s">
        <v>5</v>
      </c>
    </row>
    <row r="5558" spans="1:3" ht="13.5" thickBot="1" x14ac:dyDescent="0.25">
      <c r="A5558" s="3">
        <v>7213</v>
      </c>
      <c r="B5558" s="28"/>
      <c r="C5558" s="3" t="s">
        <v>7</v>
      </c>
    </row>
    <row r="5559" spans="1:3" ht="13.5" thickBot="1" x14ac:dyDescent="0.25">
      <c r="A5559" s="3">
        <v>4648</v>
      </c>
      <c r="B5559" s="28"/>
      <c r="C5559" s="3" t="s">
        <v>7</v>
      </c>
    </row>
    <row r="5560" spans="1:3" ht="13.5" thickBot="1" x14ac:dyDescent="0.25">
      <c r="A5560" s="3">
        <v>150</v>
      </c>
      <c r="B5560" s="28"/>
      <c r="C5560" s="3" t="s">
        <v>3</v>
      </c>
    </row>
    <row r="5561" spans="1:3" ht="13.5" thickBot="1" x14ac:dyDescent="0.25">
      <c r="A5561" s="3">
        <v>1076</v>
      </c>
      <c r="B5561" s="28"/>
      <c r="C5561" s="3" t="s">
        <v>6</v>
      </c>
    </row>
    <row r="5562" spans="1:3" ht="13.5" thickBot="1" x14ac:dyDescent="0.25">
      <c r="A5562" s="3">
        <v>550</v>
      </c>
      <c r="B5562" s="28"/>
      <c r="C5562" s="3" t="s">
        <v>4</v>
      </c>
    </row>
    <row r="5563" spans="1:3" ht="13.5" thickBot="1" x14ac:dyDescent="0.25">
      <c r="A5563" s="3">
        <v>6895</v>
      </c>
      <c r="B5563" s="28"/>
      <c r="C5563" s="3" t="s">
        <v>4</v>
      </c>
    </row>
    <row r="5564" spans="1:3" ht="13.5" thickBot="1" x14ac:dyDescent="0.25">
      <c r="A5564" s="3">
        <v>4533</v>
      </c>
      <c r="B5564" s="28"/>
      <c r="C5564" s="3" t="s">
        <v>3</v>
      </c>
    </row>
    <row r="5565" spans="1:3" ht="13.5" thickBot="1" x14ac:dyDescent="0.25">
      <c r="A5565" s="3">
        <v>4211</v>
      </c>
      <c r="B5565" s="28"/>
      <c r="C5565" s="3" t="s">
        <v>3</v>
      </c>
    </row>
    <row r="5566" spans="1:3" ht="13.5" thickBot="1" x14ac:dyDescent="0.25">
      <c r="A5566" s="3">
        <v>610</v>
      </c>
      <c r="B5566" s="28"/>
      <c r="C5566" s="3" t="s">
        <v>4</v>
      </c>
    </row>
    <row r="5567" spans="1:3" ht="13.5" thickBot="1" x14ac:dyDescent="0.25">
      <c r="A5567" s="3">
        <v>1691</v>
      </c>
      <c r="B5567" s="28"/>
      <c r="C5567" s="3" t="s">
        <v>3</v>
      </c>
    </row>
    <row r="5568" spans="1:3" ht="13.5" thickBot="1" x14ac:dyDescent="0.25">
      <c r="A5568" s="3">
        <v>4106</v>
      </c>
      <c r="B5568" s="28"/>
      <c r="C5568" s="3" t="s">
        <v>3</v>
      </c>
    </row>
    <row r="5569" spans="1:3" ht="13.5" thickBot="1" x14ac:dyDescent="0.25">
      <c r="A5569" s="3">
        <v>7535</v>
      </c>
      <c r="B5569" s="28"/>
      <c r="C5569" s="3" t="s">
        <v>4</v>
      </c>
    </row>
    <row r="5570" spans="1:3" ht="13.5" thickBot="1" x14ac:dyDescent="0.25">
      <c r="A5570" s="3">
        <v>5675</v>
      </c>
      <c r="B5570" s="28"/>
      <c r="C5570" s="3" t="s">
        <v>5</v>
      </c>
    </row>
    <row r="5571" spans="1:3" ht="13.5" thickBot="1" x14ac:dyDescent="0.25">
      <c r="A5571" s="3">
        <v>5170</v>
      </c>
      <c r="B5571" s="28"/>
      <c r="C5571" s="3" t="s">
        <v>3</v>
      </c>
    </row>
    <row r="5572" spans="1:3" ht="13.5" thickBot="1" x14ac:dyDescent="0.25">
      <c r="A5572" s="3">
        <v>4229</v>
      </c>
      <c r="B5572" s="28"/>
      <c r="C5572" s="3" t="s">
        <v>7</v>
      </c>
    </row>
    <row r="5573" spans="1:3" ht="13.5" thickBot="1" x14ac:dyDescent="0.25">
      <c r="A5573" s="3">
        <v>4661</v>
      </c>
      <c r="B5573" s="28"/>
      <c r="C5573" s="3" t="s">
        <v>3</v>
      </c>
    </row>
    <row r="5574" spans="1:3" ht="13.5" thickBot="1" x14ac:dyDescent="0.25">
      <c r="A5574" s="3">
        <v>7518</v>
      </c>
      <c r="B5574" s="28"/>
      <c r="C5574" s="3" t="s">
        <v>3</v>
      </c>
    </row>
    <row r="5575" spans="1:3" ht="13.5" thickBot="1" x14ac:dyDescent="0.25">
      <c r="A5575" s="3">
        <v>1194</v>
      </c>
      <c r="B5575" s="28"/>
      <c r="C5575" s="3" t="s">
        <v>3</v>
      </c>
    </row>
    <row r="5576" spans="1:3" ht="13.5" thickBot="1" x14ac:dyDescent="0.25">
      <c r="A5576" s="3">
        <v>4126</v>
      </c>
      <c r="B5576" s="28"/>
      <c r="C5576" s="3" t="s">
        <v>3</v>
      </c>
    </row>
    <row r="5577" spans="1:3" ht="13.5" thickBot="1" x14ac:dyDescent="0.25">
      <c r="A5577" s="3">
        <v>6073</v>
      </c>
      <c r="B5577" s="28"/>
      <c r="C5577" s="3" t="s">
        <v>5</v>
      </c>
    </row>
    <row r="5578" spans="1:3" ht="13.5" thickBot="1" x14ac:dyDescent="0.25">
      <c r="A5578" s="3">
        <v>5517</v>
      </c>
      <c r="B5578" s="28"/>
      <c r="C5578" s="3" t="s">
        <v>3</v>
      </c>
    </row>
    <row r="5579" spans="1:3" ht="13.5" thickBot="1" x14ac:dyDescent="0.25">
      <c r="A5579" s="3">
        <v>1062</v>
      </c>
      <c r="B5579" s="28"/>
      <c r="C5579" s="3" t="s">
        <v>7</v>
      </c>
    </row>
    <row r="5580" spans="1:3" ht="13.5" thickBot="1" x14ac:dyDescent="0.25">
      <c r="A5580" s="3">
        <v>4025</v>
      </c>
      <c r="B5580" s="28"/>
      <c r="C5580" s="3" t="s">
        <v>3</v>
      </c>
    </row>
    <row r="5581" spans="1:3" ht="13.5" thickBot="1" x14ac:dyDescent="0.25">
      <c r="A5581" s="3">
        <v>534</v>
      </c>
      <c r="B5581" s="28"/>
      <c r="C5581" s="3" t="s">
        <v>4</v>
      </c>
    </row>
    <row r="5582" spans="1:3" ht="13.5" thickBot="1" x14ac:dyDescent="0.25">
      <c r="A5582" s="3">
        <v>6357</v>
      </c>
      <c r="B5582" s="28"/>
      <c r="C5582" s="3" t="s">
        <v>3</v>
      </c>
    </row>
    <row r="5583" spans="1:3" ht="13.5" thickBot="1" x14ac:dyDescent="0.25">
      <c r="A5583" s="3">
        <v>6406</v>
      </c>
      <c r="B5583" s="28"/>
      <c r="C5583" s="3" t="s">
        <v>7</v>
      </c>
    </row>
    <row r="5584" spans="1:3" ht="13.5" thickBot="1" x14ac:dyDescent="0.25">
      <c r="A5584" s="3">
        <v>6801</v>
      </c>
      <c r="B5584" s="28"/>
      <c r="C5584" s="3" t="s">
        <v>3</v>
      </c>
    </row>
    <row r="5585" spans="1:3" ht="13.5" thickBot="1" x14ac:dyDescent="0.25">
      <c r="A5585" s="3">
        <v>4116</v>
      </c>
      <c r="B5585" s="28"/>
      <c r="C5585" s="3" t="s">
        <v>4</v>
      </c>
    </row>
    <row r="5586" spans="1:3" ht="13.5" thickBot="1" x14ac:dyDescent="0.25">
      <c r="A5586" s="3">
        <v>7213</v>
      </c>
      <c r="B5586" s="28"/>
      <c r="C5586" s="3" t="s">
        <v>6</v>
      </c>
    </row>
    <row r="5587" spans="1:3" ht="13.5" thickBot="1" x14ac:dyDescent="0.25">
      <c r="A5587" s="3">
        <v>3992</v>
      </c>
      <c r="B5587" s="28"/>
      <c r="C5587" s="3" t="s">
        <v>3</v>
      </c>
    </row>
    <row r="5588" spans="1:3" ht="13.5" thickBot="1" x14ac:dyDescent="0.25">
      <c r="A5588" s="3">
        <v>3033</v>
      </c>
      <c r="B5588" s="28"/>
      <c r="C5588" s="3" t="s">
        <v>6</v>
      </c>
    </row>
    <row r="5589" spans="1:3" ht="13.5" thickBot="1" x14ac:dyDescent="0.25">
      <c r="A5589" s="3">
        <v>7926</v>
      </c>
      <c r="B5589" s="28"/>
      <c r="C5589" s="3" t="s">
        <v>7</v>
      </c>
    </row>
    <row r="5590" spans="1:3" ht="13.5" thickBot="1" x14ac:dyDescent="0.25">
      <c r="A5590" s="3">
        <v>6342</v>
      </c>
      <c r="B5590" s="28"/>
      <c r="C5590" s="3" t="s">
        <v>3</v>
      </c>
    </row>
    <row r="5591" spans="1:3" ht="13.5" thickBot="1" x14ac:dyDescent="0.25">
      <c r="A5591" s="3">
        <v>5567</v>
      </c>
      <c r="B5591" s="28"/>
      <c r="C5591" s="3" t="s">
        <v>3</v>
      </c>
    </row>
    <row r="5592" spans="1:3" ht="13.5" thickBot="1" x14ac:dyDescent="0.25">
      <c r="A5592" s="3">
        <v>7615</v>
      </c>
      <c r="B5592" s="28"/>
      <c r="C5592" s="3" t="s">
        <v>3</v>
      </c>
    </row>
    <row r="5593" spans="1:3" ht="13.5" thickBot="1" x14ac:dyDescent="0.25">
      <c r="A5593" s="3">
        <v>7213</v>
      </c>
      <c r="B5593" s="28"/>
      <c r="C5593" s="3" t="s">
        <v>5</v>
      </c>
    </row>
    <row r="5594" spans="1:3" ht="13.5" thickBot="1" x14ac:dyDescent="0.25">
      <c r="A5594" s="3">
        <v>6466</v>
      </c>
      <c r="B5594" s="28"/>
      <c r="C5594" s="3" t="s">
        <v>6</v>
      </c>
    </row>
    <row r="5595" spans="1:3" ht="13.5" thickBot="1" x14ac:dyDescent="0.25">
      <c r="A5595" s="3">
        <v>5070</v>
      </c>
      <c r="B5595" s="28"/>
      <c r="C5595" s="3" t="s">
        <v>3</v>
      </c>
    </row>
    <row r="5596" spans="1:3" ht="13.5" thickBot="1" x14ac:dyDescent="0.25">
      <c r="A5596" s="3">
        <v>2946</v>
      </c>
      <c r="B5596" s="28"/>
      <c r="C5596" s="3" t="s">
        <v>3</v>
      </c>
    </row>
    <row r="5597" spans="1:3" ht="13.5" thickBot="1" x14ac:dyDescent="0.25">
      <c r="A5597" s="3">
        <v>5628</v>
      </c>
      <c r="B5597" s="28"/>
      <c r="C5597" s="3" t="s">
        <v>3</v>
      </c>
    </row>
    <row r="5598" spans="1:3" ht="13.5" thickBot="1" x14ac:dyDescent="0.25">
      <c r="A5598" s="3">
        <v>610</v>
      </c>
      <c r="B5598" s="28"/>
      <c r="C5598" s="3" t="s">
        <v>3</v>
      </c>
    </row>
    <row r="5599" spans="1:3" ht="13.5" thickBot="1" x14ac:dyDescent="0.25">
      <c r="A5599" s="3">
        <v>1987</v>
      </c>
      <c r="B5599" s="28"/>
      <c r="C5599" s="3" t="s">
        <v>3</v>
      </c>
    </row>
    <row r="5600" spans="1:3" ht="13.5" thickBot="1" x14ac:dyDescent="0.25">
      <c r="A5600" s="3">
        <v>1700</v>
      </c>
      <c r="B5600" s="28"/>
      <c r="C5600" s="3" t="s">
        <v>3</v>
      </c>
    </row>
    <row r="5601" spans="1:3" ht="13.5" thickBot="1" x14ac:dyDescent="0.25">
      <c r="A5601" s="3">
        <v>7828</v>
      </c>
      <c r="B5601" s="28"/>
      <c r="C5601" s="3" t="s">
        <v>6</v>
      </c>
    </row>
    <row r="5602" spans="1:3" ht="13.5" thickBot="1" x14ac:dyDescent="0.25">
      <c r="A5602" s="3">
        <v>4025</v>
      </c>
      <c r="B5602" s="28"/>
      <c r="C5602" s="3" t="s">
        <v>4</v>
      </c>
    </row>
    <row r="5603" spans="1:3" ht="13.5" thickBot="1" x14ac:dyDescent="0.25">
      <c r="A5603" s="3">
        <v>1026</v>
      </c>
      <c r="B5603" s="28"/>
      <c r="C5603" s="3" t="s">
        <v>6</v>
      </c>
    </row>
    <row r="5604" spans="1:3" ht="13.5" thickBot="1" x14ac:dyDescent="0.25">
      <c r="A5604" s="3">
        <v>7825</v>
      </c>
      <c r="B5604" s="28"/>
      <c r="C5604" s="3" t="s">
        <v>6</v>
      </c>
    </row>
    <row r="5605" spans="1:3" ht="13.5" thickBot="1" x14ac:dyDescent="0.25">
      <c r="A5605" s="3">
        <v>6836</v>
      </c>
      <c r="B5605" s="28"/>
      <c r="C5605" s="3" t="s">
        <v>6</v>
      </c>
    </row>
    <row r="5606" spans="1:3" ht="13.5" thickBot="1" x14ac:dyDescent="0.25">
      <c r="A5606" s="3">
        <v>5717</v>
      </c>
      <c r="B5606" s="28"/>
      <c r="C5606" s="3" t="s">
        <v>6</v>
      </c>
    </row>
    <row r="5607" spans="1:3" ht="13.5" thickBot="1" x14ac:dyDescent="0.25">
      <c r="A5607" s="3">
        <v>1299</v>
      </c>
      <c r="B5607" s="28"/>
      <c r="C5607" s="3" t="s">
        <v>6</v>
      </c>
    </row>
    <row r="5608" spans="1:3" ht="13.5" thickBot="1" x14ac:dyDescent="0.25">
      <c r="A5608" s="3">
        <v>6907</v>
      </c>
      <c r="B5608" s="28"/>
      <c r="C5608" s="3" t="s">
        <v>5</v>
      </c>
    </row>
    <row r="5609" spans="1:3" ht="13.5" thickBot="1" x14ac:dyDescent="0.25">
      <c r="A5609" s="3">
        <v>1118</v>
      </c>
      <c r="B5609" s="28"/>
      <c r="C5609" s="3" t="s">
        <v>4</v>
      </c>
    </row>
    <row r="5610" spans="1:3" ht="13.5" thickBot="1" x14ac:dyDescent="0.25">
      <c r="A5610" s="3">
        <v>5675</v>
      </c>
      <c r="B5610" s="28"/>
      <c r="C5610" s="3" t="s">
        <v>6</v>
      </c>
    </row>
    <row r="5611" spans="1:3" ht="13.5" thickBot="1" x14ac:dyDescent="0.25">
      <c r="A5611" s="3">
        <v>3967</v>
      </c>
      <c r="B5611" s="28"/>
      <c r="C5611" s="3" t="s">
        <v>4</v>
      </c>
    </row>
    <row r="5612" spans="1:3" ht="13.5" thickBot="1" x14ac:dyDescent="0.25">
      <c r="A5612" s="3">
        <v>7066</v>
      </c>
      <c r="B5612" s="28"/>
      <c r="C5612" s="3" t="s">
        <v>4</v>
      </c>
    </row>
    <row r="5613" spans="1:3" ht="13.5" thickBot="1" x14ac:dyDescent="0.25">
      <c r="A5613" s="3">
        <v>4150</v>
      </c>
      <c r="B5613" s="28"/>
      <c r="C5613" s="3" t="s">
        <v>3</v>
      </c>
    </row>
    <row r="5614" spans="1:3" ht="13.5" thickBot="1" x14ac:dyDescent="0.25">
      <c r="A5614" s="3">
        <v>535</v>
      </c>
      <c r="B5614" s="28"/>
      <c r="C5614" s="3" t="s">
        <v>3</v>
      </c>
    </row>
    <row r="5615" spans="1:3" ht="13.5" thickBot="1" x14ac:dyDescent="0.25">
      <c r="A5615" s="3">
        <v>3186</v>
      </c>
      <c r="B5615" s="28"/>
      <c r="C5615" s="3" t="s">
        <v>6</v>
      </c>
    </row>
    <row r="5616" spans="1:3" ht="13.5" thickBot="1" x14ac:dyDescent="0.25">
      <c r="A5616" s="3">
        <v>4501</v>
      </c>
      <c r="B5616" s="28"/>
      <c r="C5616" s="3" t="s">
        <v>6</v>
      </c>
    </row>
    <row r="5617" spans="1:3" ht="13.5" thickBot="1" x14ac:dyDescent="0.25">
      <c r="A5617" s="3">
        <v>1920</v>
      </c>
      <c r="B5617" s="28"/>
      <c r="C5617" s="3" t="s">
        <v>5</v>
      </c>
    </row>
    <row r="5618" spans="1:3" ht="13.5" thickBot="1" x14ac:dyDescent="0.25">
      <c r="A5618" s="3">
        <v>20</v>
      </c>
      <c r="B5618" s="28"/>
      <c r="C5618" s="3" t="s">
        <v>3</v>
      </c>
    </row>
    <row r="5619" spans="1:3" ht="13.5" thickBot="1" x14ac:dyDescent="0.25">
      <c r="A5619" s="3">
        <v>2649</v>
      </c>
      <c r="B5619" s="28"/>
      <c r="C5619" s="3" t="s">
        <v>6</v>
      </c>
    </row>
    <row r="5620" spans="1:3" ht="13.5" thickBot="1" x14ac:dyDescent="0.25">
      <c r="A5620" s="3">
        <v>1700</v>
      </c>
      <c r="B5620" s="28"/>
      <c r="C5620" s="3" t="s">
        <v>7</v>
      </c>
    </row>
    <row r="5621" spans="1:3" ht="13.5" thickBot="1" x14ac:dyDescent="0.25">
      <c r="A5621" s="3">
        <v>6497</v>
      </c>
      <c r="B5621" s="28"/>
      <c r="C5621" s="3" t="s">
        <v>6</v>
      </c>
    </row>
    <row r="5622" spans="1:3" ht="13.5" thickBot="1" x14ac:dyDescent="0.25">
      <c r="A5622" s="3">
        <v>535</v>
      </c>
      <c r="B5622" s="28"/>
      <c r="C5622" s="3" t="s">
        <v>5</v>
      </c>
    </row>
    <row r="5623" spans="1:3" ht="13.5" thickBot="1" x14ac:dyDescent="0.25">
      <c r="A5623" s="3">
        <v>2551</v>
      </c>
      <c r="B5623" s="28"/>
      <c r="C5623" s="3" t="s">
        <v>6</v>
      </c>
    </row>
    <row r="5624" spans="1:3" ht="13.5" thickBot="1" x14ac:dyDescent="0.25">
      <c r="A5624" s="3">
        <v>4533</v>
      </c>
      <c r="B5624" s="28"/>
      <c r="C5624" s="3" t="s">
        <v>7</v>
      </c>
    </row>
    <row r="5625" spans="1:3" ht="13.5" thickBot="1" x14ac:dyDescent="0.25">
      <c r="A5625" s="3">
        <v>4533</v>
      </c>
      <c r="B5625" s="28"/>
      <c r="C5625" s="3" t="s">
        <v>4</v>
      </c>
    </row>
    <row r="5626" spans="1:3" ht="13.5" thickBot="1" x14ac:dyDescent="0.25">
      <c r="A5626" s="3">
        <v>834</v>
      </c>
      <c r="B5626" s="28"/>
      <c r="C5626" s="3" t="s">
        <v>6</v>
      </c>
    </row>
    <row r="5627" spans="1:3" ht="13.5" thickBot="1" x14ac:dyDescent="0.25">
      <c r="A5627" s="3">
        <v>5643</v>
      </c>
      <c r="B5627" s="28"/>
      <c r="C5627" s="3" t="s">
        <v>4</v>
      </c>
    </row>
    <row r="5628" spans="1:3" ht="13.5" thickBot="1" x14ac:dyDescent="0.25">
      <c r="A5628" s="3">
        <v>2113</v>
      </c>
      <c r="B5628" s="28"/>
      <c r="C5628" s="3" t="s">
        <v>3</v>
      </c>
    </row>
    <row r="5629" spans="1:3" ht="13.5" thickBot="1" x14ac:dyDescent="0.25">
      <c r="A5629" s="3">
        <v>123</v>
      </c>
      <c r="B5629" s="28"/>
      <c r="C5629" s="3" t="s">
        <v>3</v>
      </c>
    </row>
    <row r="5630" spans="1:3" ht="13.5" thickBot="1" x14ac:dyDescent="0.25">
      <c r="A5630" s="3">
        <v>6578</v>
      </c>
      <c r="B5630" s="28"/>
      <c r="C5630" s="3" t="s">
        <v>7</v>
      </c>
    </row>
    <row r="5631" spans="1:3" ht="13.5" thickBot="1" x14ac:dyDescent="0.25">
      <c r="A5631" s="3">
        <v>5687</v>
      </c>
      <c r="B5631" s="28"/>
      <c r="C5631" s="3" t="s">
        <v>3</v>
      </c>
    </row>
    <row r="5632" spans="1:3" ht="13.5" thickBot="1" x14ac:dyDescent="0.25">
      <c r="A5632" s="3">
        <v>1832</v>
      </c>
      <c r="B5632" s="28"/>
      <c r="C5632" s="3" t="s">
        <v>4</v>
      </c>
    </row>
    <row r="5633" spans="1:3" ht="13.5" thickBot="1" x14ac:dyDescent="0.25">
      <c r="A5633" s="3">
        <v>3206</v>
      </c>
      <c r="B5633" s="28"/>
      <c r="C5633" s="3" t="s">
        <v>3</v>
      </c>
    </row>
    <row r="5634" spans="1:3" ht="13.5" thickBot="1" x14ac:dyDescent="0.25">
      <c r="A5634" s="3">
        <v>711</v>
      </c>
      <c r="B5634" s="28"/>
      <c r="C5634" s="3" t="s">
        <v>3</v>
      </c>
    </row>
    <row r="5635" spans="1:3" ht="13.5" thickBot="1" x14ac:dyDescent="0.25">
      <c r="A5635" s="3">
        <v>4229</v>
      </c>
      <c r="B5635" s="28"/>
      <c r="C5635" s="3" t="s">
        <v>4</v>
      </c>
    </row>
    <row r="5636" spans="1:3" ht="13.5" thickBot="1" x14ac:dyDescent="0.25">
      <c r="A5636" s="3">
        <v>5003</v>
      </c>
      <c r="B5636" s="28"/>
      <c r="C5636" s="3" t="s">
        <v>6</v>
      </c>
    </row>
    <row r="5637" spans="1:3" ht="13.5" thickBot="1" x14ac:dyDescent="0.25">
      <c r="A5637" s="3">
        <v>1253</v>
      </c>
      <c r="B5637" s="28"/>
      <c r="C5637" s="3" t="s">
        <v>4</v>
      </c>
    </row>
    <row r="5638" spans="1:3" ht="13.5" thickBot="1" x14ac:dyDescent="0.25">
      <c r="A5638" s="3">
        <v>3754</v>
      </c>
      <c r="B5638" s="28"/>
      <c r="C5638" s="3" t="s">
        <v>3</v>
      </c>
    </row>
    <row r="5639" spans="1:3" ht="13.5" thickBot="1" x14ac:dyDescent="0.25">
      <c r="A5639" s="3">
        <v>3827</v>
      </c>
      <c r="B5639" s="28"/>
      <c r="C5639" s="3" t="s">
        <v>3</v>
      </c>
    </row>
    <row r="5640" spans="1:3" ht="13.5" thickBot="1" x14ac:dyDescent="0.25">
      <c r="A5640" s="3">
        <v>4025</v>
      </c>
      <c r="B5640" s="28"/>
      <c r="C5640" s="3" t="s">
        <v>6</v>
      </c>
    </row>
    <row r="5641" spans="1:3" ht="13.5" thickBot="1" x14ac:dyDescent="0.25">
      <c r="A5641" s="3">
        <v>2522</v>
      </c>
      <c r="B5641" s="28"/>
      <c r="C5641" s="3" t="s">
        <v>7</v>
      </c>
    </row>
    <row r="5642" spans="1:3" ht="13.5" thickBot="1" x14ac:dyDescent="0.25">
      <c r="A5642" s="3">
        <v>477</v>
      </c>
      <c r="B5642" s="28"/>
      <c r="C5642" s="3" t="s">
        <v>3</v>
      </c>
    </row>
    <row r="5643" spans="1:3" ht="13.5" thickBot="1" x14ac:dyDescent="0.25">
      <c r="A5643" s="3">
        <v>1082</v>
      </c>
      <c r="B5643" s="28"/>
      <c r="C5643" s="3" t="s">
        <v>3</v>
      </c>
    </row>
    <row r="5644" spans="1:3" ht="13.5" thickBot="1" x14ac:dyDescent="0.25">
      <c r="A5644" s="3">
        <v>1773</v>
      </c>
      <c r="B5644" s="28"/>
      <c r="C5644" s="3" t="s">
        <v>4</v>
      </c>
    </row>
    <row r="5645" spans="1:3" ht="13.5" thickBot="1" x14ac:dyDescent="0.25">
      <c r="A5645" s="3">
        <v>6469</v>
      </c>
      <c r="B5645" s="28"/>
      <c r="C5645" s="3" t="s">
        <v>6</v>
      </c>
    </row>
    <row r="5646" spans="1:3" ht="13.5" thickBot="1" x14ac:dyDescent="0.25">
      <c r="A5646" s="3">
        <v>6812</v>
      </c>
      <c r="B5646" s="28"/>
      <c r="C5646" s="3" t="s">
        <v>3</v>
      </c>
    </row>
    <row r="5647" spans="1:3" ht="13.5" thickBot="1" x14ac:dyDescent="0.25">
      <c r="A5647" s="3">
        <v>3033</v>
      </c>
      <c r="B5647" s="28"/>
      <c r="C5647" s="3" t="s">
        <v>5</v>
      </c>
    </row>
    <row r="5648" spans="1:3" ht="13.5" thickBot="1" x14ac:dyDescent="0.25">
      <c r="A5648" s="3">
        <v>3827</v>
      </c>
      <c r="B5648" s="28"/>
      <c r="C5648" s="3" t="s">
        <v>5</v>
      </c>
    </row>
    <row r="5649" spans="1:3" ht="13.5" thickBot="1" x14ac:dyDescent="0.25">
      <c r="A5649" s="3">
        <v>6124</v>
      </c>
      <c r="B5649" s="28"/>
      <c r="C5649" s="3" t="s">
        <v>5</v>
      </c>
    </row>
    <row r="5650" spans="1:3" ht="13.5" thickBot="1" x14ac:dyDescent="0.25">
      <c r="A5650" s="3">
        <v>2522</v>
      </c>
      <c r="B5650" s="28"/>
      <c r="C5650" s="3" t="s">
        <v>6</v>
      </c>
    </row>
    <row r="5651" spans="1:3" ht="13.5" thickBot="1" x14ac:dyDescent="0.25">
      <c r="A5651" s="3">
        <v>3571</v>
      </c>
      <c r="B5651" s="28"/>
      <c r="C5651" s="3" t="s">
        <v>6</v>
      </c>
    </row>
    <row r="5652" spans="1:3" ht="13.5" thickBot="1" x14ac:dyDescent="0.25">
      <c r="A5652" s="3">
        <v>1328</v>
      </c>
      <c r="B5652" s="28"/>
      <c r="C5652" s="3" t="s">
        <v>3</v>
      </c>
    </row>
    <row r="5653" spans="1:3" ht="13.5" thickBot="1" x14ac:dyDescent="0.25">
      <c r="A5653" s="3">
        <v>5697</v>
      </c>
      <c r="B5653" s="28"/>
      <c r="C5653" s="3" t="s">
        <v>4</v>
      </c>
    </row>
    <row r="5654" spans="1:3" ht="13.5" thickBot="1" x14ac:dyDescent="0.25">
      <c r="A5654" s="3">
        <v>2088</v>
      </c>
      <c r="B5654" s="28"/>
      <c r="C5654" s="3" t="s">
        <v>6</v>
      </c>
    </row>
    <row r="5655" spans="1:3" ht="13.5" thickBot="1" x14ac:dyDescent="0.25">
      <c r="A5655" s="3">
        <v>1062</v>
      </c>
      <c r="B5655" s="28"/>
      <c r="C5655" s="3" t="s">
        <v>6</v>
      </c>
    </row>
    <row r="5656" spans="1:3" ht="13.5" thickBot="1" x14ac:dyDescent="0.25">
      <c r="A5656" s="3">
        <v>4670</v>
      </c>
      <c r="B5656" s="28"/>
      <c r="C5656" s="3" t="s">
        <v>7</v>
      </c>
    </row>
    <row r="5657" spans="1:3" ht="13.5" thickBot="1" x14ac:dyDescent="0.25">
      <c r="A5657" s="3">
        <v>6487</v>
      </c>
      <c r="B5657" s="28"/>
      <c r="C5657" s="3" t="s">
        <v>6</v>
      </c>
    </row>
    <row r="5658" spans="1:3" ht="13.5" thickBot="1" x14ac:dyDescent="0.25">
      <c r="A5658" s="3">
        <v>3287</v>
      </c>
      <c r="B5658" s="28"/>
      <c r="C5658" s="3" t="s">
        <v>6</v>
      </c>
    </row>
    <row r="5659" spans="1:3" ht="13.5" thickBot="1" x14ac:dyDescent="0.25">
      <c r="A5659" s="3">
        <v>7146</v>
      </c>
      <c r="B5659" s="28"/>
      <c r="C5659" s="3" t="s">
        <v>7</v>
      </c>
    </row>
    <row r="5660" spans="1:3" ht="13.5" thickBot="1" x14ac:dyDescent="0.25">
      <c r="A5660" s="3">
        <v>1883</v>
      </c>
      <c r="B5660" s="28"/>
      <c r="C5660" s="3" t="s">
        <v>6</v>
      </c>
    </row>
    <row r="5661" spans="1:3" ht="13.5" thickBot="1" x14ac:dyDescent="0.25">
      <c r="A5661" s="3">
        <v>6907</v>
      </c>
      <c r="B5661" s="28"/>
      <c r="C5661" s="3" t="s">
        <v>3</v>
      </c>
    </row>
    <row r="5662" spans="1:3" ht="13.5" thickBot="1" x14ac:dyDescent="0.25">
      <c r="A5662" s="3">
        <v>6292</v>
      </c>
      <c r="B5662" s="28"/>
      <c r="C5662" s="3" t="s">
        <v>3</v>
      </c>
    </row>
    <row r="5663" spans="1:3" ht="13.5" thickBot="1" x14ac:dyDescent="0.25">
      <c r="A5663" s="3">
        <v>5602</v>
      </c>
      <c r="B5663" s="28"/>
      <c r="C5663" s="3" t="s">
        <v>3</v>
      </c>
    </row>
    <row r="5664" spans="1:3" ht="13.5" thickBot="1" x14ac:dyDescent="0.25">
      <c r="A5664" s="3">
        <v>4175</v>
      </c>
      <c r="B5664" s="28"/>
      <c r="C5664" s="3" t="s">
        <v>7</v>
      </c>
    </row>
    <row r="5665" spans="1:3" ht="13.5" thickBot="1" x14ac:dyDescent="0.25">
      <c r="A5665" s="3">
        <v>5104</v>
      </c>
      <c r="B5665" s="28"/>
      <c r="C5665" s="3" t="s">
        <v>6</v>
      </c>
    </row>
    <row r="5666" spans="1:3" ht="13.5" thickBot="1" x14ac:dyDescent="0.25">
      <c r="A5666" s="3">
        <v>5772</v>
      </c>
      <c r="B5666" s="28"/>
      <c r="C5666" s="3" t="s">
        <v>3</v>
      </c>
    </row>
    <row r="5667" spans="1:3" ht="13.5" thickBot="1" x14ac:dyDescent="0.25">
      <c r="A5667" s="3">
        <v>4229</v>
      </c>
      <c r="B5667" s="28"/>
      <c r="C5667" s="3" t="s">
        <v>5</v>
      </c>
    </row>
    <row r="5668" spans="1:3" ht="13.5" thickBot="1" x14ac:dyDescent="0.25">
      <c r="A5668" s="3">
        <v>5550</v>
      </c>
      <c r="B5668" s="28"/>
      <c r="C5668" s="3" t="s">
        <v>3</v>
      </c>
    </row>
    <row r="5669" spans="1:3" ht="13.5" thickBot="1" x14ac:dyDescent="0.25">
      <c r="A5669" s="3">
        <v>2697</v>
      </c>
      <c r="B5669" s="28"/>
      <c r="C5669" s="3" t="s">
        <v>3</v>
      </c>
    </row>
    <row r="5670" spans="1:3" ht="13.5" thickBot="1" x14ac:dyDescent="0.25">
      <c r="A5670" s="3">
        <v>7596</v>
      </c>
      <c r="B5670" s="28"/>
      <c r="C5670" s="3" t="s">
        <v>3</v>
      </c>
    </row>
    <row r="5671" spans="1:3" ht="13.5" thickBot="1" x14ac:dyDescent="0.25">
      <c r="A5671" s="3">
        <v>4150</v>
      </c>
      <c r="B5671" s="28"/>
      <c r="C5671" s="3" t="s">
        <v>5</v>
      </c>
    </row>
    <row r="5672" spans="1:3" ht="13.5" thickBot="1" x14ac:dyDescent="0.25">
      <c r="A5672" s="3">
        <v>7066</v>
      </c>
      <c r="B5672" s="28"/>
      <c r="C5672" s="3" t="s">
        <v>5</v>
      </c>
    </row>
    <row r="5673" spans="1:3" ht="13.5" thickBot="1" x14ac:dyDescent="0.25">
      <c r="A5673" s="3">
        <v>6124</v>
      </c>
      <c r="B5673" s="28"/>
      <c r="C5673" s="3" t="s">
        <v>4</v>
      </c>
    </row>
    <row r="5674" spans="1:3" ht="13.5" thickBot="1" x14ac:dyDescent="0.25">
      <c r="A5674" s="3">
        <v>5518</v>
      </c>
      <c r="B5674" s="28"/>
      <c r="C5674" s="3" t="s">
        <v>3</v>
      </c>
    </row>
    <row r="5675" spans="1:3" ht="13.5" thickBot="1" x14ac:dyDescent="0.25">
      <c r="A5675" s="3">
        <v>6265</v>
      </c>
      <c r="B5675" s="28"/>
      <c r="C5675" s="3" t="s">
        <v>7</v>
      </c>
    </row>
    <row r="5676" spans="1:3" ht="13.5" thickBot="1" x14ac:dyDescent="0.25">
      <c r="A5676" s="3">
        <v>6263</v>
      </c>
      <c r="B5676" s="28"/>
      <c r="C5676" s="3" t="s">
        <v>7</v>
      </c>
    </row>
    <row r="5677" spans="1:3" ht="13.5" thickBot="1" x14ac:dyDescent="0.25">
      <c r="A5677" s="3">
        <v>535</v>
      </c>
      <c r="B5677" s="28"/>
      <c r="C5677" s="3" t="s">
        <v>4</v>
      </c>
    </row>
    <row r="5678" spans="1:3" ht="13.5" thickBot="1" x14ac:dyDescent="0.25">
      <c r="A5678" s="3">
        <v>2113</v>
      </c>
      <c r="B5678" s="28"/>
      <c r="C5678" s="3" t="s">
        <v>4</v>
      </c>
    </row>
    <row r="5679" spans="1:3" ht="13.5" thickBot="1" x14ac:dyDescent="0.25">
      <c r="A5679" s="3">
        <v>477</v>
      </c>
      <c r="B5679" s="28"/>
      <c r="C5679" s="3" t="s">
        <v>4</v>
      </c>
    </row>
    <row r="5680" spans="1:3" ht="13.5" thickBot="1" x14ac:dyDescent="0.25">
      <c r="A5680" s="3">
        <v>1253</v>
      </c>
      <c r="B5680" s="28"/>
      <c r="C5680" s="3" t="s">
        <v>3</v>
      </c>
    </row>
    <row r="5681" spans="1:3" ht="13.5" thickBot="1" x14ac:dyDescent="0.25">
      <c r="A5681" s="3">
        <v>5104</v>
      </c>
      <c r="B5681" s="28"/>
      <c r="C5681" s="3" t="s">
        <v>7</v>
      </c>
    </row>
    <row r="5682" spans="1:3" ht="13.5" thickBot="1" x14ac:dyDescent="0.25">
      <c r="A5682" s="3">
        <v>6989</v>
      </c>
      <c r="B5682" s="28"/>
      <c r="C5682" s="3" t="s">
        <v>3</v>
      </c>
    </row>
    <row r="5683" spans="1:3" ht="13.5" thickBot="1" x14ac:dyDescent="0.25">
      <c r="A5683" s="3">
        <v>1700</v>
      </c>
      <c r="B5683" s="28"/>
      <c r="C5683" s="3" t="s">
        <v>5</v>
      </c>
    </row>
    <row r="5684" spans="1:3" ht="13.5" thickBot="1" x14ac:dyDescent="0.25">
      <c r="A5684" s="3">
        <v>1145</v>
      </c>
      <c r="B5684" s="28"/>
      <c r="C5684" s="3" t="s">
        <v>3</v>
      </c>
    </row>
    <row r="5685" spans="1:3" ht="13.5" thickBot="1" x14ac:dyDescent="0.25">
      <c r="A5685" s="3">
        <v>1691</v>
      </c>
      <c r="B5685" s="28"/>
      <c r="C5685" s="3" t="s">
        <v>4</v>
      </c>
    </row>
    <row r="5686" spans="1:3" ht="13.5" thickBot="1" x14ac:dyDescent="0.25">
      <c r="A5686" s="3">
        <v>7840</v>
      </c>
      <c r="B5686" s="28"/>
      <c r="C5686" s="3" t="s">
        <v>6</v>
      </c>
    </row>
    <row r="5687" spans="1:3" ht="13.5" thickBot="1" x14ac:dyDescent="0.25">
      <c r="A5687" s="3">
        <v>7247</v>
      </c>
      <c r="B5687" s="28"/>
      <c r="C5687" s="3" t="s">
        <v>3</v>
      </c>
    </row>
    <row r="5688" spans="1:3" ht="13.5" thickBot="1" x14ac:dyDescent="0.25">
      <c r="A5688" s="3">
        <v>3887</v>
      </c>
      <c r="B5688" s="28"/>
      <c r="C5688" s="3" t="s">
        <v>3</v>
      </c>
    </row>
    <row r="5689" spans="1:3" ht="13.5" thickBot="1" x14ac:dyDescent="0.25">
      <c r="A5689" s="3">
        <v>1987</v>
      </c>
      <c r="B5689" s="28"/>
      <c r="C5689" s="3" t="s">
        <v>4</v>
      </c>
    </row>
    <row r="5690" spans="1:3" ht="13.5" thickBot="1" x14ac:dyDescent="0.25">
      <c r="A5690" s="3">
        <v>1076</v>
      </c>
      <c r="B5690" s="28"/>
      <c r="C5690" s="3" t="s">
        <v>5</v>
      </c>
    </row>
    <row r="5691" spans="1:3" ht="13.5" thickBot="1" x14ac:dyDescent="0.25">
      <c r="A5691" s="3">
        <v>3735</v>
      </c>
      <c r="B5691" s="28"/>
      <c r="C5691" s="3" t="s">
        <v>6</v>
      </c>
    </row>
    <row r="5692" spans="1:3" ht="13.5" thickBot="1" x14ac:dyDescent="0.25">
      <c r="A5692" s="3">
        <v>7561</v>
      </c>
      <c r="B5692" s="28"/>
      <c r="C5692" s="3" t="s">
        <v>4</v>
      </c>
    </row>
    <row r="5693" spans="1:3" ht="13.5" thickBot="1" x14ac:dyDescent="0.25">
      <c r="A5693" s="3">
        <v>2946</v>
      </c>
      <c r="B5693" s="28"/>
      <c r="C5693" s="3" t="s">
        <v>6</v>
      </c>
    </row>
    <row r="5694" spans="1:3" ht="13.5" thickBot="1" x14ac:dyDescent="0.25">
      <c r="A5694" s="3">
        <v>2719</v>
      </c>
      <c r="B5694" s="28"/>
      <c r="C5694" s="3" t="s">
        <v>4</v>
      </c>
    </row>
    <row r="5695" spans="1:3" ht="13.5" thickBot="1" x14ac:dyDescent="0.25">
      <c r="A5695" s="3">
        <v>4786</v>
      </c>
      <c r="B5695" s="28"/>
      <c r="C5695" s="3" t="s">
        <v>3</v>
      </c>
    </row>
    <row r="5696" spans="1:3" ht="13.5" thickBot="1" x14ac:dyDescent="0.25">
      <c r="A5696" s="3">
        <v>5897</v>
      </c>
      <c r="B5696" s="28"/>
      <c r="C5696" s="3" t="s">
        <v>3</v>
      </c>
    </row>
    <row r="5697" spans="1:3" ht="13.5" thickBot="1" x14ac:dyDescent="0.25">
      <c r="A5697" s="3">
        <v>7817</v>
      </c>
      <c r="B5697" s="28"/>
      <c r="C5697" s="3" t="s">
        <v>3</v>
      </c>
    </row>
    <row r="5698" spans="1:3" ht="13.5" thickBot="1" x14ac:dyDescent="0.25">
      <c r="A5698" s="3">
        <v>7037</v>
      </c>
      <c r="B5698" s="28"/>
      <c r="C5698" s="3" t="s">
        <v>3</v>
      </c>
    </row>
    <row r="5699" spans="1:3" ht="13.5" thickBot="1" x14ac:dyDescent="0.25">
      <c r="A5699" s="3">
        <v>888</v>
      </c>
      <c r="B5699" s="28"/>
      <c r="C5699" s="3" t="s">
        <v>4</v>
      </c>
    </row>
    <row r="5700" spans="1:3" ht="13.5" thickBot="1" x14ac:dyDescent="0.25">
      <c r="A5700" s="3">
        <v>3128</v>
      </c>
      <c r="B5700" s="28"/>
      <c r="C5700" s="3" t="s">
        <v>3</v>
      </c>
    </row>
    <row r="5701" spans="1:3" ht="13.5" thickBot="1" x14ac:dyDescent="0.25">
      <c r="A5701" s="3">
        <v>5628</v>
      </c>
      <c r="B5701" s="28"/>
      <c r="C5701" s="3" t="s">
        <v>7</v>
      </c>
    </row>
    <row r="5702" spans="1:3" ht="13.5" thickBot="1" x14ac:dyDescent="0.25">
      <c r="A5702" s="3">
        <v>3730</v>
      </c>
      <c r="B5702" s="28"/>
      <c r="C5702" s="3" t="s">
        <v>4</v>
      </c>
    </row>
    <row r="5703" spans="1:3" ht="13.5" thickBot="1" x14ac:dyDescent="0.25">
      <c r="A5703" s="3">
        <v>4863</v>
      </c>
      <c r="B5703" s="28"/>
      <c r="C5703" s="3" t="s">
        <v>3</v>
      </c>
    </row>
    <row r="5704" spans="1:3" ht="13.5" thickBot="1" x14ac:dyDescent="0.25">
      <c r="A5704" s="3">
        <v>5472</v>
      </c>
      <c r="B5704" s="28"/>
      <c r="C5704" s="3" t="s">
        <v>3</v>
      </c>
    </row>
    <row r="5705" spans="1:3" ht="13.5" thickBot="1" x14ac:dyDescent="0.25">
      <c r="A5705" s="3">
        <v>1973</v>
      </c>
      <c r="B5705" s="28"/>
      <c r="C5705" s="3" t="s">
        <v>6</v>
      </c>
    </row>
    <row r="5706" spans="1:3" ht="13.5" thickBot="1" x14ac:dyDescent="0.25">
      <c r="A5706" s="3">
        <v>7535</v>
      </c>
      <c r="B5706" s="28"/>
      <c r="C5706" s="3" t="s">
        <v>5</v>
      </c>
    </row>
    <row r="5707" spans="1:3" ht="13.5" thickBot="1" x14ac:dyDescent="0.25">
      <c r="A5707" s="3">
        <v>7790</v>
      </c>
      <c r="B5707" s="28"/>
      <c r="C5707" s="3" t="s">
        <v>7</v>
      </c>
    </row>
    <row r="5708" spans="1:3" ht="13.5" thickBot="1" x14ac:dyDescent="0.25">
      <c r="A5708" s="3">
        <v>1016</v>
      </c>
      <c r="B5708" s="28"/>
      <c r="C5708" s="3" t="s">
        <v>3</v>
      </c>
    </row>
    <row r="5709" spans="1:3" ht="13.5" thickBot="1" x14ac:dyDescent="0.25">
      <c r="A5709" s="3">
        <v>4422</v>
      </c>
      <c r="B5709" s="28"/>
      <c r="C5709" s="3" t="s">
        <v>4</v>
      </c>
    </row>
    <row r="5710" spans="1:3" ht="13.5" thickBot="1" x14ac:dyDescent="0.25">
      <c r="A5710" s="3">
        <v>417</v>
      </c>
      <c r="B5710" s="28"/>
      <c r="C5710" s="3" t="s">
        <v>3</v>
      </c>
    </row>
    <row r="5711" spans="1:3" ht="13.5" thickBot="1" x14ac:dyDescent="0.25">
      <c r="A5711" s="3">
        <v>6628</v>
      </c>
      <c r="B5711" s="28"/>
      <c r="C5711" s="3" t="s">
        <v>6</v>
      </c>
    </row>
    <row r="5712" spans="1:3" ht="13.5" thickBot="1" x14ac:dyDescent="0.25">
      <c r="A5712" s="3">
        <v>4161</v>
      </c>
      <c r="B5712" s="28"/>
      <c r="C5712" s="3" t="s">
        <v>6</v>
      </c>
    </row>
    <row r="5713" spans="1:3" ht="13.5" thickBot="1" x14ac:dyDescent="0.25">
      <c r="A5713" s="3">
        <v>1927</v>
      </c>
      <c r="B5713" s="28"/>
      <c r="C5713" s="3" t="s">
        <v>4</v>
      </c>
    </row>
    <row r="5714" spans="1:3" ht="13.5" thickBot="1" x14ac:dyDescent="0.25">
      <c r="A5714" s="3">
        <v>848</v>
      </c>
      <c r="B5714" s="28"/>
      <c r="C5714" s="3" t="s">
        <v>6</v>
      </c>
    </row>
    <row r="5715" spans="1:3" ht="13.5" thickBot="1" x14ac:dyDescent="0.25">
      <c r="A5715" s="3">
        <v>1710</v>
      </c>
      <c r="B5715" s="28"/>
      <c r="C5715" s="3" t="s">
        <v>4</v>
      </c>
    </row>
    <row r="5716" spans="1:3" ht="13.5" thickBot="1" x14ac:dyDescent="0.25">
      <c r="A5716" s="3">
        <v>1875</v>
      </c>
      <c r="B5716" s="28"/>
      <c r="C5716" s="3" t="s">
        <v>4</v>
      </c>
    </row>
    <row r="5717" spans="1:3" ht="13.5" thickBot="1" x14ac:dyDescent="0.25">
      <c r="A5717" s="3">
        <v>720</v>
      </c>
      <c r="B5717" s="28"/>
      <c r="C5717" s="3" t="s">
        <v>3</v>
      </c>
    </row>
    <row r="5718" spans="1:3" ht="13.5" thickBot="1" x14ac:dyDescent="0.25">
      <c r="A5718" s="3">
        <v>1194</v>
      </c>
      <c r="B5718" s="28"/>
      <c r="C5718" s="3" t="s">
        <v>6</v>
      </c>
    </row>
    <row r="5719" spans="1:3" ht="13.5" thickBot="1" x14ac:dyDescent="0.25">
      <c r="A5719" s="3">
        <v>711</v>
      </c>
      <c r="B5719" s="28"/>
      <c r="C5719" s="3" t="s">
        <v>4</v>
      </c>
    </row>
    <row r="5720" spans="1:3" ht="13.5" thickBot="1" x14ac:dyDescent="0.25">
      <c r="A5720" s="3">
        <v>6907</v>
      </c>
      <c r="B5720" s="28"/>
      <c r="C5720" s="3" t="s">
        <v>4</v>
      </c>
    </row>
    <row r="5721" spans="1:3" ht="13.5" thickBot="1" x14ac:dyDescent="0.25">
      <c r="A5721" s="3">
        <v>4422</v>
      </c>
      <c r="B5721" s="28"/>
      <c r="C5721" s="3" t="s">
        <v>3</v>
      </c>
    </row>
    <row r="5722" spans="1:3" ht="13.5" thickBot="1" x14ac:dyDescent="0.25">
      <c r="A5722" s="3">
        <v>4954</v>
      </c>
      <c r="B5722" s="28"/>
      <c r="C5722" s="3" t="s">
        <v>4</v>
      </c>
    </row>
    <row r="5723" spans="1:3" ht="13.5" thickBot="1" x14ac:dyDescent="0.25">
      <c r="A5723" s="3">
        <v>4175</v>
      </c>
      <c r="B5723" s="28"/>
      <c r="C5723" s="3" t="s">
        <v>6</v>
      </c>
    </row>
    <row r="5724" spans="1:3" ht="13.5" thickBot="1" x14ac:dyDescent="0.25">
      <c r="A5724" s="3">
        <v>343</v>
      </c>
      <c r="B5724" s="28"/>
      <c r="C5724" s="3" t="s">
        <v>3</v>
      </c>
    </row>
    <row r="5725" spans="1:3" ht="13.5" thickBot="1" x14ac:dyDescent="0.25">
      <c r="A5725" s="3">
        <v>1700</v>
      </c>
      <c r="B5725" s="28"/>
      <c r="C5725" s="3" t="s">
        <v>4</v>
      </c>
    </row>
    <row r="5726" spans="1:3" ht="13.5" thickBot="1" x14ac:dyDescent="0.25">
      <c r="A5726" s="3">
        <v>2719</v>
      </c>
      <c r="B5726" s="28"/>
      <c r="C5726" s="3" t="s">
        <v>3</v>
      </c>
    </row>
    <row r="5727" spans="1:3" ht="13.5" thickBot="1" x14ac:dyDescent="0.25">
      <c r="A5727" s="3">
        <v>3827</v>
      </c>
      <c r="B5727" s="28"/>
      <c r="C5727" s="3" t="s">
        <v>4</v>
      </c>
    </row>
    <row r="5728" spans="1:3" ht="13.5" thickBot="1" x14ac:dyDescent="0.25">
      <c r="A5728" s="3">
        <v>4555</v>
      </c>
      <c r="B5728" s="28"/>
      <c r="C5728" s="3" t="s">
        <v>3</v>
      </c>
    </row>
    <row r="5729" spans="1:3" ht="13.5" thickBot="1" x14ac:dyDescent="0.25">
      <c r="A5729" s="3">
        <v>1653</v>
      </c>
      <c r="B5729" s="28"/>
      <c r="C5729" s="3" t="s">
        <v>6</v>
      </c>
    </row>
    <row r="5730" spans="1:3" ht="13.5" thickBot="1" x14ac:dyDescent="0.25">
      <c r="A5730" s="3">
        <v>4438</v>
      </c>
      <c r="B5730" s="28"/>
      <c r="C5730" s="3" t="s">
        <v>4</v>
      </c>
    </row>
    <row r="5731" spans="1:3" ht="13.5" thickBot="1" x14ac:dyDescent="0.25">
      <c r="A5731" s="3">
        <v>1927</v>
      </c>
      <c r="B5731" s="28"/>
      <c r="C5731" s="3" t="s">
        <v>3</v>
      </c>
    </row>
    <row r="5732" spans="1:3" ht="13.5" thickBot="1" x14ac:dyDescent="0.25">
      <c r="A5732" s="3">
        <v>5158</v>
      </c>
      <c r="B5732" s="28"/>
      <c r="C5732" s="3" t="s">
        <v>6</v>
      </c>
    </row>
    <row r="5733" spans="1:3" ht="13.5" thickBot="1" x14ac:dyDescent="0.25">
      <c r="A5733" s="3">
        <v>3730</v>
      </c>
      <c r="B5733" s="28"/>
      <c r="C5733" s="3" t="s">
        <v>3</v>
      </c>
    </row>
    <row r="5734" spans="1:3" ht="13.5" thickBot="1" x14ac:dyDescent="0.25">
      <c r="A5734" s="3">
        <v>4954</v>
      </c>
      <c r="B5734" s="28"/>
      <c r="C5734" s="3" t="s">
        <v>3</v>
      </c>
    </row>
    <row r="5735" spans="1:3" ht="13.5" thickBot="1" x14ac:dyDescent="0.25">
      <c r="A5735" s="3">
        <v>6290</v>
      </c>
      <c r="B5735" s="28"/>
      <c r="C5735" s="3" t="s">
        <v>3</v>
      </c>
    </row>
    <row r="5736" spans="1:3" ht="13.5" thickBot="1" x14ac:dyDescent="0.25">
      <c r="A5736" s="3">
        <v>6578</v>
      </c>
      <c r="B5736" s="28"/>
      <c r="C5736" s="3" t="s">
        <v>5</v>
      </c>
    </row>
    <row r="5737" spans="1:3" ht="13.5" thickBot="1" x14ac:dyDescent="0.25">
      <c r="A5737" s="3">
        <v>5567</v>
      </c>
      <c r="B5737" s="28"/>
      <c r="C5737" s="3" t="s">
        <v>4</v>
      </c>
    </row>
    <row r="5738" spans="1:3" ht="13.5" thickBot="1" x14ac:dyDescent="0.25">
      <c r="A5738" s="3">
        <v>7561</v>
      </c>
      <c r="B5738" s="28"/>
      <c r="C5738" s="3" t="s">
        <v>3</v>
      </c>
    </row>
    <row r="5739" spans="1:3" ht="13.5" thickBot="1" x14ac:dyDescent="0.25">
      <c r="A5739" s="3">
        <v>7300</v>
      </c>
      <c r="B5739" s="28"/>
      <c r="C5739" s="3" t="s">
        <v>6</v>
      </c>
    </row>
    <row r="5740" spans="1:3" ht="13.5" thickBot="1" x14ac:dyDescent="0.25">
      <c r="A5740" s="3">
        <v>2113</v>
      </c>
      <c r="B5740" s="28"/>
      <c r="C5740" s="3" t="s">
        <v>7</v>
      </c>
    </row>
    <row r="5741" spans="1:3" ht="13.5" thickBot="1" x14ac:dyDescent="0.25">
      <c r="A5741" s="3">
        <v>417</v>
      </c>
      <c r="B5741" s="28"/>
      <c r="C5741" s="3" t="s">
        <v>4</v>
      </c>
    </row>
    <row r="5742" spans="1:3" ht="13.5" thickBot="1" x14ac:dyDescent="0.25">
      <c r="A5742" s="3">
        <v>1476</v>
      </c>
      <c r="B5742" s="28"/>
      <c r="C5742" s="3" t="s">
        <v>3</v>
      </c>
    </row>
    <row r="5743" spans="1:3" ht="13.5" thickBot="1" x14ac:dyDescent="0.25">
      <c r="A5743" s="3">
        <v>4914</v>
      </c>
      <c r="B5743" s="28"/>
      <c r="C5743" s="3" t="s">
        <v>5</v>
      </c>
    </row>
    <row r="5744" spans="1:3" ht="13.5" thickBot="1" x14ac:dyDescent="0.25">
      <c r="A5744" s="3">
        <v>1527</v>
      </c>
      <c r="B5744" s="28"/>
      <c r="C5744" s="3" t="s">
        <v>3</v>
      </c>
    </row>
    <row r="5745" spans="1:3" ht="13.5" thickBot="1" x14ac:dyDescent="0.25">
      <c r="A5745" s="3">
        <v>5170</v>
      </c>
      <c r="B5745" s="28"/>
      <c r="C5745" s="3" t="s">
        <v>6</v>
      </c>
    </row>
    <row r="5746" spans="1:3" ht="13.5" thickBot="1" x14ac:dyDescent="0.25">
      <c r="A5746" s="3">
        <v>7863</v>
      </c>
      <c r="B5746" s="28"/>
      <c r="C5746" s="3" t="s">
        <v>3</v>
      </c>
    </row>
    <row r="5747" spans="1:3" ht="13.5" thickBot="1" x14ac:dyDescent="0.25">
      <c r="A5747" s="3">
        <v>477</v>
      </c>
      <c r="B5747" s="28"/>
      <c r="C5747" s="3" t="s">
        <v>7</v>
      </c>
    </row>
    <row r="5748" spans="1:3" ht="13.5" thickBot="1" x14ac:dyDescent="0.25">
      <c r="A5748" s="3">
        <v>2117</v>
      </c>
      <c r="B5748" s="28"/>
      <c r="C5748" s="3" t="s">
        <v>3</v>
      </c>
    </row>
    <row r="5749" spans="1:3" ht="13.5" thickBot="1" x14ac:dyDescent="0.25">
      <c r="A5749" s="3">
        <v>4533</v>
      </c>
      <c r="B5749" s="28"/>
      <c r="C5749" s="3" t="s">
        <v>5</v>
      </c>
    </row>
    <row r="5750" spans="1:3" ht="13.5" thickBot="1" x14ac:dyDescent="0.25">
      <c r="A5750" s="3">
        <v>1516</v>
      </c>
      <c r="B5750" s="28"/>
      <c r="C5750" s="3" t="s">
        <v>4</v>
      </c>
    </row>
    <row r="5751" spans="1:3" ht="13.5" thickBot="1" x14ac:dyDescent="0.25">
      <c r="A5751" s="3">
        <v>909</v>
      </c>
      <c r="B5751" s="28"/>
      <c r="C5751" s="3" t="s">
        <v>7</v>
      </c>
    </row>
    <row r="5752" spans="1:3" ht="13.5" thickBot="1" x14ac:dyDescent="0.25">
      <c r="A5752" s="3">
        <v>4361</v>
      </c>
      <c r="B5752" s="28"/>
      <c r="C5752" s="3" t="s">
        <v>3</v>
      </c>
    </row>
    <row r="5753" spans="1:3" ht="13.5" thickBot="1" x14ac:dyDescent="0.25">
      <c r="A5753" s="3">
        <v>5518</v>
      </c>
      <c r="B5753" s="28"/>
      <c r="C5753" s="3" t="s">
        <v>4</v>
      </c>
    </row>
    <row r="5754" spans="1:3" ht="13.5" thickBot="1" x14ac:dyDescent="0.25">
      <c r="A5754" s="3">
        <v>7066</v>
      </c>
      <c r="B5754" s="28"/>
      <c r="C5754" s="3" t="s">
        <v>7</v>
      </c>
    </row>
    <row r="5755" spans="1:3" ht="13.5" thickBot="1" x14ac:dyDescent="0.25">
      <c r="A5755" s="3">
        <v>2719</v>
      </c>
      <c r="B5755" s="28"/>
      <c r="C5755" s="3" t="s">
        <v>6</v>
      </c>
    </row>
    <row r="5756" spans="1:3" ht="13.5" thickBot="1" x14ac:dyDescent="0.25">
      <c r="A5756" s="3">
        <v>7355</v>
      </c>
      <c r="B5756" s="28"/>
      <c r="C5756" s="3" t="s">
        <v>3</v>
      </c>
    </row>
    <row r="5757" spans="1:3" ht="13.5" thickBot="1" x14ac:dyDescent="0.25">
      <c r="A5757" s="3">
        <v>3684</v>
      </c>
      <c r="B5757" s="28"/>
      <c r="C5757" s="3" t="s">
        <v>3</v>
      </c>
    </row>
    <row r="5758" spans="1:3" ht="13.5" thickBot="1" x14ac:dyDescent="0.25">
      <c r="A5758" s="3">
        <v>5687</v>
      </c>
      <c r="B5758" s="28"/>
      <c r="C5758" s="3" t="s">
        <v>4</v>
      </c>
    </row>
    <row r="5759" spans="1:3" ht="13.5" thickBot="1" x14ac:dyDescent="0.25">
      <c r="A5759" s="3">
        <v>6725</v>
      </c>
      <c r="B5759" s="28"/>
      <c r="C5759" s="3" t="s">
        <v>3</v>
      </c>
    </row>
    <row r="5760" spans="1:3" ht="13.5" thickBot="1" x14ac:dyDescent="0.25">
      <c r="A5760" s="3">
        <v>5675</v>
      </c>
      <c r="B5760" s="28"/>
      <c r="C5760" s="3" t="s">
        <v>7</v>
      </c>
    </row>
    <row r="5761" spans="1:3" ht="13.5" thickBot="1" x14ac:dyDescent="0.25">
      <c r="A5761" s="3">
        <v>7828</v>
      </c>
      <c r="B5761" s="28"/>
      <c r="C5761" s="3" t="s">
        <v>7</v>
      </c>
    </row>
    <row r="5762" spans="1:3" ht="13.5" thickBot="1" x14ac:dyDescent="0.25">
      <c r="A5762" s="3">
        <v>3754</v>
      </c>
      <c r="B5762" s="28"/>
      <c r="C5762" s="3" t="s">
        <v>4</v>
      </c>
    </row>
    <row r="5763" spans="1:3" ht="13.5" thickBot="1" x14ac:dyDescent="0.25">
      <c r="A5763" s="3">
        <v>5822</v>
      </c>
      <c r="B5763" s="28"/>
      <c r="C5763" s="3" t="s">
        <v>3</v>
      </c>
    </row>
    <row r="5764" spans="1:3" ht="13.5" thickBot="1" x14ac:dyDescent="0.25">
      <c r="A5764" s="3">
        <v>4211</v>
      </c>
      <c r="B5764" s="28"/>
      <c r="C5764" s="3" t="s">
        <v>4</v>
      </c>
    </row>
    <row r="5765" spans="1:3" ht="13.5" thickBot="1" x14ac:dyDescent="0.25">
      <c r="A5765" s="3">
        <v>2643</v>
      </c>
      <c r="B5765" s="28"/>
      <c r="C5765" s="3" t="s">
        <v>3</v>
      </c>
    </row>
    <row r="5766" spans="1:3" ht="13.5" thickBot="1" x14ac:dyDescent="0.25">
      <c r="A5766" s="3">
        <v>4232</v>
      </c>
      <c r="B5766" s="28"/>
      <c r="C5766" s="3" t="s">
        <v>3</v>
      </c>
    </row>
    <row r="5767" spans="1:3" ht="13.5" thickBot="1" x14ac:dyDescent="0.25">
      <c r="A5767" s="3">
        <v>3450</v>
      </c>
      <c r="B5767" s="28"/>
      <c r="C5767" s="3" t="s">
        <v>4</v>
      </c>
    </row>
    <row r="5768" spans="1:3" ht="13.5" thickBot="1" x14ac:dyDescent="0.25">
      <c r="A5768" s="3">
        <v>7355</v>
      </c>
      <c r="B5768" s="28"/>
      <c r="C5768" s="3" t="s">
        <v>4</v>
      </c>
    </row>
    <row r="5769" spans="1:3" ht="13.5" thickBot="1" x14ac:dyDescent="0.25">
      <c r="A5769" s="3">
        <v>1745</v>
      </c>
      <c r="B5769" s="28"/>
      <c r="C5769" s="3" t="s">
        <v>4</v>
      </c>
    </row>
    <row r="5770" spans="1:3" ht="13.5" thickBot="1" x14ac:dyDescent="0.25">
      <c r="A5770" s="3">
        <v>5609</v>
      </c>
      <c r="B5770" s="28"/>
      <c r="C5770" s="3" t="s">
        <v>4</v>
      </c>
    </row>
    <row r="5771" spans="1:3" ht="13.5" thickBot="1" x14ac:dyDescent="0.25">
      <c r="A5771" s="3">
        <v>1421</v>
      </c>
      <c r="B5771" s="28"/>
      <c r="C5771" s="3" t="s">
        <v>6</v>
      </c>
    </row>
    <row r="5772" spans="1:3" ht="13.5" thickBot="1" x14ac:dyDescent="0.25">
      <c r="A5772" s="3">
        <v>20</v>
      </c>
      <c r="B5772" s="28"/>
      <c r="C5772" s="3" t="s">
        <v>4</v>
      </c>
    </row>
    <row r="5773" spans="1:3" ht="13.5" thickBot="1" x14ac:dyDescent="0.25">
      <c r="A5773" s="3">
        <v>595</v>
      </c>
      <c r="B5773" s="28"/>
      <c r="C5773" s="3" t="s">
        <v>3</v>
      </c>
    </row>
    <row r="5774" spans="1:3" ht="13.5" thickBot="1" x14ac:dyDescent="0.25">
      <c r="A5774" s="3">
        <v>4422</v>
      </c>
      <c r="B5774" s="28"/>
      <c r="C5774" s="3" t="s">
        <v>6</v>
      </c>
    </row>
    <row r="5775" spans="1:3" ht="13.5" thickBot="1" x14ac:dyDescent="0.25">
      <c r="A5775" s="3">
        <v>7037</v>
      </c>
      <c r="B5775" s="28"/>
      <c r="C5775" s="3" t="s">
        <v>7</v>
      </c>
    </row>
    <row r="5776" spans="1:3" ht="13.5" thickBot="1" x14ac:dyDescent="0.25">
      <c r="A5776" s="3">
        <v>7645</v>
      </c>
      <c r="B5776" s="28"/>
      <c r="C5776" s="3" t="s">
        <v>3</v>
      </c>
    </row>
    <row r="5777" spans="1:3" ht="13.5" thickBot="1" x14ac:dyDescent="0.25">
      <c r="A5777" s="3">
        <v>1745</v>
      </c>
      <c r="B5777" s="28"/>
      <c r="C5777" s="3" t="s">
        <v>3</v>
      </c>
    </row>
    <row r="5778" spans="1:3" ht="13.5" thickBot="1" x14ac:dyDescent="0.25">
      <c r="A5778" s="3">
        <v>5170</v>
      </c>
      <c r="B5778" s="28"/>
      <c r="C5778" s="3" t="s">
        <v>7</v>
      </c>
    </row>
    <row r="5779" spans="1:3" ht="13.5" thickBot="1" x14ac:dyDescent="0.25">
      <c r="A5779" s="3">
        <v>3636</v>
      </c>
      <c r="B5779" s="28"/>
      <c r="C5779" s="3" t="s">
        <v>3</v>
      </c>
    </row>
    <row r="5780" spans="1:3" ht="13.5" thickBot="1" x14ac:dyDescent="0.25">
      <c r="A5780" s="3">
        <v>6146</v>
      </c>
      <c r="B5780" s="28"/>
      <c r="C5780" s="3" t="s">
        <v>3</v>
      </c>
    </row>
    <row r="5781" spans="1:3" ht="13.5" thickBot="1" x14ac:dyDescent="0.25">
      <c r="A5781" s="3">
        <v>52</v>
      </c>
      <c r="B5781" s="28"/>
      <c r="C5781" s="3" t="s">
        <v>3</v>
      </c>
    </row>
    <row r="5782" spans="1:3" ht="13.5" thickBot="1" x14ac:dyDescent="0.25">
      <c r="A5782" s="3">
        <v>2658</v>
      </c>
      <c r="B5782" s="28"/>
      <c r="C5782" s="3" t="s">
        <v>4</v>
      </c>
    </row>
    <row r="5783" spans="1:3" ht="13.5" thickBot="1" x14ac:dyDescent="0.25">
      <c r="A5783" s="3">
        <v>7817</v>
      </c>
      <c r="B5783" s="28"/>
      <c r="C5783" s="3" t="s">
        <v>6</v>
      </c>
    </row>
    <row r="5784" spans="1:3" ht="13.5" thickBot="1" x14ac:dyDescent="0.25">
      <c r="A5784" s="3">
        <v>4714</v>
      </c>
      <c r="B5784" s="28"/>
      <c r="C5784" s="3" t="s">
        <v>3</v>
      </c>
    </row>
    <row r="5785" spans="1:3" ht="13.5" thickBot="1" x14ac:dyDescent="0.25">
      <c r="A5785" s="3">
        <v>7483</v>
      </c>
      <c r="B5785" s="28"/>
      <c r="C5785" s="3" t="s">
        <v>3</v>
      </c>
    </row>
    <row r="5786" spans="1:3" ht="13.5" thickBot="1" x14ac:dyDescent="0.25">
      <c r="A5786" s="3">
        <v>4025</v>
      </c>
      <c r="B5786" s="28"/>
      <c r="C5786" s="3" t="s">
        <v>7</v>
      </c>
    </row>
    <row r="5787" spans="1:3" ht="13.5" thickBot="1" x14ac:dyDescent="0.25">
      <c r="A5787" s="3">
        <v>7992</v>
      </c>
      <c r="B5787" s="28"/>
      <c r="C5787" s="3" t="s">
        <v>3</v>
      </c>
    </row>
    <row r="5788" spans="1:3" ht="13.5" thickBot="1" x14ac:dyDescent="0.25">
      <c r="A5788" s="3">
        <v>6989</v>
      </c>
      <c r="B5788" s="28"/>
      <c r="C5788" s="3" t="s">
        <v>7</v>
      </c>
    </row>
    <row r="5789" spans="1:3" ht="13.5" thickBot="1" x14ac:dyDescent="0.25">
      <c r="A5789" s="3">
        <v>5776</v>
      </c>
      <c r="B5789" s="28"/>
      <c r="C5789" s="3" t="s">
        <v>3</v>
      </c>
    </row>
    <row r="5790" spans="1:3" ht="13.5" thickBot="1" x14ac:dyDescent="0.25">
      <c r="A5790" s="3">
        <v>2583</v>
      </c>
      <c r="B5790" s="28"/>
      <c r="C5790" s="3" t="s">
        <v>3</v>
      </c>
    </row>
    <row r="5791" spans="1:3" ht="13.5" thickBot="1" x14ac:dyDescent="0.25">
      <c r="A5791" s="3">
        <v>1145</v>
      </c>
      <c r="B5791" s="28"/>
      <c r="C5791" s="3" t="s">
        <v>4</v>
      </c>
    </row>
    <row r="5792" spans="1:3" ht="13.5" thickBot="1" x14ac:dyDescent="0.25">
      <c r="A5792" s="3">
        <v>857</v>
      </c>
      <c r="B5792" s="28"/>
      <c r="C5792" s="3" t="s">
        <v>6</v>
      </c>
    </row>
    <row r="5793" spans="1:3" ht="13.5" thickBot="1" x14ac:dyDescent="0.25">
      <c r="A5793" s="3">
        <v>6038</v>
      </c>
      <c r="B5793" s="28"/>
      <c r="C5793" s="3" t="s">
        <v>7</v>
      </c>
    </row>
    <row r="5794" spans="1:3" ht="13.5" thickBot="1" x14ac:dyDescent="0.25">
      <c r="A5794" s="3">
        <v>39</v>
      </c>
      <c r="B5794" s="28"/>
      <c r="C5794" s="3" t="s">
        <v>4</v>
      </c>
    </row>
    <row r="5795" spans="1:3" ht="13.5" thickBot="1" x14ac:dyDescent="0.25">
      <c r="A5795" s="3">
        <v>1659</v>
      </c>
      <c r="B5795" s="28"/>
      <c r="C5795" s="3" t="s">
        <v>4</v>
      </c>
    </row>
    <row r="5796" spans="1:3" ht="13.5" thickBot="1" x14ac:dyDescent="0.25">
      <c r="A5796" s="3">
        <v>7907</v>
      </c>
      <c r="B5796" s="28"/>
      <c r="C5796" s="3" t="s">
        <v>6</v>
      </c>
    </row>
    <row r="5797" spans="1:3" ht="13.5" thickBot="1" x14ac:dyDescent="0.25">
      <c r="A5797" s="3">
        <v>2856</v>
      </c>
      <c r="B5797" s="28"/>
      <c r="C5797" s="3" t="s">
        <v>3</v>
      </c>
    </row>
    <row r="5798" spans="1:3" ht="13.5" thickBot="1" x14ac:dyDescent="0.25">
      <c r="A5798" s="3">
        <v>6826</v>
      </c>
      <c r="B5798" s="28"/>
      <c r="C5798" s="3" t="s">
        <v>3</v>
      </c>
    </row>
    <row r="5799" spans="1:3" ht="13.5" thickBot="1" x14ac:dyDescent="0.25">
      <c r="A5799" s="3">
        <v>6706</v>
      </c>
      <c r="B5799" s="28"/>
      <c r="C5799" s="3" t="s">
        <v>3</v>
      </c>
    </row>
    <row r="5800" spans="1:3" ht="13.5" thickBot="1" x14ac:dyDescent="0.25">
      <c r="A5800" s="3">
        <v>4230</v>
      </c>
      <c r="B5800" s="28"/>
      <c r="C5800" s="3" t="s">
        <v>6</v>
      </c>
    </row>
    <row r="5801" spans="1:3" ht="13.5" thickBot="1" x14ac:dyDescent="0.25">
      <c r="A5801" s="3">
        <v>1194</v>
      </c>
      <c r="B5801" s="28"/>
      <c r="C5801" s="3" t="s">
        <v>5</v>
      </c>
    </row>
    <row r="5802" spans="1:3" ht="13.5" thickBot="1" x14ac:dyDescent="0.25">
      <c r="A5802" s="3">
        <v>6124</v>
      </c>
      <c r="B5802" s="28"/>
      <c r="C5802" s="3" t="s">
        <v>7</v>
      </c>
    </row>
    <row r="5803" spans="1:3" ht="13.5" thickBot="1" x14ac:dyDescent="0.25">
      <c r="A5803" s="3">
        <v>2771</v>
      </c>
      <c r="B5803" s="28"/>
      <c r="C5803" s="3" t="s">
        <v>3</v>
      </c>
    </row>
    <row r="5804" spans="1:3" ht="13.5" thickBot="1" x14ac:dyDescent="0.25">
      <c r="A5804" s="3">
        <v>2695</v>
      </c>
      <c r="B5804" s="28"/>
      <c r="C5804" s="3" t="s">
        <v>3</v>
      </c>
    </row>
    <row r="5805" spans="1:3" ht="13.5" thickBot="1" x14ac:dyDescent="0.25">
      <c r="A5805" s="3">
        <v>3256</v>
      </c>
      <c r="B5805" s="28"/>
      <c r="C5805" s="3" t="s">
        <v>3</v>
      </c>
    </row>
    <row r="5806" spans="1:3" ht="13.5" thickBot="1" x14ac:dyDescent="0.25">
      <c r="A5806" s="3">
        <v>1516</v>
      </c>
      <c r="B5806" s="28"/>
      <c r="C5806" s="3" t="s">
        <v>3</v>
      </c>
    </row>
    <row r="5807" spans="1:3" ht="13.5" thickBot="1" x14ac:dyDescent="0.25">
      <c r="A5807" s="3">
        <v>5897</v>
      </c>
      <c r="B5807" s="28"/>
      <c r="C5807" s="3" t="s">
        <v>4</v>
      </c>
    </row>
    <row r="5808" spans="1:3" ht="13.5" thickBot="1" x14ac:dyDescent="0.25">
      <c r="A5808" s="3">
        <v>7615</v>
      </c>
      <c r="B5808" s="28"/>
      <c r="C5808" s="3" t="s">
        <v>4</v>
      </c>
    </row>
    <row r="5809" spans="1:3" ht="13.5" thickBot="1" x14ac:dyDescent="0.25">
      <c r="A5809" s="3">
        <v>5609</v>
      </c>
      <c r="B5809" s="28"/>
      <c r="C5809" s="3" t="s">
        <v>3</v>
      </c>
    </row>
    <row r="5810" spans="1:3" ht="13.5" thickBot="1" x14ac:dyDescent="0.25">
      <c r="A5810" s="3">
        <v>5822</v>
      </c>
      <c r="B5810" s="28"/>
      <c r="C5810" s="3" t="s">
        <v>5</v>
      </c>
    </row>
    <row r="5811" spans="1:3" ht="13.5" thickBot="1" x14ac:dyDescent="0.25">
      <c r="A5811" s="3">
        <v>1920</v>
      </c>
      <c r="B5811" s="28"/>
      <c r="C5811" s="3" t="s">
        <v>7</v>
      </c>
    </row>
    <row r="5812" spans="1:3" ht="13.5" thickBot="1" x14ac:dyDescent="0.25">
      <c r="A5812" s="3">
        <v>6038</v>
      </c>
      <c r="B5812" s="28"/>
      <c r="C5812" s="3" t="s">
        <v>6</v>
      </c>
    </row>
    <row r="5813" spans="1:3" ht="13.5" thickBot="1" x14ac:dyDescent="0.25">
      <c r="A5813" s="3">
        <v>5786</v>
      </c>
      <c r="B5813" s="28"/>
      <c r="C5813" s="3" t="s">
        <v>3</v>
      </c>
    </row>
    <row r="5814" spans="1:3" ht="13.5" thickBot="1" x14ac:dyDescent="0.25">
      <c r="A5814" s="3">
        <v>439</v>
      </c>
      <c r="B5814" s="28"/>
      <c r="C5814" s="3" t="s">
        <v>3</v>
      </c>
    </row>
    <row r="5815" spans="1:3" ht="13.5" thickBot="1" x14ac:dyDescent="0.25">
      <c r="A5815" s="3">
        <v>4450</v>
      </c>
      <c r="B5815" s="28"/>
      <c r="C5815" s="3" t="s">
        <v>4</v>
      </c>
    </row>
    <row r="5816" spans="1:3" ht="13.5" thickBot="1" x14ac:dyDescent="0.25">
      <c r="A5816" s="3">
        <v>2771</v>
      </c>
      <c r="B5816" s="28"/>
      <c r="C5816" s="3" t="s">
        <v>7</v>
      </c>
    </row>
    <row r="5817" spans="1:3" ht="13.5" thickBot="1" x14ac:dyDescent="0.25">
      <c r="A5817" s="3">
        <v>1055</v>
      </c>
      <c r="B5817" s="28"/>
      <c r="C5817" s="3" t="s">
        <v>3</v>
      </c>
    </row>
    <row r="5818" spans="1:3" ht="13.5" thickBot="1" x14ac:dyDescent="0.25">
      <c r="A5818" s="3">
        <v>2578</v>
      </c>
      <c r="B5818" s="28"/>
      <c r="C5818" s="3" t="s">
        <v>6</v>
      </c>
    </row>
    <row r="5819" spans="1:3" ht="13.5" thickBot="1" x14ac:dyDescent="0.25">
      <c r="A5819" s="3">
        <v>6826</v>
      </c>
      <c r="B5819" s="28"/>
      <c r="C5819" s="3" t="s">
        <v>4</v>
      </c>
    </row>
    <row r="5820" spans="1:3" ht="13.5" thickBot="1" x14ac:dyDescent="0.25">
      <c r="A5820" s="3">
        <v>6084</v>
      </c>
      <c r="B5820" s="28"/>
      <c r="C5820" s="3" t="s">
        <v>3</v>
      </c>
    </row>
    <row r="5821" spans="1:3" ht="13.5" thickBot="1" x14ac:dyDescent="0.25">
      <c r="A5821" s="3">
        <v>5019</v>
      </c>
      <c r="B5821" s="28"/>
      <c r="C5821" s="3" t="s">
        <v>6</v>
      </c>
    </row>
    <row r="5822" spans="1:3" ht="13.5" thickBot="1" x14ac:dyDescent="0.25">
      <c r="A5822" s="3">
        <v>1437</v>
      </c>
      <c r="B5822" s="28"/>
      <c r="C5822" s="3" t="s">
        <v>3</v>
      </c>
    </row>
    <row r="5823" spans="1:3" ht="13.5" thickBot="1" x14ac:dyDescent="0.25">
      <c r="A5823" s="3">
        <v>6576</v>
      </c>
      <c r="B5823" s="28"/>
      <c r="C5823" s="3" t="s">
        <v>3</v>
      </c>
    </row>
    <row r="5824" spans="1:3" ht="13.5" thickBot="1" x14ac:dyDescent="0.25">
      <c r="A5824" s="3">
        <v>550</v>
      </c>
      <c r="B5824" s="28"/>
      <c r="C5824" s="3" t="s">
        <v>7</v>
      </c>
    </row>
    <row r="5825" spans="1:3" ht="13.5" thickBot="1" x14ac:dyDescent="0.25">
      <c r="A5825" s="3">
        <v>2847</v>
      </c>
      <c r="B5825" s="28"/>
      <c r="C5825" s="3" t="s">
        <v>3</v>
      </c>
    </row>
    <row r="5826" spans="1:3" ht="13.5" thickBot="1" x14ac:dyDescent="0.25">
      <c r="A5826" s="3">
        <v>5093</v>
      </c>
      <c r="B5826" s="28"/>
      <c r="C5826" s="3" t="s">
        <v>3</v>
      </c>
    </row>
    <row r="5827" spans="1:3" ht="13.5" thickBot="1" x14ac:dyDescent="0.25">
      <c r="A5827" s="3">
        <v>4558</v>
      </c>
      <c r="B5827" s="28"/>
      <c r="C5827" s="3" t="s">
        <v>3</v>
      </c>
    </row>
    <row r="5828" spans="1:3" ht="13.5" thickBot="1" x14ac:dyDescent="0.25">
      <c r="A5828" s="3">
        <v>606</v>
      </c>
      <c r="B5828" s="28"/>
      <c r="C5828" s="3" t="s">
        <v>3</v>
      </c>
    </row>
    <row r="5829" spans="1:3" ht="13.5" thickBot="1" x14ac:dyDescent="0.25">
      <c r="A5829" s="3">
        <v>1795</v>
      </c>
      <c r="B5829" s="28"/>
      <c r="C5829" s="3" t="s">
        <v>3</v>
      </c>
    </row>
    <row r="5830" spans="1:3" ht="13.5" thickBot="1" x14ac:dyDescent="0.25">
      <c r="A5830" s="3">
        <v>1560</v>
      </c>
      <c r="B5830" s="28"/>
      <c r="C5830" s="3" t="s">
        <v>3</v>
      </c>
    </row>
    <row r="5831" spans="1:3" ht="13.5" thickBot="1" x14ac:dyDescent="0.25">
      <c r="A5831" s="3">
        <v>6147</v>
      </c>
      <c r="B5831" s="28"/>
      <c r="C5831" s="3" t="s">
        <v>3</v>
      </c>
    </row>
    <row r="5832" spans="1:3" ht="13.5" thickBot="1" x14ac:dyDescent="0.25">
      <c r="A5832" s="3">
        <v>7146</v>
      </c>
      <c r="B5832" s="28"/>
      <c r="C5832" s="3" t="s">
        <v>6</v>
      </c>
    </row>
    <row r="5833" spans="1:3" ht="13.5" thickBot="1" x14ac:dyDescent="0.25">
      <c r="A5833" s="3">
        <v>1235</v>
      </c>
      <c r="B5833" s="28"/>
      <c r="C5833" s="3" t="s">
        <v>3</v>
      </c>
    </row>
    <row r="5834" spans="1:3" ht="13.5" thickBot="1" x14ac:dyDescent="0.25">
      <c r="A5834" s="3">
        <v>5472</v>
      </c>
      <c r="B5834" s="28"/>
      <c r="C5834" s="3" t="s">
        <v>6</v>
      </c>
    </row>
    <row r="5835" spans="1:3" ht="13.5" thickBot="1" x14ac:dyDescent="0.25">
      <c r="A5835" s="3">
        <v>2771</v>
      </c>
      <c r="B5835" s="28"/>
      <c r="C5835" s="3" t="s">
        <v>4</v>
      </c>
    </row>
    <row r="5836" spans="1:3" ht="13.5" thickBot="1" x14ac:dyDescent="0.25">
      <c r="A5836" s="3">
        <v>1053</v>
      </c>
      <c r="B5836" s="28"/>
      <c r="C5836" s="3" t="s">
        <v>3</v>
      </c>
    </row>
    <row r="5837" spans="1:3" ht="13.5" thickBot="1" x14ac:dyDescent="0.25">
      <c r="A5837" s="3">
        <v>934</v>
      </c>
      <c r="B5837" s="28"/>
      <c r="C5837" s="3" t="s">
        <v>3</v>
      </c>
    </row>
    <row r="5838" spans="1:3" ht="13.5" thickBot="1" x14ac:dyDescent="0.25">
      <c r="A5838" s="3">
        <v>3308</v>
      </c>
      <c r="B5838" s="28"/>
      <c r="C5838" s="3" t="s">
        <v>6</v>
      </c>
    </row>
    <row r="5839" spans="1:3" ht="13.5" thickBot="1" x14ac:dyDescent="0.25">
      <c r="A5839" s="3">
        <v>4968</v>
      </c>
      <c r="B5839" s="28"/>
      <c r="C5839" s="3" t="s">
        <v>3</v>
      </c>
    </row>
    <row r="5840" spans="1:3" ht="13.5" thickBot="1" x14ac:dyDescent="0.25">
      <c r="A5840" s="3">
        <v>5149</v>
      </c>
      <c r="B5840" s="28"/>
      <c r="C5840" s="3" t="s">
        <v>3</v>
      </c>
    </row>
    <row r="5841" spans="1:3" ht="13.5" thickBot="1" x14ac:dyDescent="0.25">
      <c r="A5841" s="3">
        <v>2580</v>
      </c>
      <c r="B5841" s="28"/>
      <c r="C5841" s="3" t="s">
        <v>3</v>
      </c>
    </row>
    <row r="5842" spans="1:3" ht="13.5" thickBot="1" x14ac:dyDescent="0.25">
      <c r="A5842" s="3">
        <v>266</v>
      </c>
      <c r="B5842" s="28"/>
      <c r="C5842" s="3" t="s">
        <v>3</v>
      </c>
    </row>
    <row r="5843" spans="1:3" ht="13.5" thickBot="1" x14ac:dyDescent="0.25">
      <c r="A5843" s="3">
        <v>5628</v>
      </c>
      <c r="B5843" s="28"/>
      <c r="C5843" s="3" t="s">
        <v>6</v>
      </c>
    </row>
    <row r="5844" spans="1:3" ht="13.5" thickBot="1" x14ac:dyDescent="0.25">
      <c r="A5844" s="3">
        <v>223</v>
      </c>
      <c r="B5844" s="28"/>
      <c r="C5844" s="3" t="s">
        <v>3</v>
      </c>
    </row>
    <row r="5845" spans="1:3" ht="13.5" thickBot="1" x14ac:dyDescent="0.25">
      <c r="A5845" s="3">
        <v>2783</v>
      </c>
      <c r="B5845" s="28"/>
      <c r="C5845" s="3" t="s">
        <v>3</v>
      </c>
    </row>
    <row r="5846" spans="1:3" ht="13.5" thickBot="1" x14ac:dyDescent="0.25">
      <c r="A5846" s="3">
        <v>2784</v>
      </c>
      <c r="B5846" s="28"/>
      <c r="C5846" s="3" t="s">
        <v>3</v>
      </c>
    </row>
    <row r="5847" spans="1:3" ht="13.5" thickBot="1" x14ac:dyDescent="0.25">
      <c r="A5847" s="3">
        <v>7535</v>
      </c>
      <c r="B5847" s="28"/>
      <c r="C5847" s="3" t="s">
        <v>7</v>
      </c>
    </row>
    <row r="5848" spans="1:3" ht="13.5" thickBot="1" x14ac:dyDescent="0.25">
      <c r="A5848" s="3">
        <v>1745</v>
      </c>
      <c r="B5848" s="28"/>
      <c r="C5848" s="3" t="s">
        <v>7</v>
      </c>
    </row>
    <row r="5849" spans="1:3" ht="13.5" thickBot="1" x14ac:dyDescent="0.25">
      <c r="A5849" s="3">
        <v>223</v>
      </c>
      <c r="B5849" s="28"/>
      <c r="C5849" s="3" t="s">
        <v>4</v>
      </c>
    </row>
    <row r="5850" spans="1:3" ht="13.5" thickBot="1" x14ac:dyDescent="0.25">
      <c r="A5850" s="3">
        <v>4422</v>
      </c>
      <c r="B5850" s="28"/>
      <c r="C5850" s="3" t="s">
        <v>5</v>
      </c>
    </row>
    <row r="5851" spans="1:3" ht="13.5" thickBot="1" x14ac:dyDescent="0.25">
      <c r="A5851" s="3">
        <v>1745</v>
      </c>
      <c r="B5851" s="28"/>
      <c r="C5851" s="3" t="s">
        <v>6</v>
      </c>
    </row>
    <row r="5852" spans="1:3" ht="13.5" thickBot="1" x14ac:dyDescent="0.25">
      <c r="A5852" s="3">
        <v>1633</v>
      </c>
      <c r="B5852" s="28"/>
      <c r="C5852" s="3" t="s">
        <v>3</v>
      </c>
    </row>
    <row r="5853" spans="1:3" ht="13.5" thickBot="1" x14ac:dyDescent="0.25">
      <c r="A5853" s="3">
        <v>3961</v>
      </c>
      <c r="B5853" s="28"/>
      <c r="C5853" s="3" t="s">
        <v>6</v>
      </c>
    </row>
    <row r="5854" spans="1:3" ht="13.5" thickBot="1" x14ac:dyDescent="0.25">
      <c r="A5854" s="3">
        <v>335</v>
      </c>
      <c r="B5854" s="28"/>
      <c r="C5854" s="3" t="s">
        <v>3</v>
      </c>
    </row>
    <row r="5855" spans="1:3" ht="13.5" thickBot="1" x14ac:dyDescent="0.25">
      <c r="A5855" s="3">
        <v>5687</v>
      </c>
      <c r="B5855" s="28"/>
      <c r="C5855" s="3" t="s">
        <v>7</v>
      </c>
    </row>
    <row r="5856" spans="1:3" ht="13.5" thickBot="1" x14ac:dyDescent="0.25">
      <c r="A5856" s="3">
        <v>857</v>
      </c>
      <c r="B5856" s="28"/>
      <c r="C5856" s="3" t="s">
        <v>7</v>
      </c>
    </row>
    <row r="5857" spans="1:3" ht="13.5" thickBot="1" x14ac:dyDescent="0.25">
      <c r="A5857" s="3">
        <v>6290</v>
      </c>
      <c r="B5857" s="28"/>
      <c r="C5857" s="3" t="s">
        <v>6</v>
      </c>
    </row>
    <row r="5858" spans="1:3" ht="13.5" thickBot="1" x14ac:dyDescent="0.25">
      <c r="A5858" s="3">
        <v>7410</v>
      </c>
      <c r="B5858" s="28"/>
      <c r="C5858" s="3" t="s">
        <v>3</v>
      </c>
    </row>
    <row r="5859" spans="1:3" ht="13.5" thickBot="1" x14ac:dyDescent="0.25">
      <c r="A5859" s="3">
        <v>1053</v>
      </c>
      <c r="B5859" s="28"/>
      <c r="C5859" s="3" t="s">
        <v>4</v>
      </c>
    </row>
    <row r="5860" spans="1:3" ht="13.5" thickBot="1" x14ac:dyDescent="0.25">
      <c r="A5860" s="3">
        <v>1785</v>
      </c>
      <c r="B5860" s="28"/>
      <c r="C5860" s="3" t="s">
        <v>3</v>
      </c>
    </row>
    <row r="5861" spans="1:3" ht="13.5" thickBot="1" x14ac:dyDescent="0.25">
      <c r="A5861" s="3">
        <v>1927</v>
      </c>
      <c r="B5861" s="28"/>
      <c r="C5861" s="3" t="s">
        <v>5</v>
      </c>
    </row>
    <row r="5862" spans="1:3" ht="13.5" thickBot="1" x14ac:dyDescent="0.25">
      <c r="A5862" s="3">
        <v>4914</v>
      </c>
      <c r="B5862" s="28"/>
      <c r="C5862" s="3" t="s">
        <v>7</v>
      </c>
    </row>
    <row r="5863" spans="1:3" ht="13.5" thickBot="1" x14ac:dyDescent="0.25">
      <c r="A5863" s="3">
        <v>5170</v>
      </c>
      <c r="B5863" s="28"/>
      <c r="C5863" s="3" t="s">
        <v>5</v>
      </c>
    </row>
    <row r="5864" spans="1:3" ht="13.5" thickBot="1" x14ac:dyDescent="0.25">
      <c r="A5864" s="3">
        <v>6147</v>
      </c>
      <c r="B5864" s="28"/>
      <c r="C5864" s="3" t="s">
        <v>4</v>
      </c>
    </row>
    <row r="5865" spans="1:3" ht="13.5" thickBot="1" x14ac:dyDescent="0.25">
      <c r="A5865" s="3">
        <v>4450</v>
      </c>
      <c r="B5865" s="28"/>
      <c r="C5865" s="3" t="s">
        <v>3</v>
      </c>
    </row>
    <row r="5866" spans="1:3" ht="13.5" thickBot="1" x14ac:dyDescent="0.25">
      <c r="A5866" s="3">
        <v>5671</v>
      </c>
      <c r="B5866" s="28"/>
      <c r="C5866" s="3" t="s">
        <v>3</v>
      </c>
    </row>
    <row r="5867" spans="1:3" ht="13.5" thickBot="1" x14ac:dyDescent="0.25">
      <c r="A5867" s="3">
        <v>3986</v>
      </c>
      <c r="B5867" s="28"/>
      <c r="C5867" s="3" t="s">
        <v>6</v>
      </c>
    </row>
    <row r="5868" spans="1:3" ht="13.5" thickBot="1" x14ac:dyDescent="0.25">
      <c r="A5868" s="3">
        <v>5001</v>
      </c>
      <c r="B5868" s="28"/>
      <c r="C5868" s="3" t="s">
        <v>3</v>
      </c>
    </row>
    <row r="5869" spans="1:3" ht="13.5" thickBot="1" x14ac:dyDescent="0.25">
      <c r="A5869" s="3">
        <v>6989</v>
      </c>
      <c r="B5869" s="28"/>
      <c r="C5869" s="3" t="s">
        <v>4</v>
      </c>
    </row>
    <row r="5870" spans="1:3" ht="13.5" thickBot="1" x14ac:dyDescent="0.25">
      <c r="A5870" s="3">
        <v>1076</v>
      </c>
      <c r="B5870" s="28"/>
      <c r="C5870" s="3" t="s">
        <v>7</v>
      </c>
    </row>
    <row r="5871" spans="1:3" ht="13.5" thickBot="1" x14ac:dyDescent="0.25">
      <c r="A5871" s="3">
        <v>7483</v>
      </c>
      <c r="B5871" s="28"/>
      <c r="C5871" s="3" t="s">
        <v>4</v>
      </c>
    </row>
    <row r="5872" spans="1:3" ht="13.5" thickBot="1" x14ac:dyDescent="0.25">
      <c r="A5872" s="3">
        <v>4661</v>
      </c>
      <c r="B5872" s="28"/>
      <c r="C5872" s="3" t="s">
        <v>7</v>
      </c>
    </row>
    <row r="5873" spans="1:3" ht="13.5" thickBot="1" x14ac:dyDescent="0.25">
      <c r="A5873" s="3">
        <v>711</v>
      </c>
      <c r="B5873" s="28"/>
      <c r="C5873" s="3" t="s">
        <v>5</v>
      </c>
    </row>
    <row r="5874" spans="1:3" ht="13.5" thickBot="1" x14ac:dyDescent="0.25">
      <c r="A5874" s="3">
        <v>7066</v>
      </c>
      <c r="B5874" s="28"/>
      <c r="C5874" s="3" t="s">
        <v>6</v>
      </c>
    </row>
    <row r="5875" spans="1:3" ht="13.5" thickBot="1" x14ac:dyDescent="0.25">
      <c r="A5875" s="3">
        <v>6686</v>
      </c>
      <c r="B5875" s="28"/>
      <c r="C5875" s="3" t="s">
        <v>3</v>
      </c>
    </row>
    <row r="5876" spans="1:3" ht="13.5" thickBot="1" x14ac:dyDescent="0.25">
      <c r="A5876" s="3">
        <v>5517</v>
      </c>
      <c r="B5876" s="28"/>
      <c r="C5876" s="3" t="s">
        <v>5</v>
      </c>
    </row>
    <row r="5877" spans="1:3" ht="13.5" thickBot="1" x14ac:dyDescent="0.25">
      <c r="A5877" s="3">
        <v>4968</v>
      </c>
      <c r="B5877" s="28"/>
      <c r="C5877" s="3" t="s">
        <v>4</v>
      </c>
    </row>
    <row r="5878" spans="1:3" ht="13.5" thickBot="1" x14ac:dyDescent="0.25">
      <c r="A5878" s="3">
        <v>5776</v>
      </c>
      <c r="B5878" s="28"/>
      <c r="C5878" s="3" t="s">
        <v>6</v>
      </c>
    </row>
    <row r="5879" spans="1:3" ht="13.5" thickBot="1" x14ac:dyDescent="0.25">
      <c r="A5879" s="3">
        <v>6290</v>
      </c>
      <c r="B5879" s="28"/>
      <c r="C5879" s="3" t="s">
        <v>4</v>
      </c>
    </row>
    <row r="5880" spans="1:3" ht="13.5" thickBot="1" x14ac:dyDescent="0.25">
      <c r="A5880" s="3">
        <v>5689</v>
      </c>
      <c r="B5880" s="28"/>
      <c r="C5880" s="3" t="s">
        <v>6</v>
      </c>
    </row>
    <row r="5881" spans="1:3" ht="13.5" thickBot="1" x14ac:dyDescent="0.25">
      <c r="A5881" s="3">
        <v>3640</v>
      </c>
      <c r="B5881" s="28"/>
      <c r="C5881" s="3" t="s">
        <v>3</v>
      </c>
    </row>
    <row r="5882" spans="1:3" ht="13.5" thickBot="1" x14ac:dyDescent="0.25">
      <c r="A5882" s="3">
        <v>7037</v>
      </c>
      <c r="B5882" s="28"/>
      <c r="C5882" s="3" t="s">
        <v>4</v>
      </c>
    </row>
    <row r="5883" spans="1:3" ht="13.5" thickBot="1" x14ac:dyDescent="0.25">
      <c r="A5883" s="3">
        <v>3992</v>
      </c>
      <c r="B5883" s="28"/>
      <c r="C5883" s="3" t="s">
        <v>4</v>
      </c>
    </row>
    <row r="5884" spans="1:3" ht="13.5" thickBot="1" x14ac:dyDescent="0.25">
      <c r="A5884" s="3">
        <v>4283</v>
      </c>
      <c r="B5884" s="28"/>
      <c r="C5884" s="3" t="s">
        <v>3</v>
      </c>
    </row>
    <row r="5885" spans="1:3" ht="13.5" thickBot="1" x14ac:dyDescent="0.25">
      <c r="A5885" s="3">
        <v>4558</v>
      </c>
      <c r="B5885" s="28"/>
      <c r="C5885" s="3" t="s">
        <v>4</v>
      </c>
    </row>
    <row r="5886" spans="1:3" ht="13.5" thickBot="1" x14ac:dyDescent="0.25">
      <c r="A5886" s="3">
        <v>726</v>
      </c>
      <c r="B5886" s="28"/>
      <c r="C5886" s="3" t="s">
        <v>3</v>
      </c>
    </row>
    <row r="5887" spans="1:3" ht="13.5" thickBot="1" x14ac:dyDescent="0.25">
      <c r="A5887" s="3">
        <v>3271</v>
      </c>
      <c r="B5887" s="28"/>
      <c r="C5887" s="3" t="s">
        <v>3</v>
      </c>
    </row>
    <row r="5888" spans="1:3" ht="13.5" thickBot="1" x14ac:dyDescent="0.25">
      <c r="A5888" s="3">
        <v>6124</v>
      </c>
      <c r="B5888" s="28"/>
      <c r="C5888" s="3" t="s">
        <v>6</v>
      </c>
    </row>
    <row r="5889" spans="1:3" ht="13.5" thickBot="1" x14ac:dyDescent="0.25">
      <c r="A5889" s="3">
        <v>4914</v>
      </c>
      <c r="B5889" s="28"/>
      <c r="C5889" s="3" t="s">
        <v>6</v>
      </c>
    </row>
    <row r="5890" spans="1:3" ht="13.5" thickBot="1" x14ac:dyDescent="0.25">
      <c r="A5890" s="3">
        <v>7377</v>
      </c>
      <c r="B5890" s="28"/>
      <c r="C5890" s="3" t="s">
        <v>7</v>
      </c>
    </row>
    <row r="5891" spans="1:3" ht="13.5" thickBot="1" x14ac:dyDescent="0.25">
      <c r="A5891" s="3">
        <v>6045</v>
      </c>
      <c r="B5891" s="28"/>
      <c r="C5891" s="3" t="s">
        <v>3</v>
      </c>
    </row>
    <row r="5892" spans="1:3" ht="13.5" thickBot="1" x14ac:dyDescent="0.25">
      <c r="A5892" s="3">
        <v>7863</v>
      </c>
      <c r="B5892" s="28"/>
      <c r="C5892" s="3" t="s">
        <v>7</v>
      </c>
    </row>
    <row r="5893" spans="1:3" ht="13.5" thickBot="1" x14ac:dyDescent="0.25">
      <c r="A5893" s="3">
        <v>6826</v>
      </c>
      <c r="B5893" s="28"/>
      <c r="C5893" s="3" t="s">
        <v>5</v>
      </c>
    </row>
    <row r="5894" spans="1:3" ht="13.5" thickBot="1" x14ac:dyDescent="0.25">
      <c r="A5894" s="3">
        <v>870</v>
      </c>
      <c r="B5894" s="28"/>
      <c r="C5894" s="3" t="s">
        <v>3</v>
      </c>
    </row>
    <row r="5895" spans="1:3" ht="13.5" thickBot="1" x14ac:dyDescent="0.25">
      <c r="A5895" s="3">
        <v>1471</v>
      </c>
      <c r="B5895" s="28"/>
      <c r="C5895" s="3" t="s">
        <v>4</v>
      </c>
    </row>
    <row r="5896" spans="1:3" ht="13.5" thickBot="1" x14ac:dyDescent="0.25">
      <c r="A5896" s="3">
        <v>2420</v>
      </c>
      <c r="B5896" s="28"/>
      <c r="C5896" s="3" t="s">
        <v>3</v>
      </c>
    </row>
    <row r="5897" spans="1:3" ht="13.5" thickBot="1" x14ac:dyDescent="0.25">
      <c r="A5897" s="3">
        <v>6559</v>
      </c>
      <c r="B5897" s="28"/>
      <c r="C5897" s="3" t="s">
        <v>3</v>
      </c>
    </row>
    <row r="5898" spans="1:3" ht="13.5" thickBot="1" x14ac:dyDescent="0.25">
      <c r="A5898" s="3">
        <v>7651</v>
      </c>
      <c r="B5898" s="28"/>
      <c r="C5898" s="3" t="s">
        <v>3</v>
      </c>
    </row>
    <row r="5899" spans="1:3" ht="13.5" thickBot="1" x14ac:dyDescent="0.25">
      <c r="A5899" s="3">
        <v>335</v>
      </c>
      <c r="B5899" s="28"/>
      <c r="C5899" s="3" t="s">
        <v>4</v>
      </c>
    </row>
    <row r="5900" spans="1:3" ht="13.5" thickBot="1" x14ac:dyDescent="0.25">
      <c r="A5900" s="3">
        <v>2930</v>
      </c>
      <c r="B5900" s="28"/>
      <c r="C5900" s="3" t="s">
        <v>4</v>
      </c>
    </row>
    <row r="5901" spans="1:3" ht="13.5" thickBot="1" x14ac:dyDescent="0.25">
      <c r="A5901" s="3">
        <v>3159</v>
      </c>
      <c r="B5901" s="28"/>
      <c r="C5901" s="3" t="s">
        <v>3</v>
      </c>
    </row>
    <row r="5902" spans="1:3" ht="13.5" thickBot="1" x14ac:dyDescent="0.25">
      <c r="A5902" s="3">
        <v>52</v>
      </c>
      <c r="B5902" s="28"/>
      <c r="C5902" s="3" t="s">
        <v>4</v>
      </c>
    </row>
    <row r="5903" spans="1:3" ht="13.5" thickBot="1" x14ac:dyDescent="0.25">
      <c r="A5903" s="3">
        <v>477</v>
      </c>
      <c r="B5903" s="28"/>
      <c r="C5903" s="3" t="s">
        <v>6</v>
      </c>
    </row>
    <row r="5904" spans="1:3" ht="13.5" thickBot="1" x14ac:dyDescent="0.25">
      <c r="A5904" s="3">
        <v>7741</v>
      </c>
      <c r="B5904" s="28"/>
      <c r="C5904" s="3" t="s">
        <v>6</v>
      </c>
    </row>
    <row r="5905" spans="1:3" ht="13.5" thickBot="1" x14ac:dyDescent="0.25">
      <c r="A5905" s="3">
        <v>7342</v>
      </c>
      <c r="B5905" s="28"/>
      <c r="C5905" s="3" t="s">
        <v>6</v>
      </c>
    </row>
    <row r="5906" spans="1:3" ht="13.5" thickBot="1" x14ac:dyDescent="0.25">
      <c r="A5906" s="3">
        <v>4301</v>
      </c>
      <c r="B5906" s="28"/>
      <c r="C5906" s="3" t="s">
        <v>3</v>
      </c>
    </row>
    <row r="5907" spans="1:3" ht="13.5" thickBot="1" x14ac:dyDescent="0.25">
      <c r="A5907" s="3">
        <v>2230</v>
      </c>
      <c r="B5907" s="28"/>
      <c r="C5907" s="3" t="s">
        <v>3</v>
      </c>
    </row>
    <row r="5908" spans="1:3" ht="13.5" thickBot="1" x14ac:dyDescent="0.25">
      <c r="A5908" s="3">
        <v>4612</v>
      </c>
      <c r="B5908" s="28"/>
      <c r="C5908" s="3" t="s">
        <v>3</v>
      </c>
    </row>
    <row r="5909" spans="1:3" ht="13.5" thickBot="1" x14ac:dyDescent="0.25">
      <c r="A5909" s="3">
        <v>7863</v>
      </c>
      <c r="B5909" s="28"/>
      <c r="C5909" s="3" t="s">
        <v>6</v>
      </c>
    </row>
    <row r="5910" spans="1:3" ht="13.5" thickBot="1" x14ac:dyDescent="0.25">
      <c r="A5910" s="3">
        <v>5671</v>
      </c>
      <c r="B5910" s="28"/>
      <c r="C5910" s="3" t="s">
        <v>7</v>
      </c>
    </row>
    <row r="5911" spans="1:3" ht="13.5" thickBot="1" x14ac:dyDescent="0.25">
      <c r="A5911" s="3">
        <v>5897</v>
      </c>
      <c r="B5911" s="28"/>
      <c r="C5911" s="3" t="s">
        <v>5</v>
      </c>
    </row>
    <row r="5912" spans="1:3" ht="13.5" thickBot="1" x14ac:dyDescent="0.25">
      <c r="A5912" s="3">
        <v>2719</v>
      </c>
      <c r="B5912" s="28"/>
      <c r="C5912" s="3" t="s">
        <v>7</v>
      </c>
    </row>
    <row r="5913" spans="1:3" ht="13.5" thickBot="1" x14ac:dyDescent="0.25">
      <c r="A5913" s="3">
        <v>2716</v>
      </c>
      <c r="B5913" s="28"/>
      <c r="C5913" s="3" t="s">
        <v>3</v>
      </c>
    </row>
    <row r="5914" spans="1:3" ht="13.5" thickBot="1" x14ac:dyDescent="0.25">
      <c r="A5914" s="3">
        <v>1324</v>
      </c>
      <c r="B5914" s="28"/>
      <c r="C5914" s="3" t="s">
        <v>3</v>
      </c>
    </row>
    <row r="5915" spans="1:3" ht="13.5" thickBot="1" x14ac:dyDescent="0.25">
      <c r="A5915" s="3">
        <v>6228</v>
      </c>
      <c r="B5915" s="28"/>
      <c r="C5915" s="3" t="s">
        <v>3</v>
      </c>
    </row>
    <row r="5916" spans="1:3" ht="13.5" thickBot="1" x14ac:dyDescent="0.25">
      <c r="A5916" s="3">
        <v>1785</v>
      </c>
      <c r="B5916" s="28"/>
      <c r="C5916" s="3" t="s">
        <v>4</v>
      </c>
    </row>
    <row r="5917" spans="1:3" ht="13.5" thickBot="1" x14ac:dyDescent="0.25">
      <c r="A5917" s="3">
        <v>6537</v>
      </c>
      <c r="B5917" s="28"/>
      <c r="C5917" s="3" t="s">
        <v>6</v>
      </c>
    </row>
    <row r="5918" spans="1:3" ht="13.5" thickBot="1" x14ac:dyDescent="0.25">
      <c r="A5918" s="3">
        <v>1633</v>
      </c>
      <c r="B5918" s="28"/>
      <c r="C5918" s="3" t="s">
        <v>7</v>
      </c>
    </row>
    <row r="5919" spans="1:3" ht="13.5" thickBot="1" x14ac:dyDescent="0.25">
      <c r="A5919" s="3">
        <v>1480</v>
      </c>
      <c r="B5919" s="28"/>
      <c r="C5919" s="3" t="s">
        <v>3</v>
      </c>
    </row>
    <row r="5920" spans="1:3" ht="13.5" thickBot="1" x14ac:dyDescent="0.25">
      <c r="A5920" s="3">
        <v>5822</v>
      </c>
      <c r="B5920" s="28"/>
      <c r="C5920" s="3" t="s">
        <v>4</v>
      </c>
    </row>
    <row r="5921" spans="1:3" ht="13.5" thickBot="1" x14ac:dyDescent="0.25">
      <c r="A5921" s="3">
        <v>5585</v>
      </c>
      <c r="B5921" s="28"/>
      <c r="C5921" s="3" t="s">
        <v>3</v>
      </c>
    </row>
    <row r="5922" spans="1:3" ht="13.5" thickBot="1" x14ac:dyDescent="0.25">
      <c r="A5922" s="3">
        <v>7355</v>
      </c>
      <c r="B5922" s="28"/>
      <c r="C5922" s="3" t="s">
        <v>5</v>
      </c>
    </row>
    <row r="5923" spans="1:3" ht="13.5" thickBot="1" x14ac:dyDescent="0.25">
      <c r="A5923" s="3">
        <v>7168</v>
      </c>
      <c r="B5923" s="28"/>
      <c r="C5923" s="3" t="s">
        <v>3</v>
      </c>
    </row>
    <row r="5924" spans="1:3" ht="13.5" thickBot="1" x14ac:dyDescent="0.25">
      <c r="A5924" s="3">
        <v>1194</v>
      </c>
      <c r="B5924" s="28"/>
      <c r="C5924" s="3" t="s">
        <v>7</v>
      </c>
    </row>
    <row r="5925" spans="1:3" ht="13.5" thickBot="1" x14ac:dyDescent="0.25">
      <c r="A5925" s="3">
        <v>7410</v>
      </c>
      <c r="B5925" s="28"/>
      <c r="C5925" s="3" t="s">
        <v>4</v>
      </c>
    </row>
    <row r="5926" spans="1:3" ht="13.5" thickBot="1" x14ac:dyDescent="0.25">
      <c r="A5926" s="3">
        <v>20</v>
      </c>
      <c r="B5926" s="28"/>
      <c r="C5926" s="3" t="s">
        <v>5</v>
      </c>
    </row>
    <row r="5927" spans="1:3" ht="13.5" thickBot="1" x14ac:dyDescent="0.25">
      <c r="A5927" s="3">
        <v>711</v>
      </c>
      <c r="B5927" s="28"/>
      <c r="C5927" s="3" t="s">
        <v>6</v>
      </c>
    </row>
    <row r="5928" spans="1:3" ht="13.5" thickBot="1" x14ac:dyDescent="0.25">
      <c r="A5928" s="3">
        <v>20</v>
      </c>
      <c r="B5928" s="28"/>
      <c r="C5928" s="3" t="s">
        <v>7</v>
      </c>
    </row>
    <row r="5929" spans="1:3" ht="13.5" thickBot="1" x14ac:dyDescent="0.25">
      <c r="A5929" s="3">
        <v>3875</v>
      </c>
      <c r="B5929" s="28"/>
      <c r="C5929" s="3" t="s">
        <v>3</v>
      </c>
    </row>
    <row r="5930" spans="1:3" ht="13.5" thickBot="1" x14ac:dyDescent="0.25">
      <c r="A5930" s="3">
        <v>3224</v>
      </c>
      <c r="B5930" s="28"/>
      <c r="C5930" s="3" t="s">
        <v>3</v>
      </c>
    </row>
    <row r="5931" spans="1:3" ht="13.5" thickBot="1" x14ac:dyDescent="0.25">
      <c r="A5931" s="3">
        <v>909</v>
      </c>
      <c r="B5931" s="28"/>
      <c r="C5931" s="3" t="s">
        <v>6</v>
      </c>
    </row>
    <row r="5932" spans="1:3" ht="13.5" thickBot="1" x14ac:dyDescent="0.25">
      <c r="A5932" s="3">
        <v>7924</v>
      </c>
      <c r="B5932" s="28"/>
      <c r="C5932" s="3" t="s">
        <v>3</v>
      </c>
    </row>
    <row r="5933" spans="1:3" ht="13.5" thickBot="1" x14ac:dyDescent="0.25">
      <c r="A5933" s="3">
        <v>4271</v>
      </c>
      <c r="B5933" s="28"/>
      <c r="C5933" s="3" t="s">
        <v>3</v>
      </c>
    </row>
    <row r="5934" spans="1:3" ht="13.5" thickBot="1" x14ac:dyDescent="0.25">
      <c r="A5934" s="3">
        <v>6989</v>
      </c>
      <c r="B5934" s="28"/>
      <c r="C5934" s="3" t="s">
        <v>6</v>
      </c>
    </row>
    <row r="5935" spans="1:3" ht="13.5" thickBot="1" x14ac:dyDescent="0.25">
      <c r="A5935" s="3">
        <v>6292</v>
      </c>
      <c r="B5935" s="28"/>
      <c r="C5935" s="3" t="s">
        <v>4</v>
      </c>
    </row>
    <row r="5936" spans="1:3" ht="13.5" thickBot="1" x14ac:dyDescent="0.25">
      <c r="A5936" s="3">
        <v>2930</v>
      </c>
      <c r="B5936" s="28"/>
      <c r="C5936" s="3" t="s">
        <v>3</v>
      </c>
    </row>
    <row r="5937" spans="1:3" ht="13.5" thickBot="1" x14ac:dyDescent="0.25">
      <c r="A5937" s="3">
        <v>5430</v>
      </c>
      <c r="B5937" s="28"/>
      <c r="C5937" s="3" t="s">
        <v>3</v>
      </c>
    </row>
    <row r="5938" spans="1:3" ht="13.5" thickBot="1" x14ac:dyDescent="0.25">
      <c r="A5938" s="3">
        <v>3371</v>
      </c>
      <c r="B5938" s="28"/>
      <c r="C5938" s="3" t="s">
        <v>3</v>
      </c>
    </row>
    <row r="5939" spans="1:3" ht="13.5" thickBot="1" x14ac:dyDescent="0.25">
      <c r="A5939" s="3">
        <v>7070</v>
      </c>
      <c r="B5939" s="28"/>
      <c r="C5939" s="3" t="s">
        <v>3</v>
      </c>
    </row>
    <row r="5940" spans="1:3" ht="13.5" thickBot="1" x14ac:dyDescent="0.25">
      <c r="A5940" s="3">
        <v>2334</v>
      </c>
      <c r="B5940" s="28"/>
      <c r="C5940" s="3" t="s">
        <v>6</v>
      </c>
    </row>
    <row r="5941" spans="1:3" ht="13.5" thickBot="1" x14ac:dyDescent="0.25">
      <c r="A5941" s="3">
        <v>2783</v>
      </c>
      <c r="B5941" s="28"/>
      <c r="C5941" s="3" t="s">
        <v>4</v>
      </c>
    </row>
    <row r="5942" spans="1:3" ht="13.5" thickBot="1" x14ac:dyDescent="0.25">
      <c r="A5942" s="3">
        <v>3034</v>
      </c>
      <c r="B5942" s="28"/>
      <c r="C5942" s="3" t="s">
        <v>3</v>
      </c>
    </row>
    <row r="5943" spans="1:3" ht="13.5" thickBot="1" x14ac:dyDescent="0.25">
      <c r="A5943" s="3">
        <v>6410</v>
      </c>
      <c r="B5943" s="28"/>
      <c r="C5943" s="3" t="s">
        <v>6</v>
      </c>
    </row>
    <row r="5944" spans="1:3" ht="13.5" thickBot="1" x14ac:dyDescent="0.25">
      <c r="A5944" s="3">
        <v>2039</v>
      </c>
      <c r="B5944" s="28"/>
      <c r="C5944" s="3" t="s">
        <v>3</v>
      </c>
    </row>
    <row r="5945" spans="1:3" ht="13.5" thickBot="1" x14ac:dyDescent="0.25">
      <c r="A5945" s="3">
        <v>5093</v>
      </c>
      <c r="B5945" s="28"/>
      <c r="C5945" s="3" t="s">
        <v>4</v>
      </c>
    </row>
    <row r="5946" spans="1:3" ht="13.5" thickBot="1" x14ac:dyDescent="0.25">
      <c r="A5946" s="3">
        <v>477</v>
      </c>
      <c r="B5946" s="28"/>
      <c r="C5946" s="3" t="s">
        <v>5</v>
      </c>
    </row>
    <row r="5947" spans="1:3" ht="13.5" thickBot="1" x14ac:dyDescent="0.25">
      <c r="A5947" s="3">
        <v>4232</v>
      </c>
      <c r="B5947" s="28"/>
      <c r="C5947" s="3" t="s">
        <v>4</v>
      </c>
    </row>
    <row r="5948" spans="1:3" ht="13.5" thickBot="1" x14ac:dyDescent="0.25">
      <c r="A5948" s="3">
        <v>5001</v>
      </c>
      <c r="B5948" s="28"/>
      <c r="C5948" s="3" t="s">
        <v>4</v>
      </c>
    </row>
    <row r="5949" spans="1:3" ht="13.5" thickBot="1" x14ac:dyDescent="0.25">
      <c r="A5949" s="3">
        <v>1471</v>
      </c>
      <c r="B5949" s="28"/>
      <c r="C5949" s="3" t="s">
        <v>3</v>
      </c>
    </row>
    <row r="5950" spans="1:3" ht="13.5" thickBot="1" x14ac:dyDescent="0.25">
      <c r="A5950" s="3">
        <v>6525</v>
      </c>
      <c r="B5950" s="28"/>
      <c r="C5950" s="3" t="s">
        <v>3</v>
      </c>
    </row>
    <row r="5951" spans="1:3" ht="13.5" thickBot="1" x14ac:dyDescent="0.25">
      <c r="A5951" s="3">
        <v>5671</v>
      </c>
      <c r="B5951" s="28"/>
      <c r="C5951" s="3" t="s">
        <v>4</v>
      </c>
    </row>
    <row r="5952" spans="1:3" ht="13.5" thickBot="1" x14ac:dyDescent="0.25">
      <c r="A5952" s="3">
        <v>735</v>
      </c>
      <c r="B5952" s="28"/>
      <c r="C5952" s="3" t="s">
        <v>6</v>
      </c>
    </row>
    <row r="5953" spans="1:3" ht="13.5" thickBot="1" x14ac:dyDescent="0.25">
      <c r="A5953" s="3">
        <v>6907</v>
      </c>
      <c r="B5953" s="28"/>
      <c r="C5953" s="3" t="s">
        <v>7</v>
      </c>
    </row>
    <row r="5954" spans="1:3" ht="13.5" thickBot="1" x14ac:dyDescent="0.25">
      <c r="A5954" s="3">
        <v>6108</v>
      </c>
      <c r="B5954" s="28"/>
      <c r="C5954" s="3" t="s">
        <v>3</v>
      </c>
    </row>
    <row r="5955" spans="1:3" ht="13.5" thickBot="1" x14ac:dyDescent="0.25">
      <c r="A5955" s="3">
        <v>484</v>
      </c>
      <c r="B5955" s="28"/>
      <c r="C5955" s="3" t="s">
        <v>3</v>
      </c>
    </row>
    <row r="5956" spans="1:3" ht="13.5" thickBot="1" x14ac:dyDescent="0.25">
      <c r="A5956" s="3">
        <v>6530</v>
      </c>
      <c r="B5956" s="28"/>
      <c r="C5956" s="3" t="s">
        <v>3</v>
      </c>
    </row>
    <row r="5957" spans="1:3" ht="13.5" thickBot="1" x14ac:dyDescent="0.25">
      <c r="A5957" s="3">
        <v>5822</v>
      </c>
      <c r="B5957" s="28"/>
      <c r="C5957" s="3" t="s">
        <v>6</v>
      </c>
    </row>
    <row r="5958" spans="1:3" ht="13.5" thickBot="1" x14ac:dyDescent="0.25">
      <c r="A5958" s="3">
        <v>6073</v>
      </c>
      <c r="B5958" s="28"/>
      <c r="C5958" s="3" t="s">
        <v>7</v>
      </c>
    </row>
    <row r="5959" spans="1:3" ht="13.5" thickBot="1" x14ac:dyDescent="0.25">
      <c r="A5959" s="3">
        <v>7817</v>
      </c>
      <c r="B5959" s="28"/>
      <c r="C5959" s="3" t="s">
        <v>7</v>
      </c>
    </row>
    <row r="5960" spans="1:3" ht="13.5" thickBot="1" x14ac:dyDescent="0.25">
      <c r="A5960" s="3">
        <v>1785</v>
      </c>
      <c r="B5960" s="28"/>
      <c r="C5960" s="3" t="s">
        <v>7</v>
      </c>
    </row>
    <row r="5961" spans="1:3" ht="13.5" thickBot="1" x14ac:dyDescent="0.25">
      <c r="A5961" s="3">
        <v>4661</v>
      </c>
      <c r="B5961" s="28"/>
      <c r="C5961" s="3" t="s">
        <v>6</v>
      </c>
    </row>
    <row r="5962" spans="1:3" ht="13.5" thickBot="1" x14ac:dyDescent="0.25">
      <c r="A5962" s="3">
        <v>2946</v>
      </c>
      <c r="B5962" s="28"/>
      <c r="C5962" s="3" t="s">
        <v>7</v>
      </c>
    </row>
    <row r="5963" spans="1:3" ht="13.5" thickBot="1" x14ac:dyDescent="0.25">
      <c r="A5963" s="3">
        <v>3768</v>
      </c>
      <c r="B5963" s="28"/>
      <c r="C5963" s="3" t="s">
        <v>3</v>
      </c>
    </row>
    <row r="5964" spans="1:3" ht="13.5" thickBot="1" x14ac:dyDescent="0.25">
      <c r="A5964" s="3">
        <v>4271</v>
      </c>
      <c r="B5964" s="28"/>
      <c r="C5964" s="3" t="s">
        <v>4</v>
      </c>
    </row>
    <row r="5965" spans="1:3" ht="13.5" thickBot="1" x14ac:dyDescent="0.25">
      <c r="A5965" s="3">
        <v>484</v>
      </c>
      <c r="B5965" s="28"/>
      <c r="C5965" s="3" t="s">
        <v>4</v>
      </c>
    </row>
    <row r="5966" spans="1:3" ht="13.5" thickBot="1" x14ac:dyDescent="0.25">
      <c r="A5966" s="3">
        <v>3034</v>
      </c>
      <c r="B5966" s="28"/>
      <c r="C5966" s="3" t="s">
        <v>5</v>
      </c>
    </row>
    <row r="5967" spans="1:3" ht="13.5" thickBot="1" x14ac:dyDescent="0.25">
      <c r="A5967" s="3">
        <v>5635</v>
      </c>
      <c r="B5967" s="28"/>
      <c r="C5967" s="3" t="s">
        <v>6</v>
      </c>
    </row>
    <row r="5968" spans="1:3" ht="13.5" thickBot="1" x14ac:dyDescent="0.25">
      <c r="A5968" s="3">
        <v>6290</v>
      </c>
      <c r="B5968" s="28"/>
      <c r="C5968" s="3" t="s">
        <v>7</v>
      </c>
    </row>
    <row r="5969" spans="1:3" ht="13.5" thickBot="1" x14ac:dyDescent="0.25">
      <c r="A5969" s="3">
        <v>6399</v>
      </c>
      <c r="B5969" s="28"/>
      <c r="C5969" s="3" t="s">
        <v>3</v>
      </c>
    </row>
    <row r="5970" spans="1:3" ht="13.5" thickBot="1" x14ac:dyDescent="0.25">
      <c r="A5970" s="3">
        <v>7561</v>
      </c>
      <c r="B5970" s="28"/>
      <c r="C5970" s="3" t="s">
        <v>7</v>
      </c>
    </row>
    <row r="5971" spans="1:3" ht="13.5" thickBot="1" x14ac:dyDescent="0.25">
      <c r="A5971" s="3">
        <v>2580</v>
      </c>
      <c r="B5971" s="28"/>
      <c r="C5971" s="3" t="s">
        <v>4</v>
      </c>
    </row>
    <row r="5972" spans="1:3" ht="13.5" thickBot="1" x14ac:dyDescent="0.25">
      <c r="A5972" s="3">
        <v>6228</v>
      </c>
      <c r="B5972" s="28"/>
      <c r="C5972" s="3" t="s">
        <v>4</v>
      </c>
    </row>
    <row r="5973" spans="1:3" ht="13.5" thickBot="1" x14ac:dyDescent="0.25">
      <c r="A5973" s="3">
        <v>1029</v>
      </c>
      <c r="B5973" s="28"/>
      <c r="C5973" s="3" t="s">
        <v>3</v>
      </c>
    </row>
    <row r="5974" spans="1:3" ht="13.5" thickBot="1" x14ac:dyDescent="0.25">
      <c r="A5974" s="3">
        <v>1745</v>
      </c>
      <c r="B5974" s="28"/>
      <c r="C5974" s="3" t="s">
        <v>5</v>
      </c>
    </row>
    <row r="5975" spans="1:3" ht="13.5" thickBot="1" x14ac:dyDescent="0.25">
      <c r="A5975" s="3">
        <v>591</v>
      </c>
      <c r="B5975" s="28"/>
      <c r="C5975" s="3" t="s">
        <v>3</v>
      </c>
    </row>
    <row r="5976" spans="1:3" ht="13.5" thickBot="1" x14ac:dyDescent="0.25">
      <c r="A5976" s="3">
        <v>1920</v>
      </c>
      <c r="B5976" s="28"/>
      <c r="C5976" s="3" t="s">
        <v>6</v>
      </c>
    </row>
    <row r="5977" spans="1:3" ht="13.5" thickBot="1" x14ac:dyDescent="0.25">
      <c r="A5977" s="3">
        <v>5688</v>
      </c>
      <c r="B5977" s="28"/>
      <c r="C5977" s="3" t="s">
        <v>3</v>
      </c>
    </row>
    <row r="5978" spans="1:3" ht="13.5" thickBot="1" x14ac:dyDescent="0.25">
      <c r="A5978" s="3">
        <v>413</v>
      </c>
      <c r="B5978" s="28"/>
      <c r="C5978" s="3" t="s">
        <v>3</v>
      </c>
    </row>
    <row r="5979" spans="1:3" ht="13.5" thickBot="1" x14ac:dyDescent="0.25">
      <c r="A5979" s="3">
        <v>7410</v>
      </c>
      <c r="B5979" s="28"/>
      <c r="C5979" s="3" t="s">
        <v>7</v>
      </c>
    </row>
    <row r="5980" spans="1:3" ht="13.5" thickBot="1" x14ac:dyDescent="0.25">
      <c r="A5980" s="3">
        <v>4984</v>
      </c>
      <c r="B5980" s="28"/>
      <c r="C5980" s="3" t="s">
        <v>4</v>
      </c>
    </row>
    <row r="5981" spans="1:3" ht="13.5" thickBot="1" x14ac:dyDescent="0.25">
      <c r="A5981" s="3">
        <v>2853</v>
      </c>
      <c r="B5981" s="28"/>
      <c r="C5981" s="3" t="s">
        <v>3</v>
      </c>
    </row>
    <row r="5982" spans="1:3" ht="13.5" thickBot="1" x14ac:dyDescent="0.25">
      <c r="A5982" s="3">
        <v>512</v>
      </c>
      <c r="B5982" s="28"/>
      <c r="C5982" s="3" t="s">
        <v>4</v>
      </c>
    </row>
    <row r="5983" spans="1:3" ht="13.5" thickBot="1" x14ac:dyDescent="0.25">
      <c r="A5983" s="3">
        <v>6828</v>
      </c>
      <c r="B5983" s="28"/>
      <c r="C5983" s="3" t="s">
        <v>3</v>
      </c>
    </row>
    <row r="5984" spans="1:3" ht="13.5" thickBot="1" x14ac:dyDescent="0.25">
      <c r="A5984" s="3">
        <v>4450</v>
      </c>
      <c r="B5984" s="28"/>
      <c r="C5984" s="3" t="s">
        <v>5</v>
      </c>
    </row>
    <row r="5985" spans="1:3" ht="13.5" thickBot="1" x14ac:dyDescent="0.25">
      <c r="A5985" s="3">
        <v>484</v>
      </c>
      <c r="B5985" s="28"/>
      <c r="C5985" s="3" t="s">
        <v>5</v>
      </c>
    </row>
    <row r="5986" spans="1:3" ht="13.5" thickBot="1" x14ac:dyDescent="0.25">
      <c r="A5986" s="3">
        <v>6147</v>
      </c>
      <c r="B5986" s="28"/>
      <c r="C5986" s="3" t="s">
        <v>7</v>
      </c>
    </row>
    <row r="5987" spans="1:3" ht="13.5" thickBot="1" x14ac:dyDescent="0.25">
      <c r="A5987" s="3">
        <v>4697</v>
      </c>
      <c r="B5987" s="28"/>
      <c r="C5987" s="3" t="s">
        <v>3</v>
      </c>
    </row>
    <row r="5988" spans="1:3" ht="13.5" thickBot="1" x14ac:dyDescent="0.25">
      <c r="A5988" s="3">
        <v>1633</v>
      </c>
      <c r="B5988" s="28"/>
      <c r="C5988" s="3" t="s">
        <v>4</v>
      </c>
    </row>
    <row r="5989" spans="1:3" ht="13.5" thickBot="1" x14ac:dyDescent="0.25">
      <c r="A5989" s="3">
        <v>5818</v>
      </c>
      <c r="B5989" s="28"/>
      <c r="C5989" s="3" t="s">
        <v>3</v>
      </c>
    </row>
    <row r="5990" spans="1:3" ht="13.5" thickBot="1" x14ac:dyDescent="0.25">
      <c r="A5990" s="3">
        <v>4301</v>
      </c>
      <c r="B5990" s="28"/>
      <c r="C5990" s="3" t="s">
        <v>4</v>
      </c>
    </row>
    <row r="5991" spans="1:3" ht="13.5" thickBot="1" x14ac:dyDescent="0.25">
      <c r="A5991" s="3">
        <v>4533</v>
      </c>
      <c r="B5991" s="28"/>
      <c r="C5991" s="3" t="s">
        <v>6</v>
      </c>
    </row>
    <row r="5992" spans="1:3" ht="13.5" thickBot="1" x14ac:dyDescent="0.25">
      <c r="A5992" s="3">
        <v>2930</v>
      </c>
      <c r="B5992" s="28"/>
      <c r="C5992" s="3" t="s">
        <v>5</v>
      </c>
    </row>
    <row r="5993" spans="1:3" ht="13.5" thickBot="1" x14ac:dyDescent="0.25">
      <c r="A5993" s="3">
        <v>6578</v>
      </c>
      <c r="B5993" s="28"/>
      <c r="C5993" s="3" t="s">
        <v>6</v>
      </c>
    </row>
    <row r="5994" spans="1:3" ht="13.5" thickBot="1" x14ac:dyDescent="0.25">
      <c r="A5994" s="3">
        <v>5671</v>
      </c>
      <c r="B5994" s="28"/>
      <c r="C5994" s="3" t="s">
        <v>5</v>
      </c>
    </row>
    <row r="5995" spans="1:3" ht="13.5" thickBot="1" x14ac:dyDescent="0.25">
      <c r="A5995" s="3">
        <v>265</v>
      </c>
      <c r="B5995" s="28"/>
      <c r="C5995" s="3" t="s">
        <v>3</v>
      </c>
    </row>
    <row r="5996" spans="1:3" ht="13.5" thickBot="1" x14ac:dyDescent="0.25">
      <c r="A5996" s="3">
        <v>1152</v>
      </c>
      <c r="B5996" s="28"/>
      <c r="C5996" s="3" t="s">
        <v>3</v>
      </c>
    </row>
    <row r="5997" spans="1:3" ht="13.5" thickBot="1" x14ac:dyDescent="0.25">
      <c r="A5997" s="3">
        <v>266</v>
      </c>
      <c r="B5997" s="28"/>
      <c r="C5997" s="3" t="s">
        <v>5</v>
      </c>
    </row>
    <row r="5998" spans="1:3" ht="13.5" thickBot="1" x14ac:dyDescent="0.25">
      <c r="A5998" s="3">
        <v>4150</v>
      </c>
      <c r="B5998" s="28"/>
      <c r="C5998" s="3" t="s">
        <v>6</v>
      </c>
    </row>
    <row r="5999" spans="1:3" ht="13.5" thickBot="1" x14ac:dyDescent="0.25">
      <c r="A5999" s="3">
        <v>5278</v>
      </c>
      <c r="B5999" s="28"/>
      <c r="C5999" s="3" t="s">
        <v>3</v>
      </c>
    </row>
    <row r="6000" spans="1:3" ht="13.5" thickBot="1" x14ac:dyDescent="0.25">
      <c r="A6000" s="3">
        <v>512</v>
      </c>
      <c r="B6000" s="28"/>
      <c r="C6000" s="3" t="s">
        <v>3</v>
      </c>
    </row>
    <row r="6001" spans="1:3" ht="13.5" thickBot="1" x14ac:dyDescent="0.25">
      <c r="A6001" s="3">
        <v>6045</v>
      </c>
      <c r="B6001" s="28"/>
      <c r="C6001" s="3" t="s">
        <v>7</v>
      </c>
    </row>
    <row r="6002" spans="1:3" ht="13.5" thickBot="1" x14ac:dyDescent="0.25">
      <c r="A6002" s="3">
        <v>3708</v>
      </c>
      <c r="B6002" s="28"/>
      <c r="C6002" s="3" t="s">
        <v>3</v>
      </c>
    </row>
    <row r="6003" spans="1:3" ht="13.5" thickBot="1" x14ac:dyDescent="0.25">
      <c r="A6003" s="3">
        <v>2966</v>
      </c>
      <c r="B6003" s="28"/>
      <c r="C6003" s="3" t="s">
        <v>3</v>
      </c>
    </row>
    <row r="6004" spans="1:3" ht="13.5" thickBot="1" x14ac:dyDescent="0.25">
      <c r="A6004" s="3">
        <v>1324</v>
      </c>
      <c r="B6004" s="28"/>
      <c r="C6004" s="3" t="s">
        <v>7</v>
      </c>
    </row>
    <row r="6005" spans="1:3" ht="13.5" thickBot="1" x14ac:dyDescent="0.25">
      <c r="A6005" s="3">
        <v>4223</v>
      </c>
      <c r="B6005" s="28"/>
      <c r="C6005" s="3" t="s">
        <v>3</v>
      </c>
    </row>
    <row r="6006" spans="1:3" ht="13.5" thickBot="1" x14ac:dyDescent="0.25">
      <c r="A6006" s="3">
        <v>52</v>
      </c>
      <c r="B6006" s="28"/>
      <c r="C6006" s="3" t="s">
        <v>5</v>
      </c>
    </row>
    <row r="6007" spans="1:3" ht="13.5" thickBot="1" x14ac:dyDescent="0.25">
      <c r="A6007" s="3">
        <v>5847</v>
      </c>
      <c r="B6007" s="28"/>
      <c r="C6007" s="3" t="s">
        <v>3</v>
      </c>
    </row>
    <row r="6008" spans="1:3" ht="13.5" thickBot="1" x14ac:dyDescent="0.25">
      <c r="A6008" s="3">
        <v>4150</v>
      </c>
      <c r="B6008" s="28"/>
      <c r="C6008" s="3" t="s">
        <v>7</v>
      </c>
    </row>
    <row r="6009" spans="1:3" ht="13.5" thickBot="1" x14ac:dyDescent="0.25">
      <c r="A6009" s="3">
        <v>6684</v>
      </c>
      <c r="B6009" s="28"/>
      <c r="C6009" s="3" t="s">
        <v>6</v>
      </c>
    </row>
    <row r="6010" spans="1:3" ht="13.5" thickBot="1" x14ac:dyDescent="0.25">
      <c r="A6010" s="3">
        <v>5897</v>
      </c>
      <c r="B6010" s="28"/>
      <c r="C6010" s="3" t="s">
        <v>7</v>
      </c>
    </row>
    <row r="6011" spans="1:3" ht="13.5" thickBot="1" x14ac:dyDescent="0.25">
      <c r="A6011" s="3">
        <v>1785</v>
      </c>
      <c r="B6011" s="28"/>
      <c r="C6011" s="3" t="s">
        <v>6</v>
      </c>
    </row>
    <row r="6012" spans="1:3" ht="13.5" thickBot="1" x14ac:dyDescent="0.25">
      <c r="A6012" s="3">
        <v>323</v>
      </c>
      <c r="B6012" s="28"/>
      <c r="C6012" s="3" t="s">
        <v>3</v>
      </c>
    </row>
    <row r="6013" spans="1:3" ht="13.5" thickBot="1" x14ac:dyDescent="0.25">
      <c r="A6013" s="3">
        <v>5656</v>
      </c>
      <c r="B6013" s="28"/>
      <c r="C6013" s="3" t="s">
        <v>3</v>
      </c>
    </row>
    <row r="6014" spans="1:3" ht="13.5" thickBot="1" x14ac:dyDescent="0.25">
      <c r="A6014" s="3">
        <v>2719</v>
      </c>
      <c r="B6014" s="28"/>
      <c r="C6014" s="3" t="s">
        <v>5</v>
      </c>
    </row>
    <row r="6015" spans="1:3" ht="13.5" thickBot="1" x14ac:dyDescent="0.25">
      <c r="A6015" s="3">
        <v>323</v>
      </c>
      <c r="B6015" s="28"/>
      <c r="C6015" s="3" t="s">
        <v>5</v>
      </c>
    </row>
    <row r="6016" spans="1:3" ht="13.5" thickBot="1" x14ac:dyDescent="0.25">
      <c r="A6016" s="3">
        <v>266</v>
      </c>
      <c r="B6016" s="28"/>
      <c r="C6016" s="3" t="s">
        <v>4</v>
      </c>
    </row>
    <row r="6017" spans="1:3" ht="13.5" thickBot="1" x14ac:dyDescent="0.25">
      <c r="A6017" s="3">
        <v>1437</v>
      </c>
      <c r="B6017" s="28"/>
      <c r="C6017" s="3" t="s">
        <v>6</v>
      </c>
    </row>
    <row r="6018" spans="1:3" ht="13.5" thickBot="1" x14ac:dyDescent="0.25">
      <c r="A6018" s="3">
        <v>1560</v>
      </c>
      <c r="B6018" s="28"/>
      <c r="C6018" s="3" t="s">
        <v>4</v>
      </c>
    </row>
    <row r="6019" spans="1:3" ht="13.5" thickBot="1" x14ac:dyDescent="0.25">
      <c r="A6019" s="3">
        <v>1785</v>
      </c>
      <c r="B6019" s="28"/>
      <c r="C6019" s="3" t="s">
        <v>5</v>
      </c>
    </row>
    <row r="6020" spans="1:3" ht="13.5" thickBot="1" x14ac:dyDescent="0.25">
      <c r="A6020" s="3">
        <v>6399</v>
      </c>
      <c r="B6020" s="28"/>
      <c r="C6020" s="3" t="s">
        <v>5</v>
      </c>
    </row>
    <row r="6021" spans="1:3" ht="13.5" thickBot="1" x14ac:dyDescent="0.25">
      <c r="A6021" s="3">
        <v>4973</v>
      </c>
      <c r="B6021" s="28"/>
      <c r="C6021" s="3" t="s">
        <v>3</v>
      </c>
    </row>
    <row r="6022" spans="1:3" ht="13.5" thickBot="1" x14ac:dyDescent="0.25">
      <c r="A6022" s="3">
        <v>1700</v>
      </c>
      <c r="B6022" s="28"/>
      <c r="C6022" s="3" t="s">
        <v>6</v>
      </c>
    </row>
    <row r="6023" spans="1:3" ht="13.5" thickBot="1" x14ac:dyDescent="0.25">
      <c r="A6023" s="3">
        <v>5954</v>
      </c>
      <c r="B6023" s="28"/>
      <c r="C6023" s="3" t="s">
        <v>3</v>
      </c>
    </row>
    <row r="6024" spans="1:3" ht="13.5" thickBot="1" x14ac:dyDescent="0.25">
      <c r="A6024" s="3">
        <v>335</v>
      </c>
      <c r="B6024" s="28"/>
      <c r="C6024" s="3" t="s">
        <v>7</v>
      </c>
    </row>
    <row r="6025" spans="1:3" ht="13.5" thickBot="1" x14ac:dyDescent="0.25">
      <c r="A6025" s="3">
        <v>1304</v>
      </c>
      <c r="B6025" s="28"/>
      <c r="C6025" s="3" t="s">
        <v>3</v>
      </c>
    </row>
    <row r="6026" spans="1:3" ht="13.5" thickBot="1" x14ac:dyDescent="0.25">
      <c r="A6026" s="3">
        <v>720</v>
      </c>
      <c r="B6026" s="28"/>
      <c r="C6026" s="3" t="s">
        <v>4</v>
      </c>
    </row>
    <row r="6027" spans="1:3" ht="13.5" thickBot="1" x14ac:dyDescent="0.25">
      <c r="A6027" s="3">
        <v>343</v>
      </c>
      <c r="B6027" s="28"/>
      <c r="C6027" s="3" t="s">
        <v>4</v>
      </c>
    </row>
    <row r="6028" spans="1:3" ht="13.5" thickBot="1" x14ac:dyDescent="0.25">
      <c r="A6028" s="3">
        <v>4271</v>
      </c>
      <c r="B6028" s="28"/>
      <c r="C6028" s="3" t="s">
        <v>7</v>
      </c>
    </row>
    <row r="6029" spans="1:3" ht="13.5" thickBot="1" x14ac:dyDescent="0.25">
      <c r="A6029" s="3">
        <v>4954</v>
      </c>
      <c r="B6029" s="28"/>
      <c r="C6029" s="3" t="s">
        <v>7</v>
      </c>
    </row>
    <row r="6030" spans="1:3" ht="13.5" thickBot="1" x14ac:dyDescent="0.25">
      <c r="A6030" s="3">
        <v>7459</v>
      </c>
      <c r="B6030" s="28"/>
      <c r="C6030" s="3" t="s">
        <v>6</v>
      </c>
    </row>
    <row r="6031" spans="1:3" ht="13.5" thickBot="1" x14ac:dyDescent="0.25">
      <c r="A6031" s="3">
        <v>6290</v>
      </c>
      <c r="B6031" s="28"/>
      <c r="C6031" s="3" t="s">
        <v>5</v>
      </c>
    </row>
    <row r="6032" spans="1:3" ht="13.5" thickBot="1" x14ac:dyDescent="0.25">
      <c r="A6032" s="3">
        <v>439</v>
      </c>
      <c r="B6032" s="28"/>
      <c r="C6032" s="3" t="s">
        <v>4</v>
      </c>
    </row>
    <row r="6033" spans="1:3" ht="13.5" thickBot="1" x14ac:dyDescent="0.25">
      <c r="A6033" s="3">
        <v>6559</v>
      </c>
      <c r="B6033" s="28"/>
      <c r="C6033" s="3" t="s">
        <v>5</v>
      </c>
    </row>
    <row r="6034" spans="1:3" ht="13.5" thickBot="1" x14ac:dyDescent="0.25">
      <c r="A6034" s="3">
        <v>534</v>
      </c>
      <c r="B6034" s="28"/>
      <c r="C6034" s="3" t="s">
        <v>6</v>
      </c>
    </row>
    <row r="6035" spans="1:3" ht="13.5" thickBot="1" x14ac:dyDescent="0.25">
      <c r="A6035" s="3">
        <v>1611</v>
      </c>
      <c r="B6035" s="28"/>
      <c r="C6035" s="3" t="s">
        <v>3</v>
      </c>
    </row>
    <row r="6036" spans="1:3" ht="13.5" thickBot="1" x14ac:dyDescent="0.25">
      <c r="A6036" s="3">
        <v>5517</v>
      </c>
      <c r="B6036" s="28"/>
      <c r="C6036" s="3" t="s">
        <v>7</v>
      </c>
    </row>
    <row r="6037" spans="1:3" ht="13.5" thickBot="1" x14ac:dyDescent="0.25">
      <c r="A6037" s="3">
        <v>3827</v>
      </c>
      <c r="B6037" s="28"/>
      <c r="C6037" s="3" t="s">
        <v>6</v>
      </c>
    </row>
    <row r="6038" spans="1:3" ht="13.5" thickBot="1" x14ac:dyDescent="0.25">
      <c r="A6038" s="3">
        <v>7790</v>
      </c>
      <c r="B6038" s="28"/>
      <c r="C6038" s="3" t="s">
        <v>6</v>
      </c>
    </row>
    <row r="6039" spans="1:3" ht="13.5" thickBot="1" x14ac:dyDescent="0.25">
      <c r="A6039" s="3">
        <v>178</v>
      </c>
      <c r="B6039" s="28"/>
      <c r="C6039" s="3" t="s">
        <v>6</v>
      </c>
    </row>
    <row r="6040" spans="1:3" ht="13.5" thickBot="1" x14ac:dyDescent="0.25">
      <c r="A6040" s="3">
        <v>4984</v>
      </c>
      <c r="B6040" s="28"/>
      <c r="C6040" s="3" t="s">
        <v>3</v>
      </c>
    </row>
    <row r="6041" spans="1:3" ht="13.5" thickBot="1" x14ac:dyDescent="0.25">
      <c r="A6041" s="3">
        <v>6828</v>
      </c>
      <c r="B6041" s="28"/>
      <c r="C6041" s="3" t="s">
        <v>5</v>
      </c>
    </row>
    <row r="6042" spans="1:3" ht="13.5" thickBot="1" x14ac:dyDescent="0.25">
      <c r="A6042" s="3">
        <v>3768</v>
      </c>
      <c r="B6042" s="28"/>
      <c r="C6042" s="3" t="s">
        <v>4</v>
      </c>
    </row>
    <row r="6043" spans="1:3" ht="13.5" thickBot="1" x14ac:dyDescent="0.25">
      <c r="A6043" s="3">
        <v>8</v>
      </c>
      <c r="B6043" s="28"/>
      <c r="C6043" s="3" t="s">
        <v>3</v>
      </c>
    </row>
    <row r="6044" spans="1:3" ht="13.5" thickBot="1" x14ac:dyDescent="0.25">
      <c r="A6044" s="3">
        <v>6399</v>
      </c>
      <c r="B6044" s="28"/>
      <c r="C6044" s="3" t="s">
        <v>4</v>
      </c>
    </row>
    <row r="6045" spans="1:3" ht="13.5" thickBot="1" x14ac:dyDescent="0.25">
      <c r="A6045" s="3">
        <v>323</v>
      </c>
      <c r="B6045" s="28"/>
      <c r="C6045" s="3" t="s">
        <v>4</v>
      </c>
    </row>
    <row r="6046" spans="1:3" ht="13.5" thickBot="1" x14ac:dyDescent="0.25">
      <c r="A6046" s="3">
        <v>6287</v>
      </c>
      <c r="B6046" s="28"/>
      <c r="C6046" s="3" t="s">
        <v>5</v>
      </c>
    </row>
    <row r="6047" spans="1:3" ht="13.5" thickBot="1" x14ac:dyDescent="0.25">
      <c r="A6047" s="3">
        <v>7561</v>
      </c>
      <c r="B6047" s="28"/>
      <c r="C6047" s="3" t="s">
        <v>6</v>
      </c>
    </row>
    <row r="6048" spans="1:3" ht="13.5" thickBot="1" x14ac:dyDescent="0.25">
      <c r="A6048" s="3">
        <v>323</v>
      </c>
      <c r="B6048" s="28"/>
      <c r="C6048" s="3" t="s">
        <v>6</v>
      </c>
    </row>
    <row r="6049" spans="1:3" ht="13.5" thickBot="1" x14ac:dyDescent="0.25">
      <c r="A6049" s="3">
        <v>1882</v>
      </c>
      <c r="B6049" s="28"/>
      <c r="C6049" s="3" t="s">
        <v>3</v>
      </c>
    </row>
    <row r="6050" spans="1:3" ht="13.5" thickBot="1" x14ac:dyDescent="0.25">
      <c r="A6050" s="3">
        <v>1585</v>
      </c>
      <c r="B6050" s="28"/>
      <c r="C6050" s="3" t="s">
        <v>3</v>
      </c>
    </row>
    <row r="6051" spans="1:3" ht="13.5" thickBot="1" x14ac:dyDescent="0.25">
      <c r="A6051" s="3">
        <v>2920</v>
      </c>
      <c r="B6051" s="28"/>
      <c r="C6051" s="3" t="s">
        <v>3</v>
      </c>
    </row>
    <row r="6052" spans="1:3" ht="13.5" thickBot="1" x14ac:dyDescent="0.25">
      <c r="A6052" s="3">
        <v>1626</v>
      </c>
      <c r="B6052" s="28"/>
      <c r="C6052" s="3" t="s">
        <v>3</v>
      </c>
    </row>
    <row r="6053" spans="1:3" ht="13.5" thickBot="1" x14ac:dyDescent="0.25">
      <c r="A6053" s="3">
        <v>3034</v>
      </c>
      <c r="B6053" s="28"/>
      <c r="C6053" s="3" t="s">
        <v>4</v>
      </c>
    </row>
    <row r="6054" spans="1:3" ht="13.5" thickBot="1" x14ac:dyDescent="0.25">
      <c r="A6054" s="3">
        <v>7863</v>
      </c>
      <c r="B6054" s="28"/>
      <c r="C6054" s="3" t="s">
        <v>5</v>
      </c>
    </row>
    <row r="6055" spans="1:3" ht="13.5" thickBot="1" x14ac:dyDescent="0.25">
      <c r="A6055" s="3">
        <v>52</v>
      </c>
      <c r="B6055" s="28"/>
      <c r="C6055" s="3" t="s">
        <v>6</v>
      </c>
    </row>
    <row r="6056" spans="1:3" ht="13.5" thickBot="1" x14ac:dyDescent="0.25">
      <c r="A6056" s="3">
        <v>2154</v>
      </c>
      <c r="B6056" s="28"/>
      <c r="C6056" s="3" t="s">
        <v>3</v>
      </c>
    </row>
    <row r="6057" spans="1:3" ht="13.5" thickBot="1" x14ac:dyDescent="0.25">
      <c r="A6057" s="3">
        <v>4147</v>
      </c>
      <c r="B6057" s="28"/>
      <c r="C6057" s="3" t="s">
        <v>3</v>
      </c>
    </row>
    <row r="6058" spans="1:3" ht="13.5" thickBot="1" x14ac:dyDescent="0.25">
      <c r="A6058" s="3">
        <v>1048</v>
      </c>
      <c r="B6058" s="28"/>
      <c r="C6058" s="3" t="s">
        <v>4</v>
      </c>
    </row>
    <row r="6059" spans="1:3" ht="13.5" thickBot="1" x14ac:dyDescent="0.25">
      <c r="A6059" s="3">
        <v>6073</v>
      </c>
      <c r="B6059" s="28"/>
      <c r="C6059" s="3" t="s">
        <v>6</v>
      </c>
    </row>
    <row r="6060" spans="1:3" ht="13.5" thickBot="1" x14ac:dyDescent="0.25">
      <c r="A6060" s="3">
        <v>7413</v>
      </c>
      <c r="B6060" s="28"/>
      <c r="C6060" s="3" t="s">
        <v>3</v>
      </c>
    </row>
    <row r="6061" spans="1:3" ht="13.5" thickBot="1" x14ac:dyDescent="0.25">
      <c r="A6061" s="3">
        <v>5609</v>
      </c>
      <c r="B6061" s="28"/>
      <c r="C6061" s="3" t="s">
        <v>6</v>
      </c>
    </row>
    <row r="6062" spans="1:3" ht="13.5" thickBot="1" x14ac:dyDescent="0.25">
      <c r="A6062" s="3">
        <v>3172</v>
      </c>
      <c r="B6062" s="28"/>
      <c r="C6062" s="3" t="s">
        <v>3</v>
      </c>
    </row>
    <row r="6063" spans="1:3" ht="13.5" thickBot="1" x14ac:dyDescent="0.25">
      <c r="A6063" s="3">
        <v>5945</v>
      </c>
      <c r="B6063" s="28"/>
      <c r="C6063" s="3" t="s">
        <v>3</v>
      </c>
    </row>
    <row r="6064" spans="1:3" ht="13.5" thickBot="1" x14ac:dyDescent="0.25">
      <c r="A6064" s="3">
        <v>7915</v>
      </c>
      <c r="B6064" s="28"/>
      <c r="C6064" s="3" t="s">
        <v>5</v>
      </c>
    </row>
    <row r="6065" spans="1:3" ht="13.5" thickBot="1" x14ac:dyDescent="0.25">
      <c r="A6065" s="3">
        <v>7689</v>
      </c>
      <c r="B6065" s="28"/>
      <c r="C6065" s="3" t="s">
        <v>3</v>
      </c>
    </row>
    <row r="6066" spans="1:3" ht="13.5" thickBot="1" x14ac:dyDescent="0.25">
      <c r="A6066" s="3">
        <v>7029</v>
      </c>
      <c r="B6066" s="28"/>
      <c r="C6066" s="3" t="s">
        <v>3</v>
      </c>
    </row>
    <row r="6067" spans="1:3" ht="13.5" thickBot="1" x14ac:dyDescent="0.25">
      <c r="A6067" s="3">
        <v>2445</v>
      </c>
      <c r="B6067" s="28"/>
      <c r="C6067" s="3" t="s">
        <v>3</v>
      </c>
    </row>
    <row r="6068" spans="1:3" ht="13.5" thickBot="1" x14ac:dyDescent="0.25">
      <c r="A6068" s="3">
        <v>3754</v>
      </c>
      <c r="B6068" s="28"/>
      <c r="C6068" s="3" t="s">
        <v>6</v>
      </c>
    </row>
    <row r="6069" spans="1:3" ht="13.5" thickBot="1" x14ac:dyDescent="0.25">
      <c r="A6069" s="3">
        <v>1516</v>
      </c>
      <c r="B6069" s="28"/>
      <c r="C6069" s="3" t="s">
        <v>6</v>
      </c>
    </row>
    <row r="6070" spans="1:3" ht="13.5" thickBot="1" x14ac:dyDescent="0.25">
      <c r="A6070" s="3">
        <v>3741</v>
      </c>
      <c r="B6070" s="28"/>
      <c r="C6070" s="3" t="s">
        <v>3</v>
      </c>
    </row>
    <row r="6071" spans="1:3" ht="13.5" thickBot="1" x14ac:dyDescent="0.25">
      <c r="A6071" s="3">
        <v>6828</v>
      </c>
      <c r="B6071" s="28"/>
      <c r="C6071" s="3" t="s">
        <v>7</v>
      </c>
    </row>
    <row r="6072" spans="1:3" ht="13.5" thickBot="1" x14ac:dyDescent="0.25">
      <c r="A6072" s="3">
        <v>1437</v>
      </c>
      <c r="B6072" s="28"/>
      <c r="C6072" s="3" t="s">
        <v>7</v>
      </c>
    </row>
    <row r="6073" spans="1:3" ht="13.5" thickBot="1" x14ac:dyDescent="0.25">
      <c r="A6073" s="3">
        <v>1048</v>
      </c>
      <c r="B6073" s="28"/>
      <c r="C6073" s="3" t="s">
        <v>3</v>
      </c>
    </row>
    <row r="6074" spans="1:3" ht="13.5" thickBot="1" x14ac:dyDescent="0.25">
      <c r="A6074" s="3">
        <v>6287</v>
      </c>
      <c r="B6074" s="28"/>
      <c r="C6074" s="3" t="s">
        <v>3</v>
      </c>
    </row>
    <row r="6075" spans="1:3" ht="13.5" thickBot="1" x14ac:dyDescent="0.25">
      <c r="A6075" s="3">
        <v>5859</v>
      </c>
      <c r="B6075" s="28"/>
      <c r="C6075" s="3" t="s">
        <v>3</v>
      </c>
    </row>
    <row r="6076" spans="1:3" ht="13.5" thickBot="1" x14ac:dyDescent="0.25">
      <c r="A6076" s="3">
        <v>2779</v>
      </c>
      <c r="B6076" s="28"/>
      <c r="C6076" s="3" t="s">
        <v>4</v>
      </c>
    </row>
    <row r="6077" spans="1:3" ht="13.5" thickBot="1" x14ac:dyDescent="0.25">
      <c r="A6077" s="3">
        <v>7926</v>
      </c>
      <c r="B6077" s="28"/>
      <c r="C6077" s="3" t="s">
        <v>6</v>
      </c>
    </row>
    <row r="6078" spans="1:3" ht="13.5" thickBot="1" x14ac:dyDescent="0.25">
      <c r="A6078" s="3">
        <v>1051</v>
      </c>
      <c r="B6078" s="28"/>
      <c r="C6078" s="3" t="s">
        <v>3</v>
      </c>
    </row>
    <row r="6079" spans="1:3" ht="13.5" thickBot="1" x14ac:dyDescent="0.25">
      <c r="A6079" s="3">
        <v>4229</v>
      </c>
      <c r="B6079" s="28"/>
      <c r="C6079" s="3" t="s">
        <v>6</v>
      </c>
    </row>
    <row r="6080" spans="1:3" ht="13.5" thickBot="1" x14ac:dyDescent="0.25">
      <c r="A6080" s="3">
        <v>3076</v>
      </c>
      <c r="B6080" s="28"/>
      <c r="C6080" s="3" t="s">
        <v>3</v>
      </c>
    </row>
    <row r="6081" spans="1:3" ht="13.5" thickBot="1" x14ac:dyDescent="0.25">
      <c r="A6081" s="3">
        <v>4648</v>
      </c>
      <c r="B6081" s="28"/>
      <c r="C6081" s="3" t="s">
        <v>6</v>
      </c>
    </row>
    <row r="6082" spans="1:3" ht="13.5" thickBot="1" x14ac:dyDescent="0.25">
      <c r="A6082" s="3">
        <v>5563</v>
      </c>
      <c r="B6082" s="28"/>
      <c r="C6082" s="3" t="s">
        <v>3</v>
      </c>
    </row>
    <row r="6083" spans="1:3" ht="13.5" thickBot="1" x14ac:dyDescent="0.25">
      <c r="A6083" s="3">
        <v>5945</v>
      </c>
      <c r="B6083" s="28"/>
      <c r="C6083" s="3" t="s">
        <v>4</v>
      </c>
    </row>
    <row r="6084" spans="1:3" ht="13.5" thickBot="1" x14ac:dyDescent="0.25">
      <c r="A6084" s="3">
        <v>1727</v>
      </c>
      <c r="B6084" s="28"/>
      <c r="C6084" s="3" t="s">
        <v>3</v>
      </c>
    </row>
    <row r="6085" spans="1:3" ht="13.5" thickBot="1" x14ac:dyDescent="0.25">
      <c r="A6085" s="3">
        <v>7915</v>
      </c>
      <c r="B6085" s="28"/>
      <c r="C6085" s="3" t="s">
        <v>3</v>
      </c>
    </row>
    <row r="6086" spans="1:3" ht="13.5" thickBot="1" x14ac:dyDescent="0.25">
      <c r="A6086" s="3">
        <v>7410</v>
      </c>
      <c r="B6086" s="28"/>
      <c r="C6086" s="3" t="s">
        <v>5</v>
      </c>
    </row>
    <row r="6087" spans="1:3" ht="13.5" thickBot="1" x14ac:dyDescent="0.25">
      <c r="A6087" s="3">
        <v>6084</v>
      </c>
      <c r="B6087" s="28"/>
      <c r="C6087" s="3" t="s">
        <v>7</v>
      </c>
    </row>
    <row r="6088" spans="1:3" ht="13.5" thickBot="1" x14ac:dyDescent="0.25">
      <c r="A6088" s="3">
        <v>5278</v>
      </c>
      <c r="B6088" s="28"/>
      <c r="C6088" s="3" t="s">
        <v>4</v>
      </c>
    </row>
    <row r="6089" spans="1:3" ht="13.5" thickBot="1" x14ac:dyDescent="0.25">
      <c r="A6089" s="3">
        <v>4283</v>
      </c>
      <c r="B6089" s="28"/>
      <c r="C6089" s="3" t="s">
        <v>4</v>
      </c>
    </row>
    <row r="6090" spans="1:3" ht="13.5" thickBot="1" x14ac:dyDescent="0.25">
      <c r="A6090" s="3">
        <v>1145</v>
      </c>
      <c r="B6090" s="28"/>
      <c r="C6090" s="3" t="s">
        <v>6</v>
      </c>
    </row>
    <row r="6091" spans="1:3" ht="13.5" thickBot="1" x14ac:dyDescent="0.25">
      <c r="A6091" s="3">
        <v>3270</v>
      </c>
      <c r="B6091" s="28"/>
      <c r="C6091" s="3" t="s">
        <v>3</v>
      </c>
    </row>
    <row r="6092" spans="1:3" ht="13.5" thickBot="1" x14ac:dyDescent="0.25">
      <c r="A6092" s="3">
        <v>5518</v>
      </c>
      <c r="B6092" s="28"/>
      <c r="C6092" s="3" t="s">
        <v>7</v>
      </c>
    </row>
    <row r="6093" spans="1:3" ht="13.5" thickBot="1" x14ac:dyDescent="0.25">
      <c r="A6093" s="3">
        <v>5205</v>
      </c>
      <c r="B6093" s="28"/>
      <c r="C6093" s="3" t="s">
        <v>3</v>
      </c>
    </row>
    <row r="6094" spans="1:3" ht="13.5" thickBot="1" x14ac:dyDescent="0.25">
      <c r="A6094" s="3">
        <v>3252</v>
      </c>
      <c r="B6094" s="28"/>
      <c r="C6094" s="3" t="s">
        <v>3</v>
      </c>
    </row>
    <row r="6095" spans="1:3" ht="13.5" thickBot="1" x14ac:dyDescent="0.25">
      <c r="A6095" s="3">
        <v>2230</v>
      </c>
      <c r="B6095" s="28"/>
      <c r="C6095" s="3" t="s">
        <v>4</v>
      </c>
    </row>
    <row r="6096" spans="1:3" ht="13.5" thickBot="1" x14ac:dyDescent="0.25">
      <c r="A6096" s="3">
        <v>7218</v>
      </c>
      <c r="B6096" s="28"/>
      <c r="C6096" s="3" t="s">
        <v>3</v>
      </c>
    </row>
    <row r="6097" spans="1:3" ht="13.5" thickBot="1" x14ac:dyDescent="0.25">
      <c r="A6097" s="3">
        <v>5786</v>
      </c>
      <c r="B6097" s="28"/>
      <c r="C6097" s="3" t="s">
        <v>4</v>
      </c>
    </row>
    <row r="6098" spans="1:3" ht="13.5" thickBot="1" x14ac:dyDescent="0.25">
      <c r="A6098" s="3">
        <v>3636</v>
      </c>
      <c r="B6098" s="28"/>
      <c r="C6098" s="3" t="s">
        <v>4</v>
      </c>
    </row>
    <row r="6099" spans="1:3" ht="13.5" thickBot="1" x14ac:dyDescent="0.25">
      <c r="A6099" s="3">
        <v>6775</v>
      </c>
      <c r="B6099" s="28"/>
      <c r="C6099" s="3" t="s">
        <v>3</v>
      </c>
    </row>
    <row r="6100" spans="1:3" ht="13.5" thickBot="1" x14ac:dyDescent="0.25">
      <c r="A6100" s="3">
        <v>2558</v>
      </c>
      <c r="B6100" s="28"/>
      <c r="C6100" s="3" t="s">
        <v>3</v>
      </c>
    </row>
    <row r="6101" spans="1:3" ht="13.5" thickBot="1" x14ac:dyDescent="0.25">
      <c r="A6101" s="3">
        <v>1857</v>
      </c>
      <c r="B6101" s="28"/>
      <c r="C6101" s="3" t="s">
        <v>3</v>
      </c>
    </row>
    <row r="6102" spans="1:3" ht="13.5" thickBot="1" x14ac:dyDescent="0.25">
      <c r="A6102" s="3">
        <v>2779</v>
      </c>
      <c r="B6102" s="28"/>
      <c r="C6102" s="3" t="s">
        <v>3</v>
      </c>
    </row>
    <row r="6103" spans="1:3" ht="13.5" thickBot="1" x14ac:dyDescent="0.25">
      <c r="A6103" s="3">
        <v>6084</v>
      </c>
      <c r="B6103" s="28"/>
      <c r="C6103" s="3" t="s">
        <v>5</v>
      </c>
    </row>
    <row r="6104" spans="1:3" ht="13.5" thickBot="1" x14ac:dyDescent="0.25">
      <c r="A6104" s="3">
        <v>4271</v>
      </c>
      <c r="B6104" s="28"/>
      <c r="C6104" s="3" t="s">
        <v>6</v>
      </c>
    </row>
    <row r="6105" spans="1:3" ht="13.5" thickBot="1" x14ac:dyDescent="0.25">
      <c r="A6105" s="3">
        <v>5818</v>
      </c>
      <c r="B6105" s="28"/>
      <c r="C6105" s="3" t="s">
        <v>4</v>
      </c>
    </row>
    <row r="6106" spans="1:3" ht="13.5" thickBot="1" x14ac:dyDescent="0.25">
      <c r="A6106" s="3">
        <v>512</v>
      </c>
      <c r="B6106" s="28"/>
      <c r="C6106" s="3" t="s">
        <v>6</v>
      </c>
    </row>
    <row r="6107" spans="1:3" ht="13.5" thickBot="1" x14ac:dyDescent="0.25">
      <c r="A6107" s="3">
        <v>2853</v>
      </c>
      <c r="B6107" s="28"/>
      <c r="C6107" s="3" t="s">
        <v>4</v>
      </c>
    </row>
    <row r="6108" spans="1:3" ht="13.5" thickBot="1" x14ac:dyDescent="0.25">
      <c r="A6108" s="3">
        <v>7609</v>
      </c>
      <c r="B6108" s="28"/>
      <c r="C6108" s="3" t="s">
        <v>6</v>
      </c>
    </row>
    <row r="6109" spans="1:3" ht="13.5" thickBot="1" x14ac:dyDescent="0.25">
      <c r="A6109" s="3">
        <v>2399</v>
      </c>
      <c r="B6109" s="28"/>
      <c r="C6109" s="3" t="s">
        <v>3</v>
      </c>
    </row>
    <row r="6110" spans="1:3" ht="13.5" thickBot="1" x14ac:dyDescent="0.25">
      <c r="A6110" s="3">
        <v>1029</v>
      </c>
      <c r="B6110" s="28"/>
      <c r="C6110" s="3" t="s">
        <v>4</v>
      </c>
    </row>
    <row r="6111" spans="1:3" ht="13.5" thickBot="1" x14ac:dyDescent="0.25">
      <c r="A6111" s="3">
        <v>4223</v>
      </c>
      <c r="B6111" s="28"/>
      <c r="C6111" s="3" t="s">
        <v>4</v>
      </c>
    </row>
    <row r="6112" spans="1:3" ht="13.5" thickBot="1" x14ac:dyDescent="0.25">
      <c r="A6112" s="3">
        <v>6045</v>
      </c>
      <c r="B6112" s="28"/>
      <c r="C6112" s="3" t="s">
        <v>6</v>
      </c>
    </row>
    <row r="6113" spans="1:3" ht="13.5" thickBot="1" x14ac:dyDescent="0.25">
      <c r="A6113" s="3">
        <v>1611</v>
      </c>
      <c r="B6113" s="28"/>
      <c r="C6113" s="3" t="s">
        <v>4</v>
      </c>
    </row>
    <row r="6114" spans="1:3" ht="13.5" thickBot="1" x14ac:dyDescent="0.25">
      <c r="A6114" s="3">
        <v>4674</v>
      </c>
      <c r="B6114" s="28"/>
      <c r="C6114" s="3" t="s">
        <v>3</v>
      </c>
    </row>
    <row r="6115" spans="1:3" ht="13.5" thickBot="1" x14ac:dyDescent="0.25">
      <c r="A6115" s="3">
        <v>4887</v>
      </c>
      <c r="B6115" s="28"/>
      <c r="C6115" s="3" t="s">
        <v>3</v>
      </c>
    </row>
    <row r="6116" spans="1:3" ht="13.5" thickBot="1" x14ac:dyDescent="0.25">
      <c r="A6116" s="3">
        <v>3708</v>
      </c>
      <c r="B6116" s="28"/>
      <c r="C6116" s="3" t="s">
        <v>5</v>
      </c>
    </row>
    <row r="6117" spans="1:3" ht="13.5" thickBot="1" x14ac:dyDescent="0.25">
      <c r="A6117" s="3">
        <v>7880</v>
      </c>
      <c r="B6117" s="28"/>
      <c r="C6117" s="3" t="s">
        <v>3</v>
      </c>
    </row>
    <row r="6118" spans="1:3" ht="13.5" thickBot="1" x14ac:dyDescent="0.25">
      <c r="A6118" s="3">
        <v>6435</v>
      </c>
      <c r="B6118" s="28"/>
      <c r="C6118" s="3" t="s">
        <v>4</v>
      </c>
    </row>
    <row r="6119" spans="1:3" ht="13.5" thickBot="1" x14ac:dyDescent="0.25">
      <c r="A6119" s="3">
        <v>4558</v>
      </c>
      <c r="B6119" s="28"/>
      <c r="C6119" s="3" t="s">
        <v>5</v>
      </c>
    </row>
    <row r="6120" spans="1:3" ht="13.5" thickBot="1" x14ac:dyDescent="0.25">
      <c r="A6120" s="3">
        <v>6287</v>
      </c>
      <c r="B6120" s="28"/>
      <c r="C6120" s="3" t="s">
        <v>4</v>
      </c>
    </row>
    <row r="6121" spans="1:3" ht="13.5" thickBot="1" x14ac:dyDescent="0.25">
      <c r="A6121" s="3">
        <v>6147</v>
      </c>
      <c r="B6121" s="28"/>
      <c r="C6121" s="3" t="s">
        <v>5</v>
      </c>
    </row>
    <row r="6122" spans="1:3" ht="13.5" thickBot="1" x14ac:dyDescent="0.25">
      <c r="A6122" s="3">
        <v>3371</v>
      </c>
      <c r="B6122" s="28"/>
      <c r="C6122" s="3" t="s">
        <v>5</v>
      </c>
    </row>
    <row r="6123" spans="1:3" ht="13.5" thickBot="1" x14ac:dyDescent="0.25">
      <c r="A6123" s="3">
        <v>2420</v>
      </c>
      <c r="B6123" s="28"/>
      <c r="C6123" s="3" t="s">
        <v>4</v>
      </c>
    </row>
    <row r="6124" spans="1:3" ht="13.5" thickBot="1" x14ac:dyDescent="0.25">
      <c r="A6124" s="3">
        <v>7350</v>
      </c>
      <c r="B6124" s="28"/>
      <c r="C6124" s="3" t="s">
        <v>3</v>
      </c>
    </row>
    <row r="6125" spans="1:3" ht="13.5" thickBot="1" x14ac:dyDescent="0.25">
      <c r="A6125" s="3">
        <v>6406</v>
      </c>
      <c r="B6125" s="28"/>
      <c r="C6125" s="3" t="s">
        <v>6</v>
      </c>
    </row>
    <row r="6126" spans="1:3" ht="13.5" thickBot="1" x14ac:dyDescent="0.25">
      <c r="A6126" s="3">
        <v>6263</v>
      </c>
      <c r="B6126" s="28"/>
      <c r="C6126" s="3" t="s">
        <v>6</v>
      </c>
    </row>
    <row r="6127" spans="1:3" ht="13.5" thickBot="1" x14ac:dyDescent="0.25">
      <c r="A6127" s="3">
        <v>967</v>
      </c>
      <c r="B6127" s="28"/>
      <c r="C6127" s="3" t="s">
        <v>3</v>
      </c>
    </row>
    <row r="6128" spans="1:3" ht="13.5" thickBot="1" x14ac:dyDescent="0.25">
      <c r="A6128" s="3">
        <v>265</v>
      </c>
      <c r="B6128" s="28"/>
      <c r="C6128" s="3" t="s">
        <v>4</v>
      </c>
    </row>
    <row r="6129" spans="1:3" ht="13.5" thickBot="1" x14ac:dyDescent="0.25">
      <c r="A6129" s="3">
        <v>5517</v>
      </c>
      <c r="B6129" s="28"/>
      <c r="C6129" s="3" t="s">
        <v>6</v>
      </c>
    </row>
    <row r="6130" spans="1:3" ht="13.5" thickBot="1" x14ac:dyDescent="0.25">
      <c r="A6130" s="3">
        <v>7424</v>
      </c>
      <c r="B6130" s="28"/>
      <c r="C6130" s="3" t="s">
        <v>4</v>
      </c>
    </row>
    <row r="6131" spans="1:3" ht="13.5" thickBot="1" x14ac:dyDescent="0.25">
      <c r="A6131" s="3">
        <v>5592</v>
      </c>
      <c r="B6131" s="28"/>
      <c r="C6131" s="3" t="s">
        <v>3</v>
      </c>
    </row>
    <row r="6132" spans="1:3" ht="13.5" thickBot="1" x14ac:dyDescent="0.25">
      <c r="A6132" s="3">
        <v>150</v>
      </c>
      <c r="B6132" s="28"/>
      <c r="C6132" s="3" t="s">
        <v>6</v>
      </c>
    </row>
    <row r="6133" spans="1:3" ht="13.5" thickBot="1" x14ac:dyDescent="0.25">
      <c r="A6133" s="3">
        <v>7915</v>
      </c>
      <c r="B6133" s="28"/>
      <c r="C6133" s="3" t="s">
        <v>4</v>
      </c>
    </row>
    <row r="6134" spans="1:3" ht="13.5" thickBot="1" x14ac:dyDescent="0.25">
      <c r="A6134" s="3">
        <v>223</v>
      </c>
      <c r="B6134" s="28"/>
      <c r="C6134" s="3" t="s">
        <v>5</v>
      </c>
    </row>
    <row r="6135" spans="1:3" ht="13.5" thickBot="1" x14ac:dyDescent="0.25">
      <c r="A6135" s="3">
        <v>5430</v>
      </c>
      <c r="B6135" s="28"/>
      <c r="C6135" s="3" t="s">
        <v>4</v>
      </c>
    </row>
    <row r="6136" spans="1:3" ht="13.5" thickBot="1" x14ac:dyDescent="0.25">
      <c r="A6136" s="3">
        <v>1927</v>
      </c>
      <c r="B6136" s="28"/>
      <c r="C6136" s="3" t="s">
        <v>6</v>
      </c>
    </row>
    <row r="6137" spans="1:3" ht="13.5" thickBot="1" x14ac:dyDescent="0.25">
      <c r="A6137" s="3">
        <v>1051</v>
      </c>
      <c r="B6137" s="28"/>
      <c r="C6137" s="3" t="s">
        <v>4</v>
      </c>
    </row>
    <row r="6138" spans="1:3" ht="13.5" thickBot="1" x14ac:dyDescent="0.25">
      <c r="A6138" s="3">
        <v>7357</v>
      </c>
      <c r="B6138" s="28"/>
      <c r="C6138" s="3" t="s">
        <v>3</v>
      </c>
    </row>
    <row r="6139" spans="1:3" ht="13.5" thickBot="1" x14ac:dyDescent="0.25">
      <c r="A6139" s="3">
        <v>6045</v>
      </c>
      <c r="B6139" s="28"/>
      <c r="C6139" s="3" t="s">
        <v>5</v>
      </c>
    </row>
    <row r="6140" spans="1:3" ht="13.5" thickBot="1" x14ac:dyDescent="0.25">
      <c r="A6140" s="3">
        <v>2583</v>
      </c>
      <c r="B6140" s="28"/>
      <c r="C6140" s="3" t="s">
        <v>6</v>
      </c>
    </row>
    <row r="6141" spans="1:3" ht="13.5" thickBot="1" x14ac:dyDescent="0.25">
      <c r="A6141" s="3">
        <v>1477</v>
      </c>
      <c r="B6141" s="28"/>
      <c r="C6141" s="3" t="s">
        <v>3</v>
      </c>
    </row>
    <row r="6142" spans="1:3" ht="13.5" thickBot="1" x14ac:dyDescent="0.25">
      <c r="A6142" s="3">
        <v>5278</v>
      </c>
      <c r="B6142" s="28"/>
      <c r="C6142" s="3" t="s">
        <v>5</v>
      </c>
    </row>
    <row r="6143" spans="1:3" ht="13.5" thickBot="1" x14ac:dyDescent="0.25">
      <c r="A6143" s="3">
        <v>7535</v>
      </c>
      <c r="B6143" s="28"/>
      <c r="C6143" s="3" t="s">
        <v>6</v>
      </c>
    </row>
    <row r="6144" spans="1:3" ht="13.5" thickBot="1" x14ac:dyDescent="0.25">
      <c r="A6144" s="3">
        <v>2230</v>
      </c>
      <c r="B6144" s="28"/>
      <c r="C6144" s="3" t="s">
        <v>5</v>
      </c>
    </row>
    <row r="6145" spans="1:3" ht="13.5" thickBot="1" x14ac:dyDescent="0.25">
      <c r="A6145" s="3">
        <v>2966</v>
      </c>
      <c r="B6145" s="28"/>
      <c r="C6145" s="3" t="s">
        <v>4</v>
      </c>
    </row>
    <row r="6146" spans="1:3" ht="13.5" thickBot="1" x14ac:dyDescent="0.25">
      <c r="A6146" s="3">
        <v>7424</v>
      </c>
      <c r="B6146" s="28"/>
      <c r="C6146" s="3" t="s">
        <v>3</v>
      </c>
    </row>
    <row r="6147" spans="1:3" ht="13.5" thickBot="1" x14ac:dyDescent="0.25">
      <c r="A6147" s="3">
        <v>3034</v>
      </c>
      <c r="B6147" s="28"/>
      <c r="C6147" s="3" t="s">
        <v>7</v>
      </c>
    </row>
    <row r="6148" spans="1:3" ht="13.5" thickBot="1" x14ac:dyDescent="0.25">
      <c r="A6148" s="3">
        <v>5251</v>
      </c>
      <c r="B6148" s="28"/>
      <c r="C6148" s="3" t="s">
        <v>3</v>
      </c>
    </row>
    <row r="6149" spans="1:3" ht="13.5" thickBot="1" x14ac:dyDescent="0.25">
      <c r="A6149" s="3">
        <v>1560</v>
      </c>
      <c r="B6149" s="28"/>
      <c r="C6149" s="3" t="s">
        <v>5</v>
      </c>
    </row>
    <row r="6150" spans="1:3" ht="13.5" thickBot="1" x14ac:dyDescent="0.25">
      <c r="A6150" s="3">
        <v>350</v>
      </c>
      <c r="B6150" s="28"/>
      <c r="C6150" s="3" t="s">
        <v>3</v>
      </c>
    </row>
    <row r="6151" spans="1:3" ht="13.5" thickBot="1" x14ac:dyDescent="0.25">
      <c r="A6151" s="3">
        <v>7727</v>
      </c>
      <c r="B6151" s="28"/>
      <c r="C6151" s="3" t="s">
        <v>3</v>
      </c>
    </row>
    <row r="6152" spans="1:3" ht="13.5" thickBot="1" x14ac:dyDescent="0.25">
      <c r="A6152" s="3">
        <v>6697</v>
      </c>
      <c r="B6152" s="28"/>
      <c r="C6152" s="3" t="s">
        <v>3</v>
      </c>
    </row>
    <row r="6153" spans="1:3" ht="13.5" thickBot="1" x14ac:dyDescent="0.25">
      <c r="A6153" s="3">
        <v>4059</v>
      </c>
      <c r="B6153" s="28"/>
      <c r="C6153" s="3" t="s">
        <v>3</v>
      </c>
    </row>
    <row r="6154" spans="1:3" ht="13.5" thickBot="1" x14ac:dyDescent="0.25">
      <c r="A6154" s="3">
        <v>7037</v>
      </c>
      <c r="B6154" s="28"/>
      <c r="C6154" s="3" t="s">
        <v>6</v>
      </c>
    </row>
    <row r="6155" spans="1:3" ht="13.5" thickBot="1" x14ac:dyDescent="0.25">
      <c r="A6155" s="3">
        <v>1951</v>
      </c>
      <c r="B6155" s="28"/>
      <c r="C6155" s="3" t="s">
        <v>3</v>
      </c>
    </row>
    <row r="6156" spans="1:3" ht="13.5" thickBot="1" x14ac:dyDescent="0.25">
      <c r="A6156" s="3">
        <v>4718</v>
      </c>
      <c r="B6156" s="28"/>
      <c r="C6156" s="3" t="s">
        <v>3</v>
      </c>
    </row>
    <row r="6157" spans="1:3" ht="13.5" thickBot="1" x14ac:dyDescent="0.25">
      <c r="A6157" s="3">
        <v>6801</v>
      </c>
      <c r="B6157" s="28"/>
      <c r="C6157" s="3" t="s">
        <v>6</v>
      </c>
    </row>
    <row r="6158" spans="1:3" ht="13.5" thickBot="1" x14ac:dyDescent="0.25">
      <c r="A6158" s="3">
        <v>388</v>
      </c>
      <c r="B6158" s="28"/>
      <c r="C6158" s="3" t="s">
        <v>3</v>
      </c>
    </row>
    <row r="6159" spans="1:3" ht="13.5" thickBot="1" x14ac:dyDescent="0.25">
      <c r="A6159" s="3">
        <v>5896</v>
      </c>
      <c r="B6159" s="28"/>
      <c r="C6159" s="3" t="s">
        <v>3</v>
      </c>
    </row>
    <row r="6160" spans="1:3" ht="13.5" thickBot="1" x14ac:dyDescent="0.25">
      <c r="A6160" s="3">
        <v>1727</v>
      </c>
      <c r="B6160" s="28"/>
      <c r="C6160" s="3" t="s">
        <v>5</v>
      </c>
    </row>
    <row r="6161" spans="1:3" ht="13.5" thickBot="1" x14ac:dyDescent="0.25">
      <c r="A6161" s="3">
        <v>4718</v>
      </c>
      <c r="B6161" s="28"/>
      <c r="C6161" s="3" t="s">
        <v>4</v>
      </c>
    </row>
    <row r="6162" spans="1:3" ht="13.5" thickBot="1" x14ac:dyDescent="0.25">
      <c r="A6162" s="3">
        <v>2078</v>
      </c>
      <c r="B6162" s="28"/>
      <c r="C6162" s="3" t="s">
        <v>3</v>
      </c>
    </row>
    <row r="6163" spans="1:3" ht="13.5" thickBot="1" x14ac:dyDescent="0.25">
      <c r="A6163" s="3">
        <v>6435</v>
      </c>
      <c r="B6163" s="28"/>
      <c r="C6163" s="3" t="s">
        <v>3</v>
      </c>
    </row>
    <row r="6164" spans="1:3" ht="13.5" thickBot="1" x14ac:dyDescent="0.25">
      <c r="A6164" s="3">
        <v>3708</v>
      </c>
      <c r="B6164" s="28"/>
      <c r="C6164" s="3" t="s">
        <v>4</v>
      </c>
    </row>
    <row r="6165" spans="1:3" ht="13.5" thickBot="1" x14ac:dyDescent="0.25">
      <c r="A6165" s="3">
        <v>5563</v>
      </c>
      <c r="B6165" s="28"/>
      <c r="C6165" s="3" t="s">
        <v>4</v>
      </c>
    </row>
    <row r="6166" spans="1:3" ht="13.5" thickBot="1" x14ac:dyDescent="0.25">
      <c r="A6166" s="3">
        <v>7880</v>
      </c>
      <c r="B6166" s="28"/>
      <c r="C6166" s="3" t="s">
        <v>4</v>
      </c>
    </row>
    <row r="6167" spans="1:3" ht="13.5" thickBot="1" x14ac:dyDescent="0.25">
      <c r="A6167" s="3">
        <v>7980</v>
      </c>
      <c r="B6167" s="28"/>
      <c r="C6167" s="3" t="s">
        <v>3</v>
      </c>
    </row>
    <row r="6168" spans="1:3" ht="13.5" thickBot="1" x14ac:dyDescent="0.25">
      <c r="A6168" s="3">
        <v>4422</v>
      </c>
      <c r="B6168" s="28"/>
      <c r="C6168" s="3" t="s">
        <v>7</v>
      </c>
    </row>
    <row r="6169" spans="1:3" ht="13.5" thickBot="1" x14ac:dyDescent="0.25">
      <c r="A6169" s="3">
        <v>4926</v>
      </c>
      <c r="B6169" s="28"/>
      <c r="C6169" s="3" t="s">
        <v>3</v>
      </c>
    </row>
    <row r="6170" spans="1:3" ht="13.5" thickBot="1" x14ac:dyDescent="0.25">
      <c r="A6170" s="3">
        <v>3667</v>
      </c>
      <c r="B6170" s="28"/>
      <c r="C6170" s="3" t="s">
        <v>3</v>
      </c>
    </row>
    <row r="6171" spans="1:3" ht="13.5" thickBot="1" x14ac:dyDescent="0.25">
      <c r="A6171" s="3">
        <v>1808</v>
      </c>
      <c r="B6171" s="28"/>
      <c r="C6171" s="3" t="s">
        <v>3</v>
      </c>
    </row>
    <row r="6172" spans="1:3" ht="13.5" thickBot="1" x14ac:dyDescent="0.25">
      <c r="A6172" s="3">
        <v>4926</v>
      </c>
      <c r="B6172" s="28"/>
      <c r="C6172" s="3" t="s">
        <v>5</v>
      </c>
    </row>
    <row r="6173" spans="1:3" ht="13.5" thickBot="1" x14ac:dyDescent="0.25">
      <c r="A6173" s="3">
        <v>6874</v>
      </c>
      <c r="B6173" s="28"/>
      <c r="C6173" s="3" t="s">
        <v>3</v>
      </c>
    </row>
    <row r="6174" spans="1:3" ht="13.5" thickBot="1" x14ac:dyDescent="0.25">
      <c r="A6174" s="3">
        <v>5818</v>
      </c>
      <c r="B6174" s="28"/>
      <c r="C6174" s="3" t="s">
        <v>6</v>
      </c>
    </row>
    <row r="6175" spans="1:3" ht="13.5" thickBot="1" x14ac:dyDescent="0.25">
      <c r="A6175" s="3">
        <v>350</v>
      </c>
      <c r="B6175" s="28"/>
      <c r="C6175" s="3" t="s">
        <v>5</v>
      </c>
    </row>
    <row r="6176" spans="1:3" ht="13.5" thickBot="1" x14ac:dyDescent="0.25">
      <c r="A6176" s="3">
        <v>3013</v>
      </c>
      <c r="B6176" s="28"/>
      <c r="C6176" s="3" t="s">
        <v>3</v>
      </c>
    </row>
    <row r="6177" spans="1:3" ht="13.5" thickBot="1" x14ac:dyDescent="0.25">
      <c r="A6177" s="3">
        <v>4697</v>
      </c>
      <c r="B6177" s="28"/>
      <c r="C6177" s="3" t="s">
        <v>4</v>
      </c>
    </row>
    <row r="6178" spans="1:3" ht="13.5" thickBot="1" x14ac:dyDescent="0.25">
      <c r="A6178" s="3">
        <v>1760</v>
      </c>
      <c r="B6178" s="28"/>
      <c r="C6178" s="3" t="s">
        <v>3</v>
      </c>
    </row>
    <row r="6179" spans="1:3" ht="13.5" thickBot="1" x14ac:dyDescent="0.25">
      <c r="A6179" s="3">
        <v>223</v>
      </c>
      <c r="B6179" s="28"/>
      <c r="C6179" s="3" t="s">
        <v>6</v>
      </c>
    </row>
    <row r="6180" spans="1:3" ht="13.5" thickBot="1" x14ac:dyDescent="0.25">
      <c r="A6180" s="3">
        <v>5278</v>
      </c>
      <c r="B6180" s="28"/>
      <c r="C6180" s="3" t="s">
        <v>7</v>
      </c>
    </row>
    <row r="6181" spans="1:3" ht="13.5" thickBot="1" x14ac:dyDescent="0.25">
      <c r="A6181" s="3">
        <v>484</v>
      </c>
      <c r="B6181" s="28"/>
      <c r="C6181" s="3" t="s">
        <v>7</v>
      </c>
    </row>
    <row r="6182" spans="1:3" ht="13.5" thickBot="1" x14ac:dyDescent="0.25">
      <c r="A6182" s="3">
        <v>1453</v>
      </c>
      <c r="B6182" s="28"/>
      <c r="C6182" s="3" t="s">
        <v>3</v>
      </c>
    </row>
    <row r="6183" spans="1:3" ht="13.5" thickBot="1" x14ac:dyDescent="0.25">
      <c r="A6183" s="3">
        <v>4159</v>
      </c>
      <c r="B6183" s="28"/>
      <c r="C6183" s="3" t="s">
        <v>3</v>
      </c>
    </row>
    <row r="6184" spans="1:3" ht="13.5" thickBot="1" x14ac:dyDescent="0.25">
      <c r="A6184" s="3">
        <v>5609</v>
      </c>
      <c r="B6184" s="28"/>
      <c r="C6184" s="3" t="s">
        <v>7</v>
      </c>
    </row>
    <row r="6185" spans="1:3" ht="13.5" thickBot="1" x14ac:dyDescent="0.25">
      <c r="A6185" s="3">
        <v>4954</v>
      </c>
      <c r="B6185" s="28"/>
      <c r="C6185" s="3" t="s">
        <v>6</v>
      </c>
    </row>
    <row r="6186" spans="1:3" ht="13.5" thickBot="1" x14ac:dyDescent="0.25">
      <c r="A6186" s="3">
        <v>169</v>
      </c>
      <c r="B6186" s="28"/>
      <c r="C6186" s="3" t="s">
        <v>3</v>
      </c>
    </row>
    <row r="6187" spans="1:3" ht="13.5" thickBot="1" x14ac:dyDescent="0.25">
      <c r="A6187" s="3">
        <v>7410</v>
      </c>
      <c r="B6187" s="28"/>
      <c r="C6187" s="3" t="s">
        <v>6</v>
      </c>
    </row>
    <row r="6188" spans="1:3" ht="13.5" thickBot="1" x14ac:dyDescent="0.25">
      <c r="A6188" s="3">
        <v>350</v>
      </c>
      <c r="B6188" s="28"/>
      <c r="C6188" s="3" t="s">
        <v>7</v>
      </c>
    </row>
    <row r="6189" spans="1:3" ht="13.5" thickBot="1" x14ac:dyDescent="0.25">
      <c r="A6189" s="3">
        <v>3013</v>
      </c>
      <c r="B6189" s="28"/>
      <c r="C6189" s="3" t="s">
        <v>4</v>
      </c>
    </row>
    <row r="6190" spans="1:3" ht="13.5" thickBot="1" x14ac:dyDescent="0.25">
      <c r="A6190" s="3">
        <v>3791</v>
      </c>
      <c r="B6190" s="28"/>
      <c r="C6190" s="3" t="s">
        <v>3</v>
      </c>
    </row>
    <row r="6191" spans="1:3" ht="13.5" thickBot="1" x14ac:dyDescent="0.25">
      <c r="A6191" s="3">
        <v>5897</v>
      </c>
      <c r="B6191" s="28"/>
      <c r="C6191" s="3" t="s">
        <v>6</v>
      </c>
    </row>
    <row r="6192" spans="1:3" ht="13.5" thickBot="1" x14ac:dyDescent="0.25">
      <c r="A6192" s="3">
        <v>658</v>
      </c>
      <c r="B6192" s="28"/>
      <c r="C6192" s="3" t="s">
        <v>3</v>
      </c>
    </row>
    <row r="6193" spans="1:3" ht="13.5" thickBot="1" x14ac:dyDescent="0.25">
      <c r="A6193" s="3">
        <v>3224</v>
      </c>
      <c r="B6193" s="28"/>
      <c r="C6193" s="3" t="s">
        <v>4</v>
      </c>
    </row>
    <row r="6194" spans="1:3" ht="13.5" thickBot="1" x14ac:dyDescent="0.25">
      <c r="A6194" s="3">
        <v>5987</v>
      </c>
      <c r="B6194" s="28"/>
      <c r="C6194" s="3" t="s">
        <v>3</v>
      </c>
    </row>
    <row r="6195" spans="1:3" ht="13.5" thickBot="1" x14ac:dyDescent="0.25">
      <c r="A6195" s="3">
        <v>4450</v>
      </c>
      <c r="B6195" s="28"/>
      <c r="C6195" s="3" t="s">
        <v>6</v>
      </c>
    </row>
    <row r="6196" spans="1:3" ht="13.5" thickBot="1" x14ac:dyDescent="0.25">
      <c r="A6196" s="3">
        <v>2956</v>
      </c>
      <c r="B6196" s="28"/>
      <c r="C6196" s="3" t="s">
        <v>3</v>
      </c>
    </row>
    <row r="6197" spans="1:3" ht="13.5" thickBot="1" x14ac:dyDescent="0.25">
      <c r="A6197" s="3">
        <v>1219</v>
      </c>
      <c r="B6197" s="28"/>
      <c r="C6197" s="3" t="s">
        <v>3</v>
      </c>
    </row>
    <row r="6198" spans="1:3" ht="13.5" thickBot="1" x14ac:dyDescent="0.25">
      <c r="A6198" s="3">
        <v>535</v>
      </c>
      <c r="B6198" s="28"/>
      <c r="C6198" s="3" t="s">
        <v>6</v>
      </c>
    </row>
    <row r="6199" spans="1:3" ht="13.5" thickBot="1" x14ac:dyDescent="0.25">
      <c r="A6199" s="3">
        <v>764</v>
      </c>
      <c r="B6199" s="28"/>
      <c r="C6199" s="3" t="s">
        <v>4</v>
      </c>
    </row>
    <row r="6200" spans="1:3" ht="13.5" thickBot="1" x14ac:dyDescent="0.25">
      <c r="A6200" s="3">
        <v>1477</v>
      </c>
      <c r="B6200" s="28"/>
      <c r="C6200" s="3" t="s">
        <v>4</v>
      </c>
    </row>
    <row r="6201" spans="1:3" ht="13.5" thickBot="1" x14ac:dyDescent="0.25">
      <c r="A6201" s="3">
        <v>335</v>
      </c>
      <c r="B6201" s="28"/>
      <c r="C6201" s="3" t="s">
        <v>6</v>
      </c>
    </row>
    <row r="6202" spans="1:3" ht="13.5" thickBot="1" x14ac:dyDescent="0.25">
      <c r="A6202" s="3">
        <v>2269</v>
      </c>
      <c r="B6202" s="28"/>
      <c r="C6202" s="3" t="s">
        <v>3</v>
      </c>
    </row>
    <row r="6203" spans="1:3" ht="13.5" thickBot="1" x14ac:dyDescent="0.25">
      <c r="A6203" s="3">
        <v>6826</v>
      </c>
      <c r="B6203" s="28"/>
      <c r="C6203" s="3" t="s">
        <v>7</v>
      </c>
    </row>
    <row r="6204" spans="1:3" ht="13.5" thickBot="1" x14ac:dyDescent="0.25">
      <c r="A6204" s="3">
        <v>4059</v>
      </c>
      <c r="B6204" s="28"/>
      <c r="C6204" s="3" t="s">
        <v>4</v>
      </c>
    </row>
    <row r="6205" spans="1:3" ht="13.5" thickBot="1" x14ac:dyDescent="0.25">
      <c r="A6205" s="3">
        <v>323</v>
      </c>
      <c r="B6205" s="28"/>
      <c r="C6205" s="3" t="s">
        <v>7</v>
      </c>
    </row>
    <row r="6206" spans="1:3" ht="13.5" thickBot="1" x14ac:dyDescent="0.25">
      <c r="A6206" s="3">
        <v>5205</v>
      </c>
      <c r="B6206" s="28"/>
      <c r="C6206" s="3" t="s">
        <v>4</v>
      </c>
    </row>
    <row r="6207" spans="1:3" ht="13.5" thickBot="1" x14ac:dyDescent="0.25">
      <c r="A6207" s="3">
        <v>1953</v>
      </c>
      <c r="B6207" s="28"/>
      <c r="C6207" s="3" t="s">
        <v>3</v>
      </c>
    </row>
    <row r="6208" spans="1:3" ht="13.5" thickBot="1" x14ac:dyDescent="0.25">
      <c r="A6208" s="3">
        <v>6530</v>
      </c>
      <c r="B6208" s="28"/>
      <c r="C6208" s="3" t="s">
        <v>4</v>
      </c>
    </row>
    <row r="6209" spans="1:3" ht="13.5" thickBot="1" x14ac:dyDescent="0.25">
      <c r="A6209" s="3">
        <v>4887</v>
      </c>
      <c r="B6209" s="28"/>
      <c r="C6209" s="3" t="s">
        <v>5</v>
      </c>
    </row>
    <row r="6210" spans="1:3" ht="13.5" thickBot="1" x14ac:dyDescent="0.25">
      <c r="A6210" s="3">
        <v>388</v>
      </c>
      <c r="B6210" s="28"/>
      <c r="C6210" s="3" t="s">
        <v>4</v>
      </c>
    </row>
    <row r="6211" spans="1:3" ht="13.5" thickBot="1" x14ac:dyDescent="0.25">
      <c r="A6211" s="3">
        <v>764</v>
      </c>
      <c r="B6211" s="28"/>
      <c r="C6211" s="3" t="s">
        <v>3</v>
      </c>
    </row>
    <row r="6212" spans="1:3" ht="13.5" thickBot="1" x14ac:dyDescent="0.25">
      <c r="A6212" s="3">
        <v>5818</v>
      </c>
      <c r="B6212" s="28"/>
      <c r="C6212" s="3" t="s">
        <v>5</v>
      </c>
    </row>
    <row r="6213" spans="1:3" ht="13.5" thickBot="1" x14ac:dyDescent="0.25">
      <c r="A6213" s="3">
        <v>7690</v>
      </c>
      <c r="B6213" s="28"/>
      <c r="C6213" s="3" t="s">
        <v>3</v>
      </c>
    </row>
    <row r="6214" spans="1:3" ht="13.5" thickBot="1" x14ac:dyDescent="0.25">
      <c r="A6214" s="3">
        <v>1560</v>
      </c>
      <c r="B6214" s="28"/>
      <c r="C6214" s="3" t="s">
        <v>6</v>
      </c>
    </row>
    <row r="6215" spans="1:3" ht="13.5" thickBot="1" x14ac:dyDescent="0.25">
      <c r="A6215" s="3">
        <v>2558</v>
      </c>
      <c r="B6215" s="28"/>
      <c r="C6215" s="3" t="s">
        <v>4</v>
      </c>
    </row>
    <row r="6216" spans="1:3" ht="13.5" thickBot="1" x14ac:dyDescent="0.25">
      <c r="A6216" s="3">
        <v>7915</v>
      </c>
      <c r="B6216" s="28"/>
      <c r="C6216" s="3" t="s">
        <v>6</v>
      </c>
    </row>
    <row r="6217" spans="1:3" ht="13.5" thickBot="1" x14ac:dyDescent="0.25">
      <c r="A6217" s="3">
        <v>1953</v>
      </c>
      <c r="B6217" s="28"/>
      <c r="C6217" s="3" t="s">
        <v>4</v>
      </c>
    </row>
    <row r="6218" spans="1:3" ht="13.5" thickBot="1" x14ac:dyDescent="0.25">
      <c r="A6218" s="3">
        <v>5671</v>
      </c>
      <c r="B6218" s="28"/>
      <c r="C6218" s="3" t="s">
        <v>6</v>
      </c>
    </row>
    <row r="6219" spans="1:3" ht="13.5" thickBot="1" x14ac:dyDescent="0.25">
      <c r="A6219" s="3">
        <v>6084</v>
      </c>
      <c r="B6219" s="28"/>
      <c r="C6219" s="3" t="s">
        <v>6</v>
      </c>
    </row>
    <row r="6220" spans="1:3" ht="13.5" thickBot="1" x14ac:dyDescent="0.25">
      <c r="A6220" s="3">
        <v>6342</v>
      </c>
      <c r="B6220" s="28"/>
      <c r="C6220" s="3" t="s">
        <v>6</v>
      </c>
    </row>
    <row r="6221" spans="1:3" ht="13.5" thickBot="1" x14ac:dyDescent="0.25">
      <c r="A6221" s="3">
        <v>3667</v>
      </c>
      <c r="B6221" s="28"/>
      <c r="C6221" s="3" t="s">
        <v>4</v>
      </c>
    </row>
    <row r="6222" spans="1:3" ht="13.5" thickBot="1" x14ac:dyDescent="0.25">
      <c r="A6222" s="3">
        <v>5563</v>
      </c>
      <c r="B6222" s="28"/>
      <c r="C6222" s="3" t="s">
        <v>6</v>
      </c>
    </row>
    <row r="6223" spans="1:3" ht="13.5" thickBot="1" x14ac:dyDescent="0.25">
      <c r="A6223" s="3">
        <v>2930</v>
      </c>
      <c r="B6223" s="28"/>
      <c r="C6223" s="3" t="s">
        <v>7</v>
      </c>
    </row>
    <row r="6224" spans="1:3" ht="13.5" thickBot="1" x14ac:dyDescent="0.25">
      <c r="A6224" s="3">
        <v>1808</v>
      </c>
      <c r="B6224" s="28"/>
      <c r="C6224" s="3" t="s">
        <v>4</v>
      </c>
    </row>
    <row r="6225" spans="1:3" ht="13.5" thickBot="1" x14ac:dyDescent="0.25">
      <c r="A6225" s="3">
        <v>1560</v>
      </c>
      <c r="B6225" s="28"/>
      <c r="C6225" s="3" t="s">
        <v>7</v>
      </c>
    </row>
    <row r="6226" spans="1:3" ht="13.5" thickBot="1" x14ac:dyDescent="0.25">
      <c r="A6226" s="3">
        <v>4862</v>
      </c>
      <c r="B6226" s="28"/>
      <c r="C6226" s="3" t="s">
        <v>6</v>
      </c>
    </row>
    <row r="6227" spans="1:3" ht="13.5" thickBot="1" x14ac:dyDescent="0.25">
      <c r="A6227" s="3">
        <v>52</v>
      </c>
      <c r="B6227" s="28"/>
      <c r="C6227" s="3" t="s">
        <v>7</v>
      </c>
    </row>
    <row r="6228" spans="1:3" ht="13.5" thickBot="1" x14ac:dyDescent="0.25">
      <c r="A6228" s="3">
        <v>350</v>
      </c>
      <c r="B6228" s="28"/>
      <c r="C6228" s="3" t="s">
        <v>4</v>
      </c>
    </row>
    <row r="6229" spans="1:3" ht="13.5" thickBot="1" x14ac:dyDescent="0.25">
      <c r="A6229" s="3">
        <v>7713</v>
      </c>
      <c r="B6229" s="28"/>
      <c r="C6229" s="3" t="s">
        <v>3</v>
      </c>
    </row>
    <row r="6230" spans="1:3" ht="13.5" thickBot="1" x14ac:dyDescent="0.25">
      <c r="A6230" s="3">
        <v>6907</v>
      </c>
      <c r="B6230" s="28"/>
      <c r="C6230" s="3" t="s">
        <v>6</v>
      </c>
    </row>
    <row r="6231" spans="1:3" ht="13.5" thickBot="1" x14ac:dyDescent="0.25">
      <c r="A6231" s="3">
        <v>20</v>
      </c>
      <c r="B6231" s="28"/>
      <c r="C6231" s="3" t="s">
        <v>6</v>
      </c>
    </row>
    <row r="6232" spans="1:3" ht="13.5" thickBot="1" x14ac:dyDescent="0.25">
      <c r="A6232" s="3">
        <v>1882</v>
      </c>
      <c r="B6232" s="28"/>
      <c r="C6232" s="3" t="s">
        <v>4</v>
      </c>
    </row>
    <row r="6233" spans="1:3" ht="13.5" thickBot="1" x14ac:dyDescent="0.25">
      <c r="A6233" s="3">
        <v>4223</v>
      </c>
      <c r="B6233" s="28"/>
      <c r="C6233" s="3" t="s">
        <v>7</v>
      </c>
    </row>
    <row r="6234" spans="1:3" ht="13.5" thickBot="1" x14ac:dyDescent="0.25">
      <c r="A6234" s="3">
        <v>7464</v>
      </c>
      <c r="B6234" s="28"/>
      <c r="C6234" s="3" t="s">
        <v>5</v>
      </c>
    </row>
    <row r="6235" spans="1:3" ht="13.5" thickBot="1" x14ac:dyDescent="0.25">
      <c r="A6235" s="3">
        <v>6905</v>
      </c>
      <c r="B6235" s="28"/>
      <c r="C6235" s="3" t="s">
        <v>3</v>
      </c>
    </row>
    <row r="6236" spans="1:3" ht="13.5" thickBot="1" x14ac:dyDescent="0.25">
      <c r="A6236" s="3">
        <v>5687</v>
      </c>
      <c r="B6236" s="28"/>
      <c r="C6236" s="3" t="s">
        <v>6</v>
      </c>
    </row>
    <row r="6237" spans="1:3" ht="13.5" thickBot="1" x14ac:dyDescent="0.25">
      <c r="A6237" s="3">
        <v>3371</v>
      </c>
      <c r="B6237" s="28"/>
      <c r="C6237" s="3" t="s">
        <v>6</v>
      </c>
    </row>
    <row r="6238" spans="1:3" ht="13.5" thickBot="1" x14ac:dyDescent="0.25">
      <c r="A6238" s="3">
        <v>7690</v>
      </c>
      <c r="B6238" s="28"/>
      <c r="C6238" s="3" t="s">
        <v>4</v>
      </c>
    </row>
    <row r="6239" spans="1:3" ht="13.5" thickBot="1" x14ac:dyDescent="0.25">
      <c r="A6239" s="3">
        <v>2771</v>
      </c>
      <c r="B6239" s="28"/>
      <c r="C6239" s="3" t="s">
        <v>6</v>
      </c>
    </row>
    <row r="6240" spans="1:3" ht="13.5" thickBot="1" x14ac:dyDescent="0.25">
      <c r="A6240" s="3">
        <v>7355</v>
      </c>
      <c r="B6240" s="28"/>
      <c r="C6240" s="3" t="s">
        <v>6</v>
      </c>
    </row>
    <row r="6241" spans="1:3" ht="13.5" thickBot="1" x14ac:dyDescent="0.25">
      <c r="A6241" s="3">
        <v>4718</v>
      </c>
      <c r="B6241" s="28"/>
      <c r="C6241" s="3" t="s">
        <v>5</v>
      </c>
    </row>
    <row r="6242" spans="1:3" ht="13.5" thickBot="1" x14ac:dyDescent="0.25">
      <c r="A6242" s="3">
        <v>3837</v>
      </c>
      <c r="B6242" s="28"/>
      <c r="C6242" s="3" t="s">
        <v>3</v>
      </c>
    </row>
    <row r="6243" spans="1:3" ht="13.5" thickBot="1" x14ac:dyDescent="0.25">
      <c r="A6243" s="3">
        <v>4984</v>
      </c>
      <c r="B6243" s="28"/>
      <c r="C6243" s="3" t="s">
        <v>6</v>
      </c>
    </row>
    <row r="6244" spans="1:3" ht="13.5" thickBot="1" x14ac:dyDescent="0.25">
      <c r="A6244" s="3">
        <v>7727</v>
      </c>
      <c r="B6244" s="28"/>
      <c r="C6244" s="3" t="s">
        <v>4</v>
      </c>
    </row>
    <row r="6245" spans="1:3" ht="13.5" thickBot="1" x14ac:dyDescent="0.25">
      <c r="A6245" s="3">
        <v>3316</v>
      </c>
      <c r="B6245" s="28"/>
      <c r="C6245" s="3" t="s">
        <v>3</v>
      </c>
    </row>
    <row r="6246" spans="1:3" ht="13.5" thickBot="1" x14ac:dyDescent="0.25">
      <c r="A6246" s="3">
        <v>5205</v>
      </c>
      <c r="B6246" s="28"/>
      <c r="C6246" s="3" t="s">
        <v>5</v>
      </c>
    </row>
    <row r="6247" spans="1:3" ht="13.5" thickBot="1" x14ac:dyDescent="0.25">
      <c r="A6247" s="3">
        <v>7464</v>
      </c>
      <c r="B6247" s="28"/>
      <c r="C6247" s="3" t="s">
        <v>3</v>
      </c>
    </row>
    <row r="6248" spans="1:3" ht="13.5" thickBot="1" x14ac:dyDescent="0.25">
      <c r="A6248" s="3">
        <v>6399</v>
      </c>
      <c r="B6248" s="28"/>
      <c r="C6248" s="3" t="s">
        <v>7</v>
      </c>
    </row>
    <row r="6249" spans="1:3" ht="13.5" thickBot="1" x14ac:dyDescent="0.25">
      <c r="A6249" s="3">
        <v>4558</v>
      </c>
      <c r="B6249" s="28"/>
      <c r="C6249" s="3" t="s">
        <v>7</v>
      </c>
    </row>
    <row r="6250" spans="1:3" ht="13.5" thickBot="1" x14ac:dyDescent="0.25">
      <c r="A6250" s="3">
        <v>1048</v>
      </c>
      <c r="B6250" s="28"/>
      <c r="C6250" s="3" t="s">
        <v>6</v>
      </c>
    </row>
    <row r="6251" spans="1:3" ht="13.5" thickBot="1" x14ac:dyDescent="0.25">
      <c r="A6251" s="3">
        <v>512</v>
      </c>
      <c r="B6251" s="28"/>
      <c r="C6251" s="3" t="s">
        <v>5</v>
      </c>
    </row>
    <row r="6252" spans="1:3" ht="13.5" thickBot="1" x14ac:dyDescent="0.25">
      <c r="A6252" s="3">
        <v>7727</v>
      </c>
      <c r="B6252" s="28"/>
      <c r="C6252" s="3" t="s">
        <v>6</v>
      </c>
    </row>
    <row r="6253" spans="1:3" ht="13.5" thickBot="1" x14ac:dyDescent="0.25">
      <c r="A6253" s="3">
        <v>2879</v>
      </c>
      <c r="B6253" s="28"/>
      <c r="C6253" s="3" t="s">
        <v>3</v>
      </c>
    </row>
    <row r="6254" spans="1:3" ht="13.5" thickBot="1" x14ac:dyDescent="0.25">
      <c r="A6254" s="3">
        <v>5179</v>
      </c>
      <c r="B6254" s="28"/>
      <c r="C6254" s="3" t="s">
        <v>3</v>
      </c>
    </row>
    <row r="6255" spans="1:3" ht="13.5" thickBot="1" x14ac:dyDescent="0.25">
      <c r="A6255" s="3">
        <v>7424</v>
      </c>
      <c r="B6255" s="28"/>
      <c r="C6255" s="3" t="s">
        <v>5</v>
      </c>
    </row>
    <row r="6256" spans="1:3" ht="13.5" thickBot="1" x14ac:dyDescent="0.25">
      <c r="A6256" s="3">
        <v>3667</v>
      </c>
      <c r="B6256" s="28"/>
      <c r="C6256" s="3" t="s">
        <v>5</v>
      </c>
    </row>
    <row r="6257" spans="1:3" ht="13.5" thickBot="1" x14ac:dyDescent="0.25">
      <c r="A6257" s="3">
        <v>4805</v>
      </c>
      <c r="B6257" s="28"/>
      <c r="C6257" s="3" t="s">
        <v>3</v>
      </c>
    </row>
    <row r="6258" spans="1:3" ht="13.5" thickBot="1" x14ac:dyDescent="0.25">
      <c r="A6258" s="3">
        <v>7709</v>
      </c>
      <c r="B6258" s="28"/>
      <c r="C6258" s="3" t="s">
        <v>3</v>
      </c>
    </row>
    <row r="6259" spans="1:3" ht="13.5" thickBot="1" x14ac:dyDescent="0.25">
      <c r="A6259" s="3">
        <v>4847</v>
      </c>
      <c r="B6259" s="28"/>
      <c r="C6259" s="3" t="s">
        <v>3</v>
      </c>
    </row>
    <row r="6260" spans="1:3" ht="13.5" thickBot="1" x14ac:dyDescent="0.25">
      <c r="A6260" s="3">
        <v>1809</v>
      </c>
      <c r="B6260" s="28"/>
      <c r="C6260" s="3" t="s">
        <v>3</v>
      </c>
    </row>
    <row r="6261" spans="1:3" ht="13.5" thickBot="1" x14ac:dyDescent="0.25">
      <c r="A6261" s="3">
        <v>2255</v>
      </c>
      <c r="B6261" s="28"/>
      <c r="C6261" s="3" t="s">
        <v>3</v>
      </c>
    </row>
    <row r="6262" spans="1:3" ht="13.5" thickBot="1" x14ac:dyDescent="0.25">
      <c r="A6262" s="3">
        <v>5205</v>
      </c>
      <c r="B6262" s="28"/>
      <c r="C6262" s="3" t="s">
        <v>7</v>
      </c>
    </row>
    <row r="6263" spans="1:3" ht="13.5" thickBot="1" x14ac:dyDescent="0.25">
      <c r="A6263" s="3">
        <v>5859</v>
      </c>
      <c r="B6263" s="28"/>
      <c r="C6263" s="3" t="s">
        <v>4</v>
      </c>
    </row>
    <row r="6264" spans="1:3" ht="13.5" thickBot="1" x14ac:dyDescent="0.25">
      <c r="A6264" s="3">
        <v>4792</v>
      </c>
      <c r="B6264" s="28"/>
      <c r="C6264" s="3" t="s">
        <v>3</v>
      </c>
    </row>
    <row r="6265" spans="1:3" ht="13.5" thickBot="1" x14ac:dyDescent="0.25">
      <c r="A6265" s="3">
        <v>1633</v>
      </c>
      <c r="B6265" s="28"/>
      <c r="C6265" s="3" t="s">
        <v>6</v>
      </c>
    </row>
    <row r="6266" spans="1:3" ht="13.5" thickBot="1" x14ac:dyDescent="0.25">
      <c r="A6266" s="3">
        <v>758</v>
      </c>
      <c r="B6266" s="28"/>
      <c r="C6266" s="3" t="s">
        <v>3</v>
      </c>
    </row>
    <row r="6267" spans="1:3" ht="13.5" thickBot="1" x14ac:dyDescent="0.25">
      <c r="A6267" s="3">
        <v>4223</v>
      </c>
      <c r="B6267" s="28"/>
      <c r="C6267" s="3" t="s">
        <v>5</v>
      </c>
    </row>
    <row r="6268" spans="1:3" ht="13.5" thickBot="1" x14ac:dyDescent="0.25">
      <c r="A6268" s="3">
        <v>5402</v>
      </c>
      <c r="B6268" s="28"/>
      <c r="C6268" s="3" t="s">
        <v>3</v>
      </c>
    </row>
    <row r="6269" spans="1:3" ht="13.5" thickBot="1" x14ac:dyDescent="0.25">
      <c r="A6269" s="3">
        <v>4887</v>
      </c>
      <c r="B6269" s="28"/>
      <c r="C6269" s="3" t="s">
        <v>4</v>
      </c>
    </row>
    <row r="6270" spans="1:3" ht="13.5" thickBot="1" x14ac:dyDescent="0.25">
      <c r="A6270" s="3">
        <v>513</v>
      </c>
      <c r="B6270" s="28"/>
      <c r="C6270" s="3" t="s">
        <v>3</v>
      </c>
    </row>
    <row r="6271" spans="1:3" ht="13.5" thickBot="1" x14ac:dyDescent="0.25">
      <c r="A6271" s="3">
        <v>4824</v>
      </c>
      <c r="B6271" s="28"/>
      <c r="C6271" s="3" t="s">
        <v>3</v>
      </c>
    </row>
    <row r="6272" spans="1:3" ht="13.5" thickBot="1" x14ac:dyDescent="0.25">
      <c r="A6272" s="3">
        <v>5522</v>
      </c>
      <c r="B6272" s="28"/>
      <c r="C6272" s="3" t="s">
        <v>3</v>
      </c>
    </row>
    <row r="6273" spans="1:3" ht="13.5" thickBot="1" x14ac:dyDescent="0.25">
      <c r="A6273" s="3">
        <v>2113</v>
      </c>
      <c r="B6273" s="28"/>
      <c r="C6273" s="3" t="s">
        <v>6</v>
      </c>
    </row>
    <row r="6274" spans="1:3" ht="13.5" thickBot="1" x14ac:dyDescent="0.25">
      <c r="A6274" s="3">
        <v>1036</v>
      </c>
      <c r="B6274" s="28"/>
      <c r="C6274" s="3" t="s">
        <v>3</v>
      </c>
    </row>
    <row r="6275" spans="1:3" ht="13.5" thickBot="1" x14ac:dyDescent="0.25">
      <c r="A6275" s="3">
        <v>2171</v>
      </c>
      <c r="B6275" s="28"/>
      <c r="C6275" s="3" t="s">
        <v>3</v>
      </c>
    </row>
    <row r="6276" spans="1:3" ht="13.5" thickBot="1" x14ac:dyDescent="0.25">
      <c r="A6276" s="3">
        <v>7980</v>
      </c>
      <c r="B6276" s="28"/>
      <c r="C6276" s="3" t="s">
        <v>5</v>
      </c>
    </row>
    <row r="6277" spans="1:3" ht="13.5" thickBot="1" x14ac:dyDescent="0.25">
      <c r="A6277" s="3">
        <v>1727</v>
      </c>
      <c r="B6277" s="28"/>
      <c r="C6277" s="3" t="s">
        <v>7</v>
      </c>
    </row>
    <row r="6278" spans="1:3" ht="13.5" thickBot="1" x14ac:dyDescent="0.25">
      <c r="A6278" s="3">
        <v>1048</v>
      </c>
      <c r="B6278" s="28"/>
      <c r="C6278" s="3" t="s">
        <v>5</v>
      </c>
    </row>
    <row r="6279" spans="1:3" ht="13.5" thickBot="1" x14ac:dyDescent="0.25">
      <c r="A6279" s="3">
        <v>5518</v>
      </c>
      <c r="B6279" s="28"/>
      <c r="C6279" s="3" t="s">
        <v>6</v>
      </c>
    </row>
    <row r="6280" spans="1:3" ht="13.5" thickBot="1" x14ac:dyDescent="0.25">
      <c r="A6280" s="3">
        <v>513</v>
      </c>
      <c r="B6280" s="28"/>
      <c r="C6280" s="3" t="s">
        <v>4</v>
      </c>
    </row>
    <row r="6281" spans="1:3" ht="13.5" thickBot="1" x14ac:dyDescent="0.25">
      <c r="A6281" s="3">
        <v>2269</v>
      </c>
      <c r="B6281" s="28"/>
      <c r="C6281" s="3" t="s">
        <v>4</v>
      </c>
    </row>
    <row r="6282" spans="1:3" ht="13.5" thickBot="1" x14ac:dyDescent="0.25">
      <c r="A6282" s="3">
        <v>4926</v>
      </c>
      <c r="B6282" s="28"/>
      <c r="C6282" s="3" t="s">
        <v>6</v>
      </c>
    </row>
    <row r="6283" spans="1:3" ht="13.5" thickBot="1" x14ac:dyDescent="0.25">
      <c r="A6283" s="3">
        <v>4824</v>
      </c>
      <c r="B6283" s="28"/>
      <c r="C6283" s="3" t="s">
        <v>4</v>
      </c>
    </row>
    <row r="6284" spans="1:3" ht="13.5" thickBot="1" x14ac:dyDescent="0.25">
      <c r="A6284" s="3">
        <v>2543</v>
      </c>
      <c r="B6284" s="28"/>
      <c r="C6284" s="3" t="s">
        <v>3</v>
      </c>
    </row>
    <row r="6285" spans="1:3" ht="13.5" thickBot="1" x14ac:dyDescent="0.25">
      <c r="A6285" s="3">
        <v>2543</v>
      </c>
      <c r="B6285" s="28"/>
      <c r="C6285" s="3" t="s">
        <v>4</v>
      </c>
    </row>
    <row r="6286" spans="1:3" ht="13.5" thickBot="1" x14ac:dyDescent="0.25">
      <c r="A6286" s="3">
        <v>4394</v>
      </c>
      <c r="B6286" s="28"/>
      <c r="C6286" s="3" t="s">
        <v>3</v>
      </c>
    </row>
    <row r="6287" spans="1:3" ht="13.5" thickBot="1" x14ac:dyDescent="0.25">
      <c r="A6287" s="3">
        <v>3371</v>
      </c>
      <c r="B6287" s="28"/>
      <c r="C6287" s="3" t="s">
        <v>7</v>
      </c>
    </row>
    <row r="6288" spans="1:3" ht="13.5" thickBot="1" x14ac:dyDescent="0.25">
      <c r="A6288" s="3">
        <v>3355</v>
      </c>
      <c r="B6288" s="28"/>
      <c r="C6288" s="3" t="s">
        <v>3</v>
      </c>
    </row>
    <row r="6289" spans="1:3" ht="13.5" thickBot="1" x14ac:dyDescent="0.25">
      <c r="A6289" s="3">
        <v>266</v>
      </c>
      <c r="B6289" s="28"/>
      <c r="C6289" s="3" t="s">
        <v>6</v>
      </c>
    </row>
    <row r="6290" spans="1:3" ht="13.5" thickBot="1" x14ac:dyDescent="0.25">
      <c r="A6290" s="3">
        <v>7880</v>
      </c>
      <c r="B6290" s="28"/>
      <c r="C6290" s="3" t="s">
        <v>6</v>
      </c>
    </row>
    <row r="6291" spans="1:3" ht="13.5" thickBot="1" x14ac:dyDescent="0.25">
      <c r="A6291" s="3">
        <v>439</v>
      </c>
      <c r="B6291" s="28"/>
      <c r="C6291" s="3" t="s">
        <v>6</v>
      </c>
    </row>
    <row r="6292" spans="1:3" ht="13.5" thickBot="1" x14ac:dyDescent="0.25">
      <c r="A6292" s="3">
        <v>3987</v>
      </c>
      <c r="B6292" s="28"/>
      <c r="C6292" s="3" t="s">
        <v>3</v>
      </c>
    </row>
    <row r="6293" spans="1:3" ht="13.5" thickBot="1" x14ac:dyDescent="0.25">
      <c r="A6293" s="3">
        <v>3204</v>
      </c>
      <c r="B6293" s="28"/>
      <c r="C6293" s="3" t="s">
        <v>3</v>
      </c>
    </row>
    <row r="6294" spans="1:3" ht="13.5" thickBot="1" x14ac:dyDescent="0.25">
      <c r="A6294" s="3">
        <v>3838</v>
      </c>
      <c r="B6294" s="28"/>
      <c r="C6294" s="3" t="s">
        <v>4</v>
      </c>
    </row>
    <row r="6295" spans="1:3" ht="13.5" thickBot="1" x14ac:dyDescent="0.25">
      <c r="A6295" s="3">
        <v>1453</v>
      </c>
      <c r="B6295" s="28"/>
      <c r="C6295" s="3" t="s">
        <v>5</v>
      </c>
    </row>
    <row r="6296" spans="1:3" ht="13.5" thickBot="1" x14ac:dyDescent="0.25">
      <c r="A6296" s="3">
        <v>1703</v>
      </c>
      <c r="B6296" s="28"/>
      <c r="C6296" s="3" t="s">
        <v>3</v>
      </c>
    </row>
    <row r="6297" spans="1:3" ht="13.5" thickBot="1" x14ac:dyDescent="0.25">
      <c r="A6297" s="3">
        <v>1644</v>
      </c>
      <c r="B6297" s="28"/>
      <c r="C6297" s="3" t="s">
        <v>3</v>
      </c>
    </row>
    <row r="6298" spans="1:3" ht="13.5" thickBot="1" x14ac:dyDescent="0.25">
      <c r="A6298" s="3">
        <v>6601</v>
      </c>
      <c r="B6298" s="28"/>
      <c r="C6298" s="3" t="s">
        <v>3</v>
      </c>
    </row>
    <row r="6299" spans="1:3" ht="13.5" thickBot="1" x14ac:dyDescent="0.25">
      <c r="A6299" s="3">
        <v>6635</v>
      </c>
      <c r="B6299" s="28"/>
      <c r="C6299" s="3" t="s">
        <v>3</v>
      </c>
    </row>
    <row r="6300" spans="1:3" ht="13.5" thickBot="1" x14ac:dyDescent="0.25">
      <c r="A6300" s="3">
        <v>1453</v>
      </c>
      <c r="B6300" s="28"/>
      <c r="C6300" s="3" t="s">
        <v>4</v>
      </c>
    </row>
    <row r="6301" spans="1:3" ht="13.5" thickBot="1" x14ac:dyDescent="0.25">
      <c r="A6301" s="3">
        <v>736</v>
      </c>
      <c r="B6301" s="28"/>
      <c r="C6301" s="3" t="s">
        <v>3</v>
      </c>
    </row>
    <row r="6302" spans="1:3" ht="13.5" thickBot="1" x14ac:dyDescent="0.25">
      <c r="A6302" s="3">
        <v>6435</v>
      </c>
      <c r="B6302" s="28"/>
      <c r="C6302" s="3" t="s">
        <v>5</v>
      </c>
    </row>
    <row r="6303" spans="1:3" ht="13.5" thickBot="1" x14ac:dyDescent="0.25">
      <c r="A6303" s="3">
        <v>2964</v>
      </c>
      <c r="B6303" s="28"/>
      <c r="C6303" s="3" t="s">
        <v>3</v>
      </c>
    </row>
    <row r="6304" spans="1:3" ht="13.5" thickBot="1" x14ac:dyDescent="0.25">
      <c r="A6304" s="3">
        <v>4519</v>
      </c>
      <c r="B6304" s="28"/>
      <c r="C6304" s="3" t="s">
        <v>4</v>
      </c>
    </row>
    <row r="6305" spans="1:3" ht="13.5" thickBot="1" x14ac:dyDescent="0.25">
      <c r="A6305" s="3">
        <v>2592</v>
      </c>
      <c r="B6305" s="28"/>
      <c r="C6305" s="3" t="s">
        <v>3</v>
      </c>
    </row>
    <row r="6306" spans="1:3" ht="13.5" thickBot="1" x14ac:dyDescent="0.25">
      <c r="A6306" s="3">
        <v>5461</v>
      </c>
      <c r="B6306" s="28"/>
      <c r="C6306" s="3" t="s">
        <v>4</v>
      </c>
    </row>
    <row r="6307" spans="1:3" ht="13.5" thickBot="1" x14ac:dyDescent="0.25">
      <c r="A6307" s="3">
        <v>4506</v>
      </c>
      <c r="B6307" s="28"/>
      <c r="C6307" s="3" t="s">
        <v>3</v>
      </c>
    </row>
    <row r="6308" spans="1:3" ht="13.5" thickBot="1" x14ac:dyDescent="0.25">
      <c r="A6308" s="3">
        <v>264</v>
      </c>
      <c r="B6308" s="28"/>
      <c r="C6308" s="3" t="s">
        <v>3</v>
      </c>
    </row>
    <row r="6309" spans="1:3" ht="13.5" thickBot="1" x14ac:dyDescent="0.25">
      <c r="A6309" s="3">
        <v>1219</v>
      </c>
      <c r="B6309" s="28"/>
      <c r="C6309" s="3" t="s">
        <v>4</v>
      </c>
    </row>
    <row r="6310" spans="1:3" ht="13.5" thickBot="1" x14ac:dyDescent="0.25">
      <c r="A6310" s="3">
        <v>1413</v>
      </c>
      <c r="B6310" s="28"/>
      <c r="C6310" s="3" t="s">
        <v>3</v>
      </c>
    </row>
    <row r="6311" spans="1:3" ht="13.5" thickBot="1" x14ac:dyDescent="0.25">
      <c r="A6311" s="3">
        <v>3667</v>
      </c>
      <c r="B6311" s="28"/>
      <c r="C6311" s="3" t="s">
        <v>6</v>
      </c>
    </row>
    <row r="6312" spans="1:3" ht="13.5" thickBot="1" x14ac:dyDescent="0.25">
      <c r="A6312" s="3">
        <v>3034</v>
      </c>
      <c r="B6312" s="28"/>
      <c r="C6312" s="3" t="s">
        <v>6</v>
      </c>
    </row>
    <row r="6313" spans="1:3" ht="13.5" thickBot="1" x14ac:dyDescent="0.25">
      <c r="A6313" s="3">
        <v>4452</v>
      </c>
      <c r="B6313" s="28"/>
      <c r="C6313" s="3" t="s">
        <v>3</v>
      </c>
    </row>
    <row r="6314" spans="1:3" ht="13.5" thickBot="1" x14ac:dyDescent="0.25">
      <c r="A6314" s="3">
        <v>2269</v>
      </c>
      <c r="B6314" s="28"/>
      <c r="C6314" s="3" t="s">
        <v>5</v>
      </c>
    </row>
    <row r="6315" spans="1:3" ht="13.5" thickBot="1" x14ac:dyDescent="0.25">
      <c r="A6315" s="3">
        <v>5224</v>
      </c>
      <c r="B6315" s="28"/>
      <c r="C6315" s="3" t="s">
        <v>3</v>
      </c>
    </row>
    <row r="6316" spans="1:3" ht="13.5" thickBot="1" x14ac:dyDescent="0.25">
      <c r="A6316" s="3">
        <v>3838</v>
      </c>
      <c r="B6316" s="28"/>
      <c r="C6316" s="3" t="s">
        <v>3</v>
      </c>
    </row>
    <row r="6317" spans="1:3" ht="13.5" thickBot="1" x14ac:dyDescent="0.25">
      <c r="A6317" s="3">
        <v>1324</v>
      </c>
      <c r="B6317" s="28"/>
      <c r="C6317" s="3" t="s">
        <v>6</v>
      </c>
    </row>
    <row r="6318" spans="1:3" ht="13.5" thickBot="1" x14ac:dyDescent="0.25">
      <c r="A6318" s="3">
        <v>4519</v>
      </c>
      <c r="B6318" s="28"/>
      <c r="C6318" s="3" t="s">
        <v>3</v>
      </c>
    </row>
    <row r="6319" spans="1:3" ht="13.5" thickBot="1" x14ac:dyDescent="0.25">
      <c r="A6319" s="3">
        <v>4143</v>
      </c>
      <c r="B6319" s="28"/>
      <c r="C6319" s="3" t="s">
        <v>3</v>
      </c>
    </row>
    <row r="6320" spans="1:3" ht="13.5" thickBot="1" x14ac:dyDescent="0.25">
      <c r="A6320" s="3">
        <v>3921</v>
      </c>
      <c r="B6320" s="28"/>
      <c r="C6320" s="3" t="s">
        <v>3</v>
      </c>
    </row>
    <row r="6321" spans="1:3" ht="13.5" thickBot="1" x14ac:dyDescent="0.25">
      <c r="A6321" s="3">
        <v>1644</v>
      </c>
      <c r="B6321" s="28"/>
      <c r="C6321" s="3" t="s">
        <v>4</v>
      </c>
    </row>
    <row r="6322" spans="1:3" ht="13.5" thickBot="1" x14ac:dyDescent="0.25">
      <c r="A6322" s="3">
        <v>3204</v>
      </c>
      <c r="B6322" s="28"/>
      <c r="C6322" s="3" t="s">
        <v>4</v>
      </c>
    </row>
    <row r="6323" spans="1:3" ht="13.5" thickBot="1" x14ac:dyDescent="0.25">
      <c r="A6323" s="3">
        <v>3919</v>
      </c>
      <c r="B6323" s="28"/>
      <c r="C6323" s="3" t="s">
        <v>3</v>
      </c>
    </row>
    <row r="6324" spans="1:3" ht="13.5" thickBot="1" x14ac:dyDescent="0.25">
      <c r="A6324" s="3">
        <v>5224</v>
      </c>
      <c r="B6324" s="28"/>
      <c r="C6324" s="3" t="s">
        <v>4</v>
      </c>
    </row>
    <row r="6325" spans="1:3" ht="13.5" thickBot="1" x14ac:dyDescent="0.25">
      <c r="A6325" s="3">
        <v>2445</v>
      </c>
      <c r="B6325" s="28"/>
      <c r="C6325" s="3" t="s">
        <v>4</v>
      </c>
    </row>
    <row r="6326" spans="1:3" ht="13.5" thickBot="1" x14ac:dyDescent="0.25">
      <c r="A6326" s="3">
        <v>6635</v>
      </c>
      <c r="B6326" s="28"/>
      <c r="C6326" s="3" t="s">
        <v>4</v>
      </c>
    </row>
    <row r="6327" spans="1:3" ht="13.5" thickBot="1" x14ac:dyDescent="0.25">
      <c r="A6327" s="3">
        <v>6559</v>
      </c>
      <c r="B6327" s="28"/>
      <c r="C6327" s="3" t="s">
        <v>7</v>
      </c>
    </row>
    <row r="6328" spans="1:3" ht="13.5" thickBot="1" x14ac:dyDescent="0.25">
      <c r="A6328" s="3">
        <v>7915</v>
      </c>
      <c r="B6328" s="28"/>
      <c r="C6328" s="3" t="s">
        <v>7</v>
      </c>
    </row>
    <row r="6329" spans="1:3" ht="13.5" thickBot="1" x14ac:dyDescent="0.25">
      <c r="A6329" s="3">
        <v>1978</v>
      </c>
      <c r="B6329" s="28"/>
      <c r="C6329" s="3" t="s">
        <v>3</v>
      </c>
    </row>
    <row r="6330" spans="1:3" ht="13.5" thickBot="1" x14ac:dyDescent="0.25">
      <c r="A6330" s="3">
        <v>758</v>
      </c>
      <c r="B6330" s="28"/>
      <c r="C6330" s="3" t="s">
        <v>4</v>
      </c>
    </row>
    <row r="6331" spans="1:3" ht="13.5" thickBot="1" x14ac:dyDescent="0.25">
      <c r="A6331" s="3">
        <v>6435</v>
      </c>
      <c r="B6331" s="28"/>
      <c r="C6331" s="3" t="s">
        <v>6</v>
      </c>
    </row>
    <row r="6332" spans="1:3" ht="13.5" thickBot="1" x14ac:dyDescent="0.25">
      <c r="A6332" s="3">
        <v>1413</v>
      </c>
      <c r="B6332" s="28"/>
      <c r="C6332" s="3" t="s">
        <v>4</v>
      </c>
    </row>
    <row r="6333" spans="1:3" ht="13.5" thickBot="1" x14ac:dyDescent="0.25">
      <c r="A6333" s="3">
        <v>7363</v>
      </c>
      <c r="B6333" s="28"/>
      <c r="C6333" s="3" t="s">
        <v>3</v>
      </c>
    </row>
    <row r="6334" spans="1:3" ht="13.5" thickBot="1" x14ac:dyDescent="0.25">
      <c r="A6334" s="3">
        <v>1453</v>
      </c>
      <c r="B6334" s="28"/>
      <c r="C6334" s="3" t="s">
        <v>7</v>
      </c>
    </row>
    <row r="6335" spans="1:3" ht="13.5" thickBot="1" x14ac:dyDescent="0.25">
      <c r="A6335" s="3">
        <v>3919</v>
      </c>
      <c r="B6335" s="28"/>
      <c r="C6335" s="3" t="s">
        <v>4</v>
      </c>
    </row>
    <row r="6336" spans="1:3" ht="13.5" thickBot="1" x14ac:dyDescent="0.25">
      <c r="A6336" s="3">
        <v>4059</v>
      </c>
      <c r="B6336" s="28"/>
      <c r="C6336" s="3" t="s">
        <v>5</v>
      </c>
    </row>
    <row r="6337" spans="1:3" ht="13.5" thickBot="1" x14ac:dyDescent="0.25">
      <c r="A6337" s="3">
        <v>2779</v>
      </c>
      <c r="B6337" s="28"/>
      <c r="C6337" s="3" t="s">
        <v>5</v>
      </c>
    </row>
    <row r="6338" spans="1:3" ht="13.5" thickBot="1" x14ac:dyDescent="0.25">
      <c r="A6338" s="3">
        <v>5461</v>
      </c>
      <c r="B6338" s="28"/>
      <c r="C6338" s="3" t="s">
        <v>3</v>
      </c>
    </row>
    <row r="6339" spans="1:3" ht="13.5" thickBot="1" x14ac:dyDescent="0.25">
      <c r="A6339" s="3">
        <v>3791</v>
      </c>
      <c r="B6339" s="28"/>
      <c r="C6339" s="3" t="s">
        <v>4</v>
      </c>
    </row>
    <row r="6340" spans="1:3" ht="13.5" thickBot="1" x14ac:dyDescent="0.25">
      <c r="A6340" s="3">
        <v>5497</v>
      </c>
      <c r="B6340" s="28"/>
      <c r="C6340" s="3" t="s">
        <v>3</v>
      </c>
    </row>
    <row r="6341" spans="1:3" ht="13.5" thickBot="1" x14ac:dyDescent="0.25">
      <c r="A6341" s="3">
        <v>5945</v>
      </c>
      <c r="B6341" s="28"/>
      <c r="C6341" s="3" t="s">
        <v>5</v>
      </c>
    </row>
    <row r="6342" spans="1:3" ht="13.5" thickBot="1" x14ac:dyDescent="0.25">
      <c r="A6342" s="3">
        <v>5563</v>
      </c>
      <c r="B6342" s="28"/>
      <c r="C6342" s="3" t="s">
        <v>7</v>
      </c>
    </row>
    <row r="6343" spans="1:3" ht="13.5" thickBot="1" x14ac:dyDescent="0.25">
      <c r="A6343" s="3">
        <v>2779</v>
      </c>
      <c r="B6343" s="28"/>
      <c r="C6343" s="3" t="s">
        <v>7</v>
      </c>
    </row>
    <row r="6344" spans="1:3" ht="13.5" thickBot="1" x14ac:dyDescent="0.25">
      <c r="A6344" s="3">
        <v>5592</v>
      </c>
      <c r="B6344" s="28"/>
      <c r="C6344" s="3" t="s">
        <v>5</v>
      </c>
    </row>
    <row r="6345" spans="1:3" ht="13.5" thickBot="1" x14ac:dyDescent="0.25">
      <c r="A6345" s="3">
        <v>6635</v>
      </c>
      <c r="B6345" s="28"/>
      <c r="C6345" s="3" t="s">
        <v>5</v>
      </c>
    </row>
    <row r="6346" spans="1:3" ht="13.5" thickBot="1" x14ac:dyDescent="0.25">
      <c r="A6346" s="3">
        <v>658</v>
      </c>
      <c r="B6346" s="28"/>
      <c r="C6346" s="3" t="s">
        <v>4</v>
      </c>
    </row>
    <row r="6347" spans="1:3" ht="13.5" thickBot="1" x14ac:dyDescent="0.25">
      <c r="A6347" s="3">
        <v>722</v>
      </c>
      <c r="B6347" s="28"/>
      <c r="C6347" s="3" t="s">
        <v>3</v>
      </c>
    </row>
    <row r="6348" spans="1:3" ht="13.5" thickBot="1" x14ac:dyDescent="0.25">
      <c r="A6348" s="3">
        <v>6826</v>
      </c>
      <c r="B6348" s="28"/>
      <c r="C6348" s="3" t="s">
        <v>6</v>
      </c>
    </row>
    <row r="6349" spans="1:3" ht="13.5" thickBot="1" x14ac:dyDescent="0.25">
      <c r="A6349" s="3">
        <v>1727</v>
      </c>
      <c r="B6349" s="28"/>
      <c r="C6349" s="3" t="s">
        <v>6</v>
      </c>
    </row>
    <row r="6350" spans="1:3" ht="13.5" thickBot="1" x14ac:dyDescent="0.25">
      <c r="A6350" s="3">
        <v>1480</v>
      </c>
      <c r="B6350" s="28"/>
      <c r="C6350" s="3" t="s">
        <v>6</v>
      </c>
    </row>
    <row r="6351" spans="1:3" ht="13.5" thickBot="1" x14ac:dyDescent="0.25">
      <c r="A6351" s="3">
        <v>6505</v>
      </c>
      <c r="B6351" s="28"/>
      <c r="C6351" s="3" t="s">
        <v>3</v>
      </c>
    </row>
    <row r="6352" spans="1:3" ht="13.5" thickBot="1" x14ac:dyDescent="0.25">
      <c r="A6352" s="3">
        <v>6793</v>
      </c>
      <c r="B6352" s="28"/>
      <c r="C6352" s="3" t="s">
        <v>3</v>
      </c>
    </row>
    <row r="6353" spans="1:3" ht="13.5" thickBot="1" x14ac:dyDescent="0.25">
      <c r="A6353" s="3">
        <v>4452</v>
      </c>
      <c r="B6353" s="28"/>
      <c r="C6353" s="3" t="s">
        <v>4</v>
      </c>
    </row>
    <row r="6354" spans="1:3" ht="13.5" thickBot="1" x14ac:dyDescent="0.25">
      <c r="A6354" s="3">
        <v>66</v>
      </c>
      <c r="B6354" s="28"/>
      <c r="C6354" s="3" t="s">
        <v>4</v>
      </c>
    </row>
    <row r="6355" spans="1:3" ht="13.5" thickBot="1" x14ac:dyDescent="0.25">
      <c r="A6355" s="3">
        <v>2403</v>
      </c>
      <c r="B6355" s="28"/>
      <c r="C6355" s="3" t="s">
        <v>3</v>
      </c>
    </row>
    <row r="6356" spans="1:3" ht="13.5" thickBot="1" x14ac:dyDescent="0.25">
      <c r="A6356" s="3">
        <v>7931</v>
      </c>
      <c r="B6356" s="28"/>
      <c r="C6356" s="3" t="s">
        <v>3</v>
      </c>
    </row>
    <row r="6357" spans="1:3" ht="13.5" thickBot="1" x14ac:dyDescent="0.25">
      <c r="A6357" s="3">
        <v>6827</v>
      </c>
      <c r="B6357" s="28"/>
      <c r="C6357" s="3" t="s">
        <v>3</v>
      </c>
    </row>
    <row r="6358" spans="1:3" ht="13.5" thickBot="1" x14ac:dyDescent="0.25">
      <c r="A6358" s="3">
        <v>1148</v>
      </c>
      <c r="B6358" s="28"/>
      <c r="C6358" s="3" t="s">
        <v>3</v>
      </c>
    </row>
    <row r="6359" spans="1:3" ht="13.5" thickBot="1" x14ac:dyDescent="0.25">
      <c r="A6359" s="3">
        <v>7357</v>
      </c>
      <c r="B6359" s="28"/>
      <c r="C6359" s="3" t="s">
        <v>4</v>
      </c>
    </row>
    <row r="6360" spans="1:3" ht="13.5" thickBot="1" x14ac:dyDescent="0.25">
      <c r="A6360" s="3">
        <v>3104</v>
      </c>
      <c r="B6360" s="28"/>
      <c r="C6360" s="3" t="s">
        <v>3</v>
      </c>
    </row>
    <row r="6361" spans="1:3" ht="13.5" thickBot="1" x14ac:dyDescent="0.25">
      <c r="A6361" s="3">
        <v>4658</v>
      </c>
      <c r="B6361" s="28"/>
      <c r="C6361" s="3" t="s">
        <v>3</v>
      </c>
    </row>
    <row r="6362" spans="1:3" ht="13.5" thickBot="1" x14ac:dyDescent="0.25">
      <c r="A6362" s="3">
        <v>2078</v>
      </c>
      <c r="B6362" s="28"/>
      <c r="C6362" s="3" t="s">
        <v>4</v>
      </c>
    </row>
    <row r="6363" spans="1:3" ht="13.5" thickBot="1" x14ac:dyDescent="0.25">
      <c r="A6363" s="3">
        <v>2906</v>
      </c>
      <c r="B6363" s="28"/>
      <c r="C6363" s="3" t="s">
        <v>3</v>
      </c>
    </row>
    <row r="6364" spans="1:3" ht="13.5" thickBot="1" x14ac:dyDescent="0.25">
      <c r="A6364" s="3">
        <v>3800</v>
      </c>
      <c r="B6364" s="28"/>
      <c r="C6364" s="3" t="s">
        <v>3</v>
      </c>
    </row>
    <row r="6365" spans="1:3" ht="13.5" thickBot="1" x14ac:dyDescent="0.25">
      <c r="A6365" s="3">
        <v>484</v>
      </c>
      <c r="B6365" s="28"/>
      <c r="C6365" s="3" t="s">
        <v>6</v>
      </c>
    </row>
    <row r="6366" spans="1:3" ht="13.5" thickBot="1" x14ac:dyDescent="0.25">
      <c r="A6366" s="3">
        <v>6905</v>
      </c>
      <c r="B6366" s="28"/>
      <c r="C6366" s="3" t="s">
        <v>4</v>
      </c>
    </row>
    <row r="6367" spans="1:3" ht="13.5" thickBot="1" x14ac:dyDescent="0.25">
      <c r="A6367" s="3">
        <v>4530</v>
      </c>
      <c r="B6367" s="28"/>
      <c r="C6367" s="3" t="s">
        <v>3</v>
      </c>
    </row>
    <row r="6368" spans="1:3" ht="13.5" thickBot="1" x14ac:dyDescent="0.25">
      <c r="A6368" s="3">
        <v>2374</v>
      </c>
      <c r="B6368" s="28"/>
      <c r="C6368" s="3" t="s">
        <v>3</v>
      </c>
    </row>
    <row r="6369" spans="1:3" ht="13.5" thickBot="1" x14ac:dyDescent="0.25">
      <c r="A6369" s="3">
        <v>764</v>
      </c>
      <c r="B6369" s="28"/>
      <c r="C6369" s="3" t="s">
        <v>5</v>
      </c>
    </row>
    <row r="6370" spans="1:3" ht="13.5" thickBot="1" x14ac:dyDescent="0.25">
      <c r="A6370" s="3">
        <v>3104</v>
      </c>
      <c r="B6370" s="28"/>
      <c r="C6370" s="3" t="s">
        <v>4</v>
      </c>
    </row>
    <row r="6371" spans="1:3" ht="13.5" thickBot="1" x14ac:dyDescent="0.25">
      <c r="A6371" s="3">
        <v>6107</v>
      </c>
      <c r="B6371" s="28"/>
      <c r="C6371" s="3" t="s">
        <v>3</v>
      </c>
    </row>
    <row r="6372" spans="1:3" ht="13.5" thickBot="1" x14ac:dyDescent="0.25">
      <c r="A6372" s="3">
        <v>66</v>
      </c>
      <c r="B6372" s="28"/>
      <c r="C6372" s="3" t="s">
        <v>3</v>
      </c>
    </row>
    <row r="6373" spans="1:3" ht="13.5" thickBot="1" x14ac:dyDescent="0.25">
      <c r="A6373" s="3">
        <v>3132</v>
      </c>
      <c r="B6373" s="28"/>
      <c r="C6373" s="3" t="s">
        <v>3</v>
      </c>
    </row>
    <row r="6374" spans="1:3" ht="13.5" thickBot="1" x14ac:dyDescent="0.25">
      <c r="A6374" s="3">
        <v>2374</v>
      </c>
      <c r="B6374" s="28"/>
      <c r="C6374" s="3" t="s">
        <v>5</v>
      </c>
    </row>
    <row r="6375" spans="1:3" ht="13.5" thickBot="1" x14ac:dyDescent="0.25">
      <c r="A6375" s="3">
        <v>350</v>
      </c>
      <c r="B6375" s="28"/>
      <c r="C6375" s="3" t="s">
        <v>6</v>
      </c>
    </row>
    <row r="6376" spans="1:3" ht="13.5" thickBot="1" x14ac:dyDescent="0.25">
      <c r="A6376" s="3">
        <v>7464</v>
      </c>
      <c r="B6376" s="28"/>
      <c r="C6376" s="3" t="s">
        <v>4</v>
      </c>
    </row>
    <row r="6377" spans="1:3" ht="13.5" thickBot="1" x14ac:dyDescent="0.25">
      <c r="A6377" s="3">
        <v>4658</v>
      </c>
      <c r="B6377" s="28"/>
      <c r="C6377" s="3" t="s">
        <v>4</v>
      </c>
    </row>
    <row r="6378" spans="1:3" ht="13.5" thickBot="1" x14ac:dyDescent="0.25">
      <c r="A6378" s="3">
        <v>4159</v>
      </c>
      <c r="B6378" s="28"/>
      <c r="C6378" s="3" t="s">
        <v>4</v>
      </c>
    </row>
    <row r="6379" spans="1:3" ht="13.5" thickBot="1" x14ac:dyDescent="0.25">
      <c r="A6379" s="3">
        <v>3981</v>
      </c>
      <c r="B6379" s="28"/>
      <c r="C6379" s="3" t="s">
        <v>4</v>
      </c>
    </row>
    <row r="6380" spans="1:3" ht="13.5" thickBot="1" x14ac:dyDescent="0.25">
      <c r="A6380" s="3">
        <v>6827</v>
      </c>
      <c r="B6380" s="28"/>
      <c r="C6380" s="3" t="s">
        <v>4</v>
      </c>
    </row>
    <row r="6381" spans="1:3" ht="13.5" thickBot="1" x14ac:dyDescent="0.25">
      <c r="A6381" s="3">
        <v>4674</v>
      </c>
      <c r="B6381" s="28"/>
      <c r="C6381" s="3" t="s">
        <v>4</v>
      </c>
    </row>
    <row r="6382" spans="1:3" ht="13.5" thickBot="1" x14ac:dyDescent="0.25">
      <c r="A6382" s="3">
        <v>2374</v>
      </c>
      <c r="B6382" s="28"/>
      <c r="C6382" s="3" t="s">
        <v>4</v>
      </c>
    </row>
    <row r="6383" spans="1:3" ht="13.5" thickBot="1" x14ac:dyDescent="0.25">
      <c r="A6383" s="3">
        <v>2568</v>
      </c>
      <c r="B6383" s="28"/>
      <c r="C6383" s="3" t="s">
        <v>3</v>
      </c>
    </row>
    <row r="6384" spans="1:3" ht="13.5" thickBot="1" x14ac:dyDescent="0.25">
      <c r="A6384" s="3">
        <v>764</v>
      </c>
      <c r="B6384" s="28"/>
      <c r="C6384" s="3" t="s">
        <v>7</v>
      </c>
    </row>
    <row r="6385" spans="1:3" ht="13.5" thickBot="1" x14ac:dyDescent="0.25">
      <c r="A6385" s="3">
        <v>626</v>
      </c>
      <c r="B6385" s="28"/>
      <c r="C6385" s="3" t="s">
        <v>3</v>
      </c>
    </row>
    <row r="6386" spans="1:3" ht="13.5" thickBot="1" x14ac:dyDescent="0.25">
      <c r="A6386" s="3">
        <v>626</v>
      </c>
      <c r="B6386" s="28"/>
      <c r="C6386" s="3" t="s">
        <v>5</v>
      </c>
    </row>
    <row r="6387" spans="1:3" ht="13.5" thickBot="1" x14ac:dyDescent="0.25">
      <c r="A6387" s="3">
        <v>2930</v>
      </c>
      <c r="B6387" s="28"/>
      <c r="C6387" s="3" t="s">
        <v>6</v>
      </c>
    </row>
    <row r="6388" spans="1:3" ht="13.5" thickBot="1" x14ac:dyDescent="0.25">
      <c r="A6388" s="3">
        <v>1808</v>
      </c>
      <c r="B6388" s="28"/>
      <c r="C6388" s="3" t="s">
        <v>7</v>
      </c>
    </row>
    <row r="6389" spans="1:3" ht="13.5" thickBot="1" x14ac:dyDescent="0.25">
      <c r="A6389" s="3">
        <v>2230</v>
      </c>
      <c r="B6389" s="28"/>
      <c r="C6389" s="3" t="s">
        <v>6</v>
      </c>
    </row>
    <row r="6390" spans="1:3" ht="13.5" thickBot="1" x14ac:dyDescent="0.25">
      <c r="A6390" s="3">
        <v>3981</v>
      </c>
      <c r="B6390" s="28"/>
      <c r="C6390" s="3" t="s">
        <v>3</v>
      </c>
    </row>
    <row r="6391" spans="1:3" ht="13.5" thickBot="1" x14ac:dyDescent="0.25">
      <c r="A6391" s="3">
        <v>5945</v>
      </c>
      <c r="B6391" s="28"/>
      <c r="C6391" s="3" t="s">
        <v>6</v>
      </c>
    </row>
    <row r="6392" spans="1:3" ht="13.5" thickBot="1" x14ac:dyDescent="0.25">
      <c r="A6392" s="3">
        <v>1048</v>
      </c>
      <c r="B6392" s="28"/>
      <c r="C6392" s="3" t="s">
        <v>7</v>
      </c>
    </row>
    <row r="6393" spans="1:3" ht="13.5" thickBot="1" x14ac:dyDescent="0.25">
      <c r="A6393" s="3">
        <v>7727</v>
      </c>
      <c r="B6393" s="28"/>
      <c r="C6393" s="3" t="s">
        <v>5</v>
      </c>
    </row>
    <row r="6394" spans="1:3" ht="13.5" thickBot="1" x14ac:dyDescent="0.25">
      <c r="A6394" s="3">
        <v>169</v>
      </c>
      <c r="B6394" s="28"/>
      <c r="C6394" s="3" t="s">
        <v>5</v>
      </c>
    </row>
    <row r="6395" spans="1:3" ht="13.5" thickBot="1" x14ac:dyDescent="0.25">
      <c r="A6395" s="3">
        <v>4223</v>
      </c>
      <c r="B6395" s="28"/>
      <c r="C6395" s="3" t="s">
        <v>6</v>
      </c>
    </row>
    <row r="6396" spans="1:3" ht="13.5" thickBot="1" x14ac:dyDescent="0.25">
      <c r="A6396" s="3">
        <v>6588</v>
      </c>
      <c r="B6396" s="28"/>
      <c r="C6396" s="3" t="s">
        <v>3</v>
      </c>
    </row>
    <row r="6397" spans="1:3" ht="13.5" thickBot="1" x14ac:dyDescent="0.25">
      <c r="A6397" s="3">
        <v>1255</v>
      </c>
      <c r="B6397" s="28"/>
      <c r="C6397" s="3" t="s">
        <v>3</v>
      </c>
    </row>
    <row r="6398" spans="1:3" ht="13.5" thickBot="1" x14ac:dyDescent="0.25">
      <c r="A6398" s="3">
        <v>3981</v>
      </c>
      <c r="B6398" s="28"/>
      <c r="C6398" s="3" t="s">
        <v>5</v>
      </c>
    </row>
    <row r="6399" spans="1:3" ht="13.5" thickBot="1" x14ac:dyDescent="0.25">
      <c r="A6399" s="3">
        <v>1808</v>
      </c>
      <c r="B6399" s="28"/>
      <c r="C6399" s="3" t="s">
        <v>5</v>
      </c>
    </row>
    <row r="6400" spans="1:3" ht="13.5" thickBot="1" x14ac:dyDescent="0.25">
      <c r="A6400" s="3">
        <v>2580</v>
      </c>
      <c r="B6400" s="28"/>
      <c r="C6400" s="3" t="s">
        <v>6</v>
      </c>
    </row>
    <row r="6401" spans="1:3" ht="13.5" thickBot="1" x14ac:dyDescent="0.25">
      <c r="A6401" s="3">
        <v>7852</v>
      </c>
      <c r="B6401" s="28"/>
      <c r="C6401" s="3" t="s">
        <v>3</v>
      </c>
    </row>
    <row r="6402" spans="1:3" ht="13.5" thickBot="1" x14ac:dyDescent="0.25">
      <c r="A6402" s="3">
        <v>3708</v>
      </c>
      <c r="B6402" s="28"/>
      <c r="C6402" s="3" t="s">
        <v>7</v>
      </c>
    </row>
    <row r="6403" spans="1:3" ht="13.5" thickBot="1" x14ac:dyDescent="0.25">
      <c r="A6403" s="3">
        <v>5945</v>
      </c>
      <c r="B6403" s="28"/>
      <c r="C6403" s="3" t="s">
        <v>7</v>
      </c>
    </row>
    <row r="6404" spans="1:3" ht="13.5" thickBot="1" x14ac:dyDescent="0.25">
      <c r="A6404" s="3">
        <v>7599</v>
      </c>
      <c r="B6404" s="28"/>
      <c r="C6404" s="3" t="s">
        <v>3</v>
      </c>
    </row>
    <row r="6405" spans="1:3" ht="13.5" thickBot="1" x14ac:dyDescent="0.25">
      <c r="A6405" s="3">
        <v>3708</v>
      </c>
      <c r="B6405" s="28"/>
      <c r="C6405" s="3" t="s">
        <v>6</v>
      </c>
    </row>
    <row r="6406" spans="1:3" ht="13.5" thickBot="1" x14ac:dyDescent="0.25">
      <c r="A6406" s="3">
        <v>4176</v>
      </c>
      <c r="B6406" s="28"/>
      <c r="C6406" s="3" t="s">
        <v>3</v>
      </c>
    </row>
    <row r="6407" spans="1:3" ht="13.5" thickBot="1" x14ac:dyDescent="0.25">
      <c r="A6407" s="3">
        <v>2081</v>
      </c>
      <c r="B6407" s="28"/>
      <c r="C6407" s="3" t="s">
        <v>3</v>
      </c>
    </row>
    <row r="6408" spans="1:3" ht="13.5" thickBot="1" x14ac:dyDescent="0.25">
      <c r="A6408" s="3">
        <v>7957</v>
      </c>
      <c r="B6408" s="28"/>
      <c r="C6408" s="3" t="s">
        <v>3</v>
      </c>
    </row>
    <row r="6409" spans="1:3" ht="13.5" thickBot="1" x14ac:dyDescent="0.25">
      <c r="A6409" s="3">
        <v>833</v>
      </c>
      <c r="B6409" s="28"/>
      <c r="C6409" s="3" t="s">
        <v>3</v>
      </c>
    </row>
    <row r="6410" spans="1:3" ht="13.5" thickBot="1" x14ac:dyDescent="0.25">
      <c r="A6410" s="3">
        <v>7478</v>
      </c>
      <c r="B6410" s="28"/>
      <c r="C6410" s="3" t="s">
        <v>3</v>
      </c>
    </row>
    <row r="6411" spans="1:3" ht="13.5" thickBot="1" x14ac:dyDescent="0.25">
      <c r="A6411" s="3">
        <v>1953</v>
      </c>
      <c r="B6411" s="28"/>
      <c r="C6411" s="3" t="s">
        <v>7</v>
      </c>
    </row>
    <row r="6412" spans="1:3" ht="13.5" thickBot="1" x14ac:dyDescent="0.25">
      <c r="A6412" s="3">
        <v>6576</v>
      </c>
      <c r="B6412" s="28"/>
      <c r="C6412" s="3" t="s">
        <v>6</v>
      </c>
    </row>
    <row r="6413" spans="1:3" ht="13.5" thickBot="1" x14ac:dyDescent="0.25">
      <c r="A6413" s="3">
        <v>66</v>
      </c>
      <c r="B6413" s="28"/>
      <c r="C6413" s="3" t="s">
        <v>7</v>
      </c>
    </row>
    <row r="6414" spans="1:3" ht="13.5" thickBot="1" x14ac:dyDescent="0.25">
      <c r="A6414" s="3">
        <v>5302</v>
      </c>
      <c r="B6414" s="28"/>
      <c r="C6414" s="3" t="s">
        <v>3</v>
      </c>
    </row>
    <row r="6415" spans="1:3" ht="13.5" thickBot="1" x14ac:dyDescent="0.25">
      <c r="A6415" s="3">
        <v>3013</v>
      </c>
      <c r="B6415" s="28"/>
      <c r="C6415" s="3" t="s">
        <v>5</v>
      </c>
    </row>
    <row r="6416" spans="1:3" ht="13.5" thickBot="1" x14ac:dyDescent="0.25">
      <c r="A6416" s="3">
        <v>66</v>
      </c>
      <c r="B6416" s="28"/>
      <c r="C6416" s="3" t="s">
        <v>5</v>
      </c>
    </row>
    <row r="6417" spans="1:3" ht="13.5" thickBot="1" x14ac:dyDescent="0.25">
      <c r="A6417" s="3">
        <v>1928</v>
      </c>
      <c r="B6417" s="28"/>
      <c r="C6417" s="3" t="s">
        <v>3</v>
      </c>
    </row>
    <row r="6418" spans="1:3" ht="13.5" thickBot="1" x14ac:dyDescent="0.25">
      <c r="A6418" s="3">
        <v>2246</v>
      </c>
      <c r="B6418" s="28"/>
      <c r="C6418" s="3" t="s">
        <v>3</v>
      </c>
    </row>
    <row r="6419" spans="1:3" ht="13.5" thickBot="1" x14ac:dyDescent="0.25">
      <c r="A6419" s="3">
        <v>1085</v>
      </c>
      <c r="B6419" s="28"/>
      <c r="C6419" s="3" t="s">
        <v>3</v>
      </c>
    </row>
    <row r="6420" spans="1:3" ht="13.5" thickBot="1" x14ac:dyDescent="0.25">
      <c r="A6420" s="3">
        <v>3592</v>
      </c>
      <c r="B6420" s="28"/>
      <c r="C6420" s="3" t="s">
        <v>3</v>
      </c>
    </row>
    <row r="6421" spans="1:3" ht="13.5" thickBot="1" x14ac:dyDescent="0.25">
      <c r="A6421" s="3">
        <v>5908</v>
      </c>
      <c r="B6421" s="28"/>
      <c r="C6421" s="3" t="s">
        <v>3</v>
      </c>
    </row>
    <row r="6422" spans="1:3" ht="13.5" thickBot="1" x14ac:dyDescent="0.25">
      <c r="A6422" s="3">
        <v>7931</v>
      </c>
      <c r="B6422" s="28"/>
      <c r="C6422" s="3" t="s">
        <v>4</v>
      </c>
    </row>
    <row r="6423" spans="1:3" ht="13.5" thickBot="1" x14ac:dyDescent="0.25">
      <c r="A6423" s="3">
        <v>3289</v>
      </c>
      <c r="B6423" s="28"/>
      <c r="C6423" s="3" t="s">
        <v>5</v>
      </c>
    </row>
    <row r="6424" spans="1:3" ht="13.5" thickBot="1" x14ac:dyDescent="0.25">
      <c r="A6424" s="3">
        <v>4136</v>
      </c>
      <c r="B6424" s="28"/>
      <c r="C6424" s="3" t="s">
        <v>3</v>
      </c>
    </row>
    <row r="6425" spans="1:3" ht="13.5" thickBot="1" x14ac:dyDescent="0.25">
      <c r="A6425" s="3">
        <v>3791</v>
      </c>
      <c r="B6425" s="28"/>
      <c r="C6425" s="3" t="s">
        <v>7</v>
      </c>
    </row>
    <row r="6426" spans="1:3" ht="13.5" thickBot="1" x14ac:dyDescent="0.25">
      <c r="A6426" s="3">
        <v>3919</v>
      </c>
      <c r="B6426" s="28"/>
      <c r="C6426" s="3" t="s">
        <v>6</v>
      </c>
    </row>
    <row r="6427" spans="1:3" ht="13.5" thickBot="1" x14ac:dyDescent="0.25">
      <c r="A6427" s="3">
        <v>3106</v>
      </c>
      <c r="B6427" s="28"/>
      <c r="C6427" s="3" t="s">
        <v>3</v>
      </c>
    </row>
    <row r="6428" spans="1:3" ht="13.5" thickBot="1" x14ac:dyDescent="0.25">
      <c r="A6428" s="3">
        <v>264</v>
      </c>
      <c r="B6428" s="28"/>
      <c r="C6428" s="3" t="s">
        <v>4</v>
      </c>
    </row>
    <row r="6429" spans="1:3" ht="13.5" thickBot="1" x14ac:dyDescent="0.25">
      <c r="A6429" s="3">
        <v>4558</v>
      </c>
      <c r="B6429" s="28"/>
      <c r="C6429" s="3" t="s">
        <v>6</v>
      </c>
    </row>
    <row r="6430" spans="1:3" ht="13.5" thickBot="1" x14ac:dyDescent="0.25">
      <c r="A6430" s="3">
        <v>1760</v>
      </c>
      <c r="B6430" s="28"/>
      <c r="C6430" s="3" t="s">
        <v>4</v>
      </c>
    </row>
    <row r="6431" spans="1:3" ht="13.5" thickBot="1" x14ac:dyDescent="0.25">
      <c r="A6431" s="3">
        <v>3882</v>
      </c>
      <c r="B6431" s="28"/>
      <c r="C6431" s="3" t="s">
        <v>3</v>
      </c>
    </row>
    <row r="6432" spans="1:3" ht="13.5" thickBot="1" x14ac:dyDescent="0.25">
      <c r="A6432" s="3">
        <v>2906</v>
      </c>
      <c r="B6432" s="28"/>
      <c r="C6432" s="3" t="s">
        <v>4</v>
      </c>
    </row>
    <row r="6433" spans="1:3" ht="13.5" thickBot="1" x14ac:dyDescent="0.25">
      <c r="A6433" s="3">
        <v>1077</v>
      </c>
      <c r="B6433" s="28"/>
      <c r="C6433" s="3" t="s">
        <v>3</v>
      </c>
    </row>
    <row r="6434" spans="1:3" ht="13.5" thickBot="1" x14ac:dyDescent="0.25">
      <c r="A6434" s="3">
        <v>6459</v>
      </c>
      <c r="B6434" s="28"/>
      <c r="C6434" s="3" t="s">
        <v>3</v>
      </c>
    </row>
    <row r="6435" spans="1:3" ht="13.5" thickBot="1" x14ac:dyDescent="0.25">
      <c r="A6435" s="3">
        <v>736</v>
      </c>
      <c r="B6435" s="28"/>
      <c r="C6435" s="3" t="s">
        <v>4</v>
      </c>
    </row>
    <row r="6436" spans="1:3" ht="13.5" thickBot="1" x14ac:dyDescent="0.25">
      <c r="A6436" s="3">
        <v>6147</v>
      </c>
      <c r="B6436" s="28"/>
      <c r="C6436" s="3" t="s">
        <v>6</v>
      </c>
    </row>
    <row r="6437" spans="1:3" ht="13.5" thickBot="1" x14ac:dyDescent="0.25">
      <c r="A6437" s="3">
        <v>626</v>
      </c>
      <c r="B6437" s="28"/>
      <c r="C6437" s="3" t="s">
        <v>4</v>
      </c>
    </row>
    <row r="6438" spans="1:3" ht="13.5" thickBot="1" x14ac:dyDescent="0.25">
      <c r="A6438" s="3">
        <v>724</v>
      </c>
      <c r="B6438" s="28"/>
      <c r="C6438" s="3" t="s">
        <v>3</v>
      </c>
    </row>
    <row r="6439" spans="1:3" ht="13.5" thickBot="1" x14ac:dyDescent="0.25">
      <c r="A6439" s="3">
        <v>3289</v>
      </c>
      <c r="B6439" s="28"/>
      <c r="C6439" s="3" t="s">
        <v>3</v>
      </c>
    </row>
    <row r="6440" spans="1:3" ht="13.5" thickBot="1" x14ac:dyDescent="0.25">
      <c r="A6440" s="3">
        <v>533</v>
      </c>
      <c r="B6440" s="28"/>
      <c r="C6440" s="3" t="s">
        <v>3</v>
      </c>
    </row>
    <row r="6441" spans="1:3" ht="13.5" thickBot="1" x14ac:dyDescent="0.25">
      <c r="A6441" s="3">
        <v>66</v>
      </c>
      <c r="B6441" s="28"/>
      <c r="C6441" s="3" t="s">
        <v>6</v>
      </c>
    </row>
    <row r="6442" spans="1:3" ht="13.5" thickBot="1" x14ac:dyDescent="0.25">
      <c r="A6442" s="3">
        <v>3046</v>
      </c>
      <c r="B6442" s="28"/>
      <c r="C6442" s="3" t="s">
        <v>3</v>
      </c>
    </row>
    <row r="6443" spans="1:3" ht="13.5" thickBot="1" x14ac:dyDescent="0.25">
      <c r="A6443" s="3">
        <v>1703</v>
      </c>
      <c r="B6443" s="28"/>
      <c r="C6443" s="3" t="s">
        <v>6</v>
      </c>
    </row>
    <row r="6444" spans="1:3" ht="13.5" thickBot="1" x14ac:dyDescent="0.25">
      <c r="A6444" s="3">
        <v>2269</v>
      </c>
      <c r="B6444" s="28"/>
      <c r="C6444" s="3" t="s">
        <v>7</v>
      </c>
    </row>
    <row r="6445" spans="1:3" ht="13.5" thickBot="1" x14ac:dyDescent="0.25">
      <c r="A6445" s="3">
        <v>4887</v>
      </c>
      <c r="B6445" s="28"/>
      <c r="C6445" s="3" t="s">
        <v>6</v>
      </c>
    </row>
    <row r="6446" spans="1:3" ht="13.5" thickBot="1" x14ac:dyDescent="0.25">
      <c r="A6446" s="3">
        <v>7957</v>
      </c>
      <c r="B6446" s="28"/>
      <c r="C6446" s="3" t="s">
        <v>4</v>
      </c>
    </row>
    <row r="6447" spans="1:3" ht="13.5" thickBot="1" x14ac:dyDescent="0.25">
      <c r="A6447" s="3">
        <v>6559</v>
      </c>
      <c r="B6447" s="28"/>
      <c r="C6447" s="3" t="s">
        <v>6</v>
      </c>
    </row>
    <row r="6448" spans="1:3" ht="13.5" thickBot="1" x14ac:dyDescent="0.25">
      <c r="A6448" s="3">
        <v>2953</v>
      </c>
      <c r="B6448" s="28"/>
      <c r="C6448" s="3" t="s">
        <v>3</v>
      </c>
    </row>
    <row r="6449" spans="1:3" ht="13.5" thickBot="1" x14ac:dyDescent="0.25">
      <c r="A6449" s="3">
        <v>7599</v>
      </c>
      <c r="B6449" s="28"/>
      <c r="C6449" s="3" t="s">
        <v>4</v>
      </c>
    </row>
    <row r="6450" spans="1:3" ht="13.5" thickBot="1" x14ac:dyDescent="0.25">
      <c r="A6450" s="3">
        <v>7599</v>
      </c>
      <c r="B6450" s="28"/>
      <c r="C6450" s="3" t="s">
        <v>5</v>
      </c>
    </row>
    <row r="6451" spans="1:3" ht="13.5" thickBot="1" x14ac:dyDescent="0.25">
      <c r="A6451" s="3">
        <v>2474</v>
      </c>
      <c r="B6451" s="28"/>
      <c r="C6451" s="3" t="s">
        <v>3</v>
      </c>
    </row>
    <row r="6452" spans="1:3" ht="13.5" thickBot="1" x14ac:dyDescent="0.25">
      <c r="A6452" s="3">
        <v>3046</v>
      </c>
      <c r="B6452" s="28"/>
      <c r="C6452" s="3" t="s">
        <v>4</v>
      </c>
    </row>
    <row r="6453" spans="1:3" ht="13.5" thickBot="1" x14ac:dyDescent="0.25">
      <c r="A6453" s="3">
        <v>5592</v>
      </c>
      <c r="B6453" s="28"/>
      <c r="C6453" s="3" t="s">
        <v>7</v>
      </c>
    </row>
    <row r="6454" spans="1:3" ht="13.5" thickBot="1" x14ac:dyDescent="0.25">
      <c r="A6454" s="3">
        <v>67</v>
      </c>
      <c r="B6454" s="28"/>
      <c r="C6454" s="3" t="s">
        <v>3</v>
      </c>
    </row>
    <row r="6455" spans="1:3" ht="13.5" thickBot="1" x14ac:dyDescent="0.25">
      <c r="A6455" s="3">
        <v>2543</v>
      </c>
      <c r="B6455" s="28"/>
      <c r="C6455" s="3" t="s">
        <v>6</v>
      </c>
    </row>
    <row r="6456" spans="1:3" ht="13.5" thickBot="1" x14ac:dyDescent="0.25">
      <c r="A6456" s="3">
        <v>5823</v>
      </c>
      <c r="B6456" s="28"/>
      <c r="C6456" s="3" t="s">
        <v>3</v>
      </c>
    </row>
    <row r="6457" spans="1:3" ht="13.5" thickBot="1" x14ac:dyDescent="0.25">
      <c r="A6457" s="3">
        <v>2403</v>
      </c>
      <c r="B6457" s="28"/>
      <c r="C6457" s="3" t="s">
        <v>6</v>
      </c>
    </row>
    <row r="6458" spans="1:3" ht="13.5" thickBot="1" x14ac:dyDescent="0.25">
      <c r="A6458" s="3">
        <v>6399</v>
      </c>
      <c r="B6458" s="28"/>
      <c r="C6458" s="3" t="s">
        <v>6</v>
      </c>
    </row>
    <row r="6459" spans="1:3" ht="13.5" thickBot="1" x14ac:dyDescent="0.25">
      <c r="A6459" s="3">
        <v>5205</v>
      </c>
      <c r="B6459" s="28"/>
      <c r="C6459" s="3" t="s">
        <v>6</v>
      </c>
    </row>
    <row r="6460" spans="1:3" ht="13.5" thickBot="1" x14ac:dyDescent="0.25">
      <c r="A6460" s="3">
        <v>6287</v>
      </c>
      <c r="B6460" s="28"/>
      <c r="C6460" s="3" t="s">
        <v>7</v>
      </c>
    </row>
    <row r="6461" spans="1:3" ht="13.5" thickBot="1" x14ac:dyDescent="0.25">
      <c r="A6461" s="3">
        <v>4905</v>
      </c>
      <c r="B6461" s="28"/>
      <c r="C6461" s="3" t="s">
        <v>3</v>
      </c>
    </row>
    <row r="6462" spans="1:3" ht="13.5" thickBot="1" x14ac:dyDescent="0.25">
      <c r="A6462" s="3">
        <v>722</v>
      </c>
      <c r="B6462" s="28"/>
      <c r="C6462" s="3" t="s">
        <v>4</v>
      </c>
    </row>
    <row r="6463" spans="1:3" ht="13.5" thickBot="1" x14ac:dyDescent="0.25">
      <c r="A6463" s="3">
        <v>7424</v>
      </c>
      <c r="B6463" s="28"/>
      <c r="C6463" s="3" t="s">
        <v>6</v>
      </c>
    </row>
    <row r="6464" spans="1:3" ht="13.5" thickBot="1" x14ac:dyDescent="0.25">
      <c r="A6464" s="3">
        <v>2246</v>
      </c>
      <c r="B6464" s="28"/>
      <c r="C6464" s="3" t="s">
        <v>5</v>
      </c>
    </row>
    <row r="6465" spans="1:3" ht="13.5" thickBot="1" x14ac:dyDescent="0.25">
      <c r="A6465" s="3">
        <v>6088</v>
      </c>
      <c r="B6465" s="28"/>
      <c r="C6465" s="3" t="s">
        <v>3</v>
      </c>
    </row>
    <row r="6466" spans="1:3" ht="13.5" thickBot="1" x14ac:dyDescent="0.25">
      <c r="A6466" s="3">
        <v>4333</v>
      </c>
      <c r="B6466" s="28"/>
      <c r="C6466" s="3" t="s">
        <v>3</v>
      </c>
    </row>
    <row r="6467" spans="1:3" ht="13.5" thickBot="1" x14ac:dyDescent="0.25">
      <c r="A6467" s="3">
        <v>2754</v>
      </c>
      <c r="B6467" s="28"/>
      <c r="C6467" s="3" t="s">
        <v>4</v>
      </c>
    </row>
    <row r="6468" spans="1:3" ht="13.5" thickBot="1" x14ac:dyDescent="0.25">
      <c r="A6468" s="3">
        <v>7957</v>
      </c>
      <c r="B6468" s="28"/>
      <c r="C6468" s="3" t="s">
        <v>5</v>
      </c>
    </row>
    <row r="6469" spans="1:3" ht="13.5" thickBot="1" x14ac:dyDescent="0.25">
      <c r="A6469" s="3">
        <v>847</v>
      </c>
      <c r="B6469" s="28"/>
      <c r="C6469" s="3" t="s">
        <v>3</v>
      </c>
    </row>
    <row r="6470" spans="1:3" ht="13.5" thickBot="1" x14ac:dyDescent="0.25">
      <c r="A6470" s="3">
        <v>1148</v>
      </c>
      <c r="B6470" s="28"/>
      <c r="C6470" s="3" t="s">
        <v>4</v>
      </c>
    </row>
    <row r="6471" spans="1:3" ht="13.5" thickBot="1" x14ac:dyDescent="0.25">
      <c r="A6471" s="3">
        <v>2236</v>
      </c>
      <c r="B6471" s="28"/>
      <c r="C6471" s="3" t="s">
        <v>3</v>
      </c>
    </row>
    <row r="6472" spans="1:3" ht="13.5" thickBot="1" x14ac:dyDescent="0.25">
      <c r="A6472" s="3">
        <v>2754</v>
      </c>
      <c r="B6472" s="28"/>
      <c r="C6472" s="3" t="s">
        <v>3</v>
      </c>
    </row>
    <row r="6473" spans="1:3" ht="13.5" thickBot="1" x14ac:dyDescent="0.25">
      <c r="A6473" s="3">
        <v>2363</v>
      </c>
      <c r="B6473" s="28"/>
      <c r="C6473" s="3" t="s">
        <v>3</v>
      </c>
    </row>
    <row r="6474" spans="1:3" ht="13.5" thickBot="1" x14ac:dyDescent="0.25">
      <c r="A6474" s="3">
        <v>2166</v>
      </c>
      <c r="B6474" s="28"/>
      <c r="C6474" s="3" t="s">
        <v>4</v>
      </c>
    </row>
    <row r="6475" spans="1:3" ht="13.5" thickBot="1" x14ac:dyDescent="0.25">
      <c r="A6475" s="3">
        <v>7931</v>
      </c>
      <c r="B6475" s="28"/>
      <c r="C6475" s="3" t="s">
        <v>6</v>
      </c>
    </row>
    <row r="6476" spans="1:3" ht="13.5" thickBot="1" x14ac:dyDescent="0.25">
      <c r="A6476" s="3">
        <v>6881</v>
      </c>
      <c r="B6476" s="28"/>
      <c r="C6476" s="3" t="s">
        <v>3</v>
      </c>
    </row>
    <row r="6477" spans="1:3" ht="13.5" thickBot="1" x14ac:dyDescent="0.25">
      <c r="A6477" s="3">
        <v>7424</v>
      </c>
      <c r="B6477" s="28"/>
      <c r="C6477" s="3" t="s">
        <v>7</v>
      </c>
    </row>
    <row r="6478" spans="1:3" ht="13.5" thickBot="1" x14ac:dyDescent="0.25">
      <c r="A6478" s="3">
        <v>5741</v>
      </c>
      <c r="B6478" s="28"/>
      <c r="C6478" s="3" t="s">
        <v>3</v>
      </c>
    </row>
    <row r="6479" spans="1:3" ht="13.5" thickBot="1" x14ac:dyDescent="0.25">
      <c r="A6479" s="3">
        <v>4059</v>
      </c>
      <c r="B6479" s="28"/>
      <c r="C6479" s="3" t="s">
        <v>7</v>
      </c>
    </row>
    <row r="6480" spans="1:3" ht="13.5" thickBot="1" x14ac:dyDescent="0.25">
      <c r="A6480" s="3">
        <v>6828</v>
      </c>
      <c r="B6480" s="28"/>
      <c r="C6480" s="3" t="s">
        <v>6</v>
      </c>
    </row>
    <row r="6481" spans="1:3" ht="13.5" thickBot="1" x14ac:dyDescent="0.25">
      <c r="A6481" s="3">
        <v>5278</v>
      </c>
      <c r="B6481" s="28"/>
      <c r="C6481" s="3" t="s">
        <v>6</v>
      </c>
    </row>
    <row r="6482" spans="1:3" ht="13.5" thickBot="1" x14ac:dyDescent="0.25">
      <c r="A6482" s="3">
        <v>2474</v>
      </c>
      <c r="B6482" s="28"/>
      <c r="C6482" s="3" t="s">
        <v>6</v>
      </c>
    </row>
    <row r="6483" spans="1:3" ht="13.5" thickBot="1" x14ac:dyDescent="0.25">
      <c r="A6483" s="3">
        <v>1928</v>
      </c>
      <c r="B6483" s="28"/>
      <c r="C6483" s="3" t="s">
        <v>4</v>
      </c>
    </row>
    <row r="6484" spans="1:3" ht="13.5" thickBot="1" x14ac:dyDescent="0.25">
      <c r="A6484" s="3">
        <v>4059</v>
      </c>
      <c r="B6484" s="28"/>
      <c r="C6484" s="3" t="s">
        <v>6</v>
      </c>
    </row>
    <row r="6485" spans="1:3" ht="13.5" thickBot="1" x14ac:dyDescent="0.25">
      <c r="A6485" s="3">
        <v>4847</v>
      </c>
      <c r="B6485" s="28"/>
      <c r="C6485" s="3" t="s">
        <v>4</v>
      </c>
    </row>
    <row r="6486" spans="1:3" ht="13.5" thickBot="1" x14ac:dyDescent="0.25">
      <c r="A6486" s="3">
        <v>7327</v>
      </c>
      <c r="B6486" s="28"/>
      <c r="C6486" s="3" t="s">
        <v>3</v>
      </c>
    </row>
    <row r="6487" spans="1:3" ht="13.5" thickBot="1" x14ac:dyDescent="0.25">
      <c r="A6487" s="3">
        <v>5177</v>
      </c>
      <c r="B6487" s="28"/>
      <c r="C6487" s="3" t="s">
        <v>3</v>
      </c>
    </row>
    <row r="6488" spans="1:3" ht="13.5" thickBot="1" x14ac:dyDescent="0.25">
      <c r="A6488" s="3">
        <v>7115</v>
      </c>
      <c r="B6488" s="28"/>
      <c r="C6488" s="3" t="s">
        <v>3</v>
      </c>
    </row>
    <row r="6489" spans="1:3" ht="13.5" thickBot="1" x14ac:dyDescent="0.25">
      <c r="A6489" s="3">
        <v>3046</v>
      </c>
      <c r="B6489" s="28"/>
      <c r="C6489" s="3" t="s">
        <v>6</v>
      </c>
    </row>
    <row r="6490" spans="1:3" ht="13.5" thickBot="1" x14ac:dyDescent="0.25">
      <c r="A6490" s="3">
        <v>3104</v>
      </c>
      <c r="B6490" s="28"/>
      <c r="C6490" s="3" t="s">
        <v>5</v>
      </c>
    </row>
    <row r="6491" spans="1:3" ht="13.5" thickBot="1" x14ac:dyDescent="0.25">
      <c r="A6491" s="3">
        <v>4926</v>
      </c>
      <c r="B6491" s="28"/>
      <c r="C6491" s="3" t="s">
        <v>7</v>
      </c>
    </row>
    <row r="6492" spans="1:3" ht="13.5" thickBot="1" x14ac:dyDescent="0.25">
      <c r="A6492" s="3">
        <v>3242</v>
      </c>
      <c r="B6492" s="28"/>
      <c r="C6492" s="3" t="s">
        <v>3</v>
      </c>
    </row>
    <row r="6493" spans="1:3" ht="13.5" thickBot="1" x14ac:dyDescent="0.25">
      <c r="A6493" s="3">
        <v>3232</v>
      </c>
      <c r="B6493" s="28"/>
      <c r="C6493" s="3" t="s">
        <v>3</v>
      </c>
    </row>
    <row r="6494" spans="1:3" ht="13.5" thickBot="1" x14ac:dyDescent="0.25">
      <c r="A6494" s="3">
        <v>2854</v>
      </c>
      <c r="B6494" s="28"/>
      <c r="C6494" s="3" t="s">
        <v>3</v>
      </c>
    </row>
    <row r="6495" spans="1:3" ht="13.5" thickBot="1" x14ac:dyDescent="0.25">
      <c r="A6495" s="3">
        <v>2906</v>
      </c>
      <c r="B6495" s="28"/>
      <c r="C6495" s="3" t="s">
        <v>7</v>
      </c>
    </row>
    <row r="6496" spans="1:3" ht="13.5" thickBot="1" x14ac:dyDescent="0.25">
      <c r="A6496" s="3">
        <v>7880</v>
      </c>
      <c r="B6496" s="28"/>
      <c r="C6496" s="3" t="s">
        <v>7</v>
      </c>
    </row>
    <row r="6497" spans="1:3" ht="13.5" thickBot="1" x14ac:dyDescent="0.25">
      <c r="A6497" s="3">
        <v>6905</v>
      </c>
      <c r="B6497" s="28"/>
      <c r="C6497" s="3" t="s">
        <v>5</v>
      </c>
    </row>
    <row r="6498" spans="1:3" ht="13.5" thickBot="1" x14ac:dyDescent="0.25">
      <c r="A6498" s="3">
        <v>2835</v>
      </c>
      <c r="B6498" s="28"/>
      <c r="C6498" s="3" t="s">
        <v>3</v>
      </c>
    </row>
    <row r="6499" spans="1:3" ht="13.5" thickBot="1" x14ac:dyDescent="0.25">
      <c r="A6499" s="3">
        <v>2457</v>
      </c>
      <c r="B6499" s="28"/>
      <c r="C6499" s="3" t="s">
        <v>3</v>
      </c>
    </row>
    <row r="6500" spans="1:3" ht="13.5" thickBot="1" x14ac:dyDescent="0.25">
      <c r="A6500" s="3">
        <v>7365</v>
      </c>
      <c r="B6500" s="28"/>
      <c r="C6500" s="3" t="s">
        <v>3</v>
      </c>
    </row>
    <row r="6501" spans="1:3" ht="13.5" thickBot="1" x14ac:dyDescent="0.25">
      <c r="A6501" s="3">
        <v>4582</v>
      </c>
      <c r="B6501" s="28"/>
      <c r="C6501" s="3" t="s">
        <v>3</v>
      </c>
    </row>
    <row r="6502" spans="1:3" ht="13.5" thickBot="1" x14ac:dyDescent="0.25">
      <c r="A6502" s="3">
        <v>4394</v>
      </c>
      <c r="B6502" s="28"/>
      <c r="C6502" s="3" t="s">
        <v>5</v>
      </c>
    </row>
    <row r="6503" spans="1:3" ht="13.5" thickBot="1" x14ac:dyDescent="0.25">
      <c r="A6503" s="3">
        <v>3800</v>
      </c>
      <c r="B6503" s="28"/>
      <c r="C6503" s="3" t="s">
        <v>4</v>
      </c>
    </row>
    <row r="6504" spans="1:3" ht="13.5" thickBot="1" x14ac:dyDescent="0.25">
      <c r="A6504" s="3">
        <v>3013</v>
      </c>
      <c r="B6504" s="28"/>
      <c r="C6504" s="3" t="s">
        <v>6</v>
      </c>
    </row>
    <row r="6505" spans="1:3" ht="13.5" thickBot="1" x14ac:dyDescent="0.25">
      <c r="A6505" s="3">
        <v>3106</v>
      </c>
      <c r="B6505" s="28"/>
      <c r="C6505" s="3" t="s">
        <v>4</v>
      </c>
    </row>
    <row r="6506" spans="1:3" ht="13.5" thickBot="1" x14ac:dyDescent="0.25">
      <c r="A6506" s="3">
        <v>6588</v>
      </c>
      <c r="B6506" s="28"/>
      <c r="C6506" s="3" t="s">
        <v>4</v>
      </c>
    </row>
    <row r="6507" spans="1:3" ht="13.5" thickBot="1" x14ac:dyDescent="0.25">
      <c r="A6507" s="3">
        <v>2474</v>
      </c>
      <c r="B6507" s="28"/>
      <c r="C6507" s="3" t="s">
        <v>4</v>
      </c>
    </row>
    <row r="6508" spans="1:3" ht="13.5" thickBot="1" x14ac:dyDescent="0.25">
      <c r="A6508" s="3">
        <v>4385</v>
      </c>
      <c r="B6508" s="28"/>
      <c r="C6508" s="3" t="s">
        <v>3</v>
      </c>
    </row>
    <row r="6509" spans="1:3" ht="13.5" thickBot="1" x14ac:dyDescent="0.25">
      <c r="A6509" s="3">
        <v>5589</v>
      </c>
      <c r="B6509" s="28"/>
      <c r="C6509" s="3" t="s">
        <v>3</v>
      </c>
    </row>
    <row r="6510" spans="1:3" ht="13.5" thickBot="1" x14ac:dyDescent="0.25">
      <c r="A6510" s="3">
        <v>4519</v>
      </c>
      <c r="B6510" s="28"/>
      <c r="C6510" s="3" t="s">
        <v>7</v>
      </c>
    </row>
    <row r="6511" spans="1:3" ht="13.5" thickBot="1" x14ac:dyDescent="0.25">
      <c r="A6511" s="3">
        <v>4792</v>
      </c>
      <c r="B6511" s="28"/>
      <c r="C6511" s="3" t="s">
        <v>4</v>
      </c>
    </row>
    <row r="6512" spans="1:3" ht="13.5" thickBot="1" x14ac:dyDescent="0.25">
      <c r="A6512" s="3">
        <v>3919</v>
      </c>
      <c r="B6512" s="28"/>
      <c r="C6512" s="3" t="s">
        <v>5</v>
      </c>
    </row>
    <row r="6513" spans="1:3" ht="13.5" thickBot="1" x14ac:dyDescent="0.25">
      <c r="A6513" s="3">
        <v>7412</v>
      </c>
      <c r="B6513" s="28"/>
      <c r="C6513" s="3" t="s">
        <v>3</v>
      </c>
    </row>
    <row r="6514" spans="1:3" ht="13.5" thickBot="1" x14ac:dyDescent="0.25">
      <c r="A6514" s="3">
        <v>4519</v>
      </c>
      <c r="B6514" s="28"/>
      <c r="C6514" s="3" t="s">
        <v>6</v>
      </c>
    </row>
    <row r="6515" spans="1:3" ht="13.5" thickBot="1" x14ac:dyDescent="0.25">
      <c r="A6515" s="3">
        <v>2436</v>
      </c>
      <c r="B6515" s="28"/>
      <c r="C6515" s="3" t="s">
        <v>3</v>
      </c>
    </row>
    <row r="6516" spans="1:3" ht="13.5" thickBot="1" x14ac:dyDescent="0.25">
      <c r="A6516" s="3">
        <v>2403</v>
      </c>
      <c r="B6516" s="28"/>
      <c r="C6516" s="3" t="s">
        <v>5</v>
      </c>
    </row>
    <row r="6517" spans="1:3" ht="13.5" thickBot="1" x14ac:dyDescent="0.25">
      <c r="A6517" s="3">
        <v>4506</v>
      </c>
      <c r="B6517" s="28"/>
      <c r="C6517" s="3" t="s">
        <v>4</v>
      </c>
    </row>
    <row r="6518" spans="1:3" ht="13.5" thickBot="1" x14ac:dyDescent="0.25">
      <c r="A6518" s="3">
        <v>4940</v>
      </c>
      <c r="B6518" s="28"/>
      <c r="C6518" s="3" t="s">
        <v>3</v>
      </c>
    </row>
    <row r="6519" spans="1:3" ht="13.5" thickBot="1" x14ac:dyDescent="0.25">
      <c r="A6519" s="3">
        <v>1703</v>
      </c>
      <c r="B6519" s="28"/>
      <c r="C6519" s="3" t="s">
        <v>5</v>
      </c>
    </row>
    <row r="6520" spans="1:3" ht="13.5" thickBot="1" x14ac:dyDescent="0.25">
      <c r="A6520" s="3">
        <v>4690</v>
      </c>
      <c r="B6520" s="28"/>
      <c r="C6520" s="3" t="s">
        <v>3</v>
      </c>
    </row>
    <row r="6521" spans="1:3" ht="13.5" thickBot="1" x14ac:dyDescent="0.25">
      <c r="A6521" s="3">
        <v>3051</v>
      </c>
      <c r="B6521" s="28"/>
      <c r="C6521" s="3" t="s">
        <v>3</v>
      </c>
    </row>
    <row r="6522" spans="1:3" ht="13.5" thickBot="1" x14ac:dyDescent="0.25">
      <c r="A6522" s="3">
        <v>2906</v>
      </c>
      <c r="B6522" s="28"/>
      <c r="C6522" s="3" t="s">
        <v>5</v>
      </c>
    </row>
    <row r="6523" spans="1:3" ht="13.5" thickBot="1" x14ac:dyDescent="0.25">
      <c r="A6523" s="3">
        <v>3818</v>
      </c>
      <c r="B6523" s="28"/>
      <c r="C6523" s="3" t="s">
        <v>3</v>
      </c>
    </row>
    <row r="6524" spans="1:3" ht="13.5" thickBot="1" x14ac:dyDescent="0.25">
      <c r="A6524" s="3">
        <v>2166</v>
      </c>
      <c r="B6524" s="28"/>
      <c r="C6524" s="3" t="s">
        <v>3</v>
      </c>
    </row>
    <row r="6525" spans="1:3" ht="13.5" thickBot="1" x14ac:dyDescent="0.25">
      <c r="A6525" s="3">
        <v>3800</v>
      </c>
      <c r="B6525" s="28"/>
      <c r="C6525" s="3" t="s">
        <v>7</v>
      </c>
    </row>
    <row r="6526" spans="1:3" ht="13.5" thickBot="1" x14ac:dyDescent="0.25">
      <c r="A6526" s="3">
        <v>5678</v>
      </c>
      <c r="B6526" s="28"/>
      <c r="C6526" s="3" t="s">
        <v>3</v>
      </c>
    </row>
    <row r="6527" spans="1:3" ht="13.5" thickBot="1" x14ac:dyDescent="0.25">
      <c r="A6527" s="3">
        <v>5177</v>
      </c>
      <c r="B6527" s="28"/>
      <c r="C6527" s="3" t="s">
        <v>4</v>
      </c>
    </row>
    <row r="6528" spans="1:3" ht="13.5" thickBot="1" x14ac:dyDescent="0.25">
      <c r="A6528" s="3">
        <v>4979</v>
      </c>
      <c r="B6528" s="28"/>
      <c r="C6528" s="3" t="s">
        <v>3</v>
      </c>
    </row>
    <row r="6529" spans="1:3" ht="13.5" thickBot="1" x14ac:dyDescent="0.25">
      <c r="A6529" s="3">
        <v>5461</v>
      </c>
      <c r="B6529" s="28"/>
      <c r="C6529" s="3" t="s">
        <v>5</v>
      </c>
    </row>
    <row r="6530" spans="1:3" ht="13.5" thickBot="1" x14ac:dyDescent="0.25">
      <c r="A6530" s="3">
        <v>4394</v>
      </c>
      <c r="B6530" s="28"/>
      <c r="C6530" s="3" t="s">
        <v>7</v>
      </c>
    </row>
    <row r="6531" spans="1:3" ht="13.5" thickBot="1" x14ac:dyDescent="0.25">
      <c r="A6531" s="3">
        <v>1114</v>
      </c>
      <c r="B6531" s="28"/>
      <c r="C6531" s="3" t="s">
        <v>3</v>
      </c>
    </row>
    <row r="6532" spans="1:3" ht="13.5" thickBot="1" x14ac:dyDescent="0.25">
      <c r="A6532" s="3">
        <v>5254</v>
      </c>
      <c r="B6532" s="28"/>
      <c r="C6532" s="3" t="s">
        <v>3</v>
      </c>
    </row>
    <row r="6533" spans="1:3" ht="13.5" thickBot="1" x14ac:dyDescent="0.25">
      <c r="A6533" s="3">
        <v>7957</v>
      </c>
      <c r="B6533" s="28"/>
      <c r="C6533" s="3" t="s">
        <v>6</v>
      </c>
    </row>
    <row r="6534" spans="1:3" ht="13.5" thickBot="1" x14ac:dyDescent="0.25">
      <c r="A6534" s="3">
        <v>2555</v>
      </c>
      <c r="B6534" s="28"/>
      <c r="C6534" s="3" t="s">
        <v>4</v>
      </c>
    </row>
    <row r="6535" spans="1:3" ht="13.5" thickBot="1" x14ac:dyDescent="0.25">
      <c r="A6535" s="3">
        <v>2779</v>
      </c>
      <c r="B6535" s="28"/>
      <c r="C6535" s="3" t="s">
        <v>6</v>
      </c>
    </row>
    <row r="6536" spans="1:3" ht="13.5" thickBot="1" x14ac:dyDescent="0.25">
      <c r="A6536" s="3">
        <v>3289</v>
      </c>
      <c r="B6536" s="28"/>
      <c r="C6536" s="3" t="s">
        <v>4</v>
      </c>
    </row>
    <row r="6537" spans="1:3" ht="13.5" thickBot="1" x14ac:dyDescent="0.25">
      <c r="A6537" s="3">
        <v>5224</v>
      </c>
      <c r="B6537" s="28"/>
      <c r="C6537" s="3" t="s">
        <v>6</v>
      </c>
    </row>
    <row r="6538" spans="1:3" ht="13.5" thickBot="1" x14ac:dyDescent="0.25">
      <c r="A6538" s="3">
        <v>2592</v>
      </c>
      <c r="B6538" s="28"/>
      <c r="C6538" s="3" t="s">
        <v>4</v>
      </c>
    </row>
    <row r="6539" spans="1:3" ht="13.5" thickBot="1" x14ac:dyDescent="0.25">
      <c r="A6539" s="3">
        <v>2021</v>
      </c>
      <c r="B6539" s="28"/>
      <c r="C6539" s="3" t="s">
        <v>3</v>
      </c>
    </row>
    <row r="6540" spans="1:3" ht="13.5" thickBot="1" x14ac:dyDescent="0.25">
      <c r="A6540" s="3">
        <v>3239</v>
      </c>
      <c r="B6540" s="28"/>
      <c r="C6540" s="3" t="s">
        <v>3</v>
      </c>
    </row>
    <row r="6541" spans="1:3" ht="13.5" thickBot="1" x14ac:dyDescent="0.25">
      <c r="A6541" s="3">
        <v>3836</v>
      </c>
      <c r="B6541" s="28"/>
      <c r="C6541" s="3" t="s">
        <v>3</v>
      </c>
    </row>
    <row r="6542" spans="1:3" ht="13.5" thickBot="1" x14ac:dyDescent="0.25">
      <c r="A6542" s="3">
        <v>3203</v>
      </c>
      <c r="B6542" s="28"/>
      <c r="C6542" s="3" t="s">
        <v>3</v>
      </c>
    </row>
    <row r="6543" spans="1:3" ht="13.5" thickBot="1" x14ac:dyDescent="0.25">
      <c r="A6543" s="3">
        <v>6827</v>
      </c>
      <c r="B6543" s="28"/>
      <c r="C6543" s="3" t="s">
        <v>5</v>
      </c>
    </row>
    <row r="6544" spans="1:3" ht="13.5" thickBot="1" x14ac:dyDescent="0.25">
      <c r="A6544" s="3">
        <v>1703</v>
      </c>
      <c r="B6544" s="28"/>
      <c r="C6544" s="3" t="s">
        <v>7</v>
      </c>
    </row>
    <row r="6545" spans="1:3" ht="13.5" thickBot="1" x14ac:dyDescent="0.25">
      <c r="A6545" s="3">
        <v>2754</v>
      </c>
      <c r="B6545" s="28"/>
      <c r="C6545" s="3" t="s">
        <v>6</v>
      </c>
    </row>
    <row r="6546" spans="1:3" ht="13.5" thickBot="1" x14ac:dyDescent="0.25">
      <c r="A6546" s="3">
        <v>3768</v>
      </c>
      <c r="B6546" s="28"/>
      <c r="C6546" s="3" t="s">
        <v>6</v>
      </c>
    </row>
    <row r="6547" spans="1:3" ht="13.5" thickBot="1" x14ac:dyDescent="0.25">
      <c r="A6547" s="3">
        <v>200</v>
      </c>
      <c r="B6547" s="28"/>
      <c r="C6547" s="3" t="s">
        <v>3</v>
      </c>
    </row>
    <row r="6548" spans="1:3" ht="13.5" thickBot="1" x14ac:dyDescent="0.25">
      <c r="A6548" s="3">
        <v>1808</v>
      </c>
      <c r="B6548" s="28"/>
      <c r="C6548" s="3" t="s">
        <v>6</v>
      </c>
    </row>
    <row r="6549" spans="1:3" ht="13.5" thickBot="1" x14ac:dyDescent="0.25">
      <c r="A6549" s="3">
        <v>3818</v>
      </c>
      <c r="B6549" s="28"/>
      <c r="C6549" s="3" t="s">
        <v>6</v>
      </c>
    </row>
    <row r="6550" spans="1:3" ht="13.5" thickBot="1" x14ac:dyDescent="0.25">
      <c r="A6550" s="3">
        <v>6881</v>
      </c>
      <c r="B6550" s="28"/>
      <c r="C6550" s="3" t="s">
        <v>5</v>
      </c>
    </row>
    <row r="6551" spans="1:3" ht="13.5" thickBot="1" x14ac:dyDescent="0.25">
      <c r="A6551" s="3">
        <v>2956</v>
      </c>
      <c r="B6551" s="28"/>
      <c r="C6551" s="3" t="s">
        <v>7</v>
      </c>
    </row>
    <row r="6552" spans="1:3" ht="13.5" thickBot="1" x14ac:dyDescent="0.25">
      <c r="A6552" s="3">
        <v>5146</v>
      </c>
      <c r="B6552" s="28"/>
      <c r="C6552" s="3" t="s">
        <v>3</v>
      </c>
    </row>
    <row r="6553" spans="1:3" ht="13.5" thickBot="1" x14ac:dyDescent="0.25">
      <c r="A6553" s="3">
        <v>6505</v>
      </c>
      <c r="B6553" s="28"/>
      <c r="C6553" s="3" t="s">
        <v>7</v>
      </c>
    </row>
    <row r="6554" spans="1:3" ht="13.5" thickBot="1" x14ac:dyDescent="0.25">
      <c r="A6554" s="3">
        <v>7099</v>
      </c>
      <c r="B6554" s="28"/>
      <c r="C6554" s="3" t="s">
        <v>3</v>
      </c>
    </row>
    <row r="6555" spans="1:3" ht="13.5" thickBot="1" x14ac:dyDescent="0.25">
      <c r="A6555" s="3">
        <v>1794</v>
      </c>
      <c r="B6555" s="28"/>
      <c r="C6555" s="3" t="s">
        <v>3</v>
      </c>
    </row>
    <row r="6556" spans="1:3" ht="13.5" thickBot="1" x14ac:dyDescent="0.25">
      <c r="A6556" s="3">
        <v>2374</v>
      </c>
      <c r="B6556" s="28"/>
      <c r="C6556" s="3" t="s">
        <v>7</v>
      </c>
    </row>
    <row r="6557" spans="1:3" ht="13.5" thickBot="1" x14ac:dyDescent="0.25">
      <c r="A6557" s="3">
        <v>6588</v>
      </c>
      <c r="B6557" s="28"/>
      <c r="C6557" s="3" t="s">
        <v>7</v>
      </c>
    </row>
    <row r="6558" spans="1:3" ht="13.5" thickBot="1" x14ac:dyDescent="0.25">
      <c r="A6558" s="3">
        <v>2457</v>
      </c>
      <c r="B6558" s="28"/>
      <c r="C6558" s="3" t="s">
        <v>4</v>
      </c>
    </row>
    <row r="6559" spans="1:3" ht="13.5" thickBot="1" x14ac:dyDescent="0.25">
      <c r="A6559" s="3">
        <v>5783</v>
      </c>
      <c r="B6559" s="28"/>
      <c r="C6559" s="3" t="s">
        <v>3</v>
      </c>
    </row>
    <row r="6560" spans="1:3" ht="13.5" thickBot="1" x14ac:dyDescent="0.25">
      <c r="A6560" s="3">
        <v>2543</v>
      </c>
      <c r="B6560" s="28"/>
      <c r="C6560" s="3" t="s">
        <v>7</v>
      </c>
    </row>
    <row r="6561" spans="1:3" ht="13.5" thickBot="1" x14ac:dyDescent="0.25">
      <c r="A6561" s="3">
        <v>4690</v>
      </c>
      <c r="B6561" s="28"/>
      <c r="C6561" s="3" t="s">
        <v>4</v>
      </c>
    </row>
    <row r="6562" spans="1:3" ht="13.5" thickBot="1" x14ac:dyDescent="0.25">
      <c r="A6562" s="3">
        <v>1142</v>
      </c>
      <c r="B6562" s="28"/>
      <c r="C6562" s="3" t="s">
        <v>3</v>
      </c>
    </row>
    <row r="6563" spans="1:3" ht="13.5" thickBot="1" x14ac:dyDescent="0.25">
      <c r="A6563" s="3">
        <v>5050</v>
      </c>
      <c r="B6563" s="28"/>
      <c r="C6563" s="3" t="s">
        <v>5</v>
      </c>
    </row>
    <row r="6564" spans="1:3" ht="13.5" thickBot="1" x14ac:dyDescent="0.25">
      <c r="A6564" s="3">
        <v>2422</v>
      </c>
      <c r="B6564" s="28"/>
      <c r="C6564" s="3" t="s">
        <v>3</v>
      </c>
    </row>
    <row r="6565" spans="1:3" ht="13.5" thickBot="1" x14ac:dyDescent="0.25">
      <c r="A6565" s="3">
        <v>1783</v>
      </c>
      <c r="B6565" s="28"/>
      <c r="C6565" s="3" t="s">
        <v>3</v>
      </c>
    </row>
    <row r="6566" spans="1:3" ht="13.5" thickBot="1" x14ac:dyDescent="0.25">
      <c r="A6566" s="3">
        <v>1604</v>
      </c>
      <c r="B6566" s="28"/>
      <c r="C6566" s="3" t="s">
        <v>3</v>
      </c>
    </row>
    <row r="6567" spans="1:3" ht="13.5" thickBot="1" x14ac:dyDescent="0.25">
      <c r="A6567" s="3">
        <v>1794</v>
      </c>
      <c r="B6567" s="28"/>
      <c r="C6567" s="3" t="s">
        <v>4</v>
      </c>
    </row>
    <row r="6568" spans="1:3" ht="13.5" thickBot="1" x14ac:dyDescent="0.25">
      <c r="A6568" s="3">
        <v>3818</v>
      </c>
      <c r="B6568" s="28"/>
      <c r="C6568" s="3" t="s">
        <v>4</v>
      </c>
    </row>
    <row r="6569" spans="1:3" ht="13.5" thickBot="1" x14ac:dyDescent="0.25">
      <c r="A6569" s="3">
        <v>5963</v>
      </c>
      <c r="B6569" s="28"/>
      <c r="C6569" s="3" t="s">
        <v>4</v>
      </c>
    </row>
    <row r="6570" spans="1:3" ht="13.5" thickBot="1" x14ac:dyDescent="0.25">
      <c r="A6570" s="3">
        <v>4178</v>
      </c>
      <c r="B6570" s="28"/>
      <c r="C6570" s="3" t="s">
        <v>3</v>
      </c>
    </row>
    <row r="6571" spans="1:3" ht="13.5" thickBot="1" x14ac:dyDescent="0.25">
      <c r="A6571" s="3">
        <v>2246</v>
      </c>
      <c r="B6571" s="28"/>
      <c r="C6571" s="3" t="s">
        <v>4</v>
      </c>
    </row>
    <row r="6572" spans="1:3" ht="13.5" thickBot="1" x14ac:dyDescent="0.25">
      <c r="A6572" s="3">
        <v>5254</v>
      </c>
      <c r="B6572" s="28"/>
      <c r="C6572" s="3" t="s">
        <v>5</v>
      </c>
    </row>
    <row r="6573" spans="1:3" ht="13.5" thickBot="1" x14ac:dyDescent="0.25">
      <c r="A6573" s="3">
        <v>3204</v>
      </c>
      <c r="B6573" s="28"/>
      <c r="C6573" s="3" t="s">
        <v>5</v>
      </c>
    </row>
    <row r="6574" spans="1:3" ht="13.5" thickBot="1" x14ac:dyDescent="0.25">
      <c r="A6574" s="3">
        <v>7418</v>
      </c>
      <c r="B6574" s="28"/>
      <c r="C6574" s="3" t="s">
        <v>3</v>
      </c>
    </row>
    <row r="6575" spans="1:3" ht="13.5" thickBot="1" x14ac:dyDescent="0.25">
      <c r="A6575" s="3">
        <v>7418</v>
      </c>
      <c r="B6575" s="28"/>
      <c r="C6575" s="3" t="s">
        <v>4</v>
      </c>
    </row>
    <row r="6576" spans="1:3" ht="13.5" thickBot="1" x14ac:dyDescent="0.25">
      <c r="A6576" s="3">
        <v>1306</v>
      </c>
      <c r="B6576" s="28"/>
      <c r="C6576" s="3" t="s">
        <v>3</v>
      </c>
    </row>
    <row r="6577" spans="1:3" ht="13.5" thickBot="1" x14ac:dyDescent="0.25">
      <c r="A6577" s="3">
        <v>3981</v>
      </c>
      <c r="B6577" s="28"/>
      <c r="C6577" s="3" t="s">
        <v>7</v>
      </c>
    </row>
    <row r="6578" spans="1:3" ht="13.5" thickBot="1" x14ac:dyDescent="0.25">
      <c r="A6578" s="3">
        <v>2021</v>
      </c>
      <c r="B6578" s="28"/>
      <c r="C6578" s="3" t="s">
        <v>5</v>
      </c>
    </row>
    <row r="6579" spans="1:3" ht="13.5" thickBot="1" x14ac:dyDescent="0.25">
      <c r="A6579" s="3">
        <v>4514</v>
      </c>
      <c r="B6579" s="28"/>
      <c r="C6579" s="3" t="s">
        <v>3</v>
      </c>
    </row>
    <row r="6580" spans="1:3" ht="13.5" thickBot="1" x14ac:dyDescent="0.25">
      <c r="A6580" s="3">
        <v>2749</v>
      </c>
      <c r="B6580" s="28"/>
      <c r="C6580" s="3" t="s">
        <v>3</v>
      </c>
    </row>
    <row r="6581" spans="1:3" ht="13.5" thickBot="1" x14ac:dyDescent="0.25">
      <c r="A6581" s="3">
        <v>6905</v>
      </c>
      <c r="B6581" s="28"/>
      <c r="C6581" s="3" t="s">
        <v>7</v>
      </c>
    </row>
    <row r="6582" spans="1:3" ht="13.5" thickBot="1" x14ac:dyDescent="0.25">
      <c r="A6582" s="3">
        <v>7599</v>
      </c>
      <c r="B6582" s="28"/>
      <c r="C6582" s="3" t="s">
        <v>7</v>
      </c>
    </row>
    <row r="6583" spans="1:3" ht="13.5" thickBot="1" x14ac:dyDescent="0.25">
      <c r="A6583" s="3">
        <v>5963</v>
      </c>
      <c r="B6583" s="28"/>
      <c r="C6583" s="3" t="s">
        <v>3</v>
      </c>
    </row>
    <row r="6584" spans="1:3" ht="13.5" thickBot="1" x14ac:dyDescent="0.25">
      <c r="A6584" s="3">
        <v>4519</v>
      </c>
      <c r="B6584" s="28"/>
      <c r="C6584" s="3" t="s">
        <v>5</v>
      </c>
    </row>
    <row r="6585" spans="1:3" ht="13.5" thickBot="1" x14ac:dyDescent="0.25">
      <c r="A6585" s="3">
        <v>6635</v>
      </c>
      <c r="B6585" s="28"/>
      <c r="C6585" s="3" t="s">
        <v>6</v>
      </c>
    </row>
    <row r="6586" spans="1:3" ht="13.5" thickBot="1" x14ac:dyDescent="0.25">
      <c r="A6586" s="3">
        <v>6849</v>
      </c>
      <c r="B6586" s="28"/>
      <c r="C6586" s="3" t="s">
        <v>3</v>
      </c>
    </row>
    <row r="6587" spans="1:3" ht="13.5" thickBot="1" x14ac:dyDescent="0.25">
      <c r="A6587" s="3">
        <v>2555</v>
      </c>
      <c r="B6587" s="28"/>
      <c r="C6587" s="3" t="s">
        <v>3</v>
      </c>
    </row>
    <row r="6588" spans="1:3" ht="13.5" thickBot="1" x14ac:dyDescent="0.25">
      <c r="A6588" s="3">
        <v>2555</v>
      </c>
      <c r="B6588" s="28"/>
      <c r="C6588" s="3" t="s">
        <v>5</v>
      </c>
    </row>
    <row r="6589" spans="1:3" ht="13.5" thickBot="1" x14ac:dyDescent="0.25">
      <c r="A6589" s="3">
        <v>2749</v>
      </c>
      <c r="B6589" s="28"/>
      <c r="C6589" s="3" t="s">
        <v>4</v>
      </c>
    </row>
    <row r="6590" spans="1:3" ht="13.5" thickBot="1" x14ac:dyDescent="0.25">
      <c r="A6590" s="3">
        <v>2157</v>
      </c>
      <c r="B6590" s="28"/>
      <c r="C6590" s="3" t="s">
        <v>3</v>
      </c>
    </row>
    <row r="6591" spans="1:3" ht="13.5" thickBot="1" x14ac:dyDescent="0.25">
      <c r="A6591" s="3">
        <v>2361</v>
      </c>
      <c r="B6591" s="28"/>
      <c r="C6591" s="3" t="s">
        <v>3</v>
      </c>
    </row>
    <row r="6592" spans="1:3" ht="13.5" thickBot="1" x14ac:dyDescent="0.25">
      <c r="A6592" s="3">
        <v>67</v>
      </c>
      <c r="B6592" s="28"/>
      <c r="C6592" s="3" t="s">
        <v>4</v>
      </c>
    </row>
    <row r="6593" spans="1:3" ht="13.5" thickBot="1" x14ac:dyDescent="0.25">
      <c r="A6593" s="3">
        <v>6287</v>
      </c>
      <c r="B6593" s="28"/>
      <c r="C6593" s="3" t="s">
        <v>6</v>
      </c>
    </row>
    <row r="6594" spans="1:3" ht="13.5" thickBot="1" x14ac:dyDescent="0.25">
      <c r="A6594" s="3">
        <v>6905</v>
      </c>
      <c r="B6594" s="28"/>
      <c r="C6594" s="3" t="s">
        <v>6</v>
      </c>
    </row>
    <row r="6595" spans="1:3" ht="13.5" thickBot="1" x14ac:dyDescent="0.25">
      <c r="A6595" s="3">
        <v>5224</v>
      </c>
      <c r="B6595" s="28"/>
      <c r="C6595" s="3" t="s">
        <v>5</v>
      </c>
    </row>
    <row r="6596" spans="1:3" ht="13.5" thickBot="1" x14ac:dyDescent="0.25">
      <c r="A6596" s="3">
        <v>5050</v>
      </c>
      <c r="B6596" s="28"/>
      <c r="C6596" s="3" t="s">
        <v>4</v>
      </c>
    </row>
    <row r="6597" spans="1:3" ht="13.5" thickBot="1" x14ac:dyDescent="0.25">
      <c r="A6597" s="3">
        <v>5050</v>
      </c>
      <c r="B6597" s="28"/>
      <c r="C6597" s="3" t="s">
        <v>3</v>
      </c>
    </row>
    <row r="6598" spans="1:3" ht="13.5" thickBot="1" x14ac:dyDescent="0.25">
      <c r="A6598" s="3">
        <v>2749</v>
      </c>
      <c r="B6598" s="28"/>
      <c r="C6598" s="3" t="s">
        <v>5</v>
      </c>
    </row>
    <row r="6599" spans="1:3" ht="13.5" thickBot="1" x14ac:dyDescent="0.25">
      <c r="A6599" s="3">
        <v>5146</v>
      </c>
      <c r="B6599" s="28"/>
      <c r="C6599" s="3" t="s">
        <v>4</v>
      </c>
    </row>
    <row r="6600" spans="1:3" ht="13.5" thickBot="1" x14ac:dyDescent="0.25">
      <c r="A6600" s="3">
        <v>5907</v>
      </c>
      <c r="B6600" s="28"/>
      <c r="C6600" s="3" t="s">
        <v>3</v>
      </c>
    </row>
    <row r="6601" spans="1:3" ht="13.5" thickBot="1" x14ac:dyDescent="0.25">
      <c r="A6601" s="3">
        <v>258</v>
      </c>
      <c r="B6601" s="28"/>
      <c r="C6601" s="3" t="s">
        <v>4</v>
      </c>
    </row>
    <row r="6602" spans="1:3" ht="13.5" thickBot="1" x14ac:dyDescent="0.25">
      <c r="A6602" s="3">
        <v>829</v>
      </c>
      <c r="B6602" s="28"/>
      <c r="C6602" s="3" t="s">
        <v>3</v>
      </c>
    </row>
    <row r="6603" spans="1:3" ht="13.5" thickBot="1" x14ac:dyDescent="0.25">
      <c r="A6603" s="3">
        <v>2474</v>
      </c>
      <c r="B6603" s="28"/>
      <c r="C6603" s="3" t="s">
        <v>5</v>
      </c>
    </row>
    <row r="6604" spans="1:3" ht="13.5" thickBot="1" x14ac:dyDescent="0.25">
      <c r="A6604" s="3">
        <v>4935</v>
      </c>
      <c r="B6604" s="28"/>
      <c r="C6604" s="3" t="s">
        <v>3</v>
      </c>
    </row>
    <row r="6605" spans="1:3" ht="13.5" thickBot="1" x14ac:dyDescent="0.25">
      <c r="A6605" s="3">
        <v>6881</v>
      </c>
      <c r="B6605" s="28"/>
      <c r="C6605" s="3" t="s">
        <v>4</v>
      </c>
    </row>
    <row r="6606" spans="1:3" ht="13.5" thickBot="1" x14ac:dyDescent="0.25">
      <c r="A6606" s="3">
        <v>4582</v>
      </c>
      <c r="B6606" s="28"/>
      <c r="C6606" s="3" t="s">
        <v>4</v>
      </c>
    </row>
    <row r="6607" spans="1:3" ht="13.5" thickBot="1" x14ac:dyDescent="0.25">
      <c r="A6607" s="3">
        <v>6167</v>
      </c>
      <c r="B6607" s="28"/>
      <c r="C6607" s="3" t="s">
        <v>3</v>
      </c>
    </row>
    <row r="6608" spans="1:3" ht="13.5" thickBot="1" x14ac:dyDescent="0.25">
      <c r="A6608" s="3">
        <v>7957</v>
      </c>
      <c r="B6608" s="28"/>
      <c r="C6608" s="3" t="s">
        <v>7</v>
      </c>
    </row>
    <row r="6609" spans="1:3" ht="13.5" thickBot="1" x14ac:dyDescent="0.25">
      <c r="A6609" s="3">
        <v>5963</v>
      </c>
      <c r="B6609" s="28"/>
      <c r="C6609" s="3" t="s">
        <v>6</v>
      </c>
    </row>
    <row r="6610" spans="1:3" ht="13.5" thickBot="1" x14ac:dyDescent="0.25">
      <c r="A6610" s="3">
        <v>1413</v>
      </c>
      <c r="B6610" s="28"/>
      <c r="C6610" s="3" t="s">
        <v>7</v>
      </c>
    </row>
    <row r="6611" spans="1:3" ht="13.5" thickBot="1" x14ac:dyDescent="0.25">
      <c r="A6611" s="3">
        <v>7269</v>
      </c>
      <c r="B6611" s="28"/>
      <c r="C6611" s="3" t="s">
        <v>3</v>
      </c>
    </row>
    <row r="6612" spans="1:3" ht="13.5" thickBot="1" x14ac:dyDescent="0.25">
      <c r="A6612" s="3">
        <v>5783</v>
      </c>
      <c r="B6612" s="28"/>
      <c r="C6612" s="3" t="s">
        <v>7</v>
      </c>
    </row>
    <row r="6613" spans="1:3" ht="13.5" thickBot="1" x14ac:dyDescent="0.25">
      <c r="A6613" s="3">
        <v>7464</v>
      </c>
      <c r="B6613" s="28"/>
      <c r="C6613" s="3" t="s">
        <v>6</v>
      </c>
    </row>
    <row r="6614" spans="1:3" ht="13.5" thickBot="1" x14ac:dyDescent="0.25">
      <c r="A6614" s="3">
        <v>7418</v>
      </c>
      <c r="B6614" s="28"/>
      <c r="C6614" s="3" t="s">
        <v>7</v>
      </c>
    </row>
    <row r="6615" spans="1:3" ht="13.5" thickBot="1" x14ac:dyDescent="0.25">
      <c r="A6615" s="3">
        <v>5087</v>
      </c>
      <c r="B6615" s="28"/>
      <c r="C6615" s="3" t="s">
        <v>3</v>
      </c>
    </row>
    <row r="6616" spans="1:3" ht="13.5" thickBot="1" x14ac:dyDescent="0.25">
      <c r="A6616" s="3">
        <v>2084</v>
      </c>
      <c r="B6616" s="28"/>
      <c r="C6616" s="3" t="s">
        <v>3</v>
      </c>
    </row>
    <row r="6617" spans="1:3" ht="13.5" thickBot="1" x14ac:dyDescent="0.25">
      <c r="A6617" s="3">
        <v>1783</v>
      </c>
      <c r="B6617" s="28"/>
      <c r="C6617" s="3" t="s">
        <v>6</v>
      </c>
    </row>
    <row r="6618" spans="1:3" ht="13.5" thickBot="1" x14ac:dyDescent="0.25">
      <c r="A6618" s="3">
        <v>3106</v>
      </c>
      <c r="B6618" s="28"/>
      <c r="C6618" s="3" t="s">
        <v>7</v>
      </c>
    </row>
    <row r="6619" spans="1:3" ht="13.5" thickBot="1" x14ac:dyDescent="0.25">
      <c r="A6619" s="3">
        <v>200</v>
      </c>
      <c r="B6619" s="28"/>
      <c r="C6619" s="3" t="s">
        <v>5</v>
      </c>
    </row>
    <row r="6620" spans="1:3" ht="13.5" thickBot="1" x14ac:dyDescent="0.25">
      <c r="A6620" s="3">
        <v>4514</v>
      </c>
      <c r="B6620" s="28"/>
      <c r="C6620" s="3" t="s">
        <v>5</v>
      </c>
    </row>
    <row r="6621" spans="1:3" ht="13.5" thickBot="1" x14ac:dyDescent="0.25">
      <c r="A6621" s="3">
        <v>3836</v>
      </c>
      <c r="B6621" s="28"/>
      <c r="C6621" s="3" t="s">
        <v>4</v>
      </c>
    </row>
    <row r="6622" spans="1:3" ht="13.5" thickBot="1" x14ac:dyDescent="0.25">
      <c r="A6622" s="3">
        <v>6676</v>
      </c>
      <c r="B6622" s="28"/>
      <c r="C6622" s="3" t="s">
        <v>3</v>
      </c>
    </row>
    <row r="6623" spans="1:3" ht="13.5" thickBot="1" x14ac:dyDescent="0.25">
      <c r="A6623" s="3">
        <v>5783</v>
      </c>
      <c r="B6623" s="28"/>
      <c r="C6623" s="3" t="s">
        <v>4</v>
      </c>
    </row>
    <row r="6624" spans="1:3" ht="13.5" thickBot="1" x14ac:dyDescent="0.25">
      <c r="A6624" s="3">
        <v>7365</v>
      </c>
      <c r="B6624" s="28"/>
      <c r="C6624" s="3" t="s">
        <v>4</v>
      </c>
    </row>
    <row r="6625" spans="1:3" ht="13.5" thickBot="1" x14ac:dyDescent="0.25">
      <c r="A6625" s="3">
        <v>4718</v>
      </c>
      <c r="B6625" s="28"/>
      <c r="C6625" s="3" t="s">
        <v>6</v>
      </c>
    </row>
    <row r="6626" spans="1:3" ht="13.5" thickBot="1" x14ac:dyDescent="0.25">
      <c r="A6626" s="3">
        <v>258</v>
      </c>
      <c r="B6626" s="28"/>
      <c r="C6626" s="3" t="s">
        <v>3</v>
      </c>
    </row>
    <row r="6627" spans="1:3" ht="13.5" thickBot="1" x14ac:dyDescent="0.25">
      <c r="A6627" s="3">
        <v>200</v>
      </c>
      <c r="B6627" s="28"/>
      <c r="C6627" s="3" t="s">
        <v>7</v>
      </c>
    </row>
    <row r="6628" spans="1:3" ht="13.5" thickBot="1" x14ac:dyDescent="0.25">
      <c r="A6628" s="3">
        <v>5461</v>
      </c>
      <c r="B6628" s="28"/>
      <c r="C6628" s="3" t="s">
        <v>6</v>
      </c>
    </row>
    <row r="6629" spans="1:3" ht="13.5" thickBot="1" x14ac:dyDescent="0.25">
      <c r="A6629" s="3">
        <v>5549</v>
      </c>
      <c r="B6629" s="28"/>
      <c r="C6629" s="3" t="s">
        <v>3</v>
      </c>
    </row>
    <row r="6630" spans="1:3" ht="13.5" thickBot="1" x14ac:dyDescent="0.25">
      <c r="A6630" s="3">
        <v>3046</v>
      </c>
      <c r="B6630" s="28"/>
      <c r="C6630" s="3" t="s">
        <v>5</v>
      </c>
    </row>
    <row r="6631" spans="1:3" ht="13.5" thickBot="1" x14ac:dyDescent="0.25">
      <c r="A6631" s="3">
        <v>4657</v>
      </c>
      <c r="B6631" s="28"/>
      <c r="C6631" s="3" t="s">
        <v>3</v>
      </c>
    </row>
    <row r="6632" spans="1:3" ht="13.5" thickBot="1" x14ac:dyDescent="0.25">
      <c r="A6632" s="3">
        <v>5210</v>
      </c>
      <c r="B6632" s="28"/>
      <c r="C6632" s="3" t="s">
        <v>3</v>
      </c>
    </row>
    <row r="6633" spans="1:3" ht="13.5" thickBot="1" x14ac:dyDescent="0.25">
      <c r="A6633" s="3">
        <v>1114</v>
      </c>
      <c r="B6633" s="28"/>
      <c r="C6633" s="3" t="s">
        <v>4</v>
      </c>
    </row>
    <row r="6634" spans="1:3" ht="13.5" thickBot="1" x14ac:dyDescent="0.25">
      <c r="A6634" s="3">
        <v>5592</v>
      </c>
      <c r="B6634" s="28"/>
      <c r="C6634" s="3" t="s">
        <v>6</v>
      </c>
    </row>
    <row r="6635" spans="1:3" ht="13.5" thickBot="1" x14ac:dyDescent="0.25">
      <c r="A6635" s="3">
        <v>7903</v>
      </c>
      <c r="B6635" s="28"/>
      <c r="C6635" s="3" t="s">
        <v>3</v>
      </c>
    </row>
    <row r="6636" spans="1:3" ht="13.5" thickBot="1" x14ac:dyDescent="0.25">
      <c r="A6636" s="3">
        <v>3104</v>
      </c>
      <c r="B6636" s="28"/>
      <c r="C6636" s="3" t="s">
        <v>6</v>
      </c>
    </row>
    <row r="6637" spans="1:3" ht="13.5" thickBot="1" x14ac:dyDescent="0.25">
      <c r="A6637" s="3">
        <v>4868</v>
      </c>
      <c r="B6637" s="28"/>
      <c r="C6637" s="3" t="s">
        <v>4</v>
      </c>
    </row>
    <row r="6638" spans="1:3" ht="13.5" thickBot="1" x14ac:dyDescent="0.25">
      <c r="A6638" s="3">
        <v>847</v>
      </c>
      <c r="B6638" s="28"/>
      <c r="C6638" s="3" t="s">
        <v>4</v>
      </c>
    </row>
    <row r="6639" spans="1:3" ht="13.5" thickBot="1" x14ac:dyDescent="0.25">
      <c r="A6639" s="3">
        <v>6588</v>
      </c>
      <c r="B6639" s="28"/>
      <c r="C6639" s="3" t="s">
        <v>5</v>
      </c>
    </row>
    <row r="6640" spans="1:3" ht="13.5" thickBot="1" x14ac:dyDescent="0.25">
      <c r="A6640" s="3">
        <v>829</v>
      </c>
      <c r="B6640" s="28"/>
      <c r="C6640" s="3" t="s">
        <v>4</v>
      </c>
    </row>
    <row r="6641" spans="1:3" ht="13.5" thickBot="1" x14ac:dyDescent="0.25">
      <c r="A6641" s="3">
        <v>1291</v>
      </c>
      <c r="B6641" s="28"/>
      <c r="C6641" s="3" t="s">
        <v>4</v>
      </c>
    </row>
    <row r="6642" spans="1:3" ht="13.5" thickBot="1" x14ac:dyDescent="0.25">
      <c r="A6642" s="3">
        <v>7729</v>
      </c>
      <c r="B6642" s="28"/>
      <c r="C6642" s="3" t="s">
        <v>3</v>
      </c>
    </row>
    <row r="6643" spans="1:3" ht="13.5" thickBot="1" x14ac:dyDescent="0.25">
      <c r="A6643" s="3">
        <v>6861</v>
      </c>
      <c r="B6643" s="28"/>
      <c r="C6643" s="3" t="s">
        <v>3</v>
      </c>
    </row>
    <row r="6644" spans="1:3" ht="13.5" thickBot="1" x14ac:dyDescent="0.25">
      <c r="A6644" s="3">
        <v>5531</v>
      </c>
      <c r="B6644" s="28"/>
      <c r="C6644" s="3" t="s">
        <v>3</v>
      </c>
    </row>
    <row r="6645" spans="1:3" ht="13.5" thickBot="1" x14ac:dyDescent="0.25">
      <c r="A6645" s="3">
        <v>2457</v>
      </c>
      <c r="B6645" s="28"/>
      <c r="C6645" s="3" t="s">
        <v>7</v>
      </c>
    </row>
    <row r="6646" spans="1:3" ht="13.5" thickBot="1" x14ac:dyDescent="0.25">
      <c r="A6646" s="3">
        <v>2021</v>
      </c>
      <c r="B6646" s="28"/>
      <c r="C6646" s="3" t="s">
        <v>4</v>
      </c>
    </row>
    <row r="6647" spans="1:3" ht="13.5" thickBot="1" x14ac:dyDescent="0.25">
      <c r="A6647" s="3">
        <v>6134</v>
      </c>
      <c r="B6647" s="28"/>
      <c r="C6647" s="3" t="s">
        <v>3</v>
      </c>
    </row>
    <row r="6648" spans="1:3" ht="13.5" thickBot="1" x14ac:dyDescent="0.25">
      <c r="A6648" s="3">
        <v>200</v>
      </c>
      <c r="B6648" s="28"/>
      <c r="C6648" s="3" t="s">
        <v>6</v>
      </c>
    </row>
    <row r="6649" spans="1:3" ht="13.5" thickBot="1" x14ac:dyDescent="0.25">
      <c r="A6649" s="3">
        <v>7980</v>
      </c>
      <c r="B6649" s="28"/>
      <c r="C6649" s="3" t="s">
        <v>6</v>
      </c>
    </row>
    <row r="6650" spans="1:3" ht="13.5" thickBot="1" x14ac:dyDescent="0.25">
      <c r="A6650" s="3">
        <v>4868</v>
      </c>
      <c r="B6650" s="28"/>
      <c r="C6650" s="3" t="s">
        <v>3</v>
      </c>
    </row>
    <row r="6651" spans="1:3" ht="13.5" thickBot="1" x14ac:dyDescent="0.25">
      <c r="A6651" s="3">
        <v>6635</v>
      </c>
      <c r="B6651" s="28"/>
      <c r="C6651" s="3" t="s">
        <v>7</v>
      </c>
    </row>
    <row r="6652" spans="1:3" ht="13.5" thickBot="1" x14ac:dyDescent="0.25">
      <c r="A6652" s="3">
        <v>2422</v>
      </c>
      <c r="B6652" s="28"/>
      <c r="C6652" s="3" t="s">
        <v>4</v>
      </c>
    </row>
    <row r="6653" spans="1:3" ht="13.5" thickBot="1" x14ac:dyDescent="0.25">
      <c r="A6653" s="3">
        <v>1291</v>
      </c>
      <c r="B6653" s="28"/>
      <c r="C6653" s="3" t="s">
        <v>3</v>
      </c>
    </row>
    <row r="6654" spans="1:3" ht="13.5" thickBot="1" x14ac:dyDescent="0.25">
      <c r="A6654" s="3">
        <v>4846</v>
      </c>
      <c r="B6654" s="28"/>
      <c r="C6654" s="3" t="s">
        <v>3</v>
      </c>
    </row>
    <row r="6655" spans="1:3" ht="13.5" thickBot="1" x14ac:dyDescent="0.25">
      <c r="A6655" s="3">
        <v>2349</v>
      </c>
      <c r="B6655" s="28"/>
      <c r="C6655" s="3" t="s">
        <v>3</v>
      </c>
    </row>
    <row r="6656" spans="1:3" ht="13.5" thickBot="1" x14ac:dyDescent="0.25">
      <c r="A6656" s="3">
        <v>7618</v>
      </c>
      <c r="B6656" s="28"/>
      <c r="C6656" s="3" t="s">
        <v>3</v>
      </c>
    </row>
    <row r="6657" spans="1:3" ht="13.5" thickBot="1" x14ac:dyDescent="0.25">
      <c r="A6657" s="3">
        <v>1977</v>
      </c>
      <c r="B6657" s="28"/>
      <c r="C6657" s="3" t="s">
        <v>3</v>
      </c>
    </row>
    <row r="6658" spans="1:3" ht="13.5" thickBot="1" x14ac:dyDescent="0.25">
      <c r="A6658" s="3">
        <v>3106</v>
      </c>
      <c r="B6658" s="28"/>
      <c r="C6658" s="3" t="s">
        <v>5</v>
      </c>
    </row>
    <row r="6659" spans="1:3" ht="13.5" thickBot="1" x14ac:dyDescent="0.25">
      <c r="A6659" s="3">
        <v>829</v>
      </c>
      <c r="B6659" s="28"/>
      <c r="C6659" s="3" t="s">
        <v>5</v>
      </c>
    </row>
    <row r="6660" spans="1:3" ht="13.5" thickBot="1" x14ac:dyDescent="0.25">
      <c r="A6660" s="3">
        <v>3710</v>
      </c>
      <c r="B6660" s="28"/>
      <c r="C6660" s="3" t="s">
        <v>3</v>
      </c>
    </row>
    <row r="6661" spans="1:3" ht="13.5" thickBot="1" x14ac:dyDescent="0.25">
      <c r="A6661" s="3">
        <v>3051</v>
      </c>
      <c r="B6661" s="28"/>
      <c r="C6661" s="3" t="s">
        <v>5</v>
      </c>
    </row>
    <row r="6662" spans="1:3" ht="13.5" thickBot="1" x14ac:dyDescent="0.25">
      <c r="A6662" s="3">
        <v>1631</v>
      </c>
      <c r="B6662" s="28"/>
      <c r="C6662" s="3" t="s">
        <v>3</v>
      </c>
    </row>
    <row r="6663" spans="1:3" ht="13.5" thickBot="1" x14ac:dyDescent="0.25">
      <c r="A6663" s="3">
        <v>2739</v>
      </c>
      <c r="B6663" s="28"/>
      <c r="C6663" s="3" t="s">
        <v>3</v>
      </c>
    </row>
    <row r="6664" spans="1:3" ht="13.5" thickBot="1" x14ac:dyDescent="0.25">
      <c r="A6664" s="3">
        <v>7065</v>
      </c>
      <c r="B6664" s="28"/>
      <c r="C6664" s="3" t="s">
        <v>3</v>
      </c>
    </row>
    <row r="6665" spans="1:3" ht="13.5" thickBot="1" x14ac:dyDescent="0.25">
      <c r="A6665" s="3">
        <v>3510</v>
      </c>
      <c r="B6665" s="28"/>
      <c r="C6665" s="3" t="s">
        <v>3</v>
      </c>
    </row>
    <row r="6666" spans="1:3" ht="13.5" thickBot="1" x14ac:dyDescent="0.25">
      <c r="A6666" s="3">
        <v>2246</v>
      </c>
      <c r="B6666" s="28"/>
      <c r="C6666" s="3" t="s">
        <v>7</v>
      </c>
    </row>
    <row r="6667" spans="1:3" ht="13.5" thickBot="1" x14ac:dyDescent="0.25">
      <c r="A6667" s="3">
        <v>5973</v>
      </c>
      <c r="B6667" s="28"/>
      <c r="C6667" s="3" t="s">
        <v>3</v>
      </c>
    </row>
    <row r="6668" spans="1:3" ht="13.5" thickBot="1" x14ac:dyDescent="0.25">
      <c r="A6668" s="3">
        <v>3791</v>
      </c>
      <c r="B6668" s="28"/>
      <c r="C6668" s="3" t="s">
        <v>6</v>
      </c>
    </row>
    <row r="6669" spans="1:3" ht="13.5" thickBot="1" x14ac:dyDescent="0.25">
      <c r="A6669" s="3">
        <v>3091</v>
      </c>
      <c r="B6669" s="28"/>
      <c r="C6669" s="3" t="s">
        <v>3</v>
      </c>
    </row>
    <row r="6670" spans="1:3" ht="13.5" thickBot="1" x14ac:dyDescent="0.25">
      <c r="A6670" s="3">
        <v>1966</v>
      </c>
      <c r="B6670" s="28"/>
      <c r="C6670" s="3" t="s">
        <v>3</v>
      </c>
    </row>
    <row r="6671" spans="1:3" ht="13.5" thickBot="1" x14ac:dyDescent="0.25">
      <c r="A6671" s="3">
        <v>1325</v>
      </c>
      <c r="B6671" s="28"/>
      <c r="C6671" s="3" t="s">
        <v>3</v>
      </c>
    </row>
    <row r="6672" spans="1:3" ht="13.5" thickBot="1" x14ac:dyDescent="0.25">
      <c r="A6672" s="3">
        <v>258</v>
      </c>
      <c r="B6672" s="28"/>
      <c r="C6672" s="3" t="s">
        <v>7</v>
      </c>
    </row>
    <row r="6673" spans="1:3" ht="13.5" thickBot="1" x14ac:dyDescent="0.25">
      <c r="A6673" s="3">
        <v>1567</v>
      </c>
      <c r="B6673" s="28"/>
      <c r="C6673" s="3" t="s">
        <v>5</v>
      </c>
    </row>
    <row r="6674" spans="1:3" ht="13.5" thickBot="1" x14ac:dyDescent="0.25">
      <c r="A6674" s="3">
        <v>1567</v>
      </c>
      <c r="B6674" s="28"/>
      <c r="C6674" s="3" t="s">
        <v>3</v>
      </c>
    </row>
    <row r="6675" spans="1:3" ht="13.5" thickBot="1" x14ac:dyDescent="0.25">
      <c r="A6675" s="3">
        <v>1783</v>
      </c>
      <c r="B6675" s="28"/>
      <c r="C6675" s="3" t="s">
        <v>4</v>
      </c>
    </row>
    <row r="6676" spans="1:3" ht="13.5" thickBot="1" x14ac:dyDescent="0.25">
      <c r="A6676" s="3">
        <v>626</v>
      </c>
      <c r="B6676" s="28"/>
      <c r="C6676" s="3" t="s">
        <v>7</v>
      </c>
    </row>
    <row r="6677" spans="1:3" ht="13.5" thickBot="1" x14ac:dyDescent="0.25">
      <c r="A6677" s="3">
        <v>6588</v>
      </c>
      <c r="B6677" s="28"/>
      <c r="C6677" s="3" t="s">
        <v>6</v>
      </c>
    </row>
    <row r="6678" spans="1:3" ht="13.5" thickBot="1" x14ac:dyDescent="0.25">
      <c r="A6678" s="3">
        <v>2576</v>
      </c>
      <c r="B6678" s="28"/>
      <c r="C6678" s="3" t="s">
        <v>3</v>
      </c>
    </row>
    <row r="6679" spans="1:3" ht="13.5" thickBot="1" x14ac:dyDescent="0.25">
      <c r="A6679" s="3">
        <v>4394</v>
      </c>
      <c r="B6679" s="28"/>
      <c r="C6679" s="3" t="s">
        <v>6</v>
      </c>
    </row>
    <row r="6680" spans="1:3" ht="13.5" thickBot="1" x14ac:dyDescent="0.25">
      <c r="A6680" s="3">
        <v>5549</v>
      </c>
      <c r="B6680" s="28"/>
      <c r="C6680" s="3" t="s">
        <v>4</v>
      </c>
    </row>
    <row r="6681" spans="1:3" ht="13.5" thickBot="1" x14ac:dyDescent="0.25">
      <c r="A6681" s="3">
        <v>5210</v>
      </c>
      <c r="B6681" s="28"/>
      <c r="C6681" s="3" t="s">
        <v>4</v>
      </c>
    </row>
    <row r="6682" spans="1:3" ht="13.5" thickBot="1" x14ac:dyDescent="0.25">
      <c r="A6682" s="3">
        <v>3232</v>
      </c>
      <c r="B6682" s="28"/>
      <c r="C6682" s="3" t="s">
        <v>7</v>
      </c>
    </row>
    <row r="6683" spans="1:3" ht="13.5" thickBot="1" x14ac:dyDescent="0.25">
      <c r="A6683" s="3">
        <v>6088</v>
      </c>
      <c r="B6683" s="28"/>
      <c r="C6683" s="3" t="s">
        <v>4</v>
      </c>
    </row>
    <row r="6684" spans="1:3" ht="13.5" thickBot="1" x14ac:dyDescent="0.25">
      <c r="A6684" s="3">
        <v>7115</v>
      </c>
      <c r="B6684" s="28"/>
      <c r="C6684" s="3" t="s">
        <v>5</v>
      </c>
    </row>
    <row r="6685" spans="1:3" ht="13.5" thickBot="1" x14ac:dyDescent="0.25">
      <c r="A6685" s="3">
        <v>5097</v>
      </c>
      <c r="B6685" s="28"/>
      <c r="C6685" s="3" t="s">
        <v>3</v>
      </c>
    </row>
    <row r="6686" spans="1:3" ht="13.5" thickBot="1" x14ac:dyDescent="0.25">
      <c r="A6686" s="3">
        <v>5799</v>
      </c>
      <c r="B6686" s="28"/>
      <c r="C6686" s="3" t="s">
        <v>3</v>
      </c>
    </row>
    <row r="6687" spans="1:3" ht="13.5" thickBot="1" x14ac:dyDescent="0.25">
      <c r="A6687" s="3">
        <v>829</v>
      </c>
      <c r="B6687" s="28"/>
      <c r="C6687" s="3" t="s">
        <v>7</v>
      </c>
    </row>
    <row r="6688" spans="1:3" ht="13.5" thickBot="1" x14ac:dyDescent="0.25">
      <c r="A6688" s="3">
        <v>2269</v>
      </c>
      <c r="B6688" s="28"/>
      <c r="C6688" s="3" t="s">
        <v>6</v>
      </c>
    </row>
    <row r="6689" spans="1:3" ht="13.5" thickBot="1" x14ac:dyDescent="0.25">
      <c r="A6689" s="3">
        <v>5471</v>
      </c>
      <c r="B6689" s="28"/>
      <c r="C6689" s="3" t="s">
        <v>3</v>
      </c>
    </row>
    <row r="6690" spans="1:3" ht="13.5" thickBot="1" x14ac:dyDescent="0.25">
      <c r="A6690" s="3">
        <v>3852</v>
      </c>
      <c r="B6690" s="28"/>
      <c r="C6690" s="3" t="s">
        <v>3</v>
      </c>
    </row>
    <row r="6691" spans="1:3" ht="13.5" thickBot="1" x14ac:dyDescent="0.25">
      <c r="A6691" s="3">
        <v>6669</v>
      </c>
      <c r="B6691" s="28"/>
      <c r="C6691" s="3" t="s">
        <v>3</v>
      </c>
    </row>
    <row r="6692" spans="1:3" ht="13.5" thickBot="1" x14ac:dyDescent="0.25">
      <c r="A6692" s="3">
        <v>3342</v>
      </c>
      <c r="B6692" s="28"/>
      <c r="C6692" s="3" t="s">
        <v>3</v>
      </c>
    </row>
    <row r="6693" spans="1:3" ht="13.5" thickBot="1" x14ac:dyDescent="0.25">
      <c r="A6693" s="3">
        <v>3204</v>
      </c>
      <c r="B6693" s="28"/>
      <c r="C6693" s="3" t="s">
        <v>6</v>
      </c>
    </row>
    <row r="6694" spans="1:3" ht="13.5" thickBot="1" x14ac:dyDescent="0.25">
      <c r="A6694" s="3">
        <v>4514</v>
      </c>
      <c r="B6694" s="28"/>
      <c r="C6694" s="3" t="s">
        <v>4</v>
      </c>
    </row>
    <row r="6695" spans="1:3" ht="13.5" thickBot="1" x14ac:dyDescent="0.25">
      <c r="A6695" s="3">
        <v>1644</v>
      </c>
      <c r="B6695" s="28"/>
      <c r="C6695" s="3" t="s">
        <v>7</v>
      </c>
    </row>
    <row r="6696" spans="1:3" ht="13.5" thickBot="1" x14ac:dyDescent="0.25">
      <c r="A6696" s="3">
        <v>1783</v>
      </c>
      <c r="B6696" s="28"/>
      <c r="C6696" s="3" t="s">
        <v>5</v>
      </c>
    </row>
    <row r="6697" spans="1:3" ht="13.5" thickBot="1" x14ac:dyDescent="0.25">
      <c r="A6697" s="3">
        <v>1085</v>
      </c>
      <c r="B6697" s="28"/>
      <c r="C6697" s="3" t="s">
        <v>5</v>
      </c>
    </row>
    <row r="6698" spans="1:3" ht="13.5" thickBot="1" x14ac:dyDescent="0.25">
      <c r="A6698" s="3">
        <v>2531</v>
      </c>
      <c r="B6698" s="28"/>
      <c r="C6698" s="3" t="s">
        <v>3</v>
      </c>
    </row>
    <row r="6699" spans="1:3" ht="13.5" thickBot="1" x14ac:dyDescent="0.25">
      <c r="A6699" s="3">
        <v>5254</v>
      </c>
      <c r="B6699" s="28"/>
      <c r="C6699" s="3" t="s">
        <v>4</v>
      </c>
    </row>
    <row r="6700" spans="1:3" ht="13.5" thickBot="1" x14ac:dyDescent="0.25">
      <c r="A6700" s="3">
        <v>2956</v>
      </c>
      <c r="B6700" s="28"/>
      <c r="C6700" s="3" t="s">
        <v>6</v>
      </c>
    </row>
    <row r="6701" spans="1:3" ht="13.5" thickBot="1" x14ac:dyDescent="0.25">
      <c r="A6701" s="3">
        <v>1966</v>
      </c>
      <c r="B6701" s="28"/>
      <c r="C6701" s="3" t="s">
        <v>4</v>
      </c>
    </row>
    <row r="6702" spans="1:3" ht="13.5" thickBot="1" x14ac:dyDescent="0.25">
      <c r="A6702" s="3">
        <v>1035</v>
      </c>
      <c r="B6702" s="28"/>
      <c r="C6702" s="3" t="s">
        <v>3</v>
      </c>
    </row>
    <row r="6703" spans="1:3" ht="13.5" thickBot="1" x14ac:dyDescent="0.25">
      <c r="A6703" s="3">
        <v>7418</v>
      </c>
      <c r="B6703" s="28"/>
      <c r="C6703" s="3" t="s">
        <v>5</v>
      </c>
    </row>
    <row r="6704" spans="1:3" ht="13.5" thickBot="1" x14ac:dyDescent="0.25">
      <c r="A6704" s="3">
        <v>5065</v>
      </c>
      <c r="B6704" s="28"/>
      <c r="C6704" s="3" t="s">
        <v>3</v>
      </c>
    </row>
    <row r="6705" spans="1:3" ht="13.5" thickBot="1" x14ac:dyDescent="0.25">
      <c r="A6705" s="3">
        <v>1567</v>
      </c>
      <c r="B6705" s="28"/>
      <c r="C6705" s="3" t="s">
        <v>6</v>
      </c>
    </row>
    <row r="6706" spans="1:3" ht="13.5" thickBot="1" x14ac:dyDescent="0.25">
      <c r="A6706" s="3">
        <v>4657</v>
      </c>
      <c r="B6706" s="28"/>
      <c r="C6706" s="3" t="s">
        <v>4</v>
      </c>
    </row>
    <row r="6707" spans="1:3" ht="13.5" thickBot="1" x14ac:dyDescent="0.25">
      <c r="A6707" s="3">
        <v>2903</v>
      </c>
      <c r="B6707" s="28"/>
      <c r="C6707" s="3" t="s">
        <v>3</v>
      </c>
    </row>
    <row r="6708" spans="1:3" ht="13.5" thickBot="1" x14ac:dyDescent="0.25">
      <c r="A6708" s="3">
        <v>1865</v>
      </c>
      <c r="B6708" s="28"/>
      <c r="C6708" s="3" t="s">
        <v>3</v>
      </c>
    </row>
    <row r="6709" spans="1:3" ht="13.5" thickBot="1" x14ac:dyDescent="0.25">
      <c r="A6709" s="3">
        <v>3577</v>
      </c>
      <c r="B6709" s="28"/>
      <c r="C6709" s="3" t="s">
        <v>3</v>
      </c>
    </row>
    <row r="6710" spans="1:3" ht="13.5" thickBot="1" x14ac:dyDescent="0.25">
      <c r="A6710" s="3">
        <v>5348</v>
      </c>
      <c r="B6710" s="28"/>
      <c r="C6710" s="3" t="s">
        <v>3</v>
      </c>
    </row>
    <row r="6711" spans="1:3" ht="13.5" thickBot="1" x14ac:dyDescent="0.25">
      <c r="A6711" s="3">
        <v>2597</v>
      </c>
      <c r="B6711" s="28"/>
      <c r="C6711" s="3" t="s">
        <v>3</v>
      </c>
    </row>
    <row r="6712" spans="1:3" ht="13.5" thickBot="1" x14ac:dyDescent="0.25">
      <c r="A6712" s="3">
        <v>626</v>
      </c>
      <c r="B6712" s="28"/>
      <c r="C6712" s="3" t="s">
        <v>6</v>
      </c>
    </row>
    <row r="6713" spans="1:3" ht="13.5" thickBot="1" x14ac:dyDescent="0.25">
      <c r="A6713" s="3">
        <v>2349</v>
      </c>
      <c r="B6713" s="28"/>
      <c r="C6713" s="3" t="s">
        <v>4</v>
      </c>
    </row>
    <row r="6714" spans="1:3" ht="13.5" thickBot="1" x14ac:dyDescent="0.25">
      <c r="A6714" s="3">
        <v>6861</v>
      </c>
      <c r="B6714" s="28"/>
      <c r="C6714" s="3" t="s">
        <v>4</v>
      </c>
    </row>
    <row r="6715" spans="1:3" ht="13.5" thickBot="1" x14ac:dyDescent="0.25">
      <c r="A6715" s="3">
        <v>7065</v>
      </c>
      <c r="B6715" s="28"/>
      <c r="C6715" s="3" t="s">
        <v>4</v>
      </c>
    </row>
    <row r="6716" spans="1:3" ht="13.5" thickBot="1" x14ac:dyDescent="0.25">
      <c r="A6716" s="3">
        <v>2743</v>
      </c>
      <c r="B6716" s="28"/>
      <c r="C6716" s="3" t="s">
        <v>3</v>
      </c>
    </row>
    <row r="6717" spans="1:3" ht="13.5" thickBot="1" x14ac:dyDescent="0.25">
      <c r="A6717" s="3">
        <v>1114</v>
      </c>
      <c r="B6717" s="28"/>
      <c r="C6717" s="3" t="s">
        <v>5</v>
      </c>
    </row>
    <row r="6718" spans="1:3" ht="13.5" thickBot="1" x14ac:dyDescent="0.25">
      <c r="A6718" s="3">
        <v>5968</v>
      </c>
      <c r="B6718" s="28"/>
      <c r="C6718" s="3" t="s">
        <v>3</v>
      </c>
    </row>
    <row r="6719" spans="1:3" ht="13.5" thickBot="1" x14ac:dyDescent="0.25">
      <c r="A6719" s="3">
        <v>2474</v>
      </c>
      <c r="B6719" s="28"/>
      <c r="C6719" s="3" t="s">
        <v>7</v>
      </c>
    </row>
    <row r="6720" spans="1:3" ht="13.5" thickBot="1" x14ac:dyDescent="0.25">
      <c r="A6720" s="3">
        <v>5403</v>
      </c>
      <c r="B6720" s="28"/>
      <c r="C6720" s="3" t="s">
        <v>3</v>
      </c>
    </row>
    <row r="6721" spans="1:3" ht="13.5" thickBot="1" x14ac:dyDescent="0.25">
      <c r="A6721" s="3">
        <v>5879</v>
      </c>
      <c r="B6721" s="28"/>
      <c r="C6721" s="3" t="s">
        <v>3</v>
      </c>
    </row>
    <row r="6722" spans="1:3" ht="13.5" thickBot="1" x14ac:dyDescent="0.25">
      <c r="A6722" s="3">
        <v>764</v>
      </c>
      <c r="B6722" s="28"/>
      <c r="C6722" s="3" t="s">
        <v>6</v>
      </c>
    </row>
    <row r="6723" spans="1:3" ht="13.5" thickBot="1" x14ac:dyDescent="0.25">
      <c r="A6723" s="3">
        <v>5281</v>
      </c>
      <c r="B6723" s="28"/>
      <c r="C6723" s="3" t="s">
        <v>3</v>
      </c>
    </row>
    <row r="6724" spans="1:3" ht="13.5" thickBot="1" x14ac:dyDescent="0.25">
      <c r="A6724" s="3">
        <v>7903</v>
      </c>
      <c r="B6724" s="28"/>
      <c r="C6724" s="3" t="s">
        <v>4</v>
      </c>
    </row>
    <row r="6725" spans="1:3" ht="13.5" thickBot="1" x14ac:dyDescent="0.25">
      <c r="A6725" s="3">
        <v>3282</v>
      </c>
      <c r="B6725" s="28"/>
      <c r="C6725" s="3" t="s">
        <v>3</v>
      </c>
    </row>
    <row r="6726" spans="1:3" ht="13.5" thickBot="1" x14ac:dyDescent="0.25">
      <c r="A6726" s="3">
        <v>1953</v>
      </c>
      <c r="B6726" s="28"/>
      <c r="C6726" s="3" t="s">
        <v>6</v>
      </c>
    </row>
    <row r="6727" spans="1:3" ht="13.5" thickBot="1" x14ac:dyDescent="0.25">
      <c r="A6727" s="3">
        <v>3051</v>
      </c>
      <c r="B6727" s="28"/>
      <c r="C6727" s="3" t="s">
        <v>7</v>
      </c>
    </row>
    <row r="6728" spans="1:3" ht="13.5" thickBot="1" x14ac:dyDescent="0.25">
      <c r="A6728" s="3">
        <v>4991</v>
      </c>
      <c r="B6728" s="28"/>
      <c r="C6728" s="3" t="s">
        <v>3</v>
      </c>
    </row>
    <row r="6729" spans="1:3" ht="13.5" thickBot="1" x14ac:dyDescent="0.25">
      <c r="A6729" s="3">
        <v>5963</v>
      </c>
      <c r="B6729" s="28"/>
      <c r="C6729" s="3" t="s">
        <v>5</v>
      </c>
    </row>
    <row r="6730" spans="1:3" ht="13.5" thickBot="1" x14ac:dyDescent="0.25">
      <c r="A6730" s="3">
        <v>72</v>
      </c>
      <c r="B6730" s="28"/>
      <c r="C6730" s="3" t="s">
        <v>3</v>
      </c>
    </row>
    <row r="6731" spans="1:3" ht="13.5" thickBot="1" x14ac:dyDescent="0.25">
      <c r="A6731" s="3">
        <v>1453</v>
      </c>
      <c r="B6731" s="28"/>
      <c r="C6731" s="3" t="s">
        <v>6</v>
      </c>
    </row>
    <row r="6732" spans="1:3" ht="13.5" thickBot="1" x14ac:dyDescent="0.25">
      <c r="A6732" s="3">
        <v>72</v>
      </c>
      <c r="B6732" s="28"/>
      <c r="C6732" s="3" t="s">
        <v>4</v>
      </c>
    </row>
    <row r="6733" spans="1:3" ht="13.5" thickBot="1" x14ac:dyDescent="0.25">
      <c r="A6733" s="3">
        <v>1169</v>
      </c>
      <c r="B6733" s="28"/>
      <c r="C6733" s="3" t="s">
        <v>3</v>
      </c>
    </row>
    <row r="6734" spans="1:3" ht="13.5" thickBot="1" x14ac:dyDescent="0.25">
      <c r="A6734" s="3">
        <v>1306</v>
      </c>
      <c r="B6734" s="28"/>
      <c r="C6734" s="3" t="s">
        <v>4</v>
      </c>
    </row>
    <row r="6735" spans="1:3" ht="13.5" thickBot="1" x14ac:dyDescent="0.25">
      <c r="A6735" s="3">
        <v>6881</v>
      </c>
      <c r="B6735" s="28"/>
      <c r="C6735" s="3" t="s">
        <v>6</v>
      </c>
    </row>
    <row r="6736" spans="1:3" ht="13.5" thickBot="1" x14ac:dyDescent="0.25">
      <c r="A6736" s="3">
        <v>3631</v>
      </c>
      <c r="B6736" s="28"/>
      <c r="C6736" s="3" t="s">
        <v>3</v>
      </c>
    </row>
    <row r="6737" spans="1:3" ht="13.5" thickBot="1" x14ac:dyDescent="0.25">
      <c r="A6737" s="3">
        <v>7599</v>
      </c>
      <c r="B6737" s="28"/>
      <c r="C6737" s="3" t="s">
        <v>6</v>
      </c>
    </row>
    <row r="6738" spans="1:3" ht="13.5" thickBot="1" x14ac:dyDescent="0.25">
      <c r="A6738" s="3">
        <v>1660</v>
      </c>
      <c r="B6738" s="28"/>
      <c r="C6738" s="3" t="s">
        <v>3</v>
      </c>
    </row>
    <row r="6739" spans="1:3" ht="13.5" thickBot="1" x14ac:dyDescent="0.25">
      <c r="A6739" s="3">
        <v>5799</v>
      </c>
      <c r="B6739" s="28"/>
      <c r="C6739" s="3" t="s">
        <v>4</v>
      </c>
    </row>
    <row r="6740" spans="1:3" ht="13.5" thickBot="1" x14ac:dyDescent="0.25">
      <c r="A6740" s="3">
        <v>3091</v>
      </c>
      <c r="B6740" s="28"/>
      <c r="C6740" s="3" t="s">
        <v>4</v>
      </c>
    </row>
    <row r="6741" spans="1:3" ht="13.5" thickBot="1" x14ac:dyDescent="0.25">
      <c r="A6741" s="3">
        <v>7814</v>
      </c>
      <c r="B6741" s="28"/>
      <c r="C6741" s="3" t="s">
        <v>3</v>
      </c>
    </row>
    <row r="6742" spans="1:3" ht="13.5" thickBot="1" x14ac:dyDescent="0.25">
      <c r="A6742" s="3">
        <v>5398</v>
      </c>
      <c r="B6742" s="28"/>
      <c r="C6742" s="3" t="s">
        <v>4</v>
      </c>
    </row>
    <row r="6743" spans="1:3" ht="13.5" thickBot="1" x14ac:dyDescent="0.25">
      <c r="A6743" s="3">
        <v>2457</v>
      </c>
      <c r="B6743" s="28"/>
      <c r="C6743" s="3" t="s">
        <v>5</v>
      </c>
    </row>
    <row r="6744" spans="1:3" ht="13.5" thickBot="1" x14ac:dyDescent="0.25">
      <c r="A6744" s="3">
        <v>7099</v>
      </c>
      <c r="B6744" s="28"/>
      <c r="C6744" s="3" t="s">
        <v>4</v>
      </c>
    </row>
    <row r="6745" spans="1:3" ht="13.5" thickBot="1" x14ac:dyDescent="0.25">
      <c r="A6745" s="3">
        <v>429</v>
      </c>
      <c r="B6745" s="28"/>
      <c r="C6745" s="3" t="s">
        <v>3</v>
      </c>
    </row>
    <row r="6746" spans="1:3" ht="13.5" thickBot="1" x14ac:dyDescent="0.25">
      <c r="A6746" s="3">
        <v>5050</v>
      </c>
      <c r="B6746" s="28"/>
      <c r="C6746" s="3" t="s">
        <v>6</v>
      </c>
    </row>
    <row r="6747" spans="1:3" ht="13.5" thickBot="1" x14ac:dyDescent="0.25">
      <c r="A6747" s="3">
        <v>1660</v>
      </c>
      <c r="B6747" s="28"/>
      <c r="C6747" s="3" t="s">
        <v>4</v>
      </c>
    </row>
    <row r="6748" spans="1:3" ht="13.5" thickBot="1" x14ac:dyDescent="0.25">
      <c r="A6748" s="3">
        <v>3191</v>
      </c>
      <c r="B6748" s="28"/>
      <c r="C6748" s="3" t="s">
        <v>3</v>
      </c>
    </row>
    <row r="6749" spans="1:3" ht="13.5" thickBot="1" x14ac:dyDescent="0.25">
      <c r="A6749" s="3">
        <v>6464</v>
      </c>
      <c r="B6749" s="28"/>
      <c r="C6749" s="3" t="s">
        <v>3</v>
      </c>
    </row>
    <row r="6750" spans="1:3" ht="13.5" thickBot="1" x14ac:dyDescent="0.25">
      <c r="A6750" s="3">
        <v>2361</v>
      </c>
      <c r="B6750" s="28"/>
      <c r="C6750" s="3" t="s">
        <v>4</v>
      </c>
    </row>
    <row r="6751" spans="1:3" ht="13.5" thickBot="1" x14ac:dyDescent="0.25">
      <c r="A6751" s="3">
        <v>220</v>
      </c>
      <c r="B6751" s="28"/>
      <c r="C6751" s="3" t="s">
        <v>3</v>
      </c>
    </row>
    <row r="6752" spans="1:3" ht="13.5" thickBot="1" x14ac:dyDescent="0.25">
      <c r="A6752" s="3">
        <v>1361</v>
      </c>
      <c r="B6752" s="28"/>
      <c r="C6752" s="3" t="s">
        <v>3</v>
      </c>
    </row>
    <row r="6753" spans="1:3" ht="13.5" thickBot="1" x14ac:dyDescent="0.25">
      <c r="A6753" s="3">
        <v>2262</v>
      </c>
      <c r="B6753" s="28"/>
      <c r="C6753" s="3" t="s">
        <v>3</v>
      </c>
    </row>
    <row r="6754" spans="1:3" ht="13.5" thickBot="1" x14ac:dyDescent="0.25">
      <c r="A6754" s="3">
        <v>7827</v>
      </c>
      <c r="B6754" s="28"/>
      <c r="C6754" s="3" t="s">
        <v>3</v>
      </c>
    </row>
    <row r="6755" spans="1:3" ht="13.5" thickBot="1" x14ac:dyDescent="0.25">
      <c r="A6755" s="3">
        <v>5162</v>
      </c>
      <c r="B6755" s="28"/>
      <c r="C6755" s="3" t="s">
        <v>3</v>
      </c>
    </row>
    <row r="6756" spans="1:3" ht="13.5" thickBot="1" x14ac:dyDescent="0.25">
      <c r="A6756" s="3">
        <v>4690</v>
      </c>
      <c r="B6756" s="28"/>
      <c r="C6756" s="3" t="s">
        <v>5</v>
      </c>
    </row>
    <row r="6757" spans="1:3" ht="13.5" thickBot="1" x14ac:dyDescent="0.25">
      <c r="A6757" s="3">
        <v>169</v>
      </c>
      <c r="B6757" s="28"/>
      <c r="C6757" s="3" t="s">
        <v>6</v>
      </c>
    </row>
    <row r="6758" spans="1:3" ht="13.5" thickBot="1" x14ac:dyDescent="0.25">
      <c r="A6758" s="3">
        <v>5398</v>
      </c>
      <c r="B6758" s="28"/>
      <c r="C6758" s="3" t="s">
        <v>3</v>
      </c>
    </row>
    <row r="6759" spans="1:3" ht="13.5" thickBot="1" x14ac:dyDescent="0.25">
      <c r="A6759" s="3">
        <v>7115</v>
      </c>
      <c r="B6759" s="28"/>
      <c r="C6759" s="3" t="s">
        <v>6</v>
      </c>
    </row>
    <row r="6760" spans="1:3" ht="13.5" thickBot="1" x14ac:dyDescent="0.25">
      <c r="A6760" s="3">
        <v>739</v>
      </c>
      <c r="B6760" s="28"/>
      <c r="C6760" s="3" t="s">
        <v>3</v>
      </c>
    </row>
    <row r="6761" spans="1:3" ht="13.5" thickBot="1" x14ac:dyDescent="0.25">
      <c r="A6761" s="3">
        <v>7223</v>
      </c>
      <c r="B6761" s="28"/>
      <c r="C6761" s="3" t="s">
        <v>3</v>
      </c>
    </row>
    <row r="6762" spans="1:3" ht="13.5" thickBot="1" x14ac:dyDescent="0.25">
      <c r="A6762" s="3">
        <v>1085</v>
      </c>
      <c r="B6762" s="28"/>
      <c r="C6762" s="3" t="s">
        <v>6</v>
      </c>
    </row>
    <row r="6763" spans="1:3" ht="13.5" thickBot="1" x14ac:dyDescent="0.25">
      <c r="A6763" s="3">
        <v>3106</v>
      </c>
      <c r="B6763" s="28"/>
      <c r="C6763" s="3" t="s">
        <v>6</v>
      </c>
    </row>
    <row r="6764" spans="1:3" ht="13.5" thickBot="1" x14ac:dyDescent="0.25">
      <c r="A6764" s="3">
        <v>3981</v>
      </c>
      <c r="B6764" s="28"/>
      <c r="C6764" s="3" t="s">
        <v>6</v>
      </c>
    </row>
    <row r="6765" spans="1:3" ht="13.5" thickBot="1" x14ac:dyDescent="0.25">
      <c r="A6765" s="3">
        <v>7223</v>
      </c>
      <c r="B6765" s="28"/>
      <c r="C6765" s="3" t="s">
        <v>4</v>
      </c>
    </row>
    <row r="6766" spans="1:3" ht="13.5" thickBot="1" x14ac:dyDescent="0.25">
      <c r="A6766" s="3">
        <v>2021</v>
      </c>
      <c r="B6766" s="28"/>
      <c r="C6766" s="3" t="s">
        <v>7</v>
      </c>
    </row>
    <row r="6767" spans="1:3" ht="13.5" thickBot="1" x14ac:dyDescent="0.25">
      <c r="A6767" s="3">
        <v>3289</v>
      </c>
      <c r="B6767" s="28"/>
      <c r="C6767" s="3" t="s">
        <v>6</v>
      </c>
    </row>
    <row r="6768" spans="1:3" ht="13.5" thickBot="1" x14ac:dyDescent="0.25">
      <c r="A6768" s="3">
        <v>1865</v>
      </c>
      <c r="B6768" s="28"/>
      <c r="C6768" s="3" t="s">
        <v>4</v>
      </c>
    </row>
    <row r="6769" spans="1:3" ht="13.5" thickBot="1" x14ac:dyDescent="0.25">
      <c r="A6769" s="3">
        <v>5065</v>
      </c>
      <c r="B6769" s="28"/>
      <c r="C6769" s="3" t="s">
        <v>7</v>
      </c>
    </row>
    <row r="6770" spans="1:3" ht="13.5" thickBot="1" x14ac:dyDescent="0.25">
      <c r="A6770" s="3">
        <v>6464</v>
      </c>
      <c r="B6770" s="28"/>
      <c r="C6770" s="3" t="s">
        <v>5</v>
      </c>
    </row>
    <row r="6771" spans="1:3" ht="13.5" thickBot="1" x14ac:dyDescent="0.25">
      <c r="A6771" s="3">
        <v>1865</v>
      </c>
      <c r="B6771" s="28"/>
      <c r="C6771" s="3" t="s">
        <v>6</v>
      </c>
    </row>
    <row r="6772" spans="1:3" ht="13.5" thickBot="1" x14ac:dyDescent="0.25">
      <c r="A6772" s="3">
        <v>2906</v>
      </c>
      <c r="B6772" s="28"/>
      <c r="C6772" s="3" t="s">
        <v>6</v>
      </c>
    </row>
    <row r="6773" spans="1:3" ht="13.5" thickBot="1" x14ac:dyDescent="0.25">
      <c r="A6773" s="3">
        <v>1856</v>
      </c>
      <c r="B6773" s="28"/>
      <c r="C6773" s="3" t="s">
        <v>3</v>
      </c>
    </row>
    <row r="6774" spans="1:3" ht="13.5" thickBot="1" x14ac:dyDescent="0.25">
      <c r="A6774" s="3">
        <v>2531</v>
      </c>
      <c r="B6774" s="28"/>
      <c r="C6774" s="3" t="s">
        <v>4</v>
      </c>
    </row>
    <row r="6775" spans="1:3" ht="13.5" thickBot="1" x14ac:dyDescent="0.25">
      <c r="A6775" s="3">
        <v>6903</v>
      </c>
      <c r="B6775" s="28"/>
      <c r="C6775" s="3" t="s">
        <v>3</v>
      </c>
    </row>
    <row r="6776" spans="1:3" ht="13.5" thickBot="1" x14ac:dyDescent="0.25">
      <c r="A6776" s="3">
        <v>1200</v>
      </c>
      <c r="B6776" s="28"/>
      <c r="C6776" s="3" t="s">
        <v>3</v>
      </c>
    </row>
    <row r="6777" spans="1:3" ht="13.5" thickBot="1" x14ac:dyDescent="0.25">
      <c r="A6777" s="3">
        <v>2081</v>
      </c>
      <c r="B6777" s="28"/>
      <c r="C6777" s="3" t="s">
        <v>6</v>
      </c>
    </row>
    <row r="6778" spans="1:3" ht="13.5" thickBot="1" x14ac:dyDescent="0.25">
      <c r="A6778" s="3">
        <v>902</v>
      </c>
      <c r="B6778" s="28"/>
      <c r="C6778" s="3" t="s">
        <v>3</v>
      </c>
    </row>
    <row r="6779" spans="1:3" ht="13.5" thickBot="1" x14ac:dyDescent="0.25">
      <c r="A6779" s="3">
        <v>7903</v>
      </c>
      <c r="B6779" s="28"/>
      <c r="C6779" s="3" t="s">
        <v>7</v>
      </c>
    </row>
    <row r="6780" spans="1:3" ht="13.5" thickBot="1" x14ac:dyDescent="0.25">
      <c r="A6780" s="3">
        <v>4658</v>
      </c>
      <c r="B6780" s="28"/>
      <c r="C6780" s="3" t="s">
        <v>6</v>
      </c>
    </row>
    <row r="6781" spans="1:3" ht="13.5" thickBot="1" x14ac:dyDescent="0.25">
      <c r="A6781" s="3">
        <v>3472</v>
      </c>
      <c r="B6781" s="28"/>
      <c r="C6781" s="3" t="s">
        <v>3</v>
      </c>
    </row>
    <row r="6782" spans="1:3" ht="13.5" thickBot="1" x14ac:dyDescent="0.25">
      <c r="A6782" s="3">
        <v>70</v>
      </c>
      <c r="B6782" s="28"/>
      <c r="C6782" s="3" t="s">
        <v>3</v>
      </c>
    </row>
    <row r="6783" spans="1:3" ht="13.5" thickBot="1" x14ac:dyDescent="0.25">
      <c r="A6783" s="3">
        <v>5456</v>
      </c>
      <c r="B6783" s="28"/>
      <c r="C6783" s="3" t="s">
        <v>3</v>
      </c>
    </row>
    <row r="6784" spans="1:3" ht="13.5" thickBot="1" x14ac:dyDescent="0.25">
      <c r="A6784" s="3">
        <v>1413</v>
      </c>
      <c r="B6784" s="28"/>
      <c r="C6784" s="3" t="s">
        <v>6</v>
      </c>
    </row>
    <row r="6785" spans="1:3" ht="13.5" thickBot="1" x14ac:dyDescent="0.25">
      <c r="A6785" s="3">
        <v>3239</v>
      </c>
      <c r="B6785" s="28"/>
      <c r="C6785" s="3" t="s">
        <v>5</v>
      </c>
    </row>
    <row r="6786" spans="1:3" ht="13.5" thickBot="1" x14ac:dyDescent="0.25">
      <c r="A6786" s="3">
        <v>7067</v>
      </c>
      <c r="B6786" s="28"/>
      <c r="C6786" s="3" t="s">
        <v>3</v>
      </c>
    </row>
    <row r="6787" spans="1:3" ht="13.5" thickBot="1" x14ac:dyDescent="0.25">
      <c r="A6787" s="3">
        <v>7065</v>
      </c>
      <c r="B6787" s="28"/>
      <c r="C6787" s="3" t="s">
        <v>5</v>
      </c>
    </row>
    <row r="6788" spans="1:3" ht="13.5" thickBot="1" x14ac:dyDescent="0.25">
      <c r="A6788" s="3">
        <v>5254</v>
      </c>
      <c r="B6788" s="28"/>
      <c r="C6788" s="3" t="s">
        <v>6</v>
      </c>
    </row>
    <row r="6789" spans="1:3" ht="13.5" thickBot="1" x14ac:dyDescent="0.25">
      <c r="A6789" s="3">
        <v>5484</v>
      </c>
      <c r="B6789" s="28"/>
      <c r="C6789" s="3" t="s">
        <v>3</v>
      </c>
    </row>
    <row r="6790" spans="1:3" ht="13.5" thickBot="1" x14ac:dyDescent="0.25">
      <c r="A6790" s="3">
        <v>3940</v>
      </c>
      <c r="B6790" s="28"/>
      <c r="C6790" s="3" t="s">
        <v>3</v>
      </c>
    </row>
    <row r="6791" spans="1:3" ht="13.5" thickBot="1" x14ac:dyDescent="0.25">
      <c r="A6791" s="3">
        <v>5128</v>
      </c>
      <c r="B6791" s="28"/>
      <c r="C6791" s="3" t="s">
        <v>3</v>
      </c>
    </row>
    <row r="6792" spans="1:3" ht="13.5" thickBot="1" x14ac:dyDescent="0.25">
      <c r="A6792" s="3">
        <v>4657</v>
      </c>
      <c r="B6792" s="28"/>
      <c r="C6792" s="3" t="s">
        <v>5</v>
      </c>
    </row>
    <row r="6793" spans="1:3" ht="13.5" thickBot="1" x14ac:dyDescent="0.25">
      <c r="A6793" s="3">
        <v>6307</v>
      </c>
      <c r="B6793" s="28"/>
      <c r="C6793" s="3" t="s">
        <v>3</v>
      </c>
    </row>
    <row r="6794" spans="1:3" ht="13.5" thickBot="1" x14ac:dyDescent="0.25">
      <c r="A6794" s="3">
        <v>3800</v>
      </c>
      <c r="B6794" s="28"/>
      <c r="C6794" s="3" t="s">
        <v>6</v>
      </c>
    </row>
    <row r="6795" spans="1:3" ht="13.5" thickBot="1" x14ac:dyDescent="0.25">
      <c r="A6795" s="3">
        <v>6483</v>
      </c>
      <c r="B6795" s="28"/>
      <c r="C6795" s="3" t="s">
        <v>4</v>
      </c>
    </row>
    <row r="6796" spans="1:3" ht="13.5" thickBot="1" x14ac:dyDescent="0.25">
      <c r="A6796" s="3">
        <v>5403</v>
      </c>
      <c r="B6796" s="28"/>
      <c r="C6796" s="3" t="s">
        <v>6</v>
      </c>
    </row>
    <row r="6797" spans="1:3" ht="13.5" thickBot="1" x14ac:dyDescent="0.25">
      <c r="A6797" s="3">
        <v>5974</v>
      </c>
      <c r="B6797" s="28"/>
      <c r="C6797" s="3" t="s">
        <v>3</v>
      </c>
    </row>
    <row r="6798" spans="1:3" ht="13.5" thickBot="1" x14ac:dyDescent="0.25">
      <c r="A6798" s="3">
        <v>1169</v>
      </c>
      <c r="B6798" s="28"/>
      <c r="C6798" s="3" t="s">
        <v>4</v>
      </c>
    </row>
    <row r="6799" spans="1:3" ht="13.5" thickBot="1" x14ac:dyDescent="0.25">
      <c r="A6799" s="3">
        <v>6649</v>
      </c>
      <c r="B6799" s="28"/>
      <c r="C6799" s="3" t="s">
        <v>3</v>
      </c>
    </row>
    <row r="6800" spans="1:3" ht="13.5" thickBot="1" x14ac:dyDescent="0.25">
      <c r="A6800" s="3">
        <v>1966</v>
      </c>
      <c r="B6800" s="28"/>
      <c r="C6800" s="3" t="s">
        <v>5</v>
      </c>
    </row>
    <row r="6801" spans="1:3" ht="13.5" thickBot="1" x14ac:dyDescent="0.25">
      <c r="A6801" s="3">
        <v>7878</v>
      </c>
      <c r="B6801" s="28"/>
      <c r="C6801" s="3" t="s">
        <v>3</v>
      </c>
    </row>
    <row r="6802" spans="1:3" ht="13.5" thickBot="1" x14ac:dyDescent="0.25">
      <c r="A6802" s="3">
        <v>2486</v>
      </c>
      <c r="B6802" s="28"/>
      <c r="C6802" s="3" t="s">
        <v>3</v>
      </c>
    </row>
    <row r="6803" spans="1:3" ht="13.5" thickBot="1" x14ac:dyDescent="0.25">
      <c r="A6803" s="3">
        <v>2246</v>
      </c>
      <c r="B6803" s="28"/>
      <c r="C6803" s="3" t="s">
        <v>6</v>
      </c>
    </row>
    <row r="6804" spans="1:3" ht="13.5" thickBot="1" x14ac:dyDescent="0.25">
      <c r="A6804" s="3">
        <v>379</v>
      </c>
      <c r="B6804" s="28"/>
      <c r="C6804" s="3" t="s">
        <v>3</v>
      </c>
    </row>
    <row r="6805" spans="1:3" ht="13.5" thickBot="1" x14ac:dyDescent="0.25">
      <c r="A6805" s="3">
        <v>5065</v>
      </c>
      <c r="B6805" s="28"/>
      <c r="C6805" s="3" t="s">
        <v>6</v>
      </c>
    </row>
    <row r="6806" spans="1:3" ht="13.5" thickBot="1" x14ac:dyDescent="0.25">
      <c r="A6806" s="3">
        <v>276</v>
      </c>
      <c r="B6806" s="28"/>
      <c r="C6806" s="3" t="s">
        <v>3</v>
      </c>
    </row>
    <row r="6807" spans="1:3" ht="13.5" thickBot="1" x14ac:dyDescent="0.25">
      <c r="A6807" s="3">
        <v>2929</v>
      </c>
      <c r="B6807" s="28"/>
      <c r="C6807" s="3" t="s">
        <v>3</v>
      </c>
    </row>
    <row r="6808" spans="1:3" ht="13.5" thickBot="1" x14ac:dyDescent="0.25">
      <c r="A6808" s="3">
        <v>6483</v>
      </c>
      <c r="B6808" s="28"/>
      <c r="C6808" s="3" t="s">
        <v>3</v>
      </c>
    </row>
    <row r="6809" spans="1:3" ht="13.5" thickBot="1" x14ac:dyDescent="0.25">
      <c r="A6809" s="3">
        <v>4559</v>
      </c>
      <c r="B6809" s="28"/>
      <c r="C6809" s="3" t="s">
        <v>3</v>
      </c>
    </row>
    <row r="6810" spans="1:3" ht="13.5" thickBot="1" x14ac:dyDescent="0.25">
      <c r="A6810" s="3">
        <v>636</v>
      </c>
      <c r="B6810" s="28"/>
      <c r="C6810" s="3" t="s">
        <v>3</v>
      </c>
    </row>
    <row r="6811" spans="1:3" ht="13.5" thickBot="1" x14ac:dyDescent="0.25">
      <c r="A6811" s="3">
        <v>1142</v>
      </c>
      <c r="B6811" s="28"/>
      <c r="C6811" s="3" t="s">
        <v>4</v>
      </c>
    </row>
    <row r="6812" spans="1:3" ht="13.5" thickBot="1" x14ac:dyDescent="0.25">
      <c r="A6812" s="3">
        <v>1749</v>
      </c>
      <c r="B6812" s="28"/>
      <c r="C6812" s="3" t="s">
        <v>3</v>
      </c>
    </row>
    <row r="6813" spans="1:3" ht="13.5" thickBot="1" x14ac:dyDescent="0.25">
      <c r="A6813" s="3">
        <v>4846</v>
      </c>
      <c r="B6813" s="28"/>
      <c r="C6813" s="3" t="s">
        <v>7</v>
      </c>
    </row>
    <row r="6814" spans="1:3" ht="13.5" thickBot="1" x14ac:dyDescent="0.25">
      <c r="A6814" s="3">
        <v>1673</v>
      </c>
      <c r="B6814" s="28"/>
      <c r="C6814" s="3" t="s">
        <v>3</v>
      </c>
    </row>
    <row r="6815" spans="1:3" ht="13.5" thickBot="1" x14ac:dyDescent="0.25">
      <c r="A6815" s="3">
        <v>1966</v>
      </c>
      <c r="B6815" s="28"/>
      <c r="C6815" s="3" t="s">
        <v>6</v>
      </c>
    </row>
    <row r="6816" spans="1:3" ht="13.5" thickBot="1" x14ac:dyDescent="0.25">
      <c r="A6816" s="3">
        <v>3755</v>
      </c>
      <c r="B6816" s="28"/>
      <c r="C6816" s="3" t="s">
        <v>3</v>
      </c>
    </row>
    <row r="6817" spans="1:3" ht="13.5" thickBot="1" x14ac:dyDescent="0.25">
      <c r="A6817" s="3">
        <v>2711</v>
      </c>
      <c r="B6817" s="28"/>
      <c r="C6817" s="3" t="s">
        <v>3</v>
      </c>
    </row>
    <row r="6818" spans="1:3" ht="13.5" thickBot="1" x14ac:dyDescent="0.25">
      <c r="A6818" s="3">
        <v>2573</v>
      </c>
      <c r="B6818" s="28"/>
      <c r="C6818" s="3" t="s">
        <v>3</v>
      </c>
    </row>
    <row r="6819" spans="1:3" ht="13.5" thickBot="1" x14ac:dyDescent="0.25">
      <c r="A6819" s="3">
        <v>533</v>
      </c>
      <c r="B6819" s="28"/>
      <c r="C6819" s="3" t="s">
        <v>6</v>
      </c>
    </row>
    <row r="6820" spans="1:3" ht="13.5" thickBot="1" x14ac:dyDescent="0.25">
      <c r="A6820" s="3">
        <v>1794</v>
      </c>
      <c r="B6820" s="28"/>
      <c r="C6820" s="3" t="s">
        <v>5</v>
      </c>
    </row>
    <row r="6821" spans="1:3" ht="13.5" thickBot="1" x14ac:dyDescent="0.25">
      <c r="A6821" s="3">
        <v>6101</v>
      </c>
      <c r="B6821" s="28"/>
      <c r="C6821" s="3" t="s">
        <v>3</v>
      </c>
    </row>
    <row r="6822" spans="1:3" ht="13.5" thickBot="1" x14ac:dyDescent="0.25">
      <c r="A6822" s="3">
        <v>5549</v>
      </c>
      <c r="B6822" s="28"/>
      <c r="C6822" s="3" t="s">
        <v>5</v>
      </c>
    </row>
    <row r="6823" spans="1:3" ht="13.5" thickBot="1" x14ac:dyDescent="0.25">
      <c r="A6823" s="3">
        <v>2573</v>
      </c>
      <c r="B6823" s="28"/>
      <c r="C6823" s="3" t="s">
        <v>4</v>
      </c>
    </row>
    <row r="6824" spans="1:3" ht="13.5" thickBot="1" x14ac:dyDescent="0.25">
      <c r="A6824" s="3">
        <v>1650</v>
      </c>
      <c r="B6824" s="28"/>
      <c r="C6824" s="3" t="s">
        <v>4</v>
      </c>
    </row>
    <row r="6825" spans="1:3" ht="13.5" thickBot="1" x14ac:dyDescent="0.25">
      <c r="A6825" s="3">
        <v>6881</v>
      </c>
      <c r="B6825" s="28"/>
      <c r="C6825" s="3" t="s">
        <v>7</v>
      </c>
    </row>
    <row r="6826" spans="1:3" ht="13.5" thickBot="1" x14ac:dyDescent="0.25">
      <c r="A6826" s="3">
        <v>2749</v>
      </c>
      <c r="B6826" s="28"/>
      <c r="C6826" s="3" t="s">
        <v>7</v>
      </c>
    </row>
    <row r="6827" spans="1:3" ht="13.5" thickBot="1" x14ac:dyDescent="0.25">
      <c r="A6827" s="3">
        <v>5484</v>
      </c>
      <c r="B6827" s="28"/>
      <c r="C6827" s="3" t="s">
        <v>4</v>
      </c>
    </row>
    <row r="6828" spans="1:3" ht="13.5" thickBot="1" x14ac:dyDescent="0.25">
      <c r="A6828" s="3">
        <v>5799</v>
      </c>
      <c r="B6828" s="28"/>
      <c r="C6828" s="3" t="s">
        <v>5</v>
      </c>
    </row>
    <row r="6829" spans="1:3" ht="13.5" thickBot="1" x14ac:dyDescent="0.25">
      <c r="A6829" s="3">
        <v>4657</v>
      </c>
      <c r="B6829" s="28"/>
      <c r="C6829" s="3" t="s">
        <v>7</v>
      </c>
    </row>
    <row r="6830" spans="1:3" ht="13.5" thickBot="1" x14ac:dyDescent="0.25">
      <c r="A6830" s="3">
        <v>6837</v>
      </c>
      <c r="B6830" s="28"/>
      <c r="C6830" s="3" t="s">
        <v>3</v>
      </c>
    </row>
    <row r="6831" spans="1:3" ht="13.5" thickBot="1" x14ac:dyDescent="0.25">
      <c r="A6831" s="3">
        <v>5210</v>
      </c>
      <c r="B6831" s="28"/>
      <c r="C6831" s="3" t="s">
        <v>6</v>
      </c>
    </row>
    <row r="6832" spans="1:3" ht="13.5" thickBot="1" x14ac:dyDescent="0.25">
      <c r="A6832" s="3">
        <v>5065</v>
      </c>
      <c r="B6832" s="28"/>
      <c r="C6832" s="3" t="s">
        <v>4</v>
      </c>
    </row>
    <row r="6833" spans="1:3" ht="13.5" thickBot="1" x14ac:dyDescent="0.25">
      <c r="A6833" s="3">
        <v>2593</v>
      </c>
      <c r="B6833" s="28"/>
      <c r="C6833" s="3" t="s">
        <v>3</v>
      </c>
    </row>
    <row r="6834" spans="1:3" ht="13.5" thickBot="1" x14ac:dyDescent="0.25">
      <c r="A6834" s="3">
        <v>5050</v>
      </c>
      <c r="B6834" s="28"/>
      <c r="C6834" s="3" t="s">
        <v>7</v>
      </c>
    </row>
    <row r="6835" spans="1:3" ht="13.5" thickBot="1" x14ac:dyDescent="0.25">
      <c r="A6835" s="3">
        <v>6483</v>
      </c>
      <c r="B6835" s="28"/>
      <c r="C6835" s="3" t="s">
        <v>5</v>
      </c>
    </row>
    <row r="6836" spans="1:3" ht="13.5" thickBot="1" x14ac:dyDescent="0.25">
      <c r="A6836" s="3">
        <v>6464</v>
      </c>
      <c r="B6836" s="28"/>
      <c r="C6836" s="3" t="s">
        <v>4</v>
      </c>
    </row>
    <row r="6837" spans="1:3" ht="13.5" thickBot="1" x14ac:dyDescent="0.25">
      <c r="A6837" s="3">
        <v>379</v>
      </c>
      <c r="B6837" s="28"/>
      <c r="C6837" s="3" t="s">
        <v>4</v>
      </c>
    </row>
    <row r="6838" spans="1:3" ht="13.5" thickBot="1" x14ac:dyDescent="0.25">
      <c r="A6838" s="3">
        <v>5521</v>
      </c>
      <c r="B6838" s="28"/>
      <c r="C6838" s="3" t="s">
        <v>3</v>
      </c>
    </row>
    <row r="6839" spans="1:3" ht="13.5" thickBot="1" x14ac:dyDescent="0.25">
      <c r="A6839" s="3">
        <v>5521</v>
      </c>
      <c r="B6839" s="28"/>
      <c r="C6839" s="3" t="s">
        <v>4</v>
      </c>
    </row>
    <row r="6840" spans="1:3" ht="13.5" thickBot="1" x14ac:dyDescent="0.25">
      <c r="A6840" s="3">
        <v>220</v>
      </c>
      <c r="B6840" s="28"/>
      <c r="C6840" s="3" t="s">
        <v>4</v>
      </c>
    </row>
    <row r="6841" spans="1:3" ht="13.5" thickBot="1" x14ac:dyDescent="0.25">
      <c r="A6841" s="3">
        <v>1113</v>
      </c>
      <c r="B6841" s="28"/>
      <c r="C6841" s="3" t="s">
        <v>4</v>
      </c>
    </row>
    <row r="6842" spans="1:3" ht="13.5" thickBot="1" x14ac:dyDescent="0.25">
      <c r="A6842" s="3">
        <v>1673</v>
      </c>
      <c r="B6842" s="28"/>
      <c r="C6842" s="3" t="s">
        <v>6</v>
      </c>
    </row>
    <row r="6843" spans="1:3" ht="13.5" thickBot="1" x14ac:dyDescent="0.25">
      <c r="A6843" s="3">
        <v>1644</v>
      </c>
      <c r="B6843" s="28"/>
      <c r="C6843" s="3" t="s">
        <v>6</v>
      </c>
    </row>
    <row r="6844" spans="1:3" ht="13.5" thickBot="1" x14ac:dyDescent="0.25">
      <c r="A6844" s="3">
        <v>229</v>
      </c>
      <c r="B6844" s="28"/>
      <c r="C6844" s="3" t="s">
        <v>3</v>
      </c>
    </row>
    <row r="6845" spans="1:3" ht="13.5" thickBot="1" x14ac:dyDescent="0.25">
      <c r="A6845" s="3">
        <v>867</v>
      </c>
      <c r="B6845" s="28"/>
      <c r="C6845" s="3" t="s">
        <v>3</v>
      </c>
    </row>
    <row r="6846" spans="1:3" ht="13.5" thickBot="1" x14ac:dyDescent="0.25">
      <c r="A6846" s="3">
        <v>4582</v>
      </c>
      <c r="B6846" s="28"/>
      <c r="C6846" s="3" t="s">
        <v>7</v>
      </c>
    </row>
    <row r="6847" spans="1:3" ht="13.5" thickBot="1" x14ac:dyDescent="0.25">
      <c r="A6847" s="3">
        <v>4337</v>
      </c>
      <c r="B6847" s="28"/>
      <c r="C6847" s="3" t="s">
        <v>5</v>
      </c>
    </row>
    <row r="6848" spans="1:3" ht="13.5" thickBot="1" x14ac:dyDescent="0.25">
      <c r="A6848" s="3">
        <v>4337</v>
      </c>
      <c r="B6848" s="28"/>
      <c r="C6848" s="3" t="s">
        <v>3</v>
      </c>
    </row>
    <row r="6849" spans="1:3" ht="13.5" thickBot="1" x14ac:dyDescent="0.25">
      <c r="A6849" s="3">
        <v>1035</v>
      </c>
      <c r="B6849" s="28"/>
      <c r="C6849" s="3" t="s">
        <v>4</v>
      </c>
    </row>
    <row r="6850" spans="1:3" ht="13.5" thickBot="1" x14ac:dyDescent="0.25">
      <c r="A6850" s="3">
        <v>264</v>
      </c>
      <c r="B6850" s="28"/>
      <c r="C6850" s="3" t="s">
        <v>6</v>
      </c>
    </row>
    <row r="6851" spans="1:3" ht="13.5" thickBot="1" x14ac:dyDescent="0.25">
      <c r="A6851" s="3">
        <v>5403</v>
      </c>
      <c r="B6851" s="28"/>
      <c r="C6851" s="3" t="s">
        <v>5</v>
      </c>
    </row>
    <row r="6852" spans="1:3" ht="13.5" thickBot="1" x14ac:dyDescent="0.25">
      <c r="A6852" s="3">
        <v>296</v>
      </c>
      <c r="B6852" s="28"/>
      <c r="C6852" s="3" t="s">
        <v>3</v>
      </c>
    </row>
    <row r="6853" spans="1:3" ht="13.5" thickBot="1" x14ac:dyDescent="0.25">
      <c r="A6853" s="3">
        <v>1776</v>
      </c>
      <c r="B6853" s="28"/>
      <c r="C6853" s="3" t="s">
        <v>3</v>
      </c>
    </row>
    <row r="6854" spans="1:3" ht="13.5" thickBot="1" x14ac:dyDescent="0.25">
      <c r="A6854" s="3">
        <v>4559</v>
      </c>
      <c r="B6854" s="28"/>
      <c r="C6854" s="3" t="s">
        <v>4</v>
      </c>
    </row>
    <row r="6855" spans="1:3" ht="13.5" thickBot="1" x14ac:dyDescent="0.25">
      <c r="A6855" s="3">
        <v>2374</v>
      </c>
      <c r="B6855" s="28"/>
      <c r="C6855" s="3" t="s">
        <v>6</v>
      </c>
    </row>
    <row r="6856" spans="1:3" ht="13.5" thickBot="1" x14ac:dyDescent="0.25">
      <c r="A6856" s="3">
        <v>7210</v>
      </c>
      <c r="B6856" s="28"/>
      <c r="C6856" s="3" t="s">
        <v>3</v>
      </c>
    </row>
    <row r="6857" spans="1:3" ht="13.5" thickBot="1" x14ac:dyDescent="0.25">
      <c r="A6857" s="3">
        <v>4393</v>
      </c>
      <c r="B6857" s="28"/>
      <c r="C6857" s="3" t="s">
        <v>3</v>
      </c>
    </row>
    <row r="6858" spans="1:3" ht="13.5" thickBot="1" x14ac:dyDescent="0.25">
      <c r="A6858" s="3">
        <v>1319</v>
      </c>
      <c r="B6858" s="28"/>
      <c r="C6858" s="3" t="s">
        <v>3</v>
      </c>
    </row>
    <row r="6859" spans="1:3" ht="13.5" thickBot="1" x14ac:dyDescent="0.25">
      <c r="A6859" s="3">
        <v>7923</v>
      </c>
      <c r="B6859" s="28"/>
      <c r="C6859" s="3" t="s">
        <v>3</v>
      </c>
    </row>
    <row r="6860" spans="1:3" ht="13.5" thickBot="1" x14ac:dyDescent="0.25">
      <c r="A6860" s="3">
        <v>7618</v>
      </c>
      <c r="B6860" s="28"/>
      <c r="C6860" s="3" t="s">
        <v>6</v>
      </c>
    </row>
    <row r="6861" spans="1:3" ht="13.5" thickBot="1" x14ac:dyDescent="0.25">
      <c r="A6861" s="3">
        <v>5403</v>
      </c>
      <c r="B6861" s="28"/>
      <c r="C6861" s="3" t="s">
        <v>4</v>
      </c>
    </row>
    <row r="6862" spans="1:3" ht="13.5" thickBot="1" x14ac:dyDescent="0.25">
      <c r="A6862" s="3">
        <v>5423</v>
      </c>
      <c r="B6862" s="28"/>
      <c r="C6862" s="3" t="s">
        <v>3</v>
      </c>
    </row>
    <row r="6863" spans="1:3" ht="13.5" thickBot="1" x14ac:dyDescent="0.25">
      <c r="A6863" s="3">
        <v>32</v>
      </c>
      <c r="B6863" s="28"/>
      <c r="C6863" s="3" t="s">
        <v>3</v>
      </c>
    </row>
    <row r="6864" spans="1:3" ht="13.5" thickBot="1" x14ac:dyDescent="0.25">
      <c r="A6864" s="3">
        <v>3239</v>
      </c>
      <c r="B6864" s="28"/>
      <c r="C6864" s="3" t="s">
        <v>7</v>
      </c>
    </row>
    <row r="6865" spans="1:3" ht="13.5" thickBot="1" x14ac:dyDescent="0.25">
      <c r="A6865" s="3">
        <v>1113</v>
      </c>
      <c r="B6865" s="28"/>
      <c r="C6865" s="3" t="s">
        <v>3</v>
      </c>
    </row>
    <row r="6866" spans="1:3" ht="13.5" thickBot="1" x14ac:dyDescent="0.25">
      <c r="A6866" s="3">
        <v>3125</v>
      </c>
      <c r="B6866" s="28"/>
      <c r="C6866" s="3" t="s">
        <v>3</v>
      </c>
    </row>
    <row r="6867" spans="1:3" ht="13.5" thickBot="1" x14ac:dyDescent="0.25">
      <c r="A6867" s="3">
        <v>6604</v>
      </c>
      <c r="B6867" s="28"/>
      <c r="C6867" s="3" t="s">
        <v>3</v>
      </c>
    </row>
    <row r="6868" spans="1:3" ht="13.5" thickBot="1" x14ac:dyDescent="0.25">
      <c r="A6868" s="3">
        <v>1169</v>
      </c>
      <c r="B6868" s="28"/>
      <c r="C6868" s="3" t="s">
        <v>5</v>
      </c>
    </row>
    <row r="6869" spans="1:3" ht="13.5" thickBot="1" x14ac:dyDescent="0.25">
      <c r="A6869" s="3">
        <v>1650</v>
      </c>
      <c r="B6869" s="28"/>
      <c r="C6869" s="3" t="s">
        <v>3</v>
      </c>
    </row>
    <row r="6870" spans="1:3" ht="13.5" thickBot="1" x14ac:dyDescent="0.25">
      <c r="A6870" s="3">
        <v>7903</v>
      </c>
      <c r="B6870" s="28"/>
      <c r="C6870" s="3" t="s">
        <v>5</v>
      </c>
    </row>
    <row r="6871" spans="1:3" ht="13.5" thickBot="1" x14ac:dyDescent="0.25">
      <c r="A6871" s="3">
        <v>7407</v>
      </c>
      <c r="B6871" s="28"/>
      <c r="C6871" s="3" t="s">
        <v>3</v>
      </c>
    </row>
    <row r="6872" spans="1:3" ht="13.5" thickBot="1" x14ac:dyDescent="0.25">
      <c r="A6872" s="3">
        <v>2084</v>
      </c>
      <c r="B6872" s="28"/>
      <c r="C6872" s="3" t="s">
        <v>7</v>
      </c>
    </row>
    <row r="6873" spans="1:3" ht="13.5" thickBot="1" x14ac:dyDescent="0.25">
      <c r="A6873" s="3">
        <v>3083</v>
      </c>
      <c r="B6873" s="28"/>
      <c r="C6873" s="3" t="s">
        <v>3</v>
      </c>
    </row>
    <row r="6874" spans="1:3" ht="13.5" thickBot="1" x14ac:dyDescent="0.25">
      <c r="A6874" s="3">
        <v>3378</v>
      </c>
      <c r="B6874" s="28"/>
      <c r="C6874" s="3" t="s">
        <v>3</v>
      </c>
    </row>
    <row r="6875" spans="1:3" ht="13.5" thickBot="1" x14ac:dyDescent="0.25">
      <c r="A6875" s="3">
        <v>831</v>
      </c>
      <c r="B6875" s="28"/>
      <c r="C6875" s="3" t="s">
        <v>3</v>
      </c>
    </row>
    <row r="6876" spans="1:3" ht="13.5" thickBot="1" x14ac:dyDescent="0.25">
      <c r="A6876" s="3">
        <v>1814</v>
      </c>
      <c r="B6876" s="28"/>
      <c r="C6876" s="3" t="s">
        <v>3</v>
      </c>
    </row>
    <row r="6877" spans="1:3" ht="13.5" thickBot="1" x14ac:dyDescent="0.25">
      <c r="A6877" s="3">
        <v>4909</v>
      </c>
      <c r="B6877" s="28"/>
      <c r="C6877" s="3" t="s">
        <v>3</v>
      </c>
    </row>
    <row r="6878" spans="1:3" ht="13.5" thickBot="1" x14ac:dyDescent="0.25">
      <c r="A6878" s="3">
        <v>2739</v>
      </c>
      <c r="B6878" s="28"/>
      <c r="C6878" s="3" t="s">
        <v>4</v>
      </c>
    </row>
    <row r="6879" spans="1:3" ht="13.5" thickBot="1" x14ac:dyDescent="0.25">
      <c r="A6879" s="3">
        <v>2084</v>
      </c>
      <c r="B6879" s="28"/>
      <c r="C6879" s="3" t="s">
        <v>5</v>
      </c>
    </row>
    <row r="6880" spans="1:3" ht="13.5" thickBot="1" x14ac:dyDescent="0.25">
      <c r="A6880" s="3">
        <v>749</v>
      </c>
      <c r="B6880" s="28"/>
      <c r="C6880" s="3" t="s">
        <v>3</v>
      </c>
    </row>
    <row r="6881" spans="1:3" ht="13.5" thickBot="1" x14ac:dyDescent="0.25">
      <c r="A6881" s="3">
        <v>7618</v>
      </c>
      <c r="B6881" s="28"/>
      <c r="C6881" s="3" t="s">
        <v>7</v>
      </c>
    </row>
    <row r="6882" spans="1:3" ht="13.5" thickBot="1" x14ac:dyDescent="0.25">
      <c r="A6882" s="3">
        <v>6649</v>
      </c>
      <c r="B6882" s="28"/>
      <c r="C6882" s="3" t="s">
        <v>4</v>
      </c>
    </row>
    <row r="6883" spans="1:3" ht="13.5" thickBot="1" x14ac:dyDescent="0.25">
      <c r="A6883" s="3">
        <v>3577</v>
      </c>
      <c r="B6883" s="28"/>
      <c r="C6883" s="3" t="s">
        <v>4</v>
      </c>
    </row>
    <row r="6884" spans="1:3" ht="13.5" thickBot="1" x14ac:dyDescent="0.25">
      <c r="A6884" s="3">
        <v>1169</v>
      </c>
      <c r="B6884" s="28"/>
      <c r="C6884" s="3" t="s">
        <v>6</v>
      </c>
    </row>
    <row r="6885" spans="1:3" ht="13.5" thickBot="1" x14ac:dyDescent="0.25">
      <c r="A6885" s="3">
        <v>3818</v>
      </c>
      <c r="B6885" s="28"/>
      <c r="C6885" s="3" t="s">
        <v>7</v>
      </c>
    </row>
    <row r="6886" spans="1:3" ht="13.5" thickBot="1" x14ac:dyDescent="0.25">
      <c r="A6886" s="3">
        <v>6827</v>
      </c>
      <c r="B6886" s="28"/>
      <c r="C6886" s="3" t="s">
        <v>6</v>
      </c>
    </row>
    <row r="6887" spans="1:3" ht="13.5" thickBot="1" x14ac:dyDescent="0.25">
      <c r="A6887" s="3">
        <v>3852</v>
      </c>
      <c r="B6887" s="28"/>
      <c r="C6887" s="3" t="s">
        <v>4</v>
      </c>
    </row>
    <row r="6888" spans="1:3" ht="13.5" thickBot="1" x14ac:dyDescent="0.25">
      <c r="A6888" s="3">
        <v>2349</v>
      </c>
      <c r="B6888" s="28"/>
      <c r="C6888" s="3" t="s">
        <v>5</v>
      </c>
    </row>
    <row r="6889" spans="1:3" ht="13.5" thickBot="1" x14ac:dyDescent="0.25">
      <c r="A6889" s="3">
        <v>5451</v>
      </c>
      <c r="B6889" s="28"/>
      <c r="C6889" s="3" t="s">
        <v>3</v>
      </c>
    </row>
    <row r="6890" spans="1:3" ht="13.5" thickBot="1" x14ac:dyDescent="0.25">
      <c r="A6890" s="3">
        <v>132</v>
      </c>
      <c r="B6890" s="28"/>
      <c r="C6890" s="3" t="s">
        <v>3</v>
      </c>
    </row>
    <row r="6891" spans="1:3" ht="13.5" thickBot="1" x14ac:dyDescent="0.25">
      <c r="A6891" s="3">
        <v>70</v>
      </c>
      <c r="B6891" s="28"/>
      <c r="C6891" s="3" t="s">
        <v>6</v>
      </c>
    </row>
    <row r="6892" spans="1:3" ht="13.5" thickBot="1" x14ac:dyDescent="0.25">
      <c r="A6892" s="3">
        <v>829</v>
      </c>
      <c r="B6892" s="28"/>
      <c r="C6892" s="3" t="s">
        <v>6</v>
      </c>
    </row>
    <row r="6893" spans="1:3" ht="13.5" thickBot="1" x14ac:dyDescent="0.25">
      <c r="A6893" s="3">
        <v>6483</v>
      </c>
      <c r="B6893" s="28"/>
      <c r="C6893" s="3" t="s">
        <v>6</v>
      </c>
    </row>
    <row r="6894" spans="1:3" ht="13.5" thickBot="1" x14ac:dyDescent="0.25">
      <c r="A6894" s="3">
        <v>186</v>
      </c>
      <c r="B6894" s="28"/>
      <c r="C6894" s="3" t="s">
        <v>3</v>
      </c>
    </row>
    <row r="6895" spans="1:3" ht="13.5" thickBot="1" x14ac:dyDescent="0.25">
      <c r="A6895" s="3">
        <v>186</v>
      </c>
      <c r="B6895" s="28"/>
      <c r="C6895" s="3" t="s">
        <v>4</v>
      </c>
    </row>
    <row r="6896" spans="1:3" ht="13.5" thickBot="1" x14ac:dyDescent="0.25">
      <c r="A6896" s="3">
        <v>6903</v>
      </c>
      <c r="B6896" s="28"/>
      <c r="C6896" s="3" t="s">
        <v>4</v>
      </c>
    </row>
    <row r="6897" spans="1:3" ht="13.5" thickBot="1" x14ac:dyDescent="0.25">
      <c r="A6897" s="3">
        <v>6845</v>
      </c>
      <c r="B6897" s="28"/>
      <c r="C6897" s="3" t="s">
        <v>3</v>
      </c>
    </row>
    <row r="6898" spans="1:3" ht="13.5" thickBot="1" x14ac:dyDescent="0.25">
      <c r="A6898" s="3">
        <v>3335</v>
      </c>
      <c r="B6898" s="28"/>
      <c r="C6898" s="3" t="s">
        <v>3</v>
      </c>
    </row>
    <row r="6899" spans="1:3" ht="13.5" thickBot="1" x14ac:dyDescent="0.25">
      <c r="A6899" s="3">
        <v>4690</v>
      </c>
      <c r="B6899" s="28"/>
      <c r="C6899" s="3" t="s">
        <v>6</v>
      </c>
    </row>
    <row r="6900" spans="1:3" ht="13.5" thickBot="1" x14ac:dyDescent="0.25">
      <c r="A6900" s="3">
        <v>5445</v>
      </c>
      <c r="B6900" s="28"/>
      <c r="C6900" s="3" t="s">
        <v>3</v>
      </c>
    </row>
    <row r="6901" spans="1:3" ht="13.5" thickBot="1" x14ac:dyDescent="0.25">
      <c r="A6901" s="3">
        <v>867</v>
      </c>
      <c r="B6901" s="28"/>
      <c r="C6901" s="3" t="s">
        <v>7</v>
      </c>
    </row>
    <row r="6902" spans="1:3" ht="13.5" thickBot="1" x14ac:dyDescent="0.25">
      <c r="A6902" s="3">
        <v>2828</v>
      </c>
      <c r="B6902" s="28"/>
      <c r="C6902" s="3" t="s">
        <v>3</v>
      </c>
    </row>
    <row r="6903" spans="1:3" ht="13.5" thickBot="1" x14ac:dyDescent="0.25">
      <c r="A6903" s="3">
        <v>2021</v>
      </c>
      <c r="B6903" s="28"/>
      <c r="C6903" s="3" t="s">
        <v>6</v>
      </c>
    </row>
    <row r="6904" spans="1:3" ht="13.5" thickBot="1" x14ac:dyDescent="0.25">
      <c r="A6904" s="3">
        <v>4627</v>
      </c>
      <c r="B6904" s="28"/>
      <c r="C6904" s="3" t="s">
        <v>3</v>
      </c>
    </row>
    <row r="6905" spans="1:3" ht="13.5" thickBot="1" x14ac:dyDescent="0.25">
      <c r="A6905" s="3">
        <v>1814</v>
      </c>
      <c r="B6905" s="28"/>
      <c r="C6905" s="3" t="s">
        <v>4</v>
      </c>
    </row>
    <row r="6906" spans="1:3" ht="13.5" thickBot="1" x14ac:dyDescent="0.25">
      <c r="A6906" s="3">
        <v>1114</v>
      </c>
      <c r="B6906" s="28"/>
      <c r="C6906" s="3" t="s">
        <v>6</v>
      </c>
    </row>
    <row r="6907" spans="1:3" ht="13.5" thickBot="1" x14ac:dyDescent="0.25">
      <c r="A6907" s="3">
        <v>1794</v>
      </c>
      <c r="B6907" s="28"/>
      <c r="C6907" s="3" t="s">
        <v>6</v>
      </c>
    </row>
    <row r="6908" spans="1:3" ht="13.5" thickBot="1" x14ac:dyDescent="0.25">
      <c r="A6908" s="3">
        <v>3940</v>
      </c>
      <c r="B6908" s="28"/>
      <c r="C6908" s="3" t="s">
        <v>4</v>
      </c>
    </row>
    <row r="6909" spans="1:3" ht="13.5" thickBot="1" x14ac:dyDescent="0.25">
      <c r="A6909" s="3">
        <v>18</v>
      </c>
      <c r="B6909" s="28"/>
      <c r="C6909" s="3" t="s">
        <v>3</v>
      </c>
    </row>
    <row r="6910" spans="1:3" ht="13.5" thickBot="1" x14ac:dyDescent="0.25">
      <c r="A6910" s="3">
        <v>1200</v>
      </c>
      <c r="B6910" s="28"/>
      <c r="C6910" s="3" t="s">
        <v>5</v>
      </c>
    </row>
    <row r="6911" spans="1:3" ht="13.5" thickBot="1" x14ac:dyDescent="0.25">
      <c r="A6911" s="3">
        <v>6599</v>
      </c>
      <c r="B6911" s="28"/>
      <c r="C6911" s="3" t="s">
        <v>3</v>
      </c>
    </row>
    <row r="6912" spans="1:3" ht="13.5" thickBot="1" x14ac:dyDescent="0.25">
      <c r="A6912" s="3">
        <v>4627</v>
      </c>
      <c r="B6912" s="28"/>
      <c r="C6912" s="3" t="s">
        <v>4</v>
      </c>
    </row>
    <row r="6913" spans="1:3" ht="13.5" thickBot="1" x14ac:dyDescent="0.25">
      <c r="A6913" s="3">
        <v>3223</v>
      </c>
      <c r="B6913" s="28"/>
      <c r="C6913" s="3" t="s">
        <v>3</v>
      </c>
    </row>
    <row r="6914" spans="1:3" ht="13.5" thickBot="1" x14ac:dyDescent="0.25">
      <c r="A6914" s="3">
        <v>201</v>
      </c>
      <c r="B6914" s="28"/>
      <c r="C6914" s="3" t="s">
        <v>3</v>
      </c>
    </row>
    <row r="6915" spans="1:3" ht="13.5" thickBot="1" x14ac:dyDescent="0.25">
      <c r="A6915" s="3">
        <v>1673</v>
      </c>
      <c r="B6915" s="28"/>
      <c r="C6915" s="3" t="s">
        <v>5</v>
      </c>
    </row>
    <row r="6916" spans="1:3" ht="13.5" thickBot="1" x14ac:dyDescent="0.25">
      <c r="A6916" s="3">
        <v>3443</v>
      </c>
      <c r="B6916" s="28"/>
      <c r="C6916" s="3" t="s">
        <v>3</v>
      </c>
    </row>
    <row r="6917" spans="1:3" ht="13.5" thickBot="1" x14ac:dyDescent="0.25">
      <c r="A6917" s="3">
        <v>2573</v>
      </c>
      <c r="B6917" s="28"/>
      <c r="C6917" s="3" t="s">
        <v>5</v>
      </c>
    </row>
    <row r="6918" spans="1:3" ht="13.5" thickBot="1" x14ac:dyDescent="0.25">
      <c r="A6918" s="3">
        <v>6516</v>
      </c>
      <c r="B6918" s="28"/>
      <c r="C6918" s="3" t="s">
        <v>3</v>
      </c>
    </row>
    <row r="6919" spans="1:3" ht="13.5" thickBot="1" x14ac:dyDescent="0.25">
      <c r="A6919" s="3">
        <v>6505</v>
      </c>
      <c r="B6919" s="28"/>
      <c r="C6919" s="3" t="s">
        <v>6</v>
      </c>
    </row>
    <row r="6920" spans="1:3" ht="13.5" thickBot="1" x14ac:dyDescent="0.25">
      <c r="A6920" s="3">
        <v>6516</v>
      </c>
      <c r="B6920" s="28"/>
      <c r="C6920" s="3" t="s">
        <v>5</v>
      </c>
    </row>
    <row r="6921" spans="1:3" ht="13.5" thickBot="1" x14ac:dyDescent="0.25">
      <c r="A6921" s="3">
        <v>2973</v>
      </c>
      <c r="B6921" s="28"/>
      <c r="C6921" s="3" t="s">
        <v>3</v>
      </c>
    </row>
    <row r="6922" spans="1:3" ht="13.5" thickBot="1" x14ac:dyDescent="0.25">
      <c r="A6922" s="3">
        <v>4393</v>
      </c>
      <c r="B6922" s="28"/>
      <c r="C6922" s="3" t="s">
        <v>4</v>
      </c>
    </row>
    <row r="6923" spans="1:3" ht="13.5" thickBot="1" x14ac:dyDescent="0.25">
      <c r="A6923" s="3">
        <v>6365</v>
      </c>
      <c r="B6923" s="28"/>
      <c r="C6923" s="3" t="s">
        <v>3</v>
      </c>
    </row>
    <row r="6924" spans="1:3" ht="13.5" thickBot="1" x14ac:dyDescent="0.25">
      <c r="A6924" s="3">
        <v>1650</v>
      </c>
      <c r="B6924" s="28"/>
      <c r="C6924" s="3" t="s">
        <v>7</v>
      </c>
    </row>
    <row r="6925" spans="1:3" ht="13.5" thickBot="1" x14ac:dyDescent="0.25">
      <c r="A6925" s="3">
        <v>229</v>
      </c>
      <c r="B6925" s="28"/>
      <c r="C6925" s="3" t="s">
        <v>4</v>
      </c>
    </row>
    <row r="6926" spans="1:3" ht="13.5" thickBot="1" x14ac:dyDescent="0.25">
      <c r="A6926" s="3">
        <v>3940</v>
      </c>
      <c r="B6926" s="28"/>
      <c r="C6926" s="3" t="s">
        <v>7</v>
      </c>
    </row>
    <row r="6927" spans="1:3" ht="13.5" thickBot="1" x14ac:dyDescent="0.25">
      <c r="A6927" s="3">
        <v>6229</v>
      </c>
      <c r="B6927" s="28"/>
      <c r="C6927" s="3" t="s">
        <v>3</v>
      </c>
    </row>
    <row r="6928" spans="1:3" ht="13.5" thickBot="1" x14ac:dyDescent="0.25">
      <c r="A6928" s="3">
        <v>3051</v>
      </c>
      <c r="B6928" s="28"/>
      <c r="C6928" s="3" t="s">
        <v>6</v>
      </c>
    </row>
    <row r="6929" spans="1:3" ht="13.5" thickBot="1" x14ac:dyDescent="0.25">
      <c r="A6929" s="3">
        <v>258</v>
      </c>
      <c r="B6929" s="28"/>
      <c r="C6929" s="3" t="s">
        <v>6</v>
      </c>
    </row>
    <row r="6930" spans="1:3" ht="13.5" thickBot="1" x14ac:dyDescent="0.25">
      <c r="A6930" s="3">
        <v>4978</v>
      </c>
      <c r="B6930" s="28"/>
      <c r="C6930" s="3" t="s">
        <v>3</v>
      </c>
    </row>
    <row r="6931" spans="1:3" ht="13.5" thickBot="1" x14ac:dyDescent="0.25">
      <c r="A6931" s="3">
        <v>4393</v>
      </c>
      <c r="B6931" s="28"/>
      <c r="C6931" s="3" t="s">
        <v>5</v>
      </c>
    </row>
    <row r="6932" spans="1:3" ht="13.5" thickBot="1" x14ac:dyDescent="0.25">
      <c r="A6932" s="3">
        <v>3834</v>
      </c>
      <c r="B6932" s="28"/>
      <c r="C6932" s="3" t="s">
        <v>3</v>
      </c>
    </row>
    <row r="6933" spans="1:3" ht="13.5" thickBot="1" x14ac:dyDescent="0.25">
      <c r="A6933" s="3">
        <v>222</v>
      </c>
      <c r="B6933" s="28"/>
      <c r="C6933" s="3" t="s">
        <v>4</v>
      </c>
    </row>
    <row r="6934" spans="1:3" ht="13.5" thickBot="1" x14ac:dyDescent="0.25">
      <c r="A6934" s="3">
        <v>1277</v>
      </c>
      <c r="B6934" s="28"/>
      <c r="C6934" s="3" t="s">
        <v>3</v>
      </c>
    </row>
    <row r="6935" spans="1:3" ht="13.5" thickBot="1" x14ac:dyDescent="0.25">
      <c r="A6935" s="3">
        <v>7466</v>
      </c>
      <c r="B6935" s="28"/>
      <c r="C6935" s="3" t="s">
        <v>3</v>
      </c>
    </row>
    <row r="6936" spans="1:3" ht="13.5" thickBot="1" x14ac:dyDescent="0.25">
      <c r="A6936" s="3">
        <v>1865</v>
      </c>
      <c r="B6936" s="28"/>
      <c r="C6936" s="3" t="s">
        <v>5</v>
      </c>
    </row>
    <row r="6937" spans="1:3" ht="13.5" thickBot="1" x14ac:dyDescent="0.25">
      <c r="A6937" s="3">
        <v>382</v>
      </c>
      <c r="B6937" s="28"/>
      <c r="C6937" s="3" t="s">
        <v>3</v>
      </c>
    </row>
    <row r="6938" spans="1:3" ht="13.5" thickBot="1" x14ac:dyDescent="0.25">
      <c r="A6938" s="3">
        <v>6154</v>
      </c>
      <c r="B6938" s="28"/>
      <c r="C6938" s="3" t="s">
        <v>3</v>
      </c>
    </row>
    <row r="6939" spans="1:3" ht="13.5" thickBot="1" x14ac:dyDescent="0.25">
      <c r="A6939" s="3">
        <v>47</v>
      </c>
      <c r="B6939" s="28"/>
      <c r="C6939" s="3" t="s">
        <v>3</v>
      </c>
    </row>
    <row r="6940" spans="1:3" ht="13.5" thickBot="1" x14ac:dyDescent="0.25">
      <c r="A6940" s="3">
        <v>7407</v>
      </c>
      <c r="B6940" s="28"/>
      <c r="C6940" s="3" t="s">
        <v>4</v>
      </c>
    </row>
    <row r="6941" spans="1:3" ht="13.5" thickBot="1" x14ac:dyDescent="0.25">
      <c r="A6941" s="3">
        <v>4108</v>
      </c>
      <c r="B6941" s="28"/>
      <c r="C6941" s="3" t="s">
        <v>3</v>
      </c>
    </row>
    <row r="6942" spans="1:3" ht="13.5" thickBot="1" x14ac:dyDescent="0.25">
      <c r="A6942" s="3">
        <v>222</v>
      </c>
      <c r="B6942" s="28"/>
      <c r="C6942" s="3" t="s">
        <v>3</v>
      </c>
    </row>
    <row r="6943" spans="1:3" ht="13.5" thickBot="1" x14ac:dyDescent="0.25">
      <c r="A6943" s="3">
        <v>5286</v>
      </c>
      <c r="B6943" s="28"/>
      <c r="C6943" s="3" t="s">
        <v>3</v>
      </c>
    </row>
    <row r="6944" spans="1:3" ht="13.5" thickBot="1" x14ac:dyDescent="0.25">
      <c r="A6944" s="3">
        <v>7418</v>
      </c>
      <c r="B6944" s="28"/>
      <c r="C6944" s="3" t="s">
        <v>6</v>
      </c>
    </row>
    <row r="6945" spans="1:3" ht="13.5" thickBot="1" x14ac:dyDescent="0.25">
      <c r="A6945" s="3">
        <v>4319</v>
      </c>
      <c r="B6945" s="28"/>
      <c r="C6945" s="3" t="s">
        <v>3</v>
      </c>
    </row>
    <row r="6946" spans="1:3" ht="13.5" thickBot="1" x14ac:dyDescent="0.25">
      <c r="A6946" s="3">
        <v>1673</v>
      </c>
      <c r="B6946" s="28"/>
      <c r="C6946" s="3" t="s">
        <v>4</v>
      </c>
    </row>
    <row r="6947" spans="1:3" ht="13.5" thickBot="1" x14ac:dyDescent="0.25">
      <c r="A6947" s="3">
        <v>5398</v>
      </c>
      <c r="B6947" s="28"/>
      <c r="C6947" s="3" t="s">
        <v>7</v>
      </c>
    </row>
    <row r="6948" spans="1:3" ht="13.5" thickBot="1" x14ac:dyDescent="0.25">
      <c r="A6948" s="3">
        <v>2160</v>
      </c>
      <c r="B6948" s="28"/>
      <c r="C6948" s="3" t="s">
        <v>3</v>
      </c>
    </row>
    <row r="6949" spans="1:3" ht="13.5" thickBot="1" x14ac:dyDescent="0.25">
      <c r="A6949" s="3">
        <v>3232</v>
      </c>
      <c r="B6949" s="28"/>
      <c r="C6949" s="3" t="s">
        <v>6</v>
      </c>
    </row>
    <row r="6950" spans="1:3" ht="13.5" thickBot="1" x14ac:dyDescent="0.25">
      <c r="A6950" s="3">
        <v>201</v>
      </c>
      <c r="B6950" s="28"/>
      <c r="C6950" s="3" t="s">
        <v>4</v>
      </c>
    </row>
    <row r="6951" spans="1:3" ht="13.5" thickBot="1" x14ac:dyDescent="0.25">
      <c r="A6951" s="3">
        <v>2980</v>
      </c>
      <c r="B6951" s="28"/>
      <c r="C6951" s="3" t="s">
        <v>3</v>
      </c>
    </row>
    <row r="6952" spans="1:3" ht="13.5" thickBot="1" x14ac:dyDescent="0.25">
      <c r="A6952" s="3">
        <v>2183</v>
      </c>
      <c r="B6952" s="28"/>
      <c r="C6952" s="3" t="s">
        <v>3</v>
      </c>
    </row>
    <row r="6953" spans="1:3" ht="13.5" thickBot="1" x14ac:dyDescent="0.25">
      <c r="A6953" s="3">
        <v>4909</v>
      </c>
      <c r="B6953" s="28"/>
      <c r="C6953" s="3" t="s">
        <v>4</v>
      </c>
    </row>
    <row r="6954" spans="1:3" ht="13.5" thickBot="1" x14ac:dyDescent="0.25">
      <c r="A6954" s="3">
        <v>3940</v>
      </c>
      <c r="B6954" s="28"/>
      <c r="C6954" s="3" t="s">
        <v>5</v>
      </c>
    </row>
    <row r="6955" spans="1:3" ht="13.5" thickBot="1" x14ac:dyDescent="0.25">
      <c r="A6955" s="3">
        <v>6365</v>
      </c>
      <c r="B6955" s="28"/>
      <c r="C6955" s="3" t="s">
        <v>5</v>
      </c>
    </row>
    <row r="6956" spans="1:3" ht="13.5" thickBot="1" x14ac:dyDescent="0.25">
      <c r="A6956" s="3">
        <v>5272</v>
      </c>
      <c r="B6956" s="28"/>
      <c r="C6956" s="3" t="s">
        <v>3</v>
      </c>
    </row>
    <row r="6957" spans="1:3" ht="13.5" thickBot="1" x14ac:dyDescent="0.25">
      <c r="A6957" s="3">
        <v>7145</v>
      </c>
      <c r="B6957" s="28"/>
      <c r="C6957" s="3" t="s">
        <v>3</v>
      </c>
    </row>
    <row r="6958" spans="1:3" ht="13.5" thickBot="1" x14ac:dyDescent="0.25">
      <c r="A6958" s="3">
        <v>5968</v>
      </c>
      <c r="B6958" s="28"/>
      <c r="C6958" s="3" t="s">
        <v>4</v>
      </c>
    </row>
    <row r="6959" spans="1:3" ht="13.5" thickBot="1" x14ac:dyDescent="0.25">
      <c r="A6959" s="3">
        <v>2973</v>
      </c>
      <c r="B6959" s="28"/>
      <c r="C6959" s="3" t="s">
        <v>4</v>
      </c>
    </row>
    <row r="6960" spans="1:3" ht="13.5" thickBot="1" x14ac:dyDescent="0.25">
      <c r="A6960" s="3">
        <v>379</v>
      </c>
      <c r="B6960" s="28"/>
      <c r="C6960" s="3" t="s">
        <v>6</v>
      </c>
    </row>
    <row r="6961" spans="1:3" ht="13.5" thickBot="1" x14ac:dyDescent="0.25">
      <c r="A6961" s="3">
        <v>5879</v>
      </c>
      <c r="B6961" s="28"/>
      <c r="C6961" s="3" t="s">
        <v>4</v>
      </c>
    </row>
    <row r="6962" spans="1:3" ht="13.5" thickBot="1" x14ac:dyDescent="0.25">
      <c r="A6962" s="3">
        <v>7903</v>
      </c>
      <c r="B6962" s="28"/>
      <c r="C6962" s="3" t="s">
        <v>6</v>
      </c>
    </row>
    <row r="6963" spans="1:3" ht="13.5" thickBot="1" x14ac:dyDescent="0.25">
      <c r="A6963" s="3">
        <v>4943</v>
      </c>
      <c r="B6963" s="28"/>
      <c r="C6963" s="3" t="s">
        <v>3</v>
      </c>
    </row>
    <row r="6964" spans="1:3" ht="13.5" thickBot="1" x14ac:dyDescent="0.25">
      <c r="A6964" s="3">
        <v>6585</v>
      </c>
      <c r="B6964" s="28"/>
      <c r="C6964" s="3" t="s">
        <v>3</v>
      </c>
    </row>
    <row r="6965" spans="1:3" ht="13.5" thickBot="1" x14ac:dyDescent="0.25">
      <c r="A6965" s="3">
        <v>921</v>
      </c>
      <c r="B6965" s="28"/>
      <c r="C6965" s="3" t="s">
        <v>3</v>
      </c>
    </row>
    <row r="6966" spans="1:3" ht="13.5" thickBot="1" x14ac:dyDescent="0.25">
      <c r="A6966" s="3">
        <v>1776</v>
      </c>
      <c r="B6966" s="28"/>
      <c r="C6966" s="3" t="s">
        <v>4</v>
      </c>
    </row>
    <row r="6967" spans="1:3" ht="13.5" thickBot="1" x14ac:dyDescent="0.25">
      <c r="A6967" s="3">
        <v>1150</v>
      </c>
      <c r="B6967" s="28"/>
      <c r="C6967" s="3" t="s">
        <v>4</v>
      </c>
    </row>
    <row r="6968" spans="1:3" ht="13.5" thickBot="1" x14ac:dyDescent="0.25">
      <c r="A6968" s="3">
        <v>5549</v>
      </c>
      <c r="B6968" s="28"/>
      <c r="C6968" s="3" t="s">
        <v>6</v>
      </c>
    </row>
    <row r="6969" spans="1:3" ht="13.5" thickBot="1" x14ac:dyDescent="0.25">
      <c r="A6969" s="3">
        <v>3116</v>
      </c>
      <c r="B6969" s="28"/>
      <c r="C6969" s="3" t="s">
        <v>3</v>
      </c>
    </row>
    <row r="6970" spans="1:3" ht="13.5" thickBot="1" x14ac:dyDescent="0.25">
      <c r="A6970" s="3">
        <v>2457</v>
      </c>
      <c r="B6970" s="28"/>
      <c r="C6970" s="3" t="s">
        <v>6</v>
      </c>
    </row>
    <row r="6971" spans="1:3" ht="13.5" thickBot="1" x14ac:dyDescent="0.25">
      <c r="A6971" s="3">
        <v>5466</v>
      </c>
      <c r="B6971" s="28"/>
      <c r="C6971" s="3" t="s">
        <v>3</v>
      </c>
    </row>
    <row r="6972" spans="1:3" ht="13.5" thickBot="1" x14ac:dyDescent="0.25">
      <c r="A6972" s="3">
        <v>1150</v>
      </c>
      <c r="B6972" s="28"/>
      <c r="C6972" s="3" t="s">
        <v>3</v>
      </c>
    </row>
    <row r="6973" spans="1:3" ht="13.5" thickBot="1" x14ac:dyDescent="0.25">
      <c r="A6973" s="3">
        <v>7255</v>
      </c>
      <c r="B6973" s="28"/>
      <c r="C6973" s="3" t="s">
        <v>3</v>
      </c>
    </row>
    <row r="6974" spans="1:3" ht="13.5" thickBot="1" x14ac:dyDescent="0.25">
      <c r="A6974" s="3">
        <v>5681</v>
      </c>
      <c r="B6974" s="28"/>
      <c r="C6974" s="3" t="s">
        <v>3</v>
      </c>
    </row>
    <row r="6975" spans="1:3" ht="13.5" thickBot="1" x14ac:dyDescent="0.25">
      <c r="A6975" s="3">
        <v>5276</v>
      </c>
      <c r="B6975" s="28"/>
      <c r="C6975" s="3" t="s">
        <v>3</v>
      </c>
    </row>
    <row r="6976" spans="1:3" ht="13.5" thickBot="1" x14ac:dyDescent="0.25">
      <c r="A6976" s="3">
        <v>2183</v>
      </c>
      <c r="B6976" s="28"/>
      <c r="C6976" s="3" t="s">
        <v>4</v>
      </c>
    </row>
    <row r="6977" spans="1:3" ht="13.5" thickBot="1" x14ac:dyDescent="0.25">
      <c r="A6977" s="3">
        <v>7923</v>
      </c>
      <c r="B6977" s="28"/>
      <c r="C6977" s="3" t="s">
        <v>4</v>
      </c>
    </row>
    <row r="6978" spans="1:3" ht="13.5" thickBot="1" x14ac:dyDescent="0.25">
      <c r="A6978" s="3">
        <v>217</v>
      </c>
      <c r="B6978" s="28"/>
      <c r="C6978" s="3" t="s">
        <v>3</v>
      </c>
    </row>
    <row r="6979" spans="1:3" ht="13.5" thickBot="1" x14ac:dyDescent="0.25">
      <c r="A6979" s="3">
        <v>6154</v>
      </c>
      <c r="B6979" s="28"/>
      <c r="C6979" s="3" t="s">
        <v>4</v>
      </c>
    </row>
    <row r="6980" spans="1:3" ht="13.5" thickBot="1" x14ac:dyDescent="0.25">
      <c r="A6980" s="3">
        <v>3479</v>
      </c>
      <c r="B6980" s="28"/>
      <c r="C6980" s="3" t="s">
        <v>3</v>
      </c>
    </row>
    <row r="6981" spans="1:3" ht="13.5" thickBot="1" x14ac:dyDescent="0.25">
      <c r="A6981" s="3">
        <v>2468</v>
      </c>
      <c r="B6981" s="28"/>
      <c r="C6981" s="3" t="s">
        <v>3</v>
      </c>
    </row>
    <row r="6982" spans="1:3" ht="13.5" thickBot="1" x14ac:dyDescent="0.25">
      <c r="A6982" s="3">
        <v>6516</v>
      </c>
      <c r="B6982" s="28"/>
      <c r="C6982" s="3" t="s">
        <v>4</v>
      </c>
    </row>
    <row r="6983" spans="1:3" ht="13.5" thickBot="1" x14ac:dyDescent="0.25">
      <c r="A6983" s="3">
        <v>6602</v>
      </c>
      <c r="B6983" s="28"/>
      <c r="C6983" s="3" t="s">
        <v>3</v>
      </c>
    </row>
    <row r="6984" spans="1:3" ht="13.5" thickBot="1" x14ac:dyDescent="0.25">
      <c r="A6984" s="3">
        <v>4097</v>
      </c>
      <c r="B6984" s="28"/>
      <c r="C6984" s="3" t="s">
        <v>3</v>
      </c>
    </row>
    <row r="6985" spans="1:3" ht="13.5" thickBot="1" x14ac:dyDescent="0.25">
      <c r="A6985" s="3">
        <v>636</v>
      </c>
      <c r="B6985" s="28"/>
      <c r="C6985" s="3" t="s">
        <v>4</v>
      </c>
    </row>
    <row r="6986" spans="1:3" ht="13.5" thickBot="1" x14ac:dyDescent="0.25">
      <c r="A6986" s="3">
        <v>32</v>
      </c>
      <c r="B6986" s="28"/>
      <c r="C6986" s="3" t="s">
        <v>4</v>
      </c>
    </row>
    <row r="6987" spans="1:3" ht="13.5" thickBot="1" x14ac:dyDescent="0.25">
      <c r="A6987" s="3">
        <v>5894</v>
      </c>
      <c r="B6987" s="28"/>
      <c r="C6987" s="3" t="s">
        <v>3</v>
      </c>
    </row>
    <row r="6988" spans="1:3" ht="13.5" thickBot="1" x14ac:dyDescent="0.25">
      <c r="A6988" s="3">
        <v>673</v>
      </c>
      <c r="B6988" s="28"/>
      <c r="C6988" s="3" t="s">
        <v>3</v>
      </c>
    </row>
    <row r="6989" spans="1:3" ht="13.5" thickBot="1" x14ac:dyDescent="0.25">
      <c r="A6989" s="3">
        <v>7210</v>
      </c>
      <c r="B6989" s="28"/>
      <c r="C6989" s="3" t="s">
        <v>4</v>
      </c>
    </row>
    <row r="6990" spans="1:3" ht="13.5" thickBot="1" x14ac:dyDescent="0.25">
      <c r="A6990" s="3">
        <v>7804</v>
      </c>
      <c r="B6990" s="28"/>
      <c r="C6990" s="3" t="s">
        <v>3</v>
      </c>
    </row>
    <row r="6991" spans="1:3" ht="13.5" thickBot="1" x14ac:dyDescent="0.25">
      <c r="A6991" s="3">
        <v>4337</v>
      </c>
      <c r="B6991" s="28"/>
      <c r="C6991" s="3" t="s">
        <v>4</v>
      </c>
    </row>
    <row r="6992" spans="1:3" ht="13.5" thickBot="1" x14ac:dyDescent="0.25">
      <c r="A6992" s="3">
        <v>5398</v>
      </c>
      <c r="B6992" s="28"/>
      <c r="C6992" s="3" t="s">
        <v>5</v>
      </c>
    </row>
    <row r="6993" spans="1:3" ht="13.5" thickBot="1" x14ac:dyDescent="0.25">
      <c r="A6993" s="3">
        <v>6903</v>
      </c>
      <c r="B6993" s="28"/>
      <c r="C6993" s="3" t="s">
        <v>7</v>
      </c>
    </row>
    <row r="6994" spans="1:3" ht="13.5" thickBot="1" x14ac:dyDescent="0.25">
      <c r="A6994" s="3">
        <v>379</v>
      </c>
      <c r="B6994" s="28"/>
      <c r="C6994" s="3" t="s">
        <v>5</v>
      </c>
    </row>
    <row r="6995" spans="1:3" ht="13.5" thickBot="1" x14ac:dyDescent="0.25">
      <c r="A6995" s="3">
        <v>5263</v>
      </c>
      <c r="B6995" s="28"/>
      <c r="C6995" s="3" t="s">
        <v>3</v>
      </c>
    </row>
    <row r="6996" spans="1:3" ht="13.5" thickBot="1" x14ac:dyDescent="0.25">
      <c r="A6996" s="3">
        <v>2593</v>
      </c>
      <c r="B6996" s="28"/>
      <c r="C6996" s="3" t="s">
        <v>4</v>
      </c>
    </row>
    <row r="6997" spans="1:3" ht="13.5" thickBot="1" x14ac:dyDescent="0.25">
      <c r="A6997" s="3">
        <v>6585</v>
      </c>
      <c r="B6997" s="28"/>
      <c r="C6997" s="3" t="s">
        <v>5</v>
      </c>
    </row>
    <row r="6998" spans="1:3" ht="13.5" thickBot="1" x14ac:dyDescent="0.25">
      <c r="A6998" s="3">
        <v>2360</v>
      </c>
      <c r="B6998" s="28"/>
      <c r="C6998" s="3" t="s">
        <v>3</v>
      </c>
    </row>
    <row r="6999" spans="1:3" ht="13.5" thickBot="1" x14ac:dyDescent="0.25">
      <c r="A6999" s="3">
        <v>5618</v>
      </c>
      <c r="B6999" s="28"/>
      <c r="C6999" s="3" t="s">
        <v>3</v>
      </c>
    </row>
    <row r="7000" spans="1:3" ht="13.5" thickBot="1" x14ac:dyDescent="0.25">
      <c r="A7000" s="3">
        <v>4923</v>
      </c>
      <c r="B7000" s="28"/>
      <c r="C7000" s="3" t="s">
        <v>3</v>
      </c>
    </row>
    <row r="7001" spans="1:3" ht="13.5" thickBot="1" x14ac:dyDescent="0.25">
      <c r="A7001" s="3">
        <v>625</v>
      </c>
      <c r="B7001" s="28"/>
      <c r="C7001" s="3" t="s">
        <v>3</v>
      </c>
    </row>
    <row r="7002" spans="1:3" ht="13.5" thickBot="1" x14ac:dyDescent="0.25">
      <c r="A7002" s="3">
        <v>3249</v>
      </c>
      <c r="B7002" s="28"/>
      <c r="C7002" s="3" t="s">
        <v>3</v>
      </c>
    </row>
    <row r="7003" spans="1:3" ht="13.5" thickBot="1" x14ac:dyDescent="0.25">
      <c r="A7003" s="3">
        <v>749</v>
      </c>
      <c r="B7003" s="28"/>
      <c r="C7003" s="3" t="s">
        <v>4</v>
      </c>
    </row>
    <row r="7004" spans="1:3" ht="13.5" thickBot="1" x14ac:dyDescent="0.25">
      <c r="A7004" s="3">
        <v>4657</v>
      </c>
      <c r="B7004" s="28"/>
      <c r="C7004" s="3" t="s">
        <v>6</v>
      </c>
    </row>
    <row r="7005" spans="1:3" ht="13.5" thickBot="1" x14ac:dyDescent="0.25">
      <c r="A7005" s="3">
        <v>2486</v>
      </c>
      <c r="B7005" s="28"/>
      <c r="C7005" s="3" t="s">
        <v>4</v>
      </c>
    </row>
    <row r="7006" spans="1:3" ht="13.5" thickBot="1" x14ac:dyDescent="0.25">
      <c r="A7006" s="3">
        <v>776</v>
      </c>
      <c r="B7006" s="28"/>
      <c r="C7006" s="3" t="s">
        <v>3</v>
      </c>
    </row>
    <row r="7007" spans="1:3" ht="13.5" thickBot="1" x14ac:dyDescent="0.25">
      <c r="A7007" s="3">
        <v>6280</v>
      </c>
      <c r="B7007" s="28"/>
      <c r="C7007" s="3" t="s">
        <v>3</v>
      </c>
    </row>
    <row r="7008" spans="1:3" ht="13.5" thickBot="1" x14ac:dyDescent="0.25">
      <c r="A7008" s="3">
        <v>132</v>
      </c>
      <c r="B7008" s="28"/>
      <c r="C7008" s="3" t="s">
        <v>7</v>
      </c>
    </row>
    <row r="7009" spans="1:3" ht="13.5" thickBot="1" x14ac:dyDescent="0.25">
      <c r="A7009" s="3">
        <v>149</v>
      </c>
      <c r="B7009" s="28"/>
      <c r="C7009" s="3" t="s">
        <v>3</v>
      </c>
    </row>
    <row r="7010" spans="1:3" ht="13.5" thickBot="1" x14ac:dyDescent="0.25">
      <c r="A7010" s="3">
        <v>5894</v>
      </c>
      <c r="B7010" s="28"/>
      <c r="C7010" s="3" t="s">
        <v>5</v>
      </c>
    </row>
    <row r="7011" spans="1:3" ht="13.5" thickBot="1" x14ac:dyDescent="0.25">
      <c r="A7011" s="3">
        <v>2573</v>
      </c>
      <c r="B7011" s="28"/>
      <c r="C7011" s="3" t="s">
        <v>6</v>
      </c>
    </row>
    <row r="7012" spans="1:3" ht="13.5" thickBot="1" x14ac:dyDescent="0.25">
      <c r="A7012" s="3">
        <v>3239</v>
      </c>
      <c r="B7012" s="28"/>
      <c r="C7012" s="3" t="s">
        <v>6</v>
      </c>
    </row>
    <row r="7013" spans="1:3" ht="13.5" thickBot="1" x14ac:dyDescent="0.25">
      <c r="A7013" s="3">
        <v>2843</v>
      </c>
      <c r="B7013" s="28"/>
      <c r="C7013" s="3" t="s">
        <v>5</v>
      </c>
    </row>
    <row r="7014" spans="1:3" ht="13.5" thickBot="1" x14ac:dyDescent="0.25">
      <c r="A7014" s="3">
        <v>7255</v>
      </c>
      <c r="B7014" s="28"/>
      <c r="C7014" s="3" t="s">
        <v>4</v>
      </c>
    </row>
    <row r="7015" spans="1:3" ht="13.5" thickBot="1" x14ac:dyDescent="0.25">
      <c r="A7015" s="3">
        <v>6280</v>
      </c>
      <c r="B7015" s="28"/>
      <c r="C7015" s="3" t="s">
        <v>4</v>
      </c>
    </row>
    <row r="7016" spans="1:3" ht="13.5" thickBot="1" x14ac:dyDescent="0.25">
      <c r="A7016" s="3">
        <v>6365</v>
      </c>
      <c r="B7016" s="28"/>
      <c r="C7016" s="3" t="s">
        <v>4</v>
      </c>
    </row>
    <row r="7017" spans="1:3" ht="13.5" thickBot="1" x14ac:dyDescent="0.25">
      <c r="A7017" s="3">
        <v>4943</v>
      </c>
      <c r="B7017" s="28"/>
      <c r="C7017" s="3" t="s">
        <v>4</v>
      </c>
    </row>
    <row r="7018" spans="1:3" ht="13.5" thickBot="1" x14ac:dyDescent="0.25">
      <c r="A7018" s="3">
        <v>4627</v>
      </c>
      <c r="B7018" s="28"/>
      <c r="C7018" s="3" t="s">
        <v>6</v>
      </c>
    </row>
    <row r="7019" spans="1:3" ht="13.5" thickBot="1" x14ac:dyDescent="0.25">
      <c r="A7019" s="3">
        <v>6584</v>
      </c>
      <c r="B7019" s="28"/>
      <c r="C7019" s="3" t="s">
        <v>3</v>
      </c>
    </row>
    <row r="7020" spans="1:3" ht="13.5" thickBot="1" x14ac:dyDescent="0.25">
      <c r="A7020" s="3">
        <v>3127</v>
      </c>
      <c r="B7020" s="28"/>
      <c r="C7020" s="3" t="s">
        <v>3</v>
      </c>
    </row>
    <row r="7021" spans="1:3" ht="13.5" thickBot="1" x14ac:dyDescent="0.25">
      <c r="A7021" s="3">
        <v>673</v>
      </c>
      <c r="B7021" s="28"/>
      <c r="C7021" s="3" t="s">
        <v>4</v>
      </c>
    </row>
    <row r="7022" spans="1:3" ht="13.5" thickBot="1" x14ac:dyDescent="0.25">
      <c r="A7022" s="3">
        <v>6599</v>
      </c>
      <c r="B7022" s="28"/>
      <c r="C7022" s="3" t="s">
        <v>4</v>
      </c>
    </row>
    <row r="7023" spans="1:3" ht="13.5" thickBot="1" x14ac:dyDescent="0.25">
      <c r="A7023" s="3">
        <v>4962</v>
      </c>
      <c r="B7023" s="28"/>
      <c r="C7023" s="3" t="s">
        <v>3</v>
      </c>
    </row>
    <row r="7024" spans="1:3" ht="13.5" thickBot="1" x14ac:dyDescent="0.25">
      <c r="A7024" s="3">
        <v>2084</v>
      </c>
      <c r="B7024" s="28"/>
      <c r="C7024" s="3" t="s">
        <v>6</v>
      </c>
    </row>
    <row r="7025" spans="1:3" ht="13.5" thickBot="1" x14ac:dyDescent="0.25">
      <c r="A7025" s="3">
        <v>5282</v>
      </c>
      <c r="B7025" s="28"/>
      <c r="C7025" s="3" t="s">
        <v>3</v>
      </c>
    </row>
    <row r="7026" spans="1:3" ht="13.5" thickBot="1" x14ac:dyDescent="0.25">
      <c r="A7026" s="3">
        <v>5741</v>
      </c>
      <c r="B7026" s="28"/>
      <c r="C7026" s="3" t="s">
        <v>6</v>
      </c>
    </row>
    <row r="7027" spans="1:3" ht="13.5" thickBot="1" x14ac:dyDescent="0.25">
      <c r="A7027" s="3">
        <v>4943</v>
      </c>
      <c r="B7027" s="28"/>
      <c r="C7027" s="3" t="s">
        <v>5</v>
      </c>
    </row>
    <row r="7028" spans="1:3" ht="13.5" thickBot="1" x14ac:dyDescent="0.25">
      <c r="A7028" s="3">
        <v>7407</v>
      </c>
      <c r="B7028" s="28"/>
      <c r="C7028" s="3" t="s">
        <v>5</v>
      </c>
    </row>
    <row r="7029" spans="1:3" ht="13.5" thickBot="1" x14ac:dyDescent="0.25">
      <c r="A7029" s="3">
        <v>6677</v>
      </c>
      <c r="B7029" s="28"/>
      <c r="C7029" s="3" t="s">
        <v>3</v>
      </c>
    </row>
    <row r="7030" spans="1:3" ht="13.5" thickBot="1" x14ac:dyDescent="0.25">
      <c r="A7030" s="3">
        <v>2843</v>
      </c>
      <c r="B7030" s="28"/>
      <c r="C7030" s="3" t="s">
        <v>3</v>
      </c>
    </row>
    <row r="7031" spans="1:3" ht="13.5" thickBot="1" x14ac:dyDescent="0.25">
      <c r="A7031" s="3">
        <v>5783</v>
      </c>
      <c r="B7031" s="28"/>
      <c r="C7031" s="3" t="s">
        <v>6</v>
      </c>
    </row>
    <row r="7032" spans="1:3" ht="13.5" thickBot="1" x14ac:dyDescent="0.25">
      <c r="A7032" s="3">
        <v>5719</v>
      </c>
      <c r="B7032" s="28"/>
      <c r="C7032" s="3" t="s">
        <v>3</v>
      </c>
    </row>
    <row r="7033" spans="1:3" ht="13.5" thickBot="1" x14ac:dyDescent="0.25">
      <c r="A7033" s="3">
        <v>132</v>
      </c>
      <c r="B7033" s="28"/>
      <c r="C7033" s="3" t="s">
        <v>4</v>
      </c>
    </row>
    <row r="7034" spans="1:3" ht="13.5" thickBot="1" x14ac:dyDescent="0.25">
      <c r="A7034" s="3">
        <v>5282</v>
      </c>
      <c r="B7034" s="28"/>
      <c r="C7034" s="3" t="s">
        <v>4</v>
      </c>
    </row>
    <row r="7035" spans="1:3" ht="13.5" thickBot="1" x14ac:dyDescent="0.25">
      <c r="A7035" s="3">
        <v>6229</v>
      </c>
      <c r="B7035" s="28"/>
      <c r="C7035" s="3" t="s">
        <v>4</v>
      </c>
    </row>
    <row r="7036" spans="1:3" ht="13.5" thickBot="1" x14ac:dyDescent="0.25">
      <c r="A7036" s="3">
        <v>4582</v>
      </c>
      <c r="B7036" s="28"/>
      <c r="C7036" s="3" t="s">
        <v>6</v>
      </c>
    </row>
    <row r="7037" spans="1:3" ht="13.5" thickBot="1" x14ac:dyDescent="0.25">
      <c r="A7037" s="3">
        <v>3269</v>
      </c>
      <c r="B7037" s="28"/>
      <c r="C7037" s="3" t="s">
        <v>3</v>
      </c>
    </row>
    <row r="7038" spans="1:3" ht="13.5" thickBot="1" x14ac:dyDescent="0.25">
      <c r="A7038" s="3">
        <v>2756</v>
      </c>
      <c r="B7038" s="28"/>
      <c r="C7038" s="3" t="s">
        <v>4</v>
      </c>
    </row>
    <row r="7039" spans="1:3" ht="13.5" thickBot="1" x14ac:dyDescent="0.25">
      <c r="A7039" s="3">
        <v>5403</v>
      </c>
      <c r="B7039" s="28"/>
      <c r="C7039" s="3" t="s">
        <v>7</v>
      </c>
    </row>
    <row r="7040" spans="1:3" ht="13.5" thickBot="1" x14ac:dyDescent="0.25">
      <c r="A7040" s="3">
        <v>3127</v>
      </c>
      <c r="B7040" s="28"/>
      <c r="C7040" s="3" t="s">
        <v>5</v>
      </c>
    </row>
    <row r="7041" spans="1:3" ht="13.5" thickBot="1" x14ac:dyDescent="0.25">
      <c r="A7041" s="3">
        <v>6649</v>
      </c>
      <c r="B7041" s="28"/>
      <c r="C7041" s="3" t="s">
        <v>7</v>
      </c>
    </row>
    <row r="7042" spans="1:3" ht="13.5" thickBot="1" x14ac:dyDescent="0.25">
      <c r="A7042" s="3">
        <v>5286</v>
      </c>
      <c r="B7042" s="28"/>
      <c r="C7042" s="3" t="s">
        <v>4</v>
      </c>
    </row>
    <row r="7043" spans="1:3" ht="13.5" thickBot="1" x14ac:dyDescent="0.25">
      <c r="A7043" s="3">
        <v>6448</v>
      </c>
      <c r="B7043" s="28"/>
      <c r="C7043" s="3" t="s">
        <v>3</v>
      </c>
    </row>
    <row r="7044" spans="1:3" ht="13.5" thickBot="1" x14ac:dyDescent="0.25">
      <c r="A7044" s="3">
        <v>4401</v>
      </c>
      <c r="B7044" s="28"/>
      <c r="C7044" s="3" t="s">
        <v>3</v>
      </c>
    </row>
    <row r="7045" spans="1:3" ht="13.5" thickBot="1" x14ac:dyDescent="0.25">
      <c r="A7045" s="3">
        <v>5181</v>
      </c>
      <c r="B7045" s="28"/>
      <c r="C7045" s="3" t="s">
        <v>3</v>
      </c>
    </row>
    <row r="7046" spans="1:3" ht="13.5" thickBot="1" x14ac:dyDescent="0.25">
      <c r="A7046" s="3">
        <v>6229</v>
      </c>
      <c r="B7046" s="28"/>
      <c r="C7046" s="3" t="s">
        <v>6</v>
      </c>
    </row>
    <row r="7047" spans="1:3" ht="13.5" thickBot="1" x14ac:dyDescent="0.25">
      <c r="A7047" s="3">
        <v>1433</v>
      </c>
      <c r="B7047" s="28"/>
      <c r="C7047" s="3" t="s">
        <v>3</v>
      </c>
    </row>
    <row r="7048" spans="1:3" ht="13.5" thickBot="1" x14ac:dyDescent="0.25">
      <c r="A7048" s="3">
        <v>1856</v>
      </c>
      <c r="B7048" s="28"/>
      <c r="C7048" s="3" t="s">
        <v>4</v>
      </c>
    </row>
    <row r="7049" spans="1:3" ht="13.5" thickBot="1" x14ac:dyDescent="0.25">
      <c r="A7049" s="3">
        <v>2590</v>
      </c>
      <c r="B7049" s="28"/>
      <c r="C7049" s="3" t="s">
        <v>3</v>
      </c>
    </row>
    <row r="7050" spans="1:3" ht="13.5" thickBot="1" x14ac:dyDescent="0.25">
      <c r="A7050" s="3">
        <v>3762</v>
      </c>
      <c r="B7050" s="28"/>
      <c r="C7050" s="3" t="s">
        <v>3</v>
      </c>
    </row>
    <row r="7051" spans="1:3" ht="13.5" thickBot="1" x14ac:dyDescent="0.25">
      <c r="A7051" s="3">
        <v>3816</v>
      </c>
      <c r="B7051" s="28"/>
      <c r="C7051" s="3" t="s">
        <v>3</v>
      </c>
    </row>
    <row r="7052" spans="1:3" ht="13.5" thickBot="1" x14ac:dyDescent="0.25">
      <c r="A7052" s="3">
        <v>6887</v>
      </c>
      <c r="B7052" s="28"/>
      <c r="C7052" s="3" t="s">
        <v>3</v>
      </c>
    </row>
    <row r="7053" spans="1:3" ht="13.5" thickBot="1" x14ac:dyDescent="0.25">
      <c r="A7053" s="3">
        <v>2147</v>
      </c>
      <c r="B7053" s="28"/>
      <c r="C7053" s="3" t="s">
        <v>3</v>
      </c>
    </row>
    <row r="7054" spans="1:3" ht="13.5" thickBot="1" x14ac:dyDescent="0.25">
      <c r="A7054" s="3">
        <v>7065</v>
      </c>
      <c r="B7054" s="28"/>
      <c r="C7054" s="3" t="s">
        <v>7</v>
      </c>
    </row>
    <row r="7055" spans="1:3" ht="13.5" thickBot="1" x14ac:dyDescent="0.25">
      <c r="A7055" s="3">
        <v>217</v>
      </c>
      <c r="B7055" s="28"/>
      <c r="C7055" s="3" t="s">
        <v>4</v>
      </c>
    </row>
    <row r="7056" spans="1:3" ht="13.5" thickBot="1" x14ac:dyDescent="0.25">
      <c r="A7056" s="3">
        <v>6903</v>
      </c>
      <c r="B7056" s="28"/>
      <c r="C7056" s="3" t="s">
        <v>5</v>
      </c>
    </row>
    <row r="7057" spans="1:3" ht="13.5" thickBot="1" x14ac:dyDescent="0.25">
      <c r="A7057" s="3">
        <v>5010</v>
      </c>
      <c r="B7057" s="28"/>
      <c r="C7057" s="3" t="s">
        <v>3</v>
      </c>
    </row>
    <row r="7058" spans="1:3" ht="13.5" thickBot="1" x14ac:dyDescent="0.25">
      <c r="A7058" s="3">
        <v>132</v>
      </c>
      <c r="B7058" s="28"/>
      <c r="C7058" s="3" t="s">
        <v>6</v>
      </c>
    </row>
    <row r="7059" spans="1:3" ht="13.5" thickBot="1" x14ac:dyDescent="0.25">
      <c r="A7059" s="3">
        <v>5618</v>
      </c>
      <c r="B7059" s="28"/>
      <c r="C7059" s="3" t="s">
        <v>7</v>
      </c>
    </row>
    <row r="7060" spans="1:3" ht="13.5" thickBot="1" x14ac:dyDescent="0.25">
      <c r="A7060" s="3">
        <v>851</v>
      </c>
      <c r="B7060" s="28"/>
      <c r="C7060" s="3" t="s">
        <v>3</v>
      </c>
    </row>
    <row r="7061" spans="1:3" ht="13.5" thickBot="1" x14ac:dyDescent="0.25">
      <c r="A7061" s="3">
        <v>7255</v>
      </c>
      <c r="B7061" s="28"/>
      <c r="C7061" s="3" t="s">
        <v>6</v>
      </c>
    </row>
    <row r="7062" spans="1:3" ht="13.5" thickBot="1" x14ac:dyDescent="0.25">
      <c r="A7062" s="3">
        <v>5004</v>
      </c>
      <c r="B7062" s="28"/>
      <c r="C7062" s="3" t="s">
        <v>3</v>
      </c>
    </row>
    <row r="7063" spans="1:3" ht="13.5" thickBot="1" x14ac:dyDescent="0.25">
      <c r="A7063" s="3">
        <v>2756</v>
      </c>
      <c r="B7063" s="28"/>
      <c r="C7063" s="3" t="s">
        <v>3</v>
      </c>
    </row>
    <row r="7064" spans="1:3" ht="13.5" thickBot="1" x14ac:dyDescent="0.25">
      <c r="A7064" s="3">
        <v>625</v>
      </c>
      <c r="B7064" s="28"/>
      <c r="C7064" s="3" t="s">
        <v>7</v>
      </c>
    </row>
    <row r="7065" spans="1:3" ht="13.5" thickBot="1" x14ac:dyDescent="0.25">
      <c r="A7065" s="3">
        <v>1567</v>
      </c>
      <c r="B7065" s="28"/>
      <c r="C7065" s="3" t="s">
        <v>7</v>
      </c>
    </row>
    <row r="7066" spans="1:3" ht="13.5" thickBot="1" x14ac:dyDescent="0.25">
      <c r="A7066" s="3">
        <v>5398</v>
      </c>
      <c r="B7066" s="28"/>
      <c r="C7066" s="3" t="s">
        <v>6</v>
      </c>
    </row>
    <row r="7067" spans="1:3" ht="13.5" thickBot="1" x14ac:dyDescent="0.25">
      <c r="A7067" s="3">
        <v>4978</v>
      </c>
      <c r="B7067" s="28"/>
      <c r="C7067" s="3" t="s">
        <v>5</v>
      </c>
    </row>
    <row r="7068" spans="1:3" ht="13.5" thickBot="1" x14ac:dyDescent="0.25">
      <c r="A7068" s="3">
        <v>18</v>
      </c>
      <c r="B7068" s="28"/>
      <c r="C7068" s="3" t="s">
        <v>4</v>
      </c>
    </row>
    <row r="7069" spans="1:3" ht="13.5" thickBot="1" x14ac:dyDescent="0.25">
      <c r="A7069" s="3">
        <v>3834</v>
      </c>
      <c r="B7069" s="28"/>
      <c r="C7069" s="3" t="s">
        <v>4</v>
      </c>
    </row>
    <row r="7070" spans="1:3" ht="13.5" thickBot="1" x14ac:dyDescent="0.25">
      <c r="A7070" s="3">
        <v>5894</v>
      </c>
      <c r="B7070" s="28"/>
      <c r="C7070" s="3" t="s">
        <v>4</v>
      </c>
    </row>
    <row r="7071" spans="1:3" ht="13.5" thickBot="1" x14ac:dyDescent="0.25">
      <c r="A7071" s="3">
        <v>2349</v>
      </c>
      <c r="B7071" s="28"/>
      <c r="C7071" s="3" t="s">
        <v>6</v>
      </c>
    </row>
    <row r="7072" spans="1:3" ht="13.5" thickBot="1" x14ac:dyDescent="0.25">
      <c r="A7072" s="3">
        <v>5618</v>
      </c>
      <c r="B7072" s="28"/>
      <c r="C7072" s="3" t="s">
        <v>4</v>
      </c>
    </row>
    <row r="7073" spans="1:3" ht="13.5" thickBot="1" x14ac:dyDescent="0.25">
      <c r="A7073" s="3">
        <v>625</v>
      </c>
      <c r="B7073" s="28"/>
      <c r="C7073" s="3" t="s">
        <v>6</v>
      </c>
    </row>
    <row r="7074" spans="1:3" ht="13.5" thickBot="1" x14ac:dyDescent="0.25">
      <c r="A7074" s="3">
        <v>1728</v>
      </c>
      <c r="B7074" s="28"/>
      <c r="C7074" s="3" t="s">
        <v>3</v>
      </c>
    </row>
    <row r="7075" spans="1:3" ht="13.5" thickBot="1" x14ac:dyDescent="0.25">
      <c r="A7075" s="3">
        <v>3335</v>
      </c>
      <c r="B7075" s="28"/>
      <c r="C7075" s="3" t="s">
        <v>4</v>
      </c>
    </row>
    <row r="7076" spans="1:3" ht="13.5" thickBot="1" x14ac:dyDescent="0.25">
      <c r="A7076" s="3">
        <v>6591</v>
      </c>
      <c r="B7076" s="28"/>
      <c r="C7076" s="3" t="s">
        <v>3</v>
      </c>
    </row>
    <row r="7077" spans="1:3" ht="13.5" thickBot="1" x14ac:dyDescent="0.25">
      <c r="A7077" s="3">
        <v>4846</v>
      </c>
      <c r="B7077" s="28"/>
      <c r="C7077" s="3" t="s">
        <v>6</v>
      </c>
    </row>
    <row r="7078" spans="1:3" ht="13.5" thickBot="1" x14ac:dyDescent="0.25">
      <c r="A7078" s="3">
        <v>217</v>
      </c>
      <c r="B7078" s="28"/>
      <c r="C7078" s="3" t="s">
        <v>6</v>
      </c>
    </row>
    <row r="7079" spans="1:3" ht="13.5" thickBot="1" x14ac:dyDescent="0.25">
      <c r="A7079" s="3">
        <v>6963</v>
      </c>
      <c r="B7079" s="28"/>
      <c r="C7079" s="3" t="s">
        <v>3</v>
      </c>
    </row>
    <row r="7080" spans="1:3" ht="13.5" thickBot="1" x14ac:dyDescent="0.25">
      <c r="A7080" s="3">
        <v>382</v>
      </c>
      <c r="B7080" s="28"/>
      <c r="C7080" s="3" t="s">
        <v>5</v>
      </c>
    </row>
    <row r="7081" spans="1:3" ht="13.5" thickBot="1" x14ac:dyDescent="0.25">
      <c r="A7081" s="3">
        <v>7408</v>
      </c>
      <c r="B7081" s="28"/>
      <c r="C7081" s="3" t="s">
        <v>3</v>
      </c>
    </row>
    <row r="7082" spans="1:3" ht="13.5" thickBot="1" x14ac:dyDescent="0.25">
      <c r="A7082" s="3">
        <v>3834</v>
      </c>
      <c r="B7082" s="28"/>
      <c r="C7082" s="3" t="s">
        <v>5</v>
      </c>
    </row>
    <row r="7083" spans="1:3" ht="13.5" thickBot="1" x14ac:dyDescent="0.25">
      <c r="A7083" s="3">
        <v>921</v>
      </c>
      <c r="B7083" s="28"/>
      <c r="C7083" s="3" t="s">
        <v>4</v>
      </c>
    </row>
    <row r="7084" spans="1:3" ht="13.5" thickBot="1" x14ac:dyDescent="0.25">
      <c r="A7084" s="3">
        <v>1150</v>
      </c>
      <c r="B7084" s="28"/>
      <c r="C7084" s="3" t="s">
        <v>5</v>
      </c>
    </row>
    <row r="7085" spans="1:3" ht="13.5" thickBot="1" x14ac:dyDescent="0.25">
      <c r="A7085" s="3">
        <v>5130</v>
      </c>
      <c r="B7085" s="28"/>
      <c r="C7085" s="3" t="s">
        <v>5</v>
      </c>
    </row>
    <row r="7086" spans="1:3" ht="13.5" thickBot="1" x14ac:dyDescent="0.25">
      <c r="A7086" s="3">
        <v>7239</v>
      </c>
      <c r="B7086" s="28"/>
      <c r="C7086" s="3" t="s">
        <v>3</v>
      </c>
    </row>
    <row r="7087" spans="1:3" ht="13.5" thickBot="1" x14ac:dyDescent="0.25">
      <c r="A7087" s="3">
        <v>5159</v>
      </c>
      <c r="B7087" s="28"/>
      <c r="C7087" s="3" t="s">
        <v>4</v>
      </c>
    </row>
    <row r="7088" spans="1:3" ht="13.5" thickBot="1" x14ac:dyDescent="0.25">
      <c r="A7088" s="3">
        <v>229</v>
      </c>
      <c r="B7088" s="28"/>
      <c r="C7088" s="3" t="s">
        <v>6</v>
      </c>
    </row>
    <row r="7089" spans="1:3" ht="13.5" thickBot="1" x14ac:dyDescent="0.25">
      <c r="A7089" s="3">
        <v>443</v>
      </c>
      <c r="B7089" s="28"/>
      <c r="C7089" s="3" t="s">
        <v>3</v>
      </c>
    </row>
    <row r="7090" spans="1:3" ht="13.5" thickBot="1" x14ac:dyDescent="0.25">
      <c r="A7090" s="3">
        <v>2749</v>
      </c>
      <c r="B7090" s="28"/>
      <c r="C7090" s="3" t="s">
        <v>6</v>
      </c>
    </row>
    <row r="7091" spans="1:3" ht="13.5" thickBot="1" x14ac:dyDescent="0.25">
      <c r="A7091" s="3">
        <v>186</v>
      </c>
      <c r="B7091" s="28"/>
      <c r="C7091" s="3" t="s">
        <v>7</v>
      </c>
    </row>
    <row r="7092" spans="1:3" ht="13.5" thickBot="1" x14ac:dyDescent="0.25">
      <c r="A7092" s="3">
        <v>1150</v>
      </c>
      <c r="B7092" s="28"/>
      <c r="C7092" s="3" t="s">
        <v>7</v>
      </c>
    </row>
    <row r="7093" spans="1:3" ht="13.5" thickBot="1" x14ac:dyDescent="0.25">
      <c r="A7093" s="3">
        <v>5286</v>
      </c>
      <c r="B7093" s="28"/>
      <c r="C7093" s="3" t="s">
        <v>6</v>
      </c>
    </row>
    <row r="7094" spans="1:3" ht="13.5" thickBot="1" x14ac:dyDescent="0.25">
      <c r="A7094" s="3">
        <v>5130</v>
      </c>
      <c r="B7094" s="28"/>
      <c r="C7094" s="3" t="s">
        <v>3</v>
      </c>
    </row>
    <row r="7095" spans="1:3" ht="13.5" thickBot="1" x14ac:dyDescent="0.25">
      <c r="A7095" s="3">
        <v>6585</v>
      </c>
      <c r="B7095" s="28"/>
      <c r="C7095" s="3" t="s">
        <v>4</v>
      </c>
    </row>
    <row r="7096" spans="1:3" ht="13.5" thickBot="1" x14ac:dyDescent="0.25">
      <c r="A7096" s="3">
        <v>3762</v>
      </c>
      <c r="B7096" s="28"/>
      <c r="C7096" s="3" t="s">
        <v>5</v>
      </c>
    </row>
    <row r="7097" spans="1:3" ht="13.5" thickBot="1" x14ac:dyDescent="0.25">
      <c r="A7097" s="3">
        <v>229</v>
      </c>
      <c r="B7097" s="28"/>
      <c r="C7097" s="3" t="s">
        <v>5</v>
      </c>
    </row>
    <row r="7098" spans="1:3" ht="13.5" thickBot="1" x14ac:dyDescent="0.25">
      <c r="A7098" s="3">
        <v>1019</v>
      </c>
      <c r="B7098" s="28"/>
      <c r="C7098" s="3" t="s">
        <v>3</v>
      </c>
    </row>
    <row r="7099" spans="1:3" ht="13.5" thickBot="1" x14ac:dyDescent="0.25">
      <c r="A7099" s="3">
        <v>3249</v>
      </c>
      <c r="B7099" s="28"/>
      <c r="C7099" s="3" t="s">
        <v>4</v>
      </c>
    </row>
    <row r="7100" spans="1:3" ht="13.5" thickBot="1" x14ac:dyDescent="0.25">
      <c r="A7100" s="3">
        <v>7923</v>
      </c>
      <c r="B7100" s="28"/>
      <c r="C7100" s="3" t="s">
        <v>5</v>
      </c>
    </row>
    <row r="7101" spans="1:3" ht="13.5" thickBot="1" x14ac:dyDescent="0.25">
      <c r="A7101" s="3">
        <v>5353</v>
      </c>
      <c r="B7101" s="28"/>
      <c r="C7101" s="3" t="s">
        <v>4</v>
      </c>
    </row>
    <row r="7102" spans="1:3" ht="13.5" thickBot="1" x14ac:dyDescent="0.25">
      <c r="A7102" s="3">
        <v>4003</v>
      </c>
      <c r="B7102" s="28"/>
      <c r="C7102" s="3" t="s">
        <v>3</v>
      </c>
    </row>
    <row r="7103" spans="1:3" ht="13.5" thickBot="1" x14ac:dyDescent="0.25">
      <c r="A7103" s="3">
        <v>47</v>
      </c>
      <c r="B7103" s="28"/>
      <c r="C7103" s="3" t="s">
        <v>4</v>
      </c>
    </row>
    <row r="7104" spans="1:3" ht="13.5" thickBot="1" x14ac:dyDescent="0.25">
      <c r="A7104" s="3">
        <v>4393</v>
      </c>
      <c r="B7104" s="28"/>
      <c r="C7104" s="3" t="s">
        <v>7</v>
      </c>
    </row>
    <row r="7105" spans="1:3" ht="13.5" thickBot="1" x14ac:dyDescent="0.25">
      <c r="A7105" s="3">
        <v>832</v>
      </c>
      <c r="B7105" s="28"/>
      <c r="C7105" s="3" t="s">
        <v>3</v>
      </c>
    </row>
    <row r="7106" spans="1:3" ht="13.5" thickBot="1" x14ac:dyDescent="0.25">
      <c r="A7106" s="3">
        <v>32</v>
      </c>
      <c r="B7106" s="28"/>
      <c r="C7106" s="3" t="s">
        <v>5</v>
      </c>
    </row>
    <row r="7107" spans="1:3" ht="13.5" thickBot="1" x14ac:dyDescent="0.25">
      <c r="A7107" s="3">
        <v>2364</v>
      </c>
      <c r="B7107" s="28"/>
      <c r="C7107" s="3" t="s">
        <v>3</v>
      </c>
    </row>
    <row r="7108" spans="1:3" ht="13.5" thickBot="1" x14ac:dyDescent="0.25">
      <c r="A7108" s="3">
        <v>6202</v>
      </c>
      <c r="B7108" s="28"/>
      <c r="C7108" s="3" t="s">
        <v>3</v>
      </c>
    </row>
    <row r="7109" spans="1:3" ht="13.5" thickBot="1" x14ac:dyDescent="0.25">
      <c r="A7109" s="3">
        <v>3083</v>
      </c>
      <c r="B7109" s="28"/>
      <c r="C7109" s="3" t="s">
        <v>4</v>
      </c>
    </row>
    <row r="7110" spans="1:3" ht="13.5" thickBot="1" x14ac:dyDescent="0.25">
      <c r="A7110" s="3">
        <v>6602</v>
      </c>
      <c r="B7110" s="28"/>
      <c r="C7110" s="3" t="s">
        <v>4</v>
      </c>
    </row>
    <row r="7111" spans="1:3" ht="13.5" thickBot="1" x14ac:dyDescent="0.25">
      <c r="A7111" s="3">
        <v>1013</v>
      </c>
      <c r="B7111" s="28"/>
      <c r="C7111" s="3" t="s">
        <v>3</v>
      </c>
    </row>
    <row r="7112" spans="1:3" ht="13.5" thickBot="1" x14ac:dyDescent="0.25">
      <c r="A7112" s="3">
        <v>3776</v>
      </c>
      <c r="B7112" s="28"/>
      <c r="C7112" s="3" t="s">
        <v>3</v>
      </c>
    </row>
    <row r="7113" spans="1:3" ht="13.5" thickBot="1" x14ac:dyDescent="0.25">
      <c r="A7113" s="3">
        <v>5181</v>
      </c>
      <c r="B7113" s="28"/>
      <c r="C7113" s="3" t="s">
        <v>4</v>
      </c>
    </row>
    <row r="7114" spans="1:3" ht="13.5" thickBot="1" x14ac:dyDescent="0.25">
      <c r="A7114" s="3">
        <v>3743</v>
      </c>
      <c r="B7114" s="28"/>
      <c r="C7114" s="3" t="s">
        <v>4</v>
      </c>
    </row>
    <row r="7115" spans="1:3" ht="13.5" thickBot="1" x14ac:dyDescent="0.25">
      <c r="A7115" s="3">
        <v>3357</v>
      </c>
      <c r="B7115" s="28"/>
      <c r="C7115" s="3" t="s">
        <v>3</v>
      </c>
    </row>
    <row r="7116" spans="1:3" ht="13.5" thickBot="1" x14ac:dyDescent="0.25">
      <c r="A7116" s="3">
        <v>1650</v>
      </c>
      <c r="B7116" s="28"/>
      <c r="C7116" s="3" t="s">
        <v>5</v>
      </c>
    </row>
    <row r="7117" spans="1:3" ht="13.5" thickBot="1" x14ac:dyDescent="0.25">
      <c r="A7117" s="3">
        <v>2183</v>
      </c>
      <c r="B7117" s="28"/>
      <c r="C7117" s="3" t="s">
        <v>7</v>
      </c>
    </row>
    <row r="7118" spans="1:3" ht="13.5" thickBot="1" x14ac:dyDescent="0.25">
      <c r="A7118" s="3">
        <v>416</v>
      </c>
      <c r="B7118" s="28"/>
      <c r="C7118" s="3" t="s">
        <v>3</v>
      </c>
    </row>
    <row r="7119" spans="1:3" ht="13.5" thickBot="1" x14ac:dyDescent="0.25">
      <c r="A7119" s="3">
        <v>673</v>
      </c>
      <c r="B7119" s="28"/>
      <c r="C7119" s="3" t="s">
        <v>5</v>
      </c>
    </row>
    <row r="7120" spans="1:3" ht="13.5" thickBot="1" x14ac:dyDescent="0.25">
      <c r="A7120" s="3">
        <v>4291</v>
      </c>
      <c r="B7120" s="28"/>
      <c r="C7120" s="3" t="s">
        <v>3</v>
      </c>
    </row>
    <row r="7121" spans="1:3" ht="13.5" thickBot="1" x14ac:dyDescent="0.25">
      <c r="A7121" s="3">
        <v>6677</v>
      </c>
      <c r="B7121" s="28"/>
      <c r="C7121" s="3" t="s">
        <v>4</v>
      </c>
    </row>
    <row r="7122" spans="1:3" ht="13.5" thickBot="1" x14ac:dyDescent="0.25">
      <c r="A7122" s="3">
        <v>3743</v>
      </c>
      <c r="B7122" s="28"/>
      <c r="C7122" s="3" t="s">
        <v>3</v>
      </c>
    </row>
    <row r="7123" spans="1:3" ht="13.5" thickBot="1" x14ac:dyDescent="0.25">
      <c r="A7123" s="3">
        <v>3762</v>
      </c>
      <c r="B7123" s="28"/>
      <c r="C7123" s="3" t="s">
        <v>4</v>
      </c>
    </row>
    <row r="7124" spans="1:3" ht="13.5" thickBot="1" x14ac:dyDescent="0.25">
      <c r="A7124" s="3">
        <v>5373</v>
      </c>
      <c r="B7124" s="28"/>
      <c r="C7124" s="3" t="s">
        <v>3</v>
      </c>
    </row>
    <row r="7125" spans="1:3" ht="13.5" thickBot="1" x14ac:dyDescent="0.25">
      <c r="A7125" s="3">
        <v>7923</v>
      </c>
      <c r="B7125" s="28"/>
      <c r="C7125" s="3" t="s">
        <v>6</v>
      </c>
    </row>
    <row r="7126" spans="1:3" ht="13.5" thickBot="1" x14ac:dyDescent="0.25">
      <c r="A7126" s="3">
        <v>5373</v>
      </c>
      <c r="B7126" s="28"/>
      <c r="C7126" s="3" t="s">
        <v>5</v>
      </c>
    </row>
    <row r="7127" spans="1:3" ht="13.5" thickBot="1" x14ac:dyDescent="0.25">
      <c r="A7127" s="3">
        <v>2112</v>
      </c>
      <c r="B7127" s="28"/>
      <c r="C7127" s="3" t="s">
        <v>3</v>
      </c>
    </row>
    <row r="7128" spans="1:3" ht="13.5" thickBot="1" x14ac:dyDescent="0.25">
      <c r="A7128" s="3">
        <v>1200</v>
      </c>
      <c r="B7128" s="28"/>
      <c r="C7128" s="3" t="s">
        <v>6</v>
      </c>
    </row>
    <row r="7129" spans="1:3" ht="13.5" thickBot="1" x14ac:dyDescent="0.25">
      <c r="A7129" s="3">
        <v>625</v>
      </c>
      <c r="B7129" s="28"/>
      <c r="C7129" s="3" t="s">
        <v>4</v>
      </c>
    </row>
    <row r="7130" spans="1:3" ht="13.5" thickBot="1" x14ac:dyDescent="0.25">
      <c r="A7130" s="3">
        <v>6483</v>
      </c>
      <c r="B7130" s="28"/>
      <c r="C7130" s="3" t="s">
        <v>7</v>
      </c>
    </row>
    <row r="7131" spans="1:3" ht="13.5" thickBot="1" x14ac:dyDescent="0.25">
      <c r="A7131" s="3">
        <v>446</v>
      </c>
      <c r="B7131" s="28"/>
      <c r="C7131" s="3" t="s">
        <v>3</v>
      </c>
    </row>
    <row r="7132" spans="1:3" ht="13.5" thickBot="1" x14ac:dyDescent="0.25">
      <c r="A7132" s="3">
        <v>6419</v>
      </c>
      <c r="B7132" s="28"/>
      <c r="C7132" s="3" t="s">
        <v>5</v>
      </c>
    </row>
    <row r="7133" spans="1:3" ht="13.5" thickBot="1" x14ac:dyDescent="0.25">
      <c r="A7133" s="3">
        <v>6585</v>
      </c>
      <c r="B7133" s="28"/>
      <c r="C7133" s="3" t="s">
        <v>7</v>
      </c>
    </row>
    <row r="7134" spans="1:3" ht="13.5" thickBot="1" x14ac:dyDescent="0.25">
      <c r="A7134" s="3">
        <v>6229</v>
      </c>
      <c r="B7134" s="28"/>
      <c r="C7134" s="3" t="s">
        <v>5</v>
      </c>
    </row>
    <row r="7135" spans="1:3" ht="13.5" thickBot="1" x14ac:dyDescent="0.25">
      <c r="A7135" s="3">
        <v>1169</v>
      </c>
      <c r="B7135" s="28"/>
      <c r="C7135" s="3" t="s">
        <v>7</v>
      </c>
    </row>
    <row r="7136" spans="1:3" ht="13.5" thickBot="1" x14ac:dyDescent="0.25">
      <c r="A7136" s="3">
        <v>2265</v>
      </c>
      <c r="B7136" s="28"/>
      <c r="C7136" s="3" t="s">
        <v>3</v>
      </c>
    </row>
    <row r="7137" spans="1:3" ht="13.5" thickBot="1" x14ac:dyDescent="0.25">
      <c r="A7137" s="3">
        <v>6419</v>
      </c>
      <c r="B7137" s="28"/>
      <c r="C7137" s="3" t="s">
        <v>3</v>
      </c>
    </row>
    <row r="7138" spans="1:3" ht="13.5" thickBot="1" x14ac:dyDescent="0.25">
      <c r="A7138" s="3">
        <v>2614</v>
      </c>
      <c r="B7138" s="28"/>
      <c r="C7138" s="3" t="s">
        <v>3</v>
      </c>
    </row>
    <row r="7139" spans="1:3" ht="13.5" thickBot="1" x14ac:dyDescent="0.25">
      <c r="A7139" s="3">
        <v>6862</v>
      </c>
      <c r="B7139" s="28"/>
      <c r="C7139" s="3" t="s">
        <v>3</v>
      </c>
    </row>
    <row r="7140" spans="1:3" ht="13.5" thickBot="1" x14ac:dyDescent="0.25">
      <c r="A7140" s="3">
        <v>2590</v>
      </c>
      <c r="B7140" s="28"/>
      <c r="C7140" s="3" t="s">
        <v>4</v>
      </c>
    </row>
    <row r="7141" spans="1:3" ht="13.5" thickBot="1" x14ac:dyDescent="0.25">
      <c r="A7141" s="3">
        <v>1728</v>
      </c>
      <c r="B7141" s="28"/>
      <c r="C7141" s="3" t="s">
        <v>4</v>
      </c>
    </row>
    <row r="7142" spans="1:3" ht="13.5" thickBot="1" x14ac:dyDescent="0.25">
      <c r="A7142" s="3">
        <v>774</v>
      </c>
      <c r="B7142" s="28"/>
      <c r="C7142" s="3" t="s">
        <v>3</v>
      </c>
    </row>
    <row r="7143" spans="1:3" ht="13.5" thickBot="1" x14ac:dyDescent="0.25">
      <c r="A7143" s="3">
        <v>7823</v>
      </c>
      <c r="B7143" s="28"/>
      <c r="C7143" s="3" t="s">
        <v>3</v>
      </c>
    </row>
    <row r="7144" spans="1:3" ht="13.5" thickBot="1" x14ac:dyDescent="0.25">
      <c r="A7144" s="3">
        <v>6884</v>
      </c>
      <c r="B7144" s="28"/>
      <c r="C7144" s="3" t="s">
        <v>3</v>
      </c>
    </row>
    <row r="7145" spans="1:3" ht="13.5" thickBot="1" x14ac:dyDescent="0.25">
      <c r="A7145" s="3">
        <v>4291</v>
      </c>
      <c r="B7145" s="28"/>
      <c r="C7145" s="3" t="s">
        <v>5</v>
      </c>
    </row>
    <row r="7146" spans="1:3" ht="13.5" thickBot="1" x14ac:dyDescent="0.25">
      <c r="A7146" s="3">
        <v>2555</v>
      </c>
      <c r="B7146" s="28"/>
      <c r="C7146" s="3" t="s">
        <v>6</v>
      </c>
    </row>
    <row r="7147" spans="1:3" ht="13.5" thickBot="1" x14ac:dyDescent="0.25">
      <c r="A7147" s="3">
        <v>1013</v>
      </c>
      <c r="B7147" s="28"/>
      <c r="C7147" s="3" t="s">
        <v>4</v>
      </c>
    </row>
    <row r="7148" spans="1:3" ht="13.5" thickBot="1" x14ac:dyDescent="0.25">
      <c r="A7148" s="3">
        <v>4514</v>
      </c>
      <c r="B7148" s="28"/>
      <c r="C7148" s="3" t="s">
        <v>6</v>
      </c>
    </row>
    <row r="7149" spans="1:3" ht="13.5" thickBot="1" x14ac:dyDescent="0.25">
      <c r="A7149" s="3">
        <v>4319</v>
      </c>
      <c r="B7149" s="28"/>
      <c r="C7149" s="3" t="s">
        <v>4</v>
      </c>
    </row>
    <row r="7150" spans="1:3" ht="13.5" thickBot="1" x14ac:dyDescent="0.25">
      <c r="A7150" s="3">
        <v>3614</v>
      </c>
      <c r="B7150" s="28"/>
      <c r="C7150" s="3" t="s">
        <v>3</v>
      </c>
    </row>
    <row r="7151" spans="1:3" ht="13.5" thickBot="1" x14ac:dyDescent="0.25">
      <c r="A7151" s="3">
        <v>4542</v>
      </c>
      <c r="B7151" s="28"/>
      <c r="C7151" s="3" t="s">
        <v>4</v>
      </c>
    </row>
    <row r="7152" spans="1:3" ht="13.5" thickBot="1" x14ac:dyDescent="0.25">
      <c r="A7152" s="3">
        <v>1019</v>
      </c>
      <c r="B7152" s="28"/>
      <c r="C7152" s="3" t="s">
        <v>4</v>
      </c>
    </row>
    <row r="7153" spans="1:3" ht="13.5" thickBot="1" x14ac:dyDescent="0.25">
      <c r="A7153" s="3">
        <v>4542</v>
      </c>
      <c r="B7153" s="28"/>
      <c r="C7153" s="3" t="s">
        <v>3</v>
      </c>
    </row>
    <row r="7154" spans="1:3" ht="13.5" thickBot="1" x14ac:dyDescent="0.25">
      <c r="A7154" s="3">
        <v>3335</v>
      </c>
      <c r="B7154" s="28"/>
      <c r="C7154" s="3" t="s">
        <v>7</v>
      </c>
    </row>
    <row r="7155" spans="1:3" ht="13.5" thickBot="1" x14ac:dyDescent="0.25">
      <c r="A7155" s="3">
        <v>5353</v>
      </c>
      <c r="B7155" s="28"/>
      <c r="C7155" s="3" t="s">
        <v>3</v>
      </c>
    </row>
    <row r="7156" spans="1:3" ht="13.5" thickBot="1" x14ac:dyDescent="0.25">
      <c r="A7156" s="3">
        <v>4943</v>
      </c>
      <c r="B7156" s="28"/>
      <c r="C7156" s="3" t="s">
        <v>6</v>
      </c>
    </row>
    <row r="7157" spans="1:3" ht="13.5" thickBot="1" x14ac:dyDescent="0.25">
      <c r="A7157" s="3">
        <v>5159</v>
      </c>
      <c r="B7157" s="28"/>
      <c r="C7157" s="3" t="s">
        <v>3</v>
      </c>
    </row>
    <row r="7158" spans="1:3" ht="13.5" thickBot="1" x14ac:dyDescent="0.25">
      <c r="A7158" s="3">
        <v>32</v>
      </c>
      <c r="B7158" s="28"/>
      <c r="C7158" s="3" t="s">
        <v>6</v>
      </c>
    </row>
    <row r="7159" spans="1:3" ht="13.5" thickBot="1" x14ac:dyDescent="0.25">
      <c r="A7159" s="3">
        <v>1835</v>
      </c>
      <c r="B7159" s="28"/>
      <c r="C7159" s="3" t="s">
        <v>3</v>
      </c>
    </row>
    <row r="7160" spans="1:3" ht="13.5" thickBot="1" x14ac:dyDescent="0.25">
      <c r="A7160" s="3">
        <v>3095</v>
      </c>
      <c r="B7160" s="28"/>
      <c r="C7160" s="3" t="s">
        <v>3</v>
      </c>
    </row>
    <row r="7161" spans="1:3" ht="13.5" thickBot="1" x14ac:dyDescent="0.25">
      <c r="A7161" s="3">
        <v>4087</v>
      </c>
      <c r="B7161" s="28"/>
      <c r="C7161" s="3" t="s">
        <v>5</v>
      </c>
    </row>
    <row r="7162" spans="1:3" ht="13.5" thickBot="1" x14ac:dyDescent="0.25">
      <c r="A7162" s="3">
        <v>382</v>
      </c>
      <c r="B7162" s="28"/>
      <c r="C7162" s="3" t="s">
        <v>7</v>
      </c>
    </row>
    <row r="7163" spans="1:3" ht="13.5" thickBot="1" x14ac:dyDescent="0.25">
      <c r="A7163" s="3">
        <v>1195</v>
      </c>
      <c r="B7163" s="28"/>
      <c r="C7163" s="3" t="s">
        <v>3</v>
      </c>
    </row>
    <row r="7164" spans="1:3" ht="13.5" thickBot="1" x14ac:dyDescent="0.25">
      <c r="A7164" s="3">
        <v>32</v>
      </c>
      <c r="B7164" s="28"/>
      <c r="C7164" s="3" t="s">
        <v>7</v>
      </c>
    </row>
    <row r="7165" spans="1:3" ht="13.5" thickBot="1" x14ac:dyDescent="0.25">
      <c r="A7165" s="3">
        <v>5526</v>
      </c>
      <c r="B7165" s="28"/>
      <c r="C7165" s="3" t="s">
        <v>3</v>
      </c>
    </row>
    <row r="7166" spans="1:3" ht="13.5" thickBot="1" x14ac:dyDescent="0.25">
      <c r="A7166" s="3">
        <v>4465</v>
      </c>
      <c r="B7166" s="28"/>
      <c r="C7166" s="3" t="s">
        <v>3</v>
      </c>
    </row>
    <row r="7167" spans="1:3" ht="13.5" thickBot="1" x14ac:dyDescent="0.25">
      <c r="A7167" s="3">
        <v>4003</v>
      </c>
      <c r="B7167" s="28"/>
      <c r="C7167" s="3" t="s">
        <v>4</v>
      </c>
    </row>
    <row r="7168" spans="1:3" ht="13.5" thickBot="1" x14ac:dyDescent="0.25">
      <c r="A7168" s="3">
        <v>70</v>
      </c>
      <c r="B7168" s="28"/>
      <c r="C7168" s="3" t="s">
        <v>7</v>
      </c>
    </row>
    <row r="7169" spans="1:3" ht="13.5" thickBot="1" x14ac:dyDescent="0.25">
      <c r="A7169" s="3">
        <v>229</v>
      </c>
      <c r="B7169" s="28"/>
      <c r="C7169" s="3" t="s">
        <v>7</v>
      </c>
    </row>
    <row r="7170" spans="1:3" ht="13.5" thickBot="1" x14ac:dyDescent="0.25">
      <c r="A7170" s="3">
        <v>5875</v>
      </c>
      <c r="B7170" s="28"/>
      <c r="C7170" s="3" t="s">
        <v>3</v>
      </c>
    </row>
    <row r="7171" spans="1:3" ht="13.5" thickBot="1" x14ac:dyDescent="0.25">
      <c r="A7171" s="3">
        <v>5445</v>
      </c>
      <c r="B7171" s="28"/>
      <c r="C7171" s="3" t="s">
        <v>6</v>
      </c>
    </row>
    <row r="7172" spans="1:3" ht="13.5" thickBot="1" x14ac:dyDescent="0.25">
      <c r="A7172" s="3">
        <v>5282</v>
      </c>
      <c r="B7172" s="28"/>
      <c r="C7172" s="3" t="s">
        <v>7</v>
      </c>
    </row>
    <row r="7173" spans="1:3" ht="13.5" thickBot="1" x14ac:dyDescent="0.25">
      <c r="A7173" s="3">
        <v>3249</v>
      </c>
      <c r="B7173" s="28"/>
      <c r="C7173" s="3" t="s">
        <v>5</v>
      </c>
    </row>
    <row r="7174" spans="1:3" ht="13.5" thickBot="1" x14ac:dyDescent="0.25">
      <c r="A7174" s="3">
        <v>6516</v>
      </c>
      <c r="B7174" s="28"/>
      <c r="C7174" s="3" t="s">
        <v>6</v>
      </c>
    </row>
    <row r="7175" spans="1:3" ht="13.5" thickBot="1" x14ac:dyDescent="0.25">
      <c r="A7175" s="3">
        <v>5526</v>
      </c>
      <c r="B7175" s="28"/>
      <c r="C7175" s="3" t="s">
        <v>4</v>
      </c>
    </row>
    <row r="7176" spans="1:3" ht="13.5" thickBot="1" x14ac:dyDescent="0.25">
      <c r="A7176" s="3">
        <v>5373</v>
      </c>
      <c r="B7176" s="28"/>
      <c r="C7176" s="3" t="s">
        <v>4</v>
      </c>
    </row>
    <row r="7177" spans="1:3" ht="13.5" thickBot="1" x14ac:dyDescent="0.25">
      <c r="A7177" s="3">
        <v>4478</v>
      </c>
      <c r="B7177" s="28"/>
      <c r="C7177" s="3" t="s">
        <v>3</v>
      </c>
    </row>
    <row r="7178" spans="1:3" ht="13.5" thickBot="1" x14ac:dyDescent="0.25">
      <c r="A7178" s="3">
        <v>1256</v>
      </c>
      <c r="B7178" s="28"/>
      <c r="C7178" s="3" t="s">
        <v>3</v>
      </c>
    </row>
    <row r="7179" spans="1:3" ht="13.5" thickBot="1" x14ac:dyDescent="0.25">
      <c r="A7179" s="3">
        <v>3127</v>
      </c>
      <c r="B7179" s="28"/>
      <c r="C7179" s="3" t="s">
        <v>4</v>
      </c>
    </row>
    <row r="7180" spans="1:3" ht="13.5" thickBot="1" x14ac:dyDescent="0.25">
      <c r="A7180" s="3">
        <v>2265</v>
      </c>
      <c r="B7180" s="28"/>
      <c r="C7180" s="3" t="s">
        <v>4</v>
      </c>
    </row>
    <row r="7181" spans="1:3" ht="13.5" thickBot="1" x14ac:dyDescent="0.25">
      <c r="A7181" s="3">
        <v>1155</v>
      </c>
      <c r="B7181" s="28"/>
      <c r="C7181" s="3" t="s">
        <v>3</v>
      </c>
    </row>
    <row r="7182" spans="1:3" ht="13.5" thickBot="1" x14ac:dyDescent="0.25">
      <c r="A7182" s="3">
        <v>1917</v>
      </c>
      <c r="B7182" s="28"/>
      <c r="C7182" s="3" t="s">
        <v>3</v>
      </c>
    </row>
    <row r="7183" spans="1:3" ht="13.5" thickBot="1" x14ac:dyDescent="0.25">
      <c r="A7183" s="3">
        <v>3249</v>
      </c>
      <c r="B7183" s="28"/>
      <c r="C7183" s="3" t="s">
        <v>6</v>
      </c>
    </row>
    <row r="7184" spans="1:3" ht="13.5" thickBot="1" x14ac:dyDescent="0.25">
      <c r="A7184" s="3">
        <v>580</v>
      </c>
      <c r="B7184" s="28"/>
      <c r="C7184" s="3" t="s">
        <v>3</v>
      </c>
    </row>
    <row r="7185" spans="1:3" ht="13.5" thickBot="1" x14ac:dyDescent="0.25">
      <c r="A7185" s="3">
        <v>416</v>
      </c>
      <c r="B7185" s="28"/>
      <c r="C7185" s="3" t="s">
        <v>4</v>
      </c>
    </row>
    <row r="7186" spans="1:3" ht="13.5" thickBot="1" x14ac:dyDescent="0.25">
      <c r="A7186" s="3">
        <v>6851</v>
      </c>
      <c r="B7186" s="28"/>
      <c r="C7186" s="3" t="s">
        <v>3</v>
      </c>
    </row>
    <row r="7187" spans="1:3" ht="13.5" thickBot="1" x14ac:dyDescent="0.25">
      <c r="A7187" s="3">
        <v>3335</v>
      </c>
      <c r="B7187" s="28"/>
      <c r="C7187" s="3" t="s">
        <v>6</v>
      </c>
    </row>
    <row r="7188" spans="1:3" ht="13.5" thickBot="1" x14ac:dyDescent="0.25">
      <c r="A7188" s="3">
        <v>6154</v>
      </c>
      <c r="B7188" s="28"/>
      <c r="C7188" s="3" t="s">
        <v>5</v>
      </c>
    </row>
    <row r="7189" spans="1:3" ht="13.5" thickBot="1" x14ac:dyDescent="0.25">
      <c r="A7189" s="3">
        <v>4962</v>
      </c>
      <c r="B7189" s="28"/>
      <c r="C7189" s="3" t="s">
        <v>7</v>
      </c>
    </row>
    <row r="7190" spans="1:3" ht="13.5" thickBot="1" x14ac:dyDescent="0.25">
      <c r="A7190" s="3">
        <v>1150</v>
      </c>
      <c r="B7190" s="28"/>
      <c r="C7190" s="3" t="s">
        <v>6</v>
      </c>
    </row>
    <row r="7191" spans="1:3" ht="13.5" thickBot="1" x14ac:dyDescent="0.25">
      <c r="A7191" s="3">
        <v>4465</v>
      </c>
      <c r="B7191" s="28"/>
      <c r="C7191" s="3" t="s">
        <v>4</v>
      </c>
    </row>
    <row r="7192" spans="1:3" ht="13.5" thickBot="1" x14ac:dyDescent="0.25">
      <c r="A7192" s="3">
        <v>2112</v>
      </c>
      <c r="B7192" s="28"/>
      <c r="C7192" s="3" t="s">
        <v>4</v>
      </c>
    </row>
    <row r="7193" spans="1:3" ht="13.5" thickBot="1" x14ac:dyDescent="0.25">
      <c r="A7193" s="3">
        <v>2590</v>
      </c>
      <c r="B7193" s="28"/>
      <c r="C7193" s="3" t="s">
        <v>5</v>
      </c>
    </row>
    <row r="7194" spans="1:3" ht="13.5" thickBot="1" x14ac:dyDescent="0.25">
      <c r="A7194" s="3">
        <v>645</v>
      </c>
      <c r="B7194" s="28"/>
      <c r="C7194" s="3" t="s">
        <v>3</v>
      </c>
    </row>
    <row r="7195" spans="1:3" ht="13.5" thickBot="1" x14ac:dyDescent="0.25">
      <c r="A7195" s="3">
        <v>6887</v>
      </c>
      <c r="B7195" s="28"/>
      <c r="C7195" s="3" t="s">
        <v>4</v>
      </c>
    </row>
    <row r="7196" spans="1:3" ht="13.5" thickBot="1" x14ac:dyDescent="0.25">
      <c r="A7196" s="3">
        <v>443</v>
      </c>
      <c r="B7196" s="28"/>
      <c r="C7196" s="3" t="s">
        <v>4</v>
      </c>
    </row>
    <row r="7197" spans="1:3" ht="13.5" thickBot="1" x14ac:dyDescent="0.25">
      <c r="A7197" s="3">
        <v>6763</v>
      </c>
      <c r="B7197" s="28"/>
      <c r="C7197" s="3" t="s">
        <v>3</v>
      </c>
    </row>
    <row r="7198" spans="1:3" ht="13.5" thickBot="1" x14ac:dyDescent="0.25">
      <c r="A7198" s="3">
        <v>6512</v>
      </c>
      <c r="B7198" s="28"/>
      <c r="C7198" s="3" t="s">
        <v>3</v>
      </c>
    </row>
    <row r="7199" spans="1:3" ht="13.5" thickBot="1" x14ac:dyDescent="0.25">
      <c r="A7199" s="3">
        <v>382</v>
      </c>
      <c r="B7199" s="28"/>
      <c r="C7199" s="3" t="s">
        <v>6</v>
      </c>
    </row>
    <row r="7200" spans="1:3" ht="13.5" thickBot="1" x14ac:dyDescent="0.25">
      <c r="A7200" s="3">
        <v>4291</v>
      </c>
      <c r="B7200" s="28"/>
      <c r="C7200" s="3" t="s">
        <v>4</v>
      </c>
    </row>
    <row r="7201" spans="1:3" ht="13.5" thickBot="1" x14ac:dyDescent="0.25">
      <c r="A7201" s="3">
        <v>2756</v>
      </c>
      <c r="B7201" s="28"/>
      <c r="C7201" s="3" t="s">
        <v>7</v>
      </c>
    </row>
    <row r="7202" spans="1:3" ht="13.5" thickBot="1" x14ac:dyDescent="0.25">
      <c r="A7202" s="3">
        <v>1019</v>
      </c>
      <c r="B7202" s="28"/>
      <c r="C7202" s="3" t="s">
        <v>7</v>
      </c>
    </row>
    <row r="7203" spans="1:3" ht="13.5" thickBot="1" x14ac:dyDescent="0.25">
      <c r="A7203" s="3">
        <v>3133</v>
      </c>
      <c r="B7203" s="28"/>
      <c r="C7203" s="3" t="s">
        <v>3</v>
      </c>
    </row>
    <row r="7204" spans="1:3" ht="13.5" thickBot="1" x14ac:dyDescent="0.25">
      <c r="A7204" s="3">
        <v>4478</v>
      </c>
      <c r="B7204" s="28"/>
      <c r="C7204" s="3" t="s">
        <v>4</v>
      </c>
    </row>
    <row r="7205" spans="1:3" ht="13.5" thickBot="1" x14ac:dyDescent="0.25">
      <c r="A7205" s="3">
        <v>1237</v>
      </c>
      <c r="B7205" s="28"/>
      <c r="C7205" s="3" t="s">
        <v>3</v>
      </c>
    </row>
    <row r="7206" spans="1:3" ht="13.5" thickBot="1" x14ac:dyDescent="0.25">
      <c r="A7206" s="3">
        <v>5894</v>
      </c>
      <c r="B7206" s="28"/>
      <c r="C7206" s="3" t="s">
        <v>7</v>
      </c>
    </row>
    <row r="7207" spans="1:3" ht="13.5" thickBot="1" x14ac:dyDescent="0.25">
      <c r="A7207" s="3">
        <v>217</v>
      </c>
      <c r="B7207" s="28"/>
      <c r="C7207" s="3" t="s">
        <v>5</v>
      </c>
    </row>
    <row r="7208" spans="1:3" ht="13.5" thickBot="1" x14ac:dyDescent="0.25">
      <c r="A7208" s="3">
        <v>4962</v>
      </c>
      <c r="B7208" s="28"/>
      <c r="C7208" s="3" t="s">
        <v>4</v>
      </c>
    </row>
    <row r="7209" spans="1:3" ht="13.5" thickBot="1" x14ac:dyDescent="0.25">
      <c r="A7209" s="3">
        <v>3743</v>
      </c>
      <c r="B7209" s="28"/>
      <c r="C7209" s="3" t="s">
        <v>6</v>
      </c>
    </row>
    <row r="7210" spans="1:3" ht="13.5" thickBot="1" x14ac:dyDescent="0.25">
      <c r="A7210" s="3">
        <v>774</v>
      </c>
      <c r="B7210" s="28"/>
      <c r="C7210" s="3" t="s">
        <v>4</v>
      </c>
    </row>
    <row r="7211" spans="1:3" ht="13.5" thickBot="1" x14ac:dyDescent="0.25">
      <c r="A7211" s="3">
        <v>7956</v>
      </c>
      <c r="B7211" s="28"/>
      <c r="C7211" s="3" t="s">
        <v>3</v>
      </c>
    </row>
    <row r="7212" spans="1:3" ht="13.5" thickBot="1" x14ac:dyDescent="0.25">
      <c r="A7212" s="3">
        <v>6280</v>
      </c>
      <c r="B7212" s="28"/>
      <c r="C7212" s="3" t="s">
        <v>5</v>
      </c>
    </row>
    <row r="7213" spans="1:3" ht="13.5" thickBot="1" x14ac:dyDescent="0.25">
      <c r="A7213" s="3">
        <v>3192</v>
      </c>
      <c r="B7213" s="28"/>
      <c r="C7213" s="3" t="s">
        <v>3</v>
      </c>
    </row>
    <row r="7214" spans="1:3" ht="13.5" thickBot="1" x14ac:dyDescent="0.25">
      <c r="A7214" s="3">
        <v>3127</v>
      </c>
      <c r="B7214" s="28"/>
      <c r="C7214" s="3" t="s">
        <v>7</v>
      </c>
    </row>
    <row r="7215" spans="1:3" ht="13.5" thickBot="1" x14ac:dyDescent="0.25">
      <c r="A7215" s="3">
        <v>5618</v>
      </c>
      <c r="B7215" s="28"/>
      <c r="C7215" s="3" t="s">
        <v>5</v>
      </c>
    </row>
    <row r="7216" spans="1:3" ht="13.5" thickBot="1" x14ac:dyDescent="0.25">
      <c r="A7216" s="3">
        <v>6862</v>
      </c>
      <c r="B7216" s="28"/>
      <c r="C7216" s="3" t="s">
        <v>5</v>
      </c>
    </row>
    <row r="7217" spans="1:3" ht="13.5" thickBot="1" x14ac:dyDescent="0.25">
      <c r="A7217" s="3">
        <v>2910</v>
      </c>
      <c r="B7217" s="28"/>
      <c r="C7217" s="3" t="s">
        <v>3</v>
      </c>
    </row>
    <row r="7218" spans="1:3" ht="13.5" thickBot="1" x14ac:dyDescent="0.25">
      <c r="A7218" s="3">
        <v>1575</v>
      </c>
      <c r="B7218" s="28"/>
      <c r="C7218" s="3" t="s">
        <v>3</v>
      </c>
    </row>
    <row r="7219" spans="1:3" ht="13.5" thickBot="1" x14ac:dyDescent="0.25">
      <c r="A7219" s="3">
        <v>6603</v>
      </c>
      <c r="B7219" s="28"/>
      <c r="C7219" s="3" t="s">
        <v>3</v>
      </c>
    </row>
    <row r="7220" spans="1:3" ht="13.5" thickBot="1" x14ac:dyDescent="0.25">
      <c r="A7220" s="3">
        <v>4087</v>
      </c>
      <c r="B7220" s="28"/>
      <c r="C7220" s="3" t="s">
        <v>3</v>
      </c>
    </row>
    <row r="7221" spans="1:3" ht="13.5" thickBot="1" x14ac:dyDescent="0.25">
      <c r="A7221" s="3">
        <v>5875</v>
      </c>
      <c r="B7221" s="28"/>
      <c r="C7221" s="3" t="s">
        <v>4</v>
      </c>
    </row>
    <row r="7222" spans="1:3" ht="13.5" thickBot="1" x14ac:dyDescent="0.25">
      <c r="A7222" s="3">
        <v>6677</v>
      </c>
      <c r="B7222" s="28"/>
      <c r="C7222" s="3" t="s">
        <v>5</v>
      </c>
    </row>
    <row r="7223" spans="1:3" ht="13.5" thickBot="1" x14ac:dyDescent="0.25">
      <c r="A7223" s="3">
        <v>3374</v>
      </c>
      <c r="B7223" s="28"/>
      <c r="C7223" s="3" t="s">
        <v>3</v>
      </c>
    </row>
    <row r="7224" spans="1:3" ht="13.5" thickBot="1" x14ac:dyDescent="0.25">
      <c r="A7224" s="3">
        <v>2686</v>
      </c>
      <c r="B7224" s="28"/>
      <c r="C7224" s="3" t="s">
        <v>3</v>
      </c>
    </row>
    <row r="7225" spans="1:3" ht="13.5" thickBot="1" x14ac:dyDescent="0.25">
      <c r="A7225" s="3">
        <v>6419</v>
      </c>
      <c r="B7225" s="28"/>
      <c r="C7225" s="3" t="s">
        <v>4</v>
      </c>
    </row>
    <row r="7226" spans="1:3" ht="13.5" thickBot="1" x14ac:dyDescent="0.25">
      <c r="A7226" s="3">
        <v>4909</v>
      </c>
      <c r="B7226" s="28"/>
      <c r="C7226" s="3" t="s">
        <v>7</v>
      </c>
    </row>
    <row r="7227" spans="1:3" ht="13.5" thickBot="1" x14ac:dyDescent="0.25">
      <c r="A7227" s="3">
        <v>2977</v>
      </c>
      <c r="B7227" s="28"/>
      <c r="C7227" s="3" t="s">
        <v>3</v>
      </c>
    </row>
    <row r="7228" spans="1:3" ht="13.5" thickBot="1" x14ac:dyDescent="0.25">
      <c r="A7228" s="3">
        <v>1388</v>
      </c>
      <c r="B7228" s="28"/>
      <c r="C7228" s="3" t="s">
        <v>3</v>
      </c>
    </row>
    <row r="7229" spans="1:3" ht="13.5" thickBot="1" x14ac:dyDescent="0.25">
      <c r="A7229" s="3">
        <v>3798</v>
      </c>
      <c r="B7229" s="28"/>
      <c r="C7229" s="3" t="s">
        <v>3</v>
      </c>
    </row>
    <row r="7230" spans="1:3" ht="13.5" thickBot="1" x14ac:dyDescent="0.25">
      <c r="A7230" s="3">
        <v>3127</v>
      </c>
      <c r="B7230" s="28"/>
      <c r="C7230" s="3" t="s">
        <v>6</v>
      </c>
    </row>
    <row r="7231" spans="1:3" ht="13.5" thickBot="1" x14ac:dyDescent="0.25">
      <c r="A7231" s="3">
        <v>4962</v>
      </c>
      <c r="B7231" s="28"/>
      <c r="C7231" s="3" t="s">
        <v>6</v>
      </c>
    </row>
    <row r="7232" spans="1:3" ht="13.5" thickBot="1" x14ac:dyDescent="0.25">
      <c r="A7232" s="3">
        <v>749</v>
      </c>
      <c r="B7232" s="28"/>
      <c r="C7232" s="3" t="s">
        <v>7</v>
      </c>
    </row>
    <row r="7233" spans="1:3" ht="13.5" thickBot="1" x14ac:dyDescent="0.25">
      <c r="A7233" s="3">
        <v>3940</v>
      </c>
      <c r="B7233" s="28"/>
      <c r="C7233" s="3" t="s">
        <v>6</v>
      </c>
    </row>
    <row r="7234" spans="1:3" ht="13.5" thickBot="1" x14ac:dyDescent="0.25">
      <c r="A7234" s="3">
        <v>6862</v>
      </c>
      <c r="B7234" s="28"/>
      <c r="C7234" s="3" t="s">
        <v>4</v>
      </c>
    </row>
    <row r="7235" spans="1:3" ht="13.5" thickBot="1" x14ac:dyDescent="0.25">
      <c r="A7235" s="3">
        <v>5906</v>
      </c>
      <c r="B7235" s="28"/>
      <c r="C7235" s="3" t="s">
        <v>3</v>
      </c>
    </row>
    <row r="7236" spans="1:3" ht="13.5" thickBot="1" x14ac:dyDescent="0.25">
      <c r="A7236" s="3">
        <v>1756</v>
      </c>
      <c r="B7236" s="28"/>
      <c r="C7236" s="3" t="s">
        <v>3</v>
      </c>
    </row>
    <row r="7237" spans="1:3" ht="13.5" thickBot="1" x14ac:dyDescent="0.25">
      <c r="A7237" s="3">
        <v>1782</v>
      </c>
      <c r="B7237" s="28"/>
      <c r="C7237" s="3" t="s">
        <v>3</v>
      </c>
    </row>
    <row r="7238" spans="1:3" ht="13.5" thickBot="1" x14ac:dyDescent="0.25">
      <c r="A7238" s="3">
        <v>1035</v>
      </c>
      <c r="B7238" s="28"/>
      <c r="C7238" s="3" t="s">
        <v>6</v>
      </c>
    </row>
    <row r="7239" spans="1:3" ht="13.5" thickBot="1" x14ac:dyDescent="0.25">
      <c r="A7239" s="3">
        <v>7166</v>
      </c>
      <c r="B7239" s="28"/>
      <c r="C7239" s="3" t="s">
        <v>3</v>
      </c>
    </row>
    <row r="7240" spans="1:3" ht="13.5" thickBot="1" x14ac:dyDescent="0.25">
      <c r="A7240" s="3">
        <v>2214</v>
      </c>
      <c r="B7240" s="28"/>
      <c r="C7240" s="3" t="s">
        <v>3</v>
      </c>
    </row>
    <row r="7241" spans="1:3" ht="13.5" thickBot="1" x14ac:dyDescent="0.25">
      <c r="A7241" s="3">
        <v>6489</v>
      </c>
      <c r="B7241" s="28"/>
      <c r="C7241" s="3" t="s">
        <v>3</v>
      </c>
    </row>
    <row r="7242" spans="1:3" ht="13.5" thickBot="1" x14ac:dyDescent="0.25">
      <c r="A7242" s="3">
        <v>5839</v>
      </c>
      <c r="B7242" s="28"/>
      <c r="C7242" s="3" t="s">
        <v>5</v>
      </c>
    </row>
    <row r="7243" spans="1:3" ht="13.5" thickBot="1" x14ac:dyDescent="0.25">
      <c r="A7243" s="3">
        <v>3095</v>
      </c>
      <c r="B7243" s="28"/>
      <c r="C7243" s="3" t="s">
        <v>4</v>
      </c>
    </row>
    <row r="7244" spans="1:3" ht="13.5" thickBot="1" x14ac:dyDescent="0.25">
      <c r="A7244" s="3">
        <v>1776</v>
      </c>
      <c r="B7244" s="28"/>
      <c r="C7244" s="3" t="s">
        <v>6</v>
      </c>
    </row>
    <row r="7245" spans="1:3" ht="13.5" thickBot="1" x14ac:dyDescent="0.25">
      <c r="A7245" s="3">
        <v>4337</v>
      </c>
      <c r="B7245" s="28"/>
      <c r="C7245" s="3" t="s">
        <v>6</v>
      </c>
    </row>
    <row r="7246" spans="1:3" ht="13.5" thickBot="1" x14ac:dyDescent="0.25">
      <c r="A7246" s="3">
        <v>5899</v>
      </c>
      <c r="B7246" s="28"/>
      <c r="C7246" s="3" t="s">
        <v>3</v>
      </c>
    </row>
    <row r="7247" spans="1:3" ht="13.5" thickBot="1" x14ac:dyDescent="0.25">
      <c r="A7247" s="3">
        <v>4962</v>
      </c>
      <c r="B7247" s="28"/>
      <c r="C7247" s="3" t="s">
        <v>5</v>
      </c>
    </row>
    <row r="7248" spans="1:3" ht="13.5" thickBot="1" x14ac:dyDescent="0.25">
      <c r="A7248" s="3">
        <v>5282</v>
      </c>
      <c r="B7248" s="28"/>
      <c r="C7248" s="3" t="s">
        <v>6</v>
      </c>
    </row>
    <row r="7249" spans="1:3" ht="13.5" thickBot="1" x14ac:dyDescent="0.25">
      <c r="A7249" s="3">
        <v>6365</v>
      </c>
      <c r="B7249" s="28"/>
      <c r="C7249" s="3" t="s">
        <v>7</v>
      </c>
    </row>
    <row r="7250" spans="1:3" ht="13.5" thickBot="1" x14ac:dyDescent="0.25">
      <c r="A7250" s="3">
        <v>4003</v>
      </c>
      <c r="B7250" s="28"/>
      <c r="C7250" s="3" t="s">
        <v>6</v>
      </c>
    </row>
    <row r="7251" spans="1:3" ht="13.5" thickBot="1" x14ac:dyDescent="0.25">
      <c r="A7251" s="3">
        <v>5894</v>
      </c>
      <c r="B7251" s="28"/>
      <c r="C7251" s="3" t="s">
        <v>6</v>
      </c>
    </row>
    <row r="7252" spans="1:3" ht="13.5" thickBot="1" x14ac:dyDescent="0.25">
      <c r="A7252" s="3">
        <v>2843</v>
      </c>
      <c r="B7252" s="28"/>
      <c r="C7252" s="3" t="s">
        <v>7</v>
      </c>
    </row>
    <row r="7253" spans="1:3" ht="13.5" thickBot="1" x14ac:dyDescent="0.25">
      <c r="A7253" s="3">
        <v>2686</v>
      </c>
      <c r="B7253" s="28"/>
      <c r="C7253" s="3" t="s">
        <v>6</v>
      </c>
    </row>
    <row r="7254" spans="1:3" ht="13.5" thickBot="1" x14ac:dyDescent="0.25">
      <c r="A7254" s="3">
        <v>3743</v>
      </c>
      <c r="B7254" s="28"/>
      <c r="C7254" s="3" t="s">
        <v>5</v>
      </c>
    </row>
    <row r="7255" spans="1:3" ht="13.5" thickBot="1" x14ac:dyDescent="0.25">
      <c r="A7255" s="3">
        <v>1874</v>
      </c>
      <c r="B7255" s="28"/>
      <c r="C7255" s="3" t="s">
        <v>4</v>
      </c>
    </row>
    <row r="7256" spans="1:3" ht="13.5" thickBot="1" x14ac:dyDescent="0.25">
      <c r="A7256" s="3">
        <v>4074</v>
      </c>
      <c r="B7256" s="28"/>
      <c r="C7256" s="3" t="s">
        <v>3</v>
      </c>
    </row>
    <row r="7257" spans="1:3" ht="13.5" thickBot="1" x14ac:dyDescent="0.25">
      <c r="A7257" s="3">
        <v>381</v>
      </c>
      <c r="B7257" s="28"/>
      <c r="C7257" s="3" t="s">
        <v>3</v>
      </c>
    </row>
    <row r="7258" spans="1:3" ht="13.5" thickBot="1" x14ac:dyDescent="0.25">
      <c r="A7258" s="3">
        <v>5276</v>
      </c>
      <c r="B7258" s="28"/>
      <c r="C7258" s="3" t="s">
        <v>4</v>
      </c>
    </row>
    <row r="7259" spans="1:3" ht="13.5" thickBot="1" x14ac:dyDescent="0.25">
      <c r="A7259" s="3">
        <v>5839</v>
      </c>
      <c r="B7259" s="28"/>
      <c r="C7259" s="3" t="s">
        <v>3</v>
      </c>
    </row>
    <row r="7260" spans="1:3" ht="13.5" thickBot="1" x14ac:dyDescent="0.25">
      <c r="A7260" s="3">
        <v>1131</v>
      </c>
      <c r="B7260" s="28"/>
      <c r="C7260" s="3" t="s">
        <v>3</v>
      </c>
    </row>
    <row r="7261" spans="1:3" ht="13.5" thickBot="1" x14ac:dyDescent="0.25">
      <c r="A7261" s="3">
        <v>7563</v>
      </c>
      <c r="B7261" s="28"/>
      <c r="C7261" s="3" t="s">
        <v>3</v>
      </c>
    </row>
    <row r="7262" spans="1:3" ht="13.5" thickBot="1" x14ac:dyDescent="0.25">
      <c r="A7262" s="3">
        <v>2686</v>
      </c>
      <c r="B7262" s="28"/>
      <c r="C7262" s="3" t="s">
        <v>4</v>
      </c>
    </row>
    <row r="7263" spans="1:3" ht="13.5" thickBot="1" x14ac:dyDescent="0.25">
      <c r="A7263" s="3">
        <v>2593</v>
      </c>
      <c r="B7263" s="28"/>
      <c r="C7263" s="3" t="s">
        <v>7</v>
      </c>
    </row>
    <row r="7264" spans="1:3" ht="13.5" thickBot="1" x14ac:dyDescent="0.25">
      <c r="A7264" s="3">
        <v>3785</v>
      </c>
      <c r="B7264" s="28"/>
      <c r="C7264" s="3" t="s">
        <v>3</v>
      </c>
    </row>
    <row r="7265" spans="1:3" ht="13.5" thickBot="1" x14ac:dyDescent="0.25">
      <c r="A7265" s="3">
        <v>5778</v>
      </c>
      <c r="B7265" s="28"/>
      <c r="C7265" s="3" t="s">
        <v>3</v>
      </c>
    </row>
    <row r="7266" spans="1:3" ht="13.5" thickBot="1" x14ac:dyDescent="0.25">
      <c r="A7266" s="3">
        <v>5839</v>
      </c>
      <c r="B7266" s="28"/>
      <c r="C7266" s="3" t="s">
        <v>4</v>
      </c>
    </row>
    <row r="7267" spans="1:3" ht="13.5" thickBot="1" x14ac:dyDescent="0.25">
      <c r="A7267" s="3">
        <v>6097</v>
      </c>
      <c r="B7267" s="28"/>
      <c r="C7267" s="3" t="s">
        <v>4</v>
      </c>
    </row>
    <row r="7268" spans="1:3" ht="13.5" thickBot="1" x14ac:dyDescent="0.25">
      <c r="A7268" s="3">
        <v>4821</v>
      </c>
      <c r="B7268" s="28"/>
      <c r="C7268" s="3" t="s">
        <v>3</v>
      </c>
    </row>
    <row r="7269" spans="1:3" ht="13.5" thickBot="1" x14ac:dyDescent="0.25">
      <c r="A7269" s="3">
        <v>5778</v>
      </c>
      <c r="B7269" s="28"/>
      <c r="C7269" s="3" t="s">
        <v>4</v>
      </c>
    </row>
    <row r="7270" spans="1:3" ht="13.5" thickBot="1" x14ac:dyDescent="0.25">
      <c r="A7270" s="3">
        <v>3762</v>
      </c>
      <c r="B7270" s="28"/>
      <c r="C7270" s="3" t="s">
        <v>7</v>
      </c>
    </row>
    <row r="7271" spans="1:3" ht="13.5" thickBot="1" x14ac:dyDescent="0.25">
      <c r="A7271" s="3">
        <v>186</v>
      </c>
      <c r="B7271" s="28"/>
      <c r="C7271" s="3" t="s">
        <v>6</v>
      </c>
    </row>
    <row r="7272" spans="1:3" ht="13.5" thickBot="1" x14ac:dyDescent="0.25">
      <c r="A7272" s="3">
        <v>7134</v>
      </c>
      <c r="B7272" s="28"/>
      <c r="C7272" s="3" t="s">
        <v>3</v>
      </c>
    </row>
    <row r="7273" spans="1:3" ht="13.5" thickBot="1" x14ac:dyDescent="0.25">
      <c r="A7273" s="3">
        <v>7407</v>
      </c>
      <c r="B7273" s="28"/>
      <c r="C7273" s="3" t="s">
        <v>6</v>
      </c>
    </row>
    <row r="7274" spans="1:3" ht="13.5" thickBot="1" x14ac:dyDescent="0.25">
      <c r="A7274" s="3">
        <v>2080</v>
      </c>
      <c r="B7274" s="28"/>
      <c r="C7274" s="3" t="s">
        <v>3</v>
      </c>
    </row>
    <row r="7275" spans="1:3" ht="13.5" thickBot="1" x14ac:dyDescent="0.25">
      <c r="A7275" s="3">
        <v>5799</v>
      </c>
      <c r="B7275" s="28"/>
      <c r="C7275" s="3" t="s">
        <v>6</v>
      </c>
    </row>
    <row r="7276" spans="1:3" ht="13.5" thickBot="1" x14ac:dyDescent="0.25">
      <c r="A7276" s="3">
        <v>381</v>
      </c>
      <c r="B7276" s="28"/>
      <c r="C7276" s="3" t="s">
        <v>4</v>
      </c>
    </row>
    <row r="7277" spans="1:3" ht="13.5" thickBot="1" x14ac:dyDescent="0.25">
      <c r="A7277" s="3">
        <v>7065</v>
      </c>
      <c r="B7277" s="28"/>
      <c r="C7277" s="3" t="s">
        <v>6</v>
      </c>
    </row>
    <row r="7278" spans="1:3" ht="13.5" thickBot="1" x14ac:dyDescent="0.25">
      <c r="A7278" s="3">
        <v>5130</v>
      </c>
      <c r="B7278" s="28"/>
      <c r="C7278" s="3" t="s">
        <v>4</v>
      </c>
    </row>
    <row r="7279" spans="1:3" ht="13.5" thickBot="1" x14ac:dyDescent="0.25">
      <c r="A7279" s="3">
        <v>5312</v>
      </c>
      <c r="B7279" s="28"/>
      <c r="C7279" s="3" t="s">
        <v>3</v>
      </c>
    </row>
    <row r="7280" spans="1:3" ht="13.5" thickBot="1" x14ac:dyDescent="0.25">
      <c r="A7280" s="3">
        <v>6591</v>
      </c>
      <c r="B7280" s="28"/>
      <c r="C7280" s="3" t="s">
        <v>5</v>
      </c>
    </row>
    <row r="7281" spans="1:3" ht="13.5" thickBot="1" x14ac:dyDescent="0.25">
      <c r="A7281" s="3">
        <v>6097</v>
      </c>
      <c r="B7281" s="28"/>
      <c r="C7281" s="3" t="s">
        <v>3</v>
      </c>
    </row>
    <row r="7282" spans="1:3" ht="13.5" thickBot="1" x14ac:dyDescent="0.25">
      <c r="A7282" s="3">
        <v>4627</v>
      </c>
      <c r="B7282" s="28"/>
      <c r="C7282" s="3" t="s">
        <v>7</v>
      </c>
    </row>
    <row r="7283" spans="1:3" ht="13.5" thickBot="1" x14ac:dyDescent="0.25">
      <c r="A7283" s="3">
        <v>1874</v>
      </c>
      <c r="B7283" s="28"/>
      <c r="C7283" s="3" t="s">
        <v>3</v>
      </c>
    </row>
    <row r="7284" spans="1:3" ht="13.5" thickBot="1" x14ac:dyDescent="0.25">
      <c r="A7284" s="3">
        <v>6677</v>
      </c>
      <c r="B7284" s="28"/>
      <c r="C7284" s="3" t="s">
        <v>7</v>
      </c>
    </row>
    <row r="7285" spans="1:3" ht="13.5" thickBot="1" x14ac:dyDescent="0.25">
      <c r="A7285" s="3">
        <v>1431</v>
      </c>
      <c r="B7285" s="28"/>
      <c r="C7285" s="3" t="s">
        <v>3</v>
      </c>
    </row>
    <row r="7286" spans="1:3" ht="13.5" thickBot="1" x14ac:dyDescent="0.25">
      <c r="A7286" s="3">
        <v>7407</v>
      </c>
      <c r="B7286" s="28"/>
      <c r="C7286" s="3" t="s">
        <v>7</v>
      </c>
    </row>
    <row r="7287" spans="1:3" ht="13.5" thickBot="1" x14ac:dyDescent="0.25">
      <c r="A7287" s="3">
        <v>2591</v>
      </c>
      <c r="B7287" s="28"/>
      <c r="C7287" s="3" t="s">
        <v>3</v>
      </c>
    </row>
    <row r="7288" spans="1:3" ht="13.5" thickBot="1" x14ac:dyDescent="0.25">
      <c r="A7288" s="3">
        <v>7954</v>
      </c>
      <c r="B7288" s="28"/>
      <c r="C7288" s="3" t="s">
        <v>3</v>
      </c>
    </row>
    <row r="7289" spans="1:3" ht="13.5" thickBot="1" x14ac:dyDescent="0.25">
      <c r="A7289" s="3">
        <v>3133</v>
      </c>
      <c r="B7289" s="28"/>
      <c r="C7289" s="3" t="s">
        <v>7</v>
      </c>
    </row>
    <row r="7290" spans="1:3" ht="13.5" thickBot="1" x14ac:dyDescent="0.25">
      <c r="A7290" s="3">
        <v>2058</v>
      </c>
      <c r="B7290" s="28"/>
      <c r="C7290" s="3" t="s">
        <v>3</v>
      </c>
    </row>
    <row r="7291" spans="1:3" ht="13.5" thickBot="1" x14ac:dyDescent="0.25">
      <c r="A7291" s="3">
        <v>2515</v>
      </c>
      <c r="B7291" s="28"/>
      <c r="C7291" s="3" t="s">
        <v>3</v>
      </c>
    </row>
    <row r="7292" spans="1:3" ht="13.5" thickBot="1" x14ac:dyDescent="0.25">
      <c r="A7292" s="3">
        <v>1863</v>
      </c>
      <c r="B7292" s="28"/>
      <c r="C7292" s="3" t="s">
        <v>4</v>
      </c>
    </row>
    <row r="7293" spans="1:3" ht="13.5" thickBot="1" x14ac:dyDescent="0.25">
      <c r="A7293" s="3">
        <v>1863</v>
      </c>
      <c r="B7293" s="28"/>
      <c r="C7293" s="3" t="s">
        <v>3</v>
      </c>
    </row>
    <row r="7294" spans="1:3" ht="13.5" thickBot="1" x14ac:dyDescent="0.25">
      <c r="A7294" s="3">
        <v>5131</v>
      </c>
      <c r="B7294" s="28"/>
      <c r="C7294" s="3" t="s">
        <v>3</v>
      </c>
    </row>
    <row r="7295" spans="1:3" ht="13.5" thickBot="1" x14ac:dyDescent="0.25">
      <c r="A7295" s="3">
        <v>6419</v>
      </c>
      <c r="B7295" s="28"/>
      <c r="C7295" s="3" t="s">
        <v>6</v>
      </c>
    </row>
    <row r="7296" spans="1:3" ht="13.5" thickBot="1" x14ac:dyDescent="0.25">
      <c r="A7296" s="3">
        <v>774</v>
      </c>
      <c r="B7296" s="28"/>
      <c r="C7296" s="3" t="s">
        <v>5</v>
      </c>
    </row>
    <row r="7297" spans="1:3" ht="13.5" thickBot="1" x14ac:dyDescent="0.25">
      <c r="A7297" s="3">
        <v>4369</v>
      </c>
      <c r="B7297" s="28"/>
      <c r="C7297" s="3" t="s">
        <v>5</v>
      </c>
    </row>
    <row r="7298" spans="1:3" ht="13.5" thickBot="1" x14ac:dyDescent="0.25">
      <c r="A7298" s="3">
        <v>475</v>
      </c>
      <c r="B7298" s="28"/>
      <c r="C7298" s="3" t="s">
        <v>3</v>
      </c>
    </row>
    <row r="7299" spans="1:3" ht="13.5" thickBot="1" x14ac:dyDescent="0.25">
      <c r="A7299" s="3">
        <v>3496</v>
      </c>
      <c r="B7299" s="28"/>
      <c r="C7299" s="3" t="s">
        <v>3</v>
      </c>
    </row>
    <row r="7300" spans="1:3" ht="13.5" thickBot="1" x14ac:dyDescent="0.25">
      <c r="A7300" s="3">
        <v>6512</v>
      </c>
      <c r="B7300" s="28"/>
      <c r="C7300" s="3" t="s">
        <v>4</v>
      </c>
    </row>
    <row r="7301" spans="1:3" ht="13.5" thickBot="1" x14ac:dyDescent="0.25">
      <c r="A7301" s="3">
        <v>7227</v>
      </c>
      <c r="B7301" s="28"/>
      <c r="C7301" s="3" t="s">
        <v>3</v>
      </c>
    </row>
    <row r="7302" spans="1:3" ht="13.5" thickBot="1" x14ac:dyDescent="0.25">
      <c r="A7302" s="3">
        <v>2299</v>
      </c>
      <c r="B7302" s="28"/>
      <c r="C7302" s="3" t="s">
        <v>3</v>
      </c>
    </row>
    <row r="7303" spans="1:3" ht="13.5" thickBot="1" x14ac:dyDescent="0.25">
      <c r="A7303" s="3">
        <v>6419</v>
      </c>
      <c r="B7303" s="28"/>
      <c r="C7303" s="3" t="s">
        <v>7</v>
      </c>
    </row>
    <row r="7304" spans="1:3" ht="13.5" thickBot="1" x14ac:dyDescent="0.25">
      <c r="A7304" s="3">
        <v>6862</v>
      </c>
      <c r="B7304" s="28"/>
      <c r="C7304" s="3" t="s">
        <v>7</v>
      </c>
    </row>
    <row r="7305" spans="1:3" ht="13.5" thickBot="1" x14ac:dyDescent="0.25">
      <c r="A7305" s="3">
        <v>5473</v>
      </c>
      <c r="B7305" s="28"/>
      <c r="C7305" s="3" t="s">
        <v>3</v>
      </c>
    </row>
    <row r="7306" spans="1:3" ht="13.5" thickBot="1" x14ac:dyDescent="0.25">
      <c r="A7306" s="3">
        <v>6097</v>
      </c>
      <c r="B7306" s="28"/>
      <c r="C7306" s="3" t="s">
        <v>5</v>
      </c>
    </row>
    <row r="7307" spans="1:3" ht="13.5" thickBot="1" x14ac:dyDescent="0.25">
      <c r="A7307" s="3">
        <v>867</v>
      </c>
      <c r="B7307" s="28"/>
      <c r="C7307" s="3" t="s">
        <v>6</v>
      </c>
    </row>
    <row r="7308" spans="1:3" ht="13.5" thickBot="1" x14ac:dyDescent="0.25">
      <c r="A7308" s="3">
        <v>3151</v>
      </c>
      <c r="B7308" s="28"/>
      <c r="C7308" s="3" t="s">
        <v>3</v>
      </c>
    </row>
    <row r="7309" spans="1:3" ht="13.5" thickBot="1" x14ac:dyDescent="0.25">
      <c r="A7309" s="3">
        <v>7255</v>
      </c>
      <c r="B7309" s="28"/>
      <c r="C7309" s="3" t="s">
        <v>7</v>
      </c>
    </row>
    <row r="7310" spans="1:3" ht="13.5" thickBot="1" x14ac:dyDescent="0.25">
      <c r="A7310" s="3">
        <v>4079</v>
      </c>
      <c r="B7310" s="28"/>
      <c r="C7310" s="3" t="s">
        <v>4</v>
      </c>
    </row>
    <row r="7311" spans="1:3" ht="13.5" thickBot="1" x14ac:dyDescent="0.25">
      <c r="A7311" s="3">
        <v>4393</v>
      </c>
      <c r="B7311" s="28"/>
      <c r="C7311" s="3" t="s">
        <v>6</v>
      </c>
    </row>
    <row r="7312" spans="1:3" ht="13.5" thickBot="1" x14ac:dyDescent="0.25">
      <c r="A7312" s="3">
        <v>4936</v>
      </c>
      <c r="B7312" s="28"/>
      <c r="C7312" s="3" t="s">
        <v>3</v>
      </c>
    </row>
    <row r="7313" spans="1:3" ht="13.5" thickBot="1" x14ac:dyDescent="0.25">
      <c r="A7313" s="3">
        <v>4369</v>
      </c>
      <c r="B7313" s="28"/>
      <c r="C7313" s="3" t="s">
        <v>3</v>
      </c>
    </row>
    <row r="7314" spans="1:3" ht="13.5" thickBot="1" x14ac:dyDescent="0.25">
      <c r="A7314" s="3">
        <v>2769</v>
      </c>
      <c r="B7314" s="28"/>
      <c r="C7314" s="3" t="s">
        <v>3</v>
      </c>
    </row>
    <row r="7315" spans="1:3" ht="13.5" thickBot="1" x14ac:dyDescent="0.25">
      <c r="A7315" s="3">
        <v>4087</v>
      </c>
      <c r="B7315" s="28"/>
      <c r="C7315" s="3" t="s">
        <v>6</v>
      </c>
    </row>
    <row r="7316" spans="1:3" ht="13.5" thickBot="1" x14ac:dyDescent="0.25">
      <c r="A7316" s="3">
        <v>3778</v>
      </c>
      <c r="B7316" s="28"/>
      <c r="C7316" s="3" t="s">
        <v>3</v>
      </c>
    </row>
    <row r="7317" spans="1:3" ht="13.5" thickBot="1" x14ac:dyDescent="0.25">
      <c r="A7317" s="3">
        <v>4970</v>
      </c>
      <c r="B7317" s="28"/>
      <c r="C7317" s="3" t="s">
        <v>3</v>
      </c>
    </row>
    <row r="7318" spans="1:3" ht="13.5" thickBot="1" x14ac:dyDescent="0.25">
      <c r="A7318" s="3">
        <v>6464</v>
      </c>
      <c r="B7318" s="28"/>
      <c r="C7318" s="3" t="s">
        <v>6</v>
      </c>
    </row>
    <row r="7319" spans="1:3" ht="13.5" thickBot="1" x14ac:dyDescent="0.25">
      <c r="A7319" s="3">
        <v>4854</v>
      </c>
      <c r="B7319" s="28"/>
      <c r="C7319" s="3" t="s">
        <v>3</v>
      </c>
    </row>
    <row r="7320" spans="1:3" ht="13.5" thickBot="1" x14ac:dyDescent="0.25">
      <c r="A7320" s="3">
        <v>2756</v>
      </c>
      <c r="B7320" s="28"/>
      <c r="C7320" s="3" t="s">
        <v>5</v>
      </c>
    </row>
    <row r="7321" spans="1:3" ht="13.5" thickBot="1" x14ac:dyDescent="0.25">
      <c r="A7321" s="3">
        <v>6963</v>
      </c>
      <c r="B7321" s="28"/>
      <c r="C7321" s="3" t="s">
        <v>4</v>
      </c>
    </row>
    <row r="7322" spans="1:3" ht="13.5" thickBot="1" x14ac:dyDescent="0.25">
      <c r="A7322" s="3">
        <v>446</v>
      </c>
      <c r="B7322" s="28"/>
      <c r="C7322" s="3" t="s">
        <v>5</v>
      </c>
    </row>
    <row r="7323" spans="1:3" ht="13.5" thickBot="1" x14ac:dyDescent="0.25">
      <c r="A7323" s="3">
        <v>4079</v>
      </c>
      <c r="B7323" s="28"/>
      <c r="C7323" s="3" t="s">
        <v>3</v>
      </c>
    </row>
    <row r="7324" spans="1:3" ht="13.5" thickBot="1" x14ac:dyDescent="0.25">
      <c r="A7324" s="3">
        <v>3785</v>
      </c>
      <c r="B7324" s="28"/>
      <c r="C7324" s="3" t="s">
        <v>5</v>
      </c>
    </row>
    <row r="7325" spans="1:3" ht="13.5" thickBot="1" x14ac:dyDescent="0.25">
      <c r="A7325" s="3">
        <v>352</v>
      </c>
      <c r="B7325" s="28"/>
      <c r="C7325" s="3" t="s">
        <v>5</v>
      </c>
    </row>
    <row r="7326" spans="1:3" ht="13.5" thickBot="1" x14ac:dyDescent="0.25">
      <c r="A7326" s="3">
        <v>1650</v>
      </c>
      <c r="B7326" s="28"/>
      <c r="C7326" s="3" t="s">
        <v>6</v>
      </c>
    </row>
    <row r="7327" spans="1:3" ht="13.5" thickBot="1" x14ac:dyDescent="0.25">
      <c r="A7327" s="3">
        <v>4978</v>
      </c>
      <c r="B7327" s="28"/>
      <c r="C7327" s="3" t="s">
        <v>7</v>
      </c>
    </row>
    <row r="7328" spans="1:3" ht="13.5" thickBot="1" x14ac:dyDescent="0.25">
      <c r="A7328" s="3">
        <v>933</v>
      </c>
      <c r="B7328" s="28"/>
      <c r="C7328" s="3" t="s">
        <v>3</v>
      </c>
    </row>
    <row r="7329" spans="1:3" ht="13.5" thickBot="1" x14ac:dyDescent="0.25">
      <c r="A7329" s="3">
        <v>6280</v>
      </c>
      <c r="B7329" s="28"/>
      <c r="C7329" s="3" t="s">
        <v>6</v>
      </c>
    </row>
    <row r="7330" spans="1:3" ht="13.5" thickBot="1" x14ac:dyDescent="0.25">
      <c r="A7330" s="3">
        <v>2593</v>
      </c>
      <c r="B7330" s="28"/>
      <c r="C7330" s="3" t="s">
        <v>6</v>
      </c>
    </row>
    <row r="7331" spans="1:3" ht="13.5" thickBot="1" x14ac:dyDescent="0.25">
      <c r="A7331" s="3">
        <v>5181</v>
      </c>
      <c r="B7331" s="28"/>
      <c r="C7331" s="3" t="s">
        <v>6</v>
      </c>
    </row>
    <row r="7332" spans="1:3" ht="13.5" thickBot="1" x14ac:dyDescent="0.25">
      <c r="A7332" s="3">
        <v>1917</v>
      </c>
      <c r="B7332" s="28"/>
      <c r="C7332" s="3" t="s">
        <v>5</v>
      </c>
    </row>
    <row r="7333" spans="1:3" ht="13.5" thickBot="1" x14ac:dyDescent="0.25">
      <c r="A7333" s="3">
        <v>6763</v>
      </c>
      <c r="B7333" s="28"/>
      <c r="C7333" s="3" t="s">
        <v>4</v>
      </c>
    </row>
    <row r="7334" spans="1:3" ht="13.5" thickBot="1" x14ac:dyDescent="0.25">
      <c r="A7334" s="3">
        <v>6403</v>
      </c>
      <c r="B7334" s="28"/>
      <c r="C7334" s="3" t="s">
        <v>3</v>
      </c>
    </row>
    <row r="7335" spans="1:3" ht="13.5" thickBot="1" x14ac:dyDescent="0.25">
      <c r="A7335" s="3">
        <v>1019</v>
      </c>
      <c r="B7335" s="28"/>
      <c r="C7335" s="3" t="s">
        <v>5</v>
      </c>
    </row>
    <row r="7336" spans="1:3" ht="13.5" thickBot="1" x14ac:dyDescent="0.25">
      <c r="A7336" s="3">
        <v>1756</v>
      </c>
      <c r="B7336" s="28"/>
      <c r="C7336" s="3" t="s">
        <v>5</v>
      </c>
    </row>
    <row r="7337" spans="1:3" ht="13.5" thickBot="1" x14ac:dyDescent="0.25">
      <c r="A7337" s="3">
        <v>1756</v>
      </c>
      <c r="B7337" s="28"/>
      <c r="C7337" s="3" t="s">
        <v>7</v>
      </c>
    </row>
    <row r="7338" spans="1:3" ht="13.5" thickBot="1" x14ac:dyDescent="0.25">
      <c r="A7338" s="3">
        <v>352</v>
      </c>
      <c r="B7338" s="28"/>
      <c r="C7338" s="3" t="s">
        <v>3</v>
      </c>
    </row>
    <row r="7339" spans="1:3" ht="13.5" thickBot="1" x14ac:dyDescent="0.25">
      <c r="A7339" s="3">
        <v>412</v>
      </c>
      <c r="B7339" s="28"/>
      <c r="C7339" s="3" t="s">
        <v>3</v>
      </c>
    </row>
    <row r="7340" spans="1:3" ht="13.5" thickBot="1" x14ac:dyDescent="0.25">
      <c r="A7340" s="3">
        <v>3374</v>
      </c>
      <c r="B7340" s="28"/>
      <c r="C7340" s="3" t="s">
        <v>4</v>
      </c>
    </row>
    <row r="7341" spans="1:3" ht="13.5" thickBot="1" x14ac:dyDescent="0.25">
      <c r="A7341" s="3">
        <v>4936</v>
      </c>
      <c r="B7341" s="28"/>
      <c r="C7341" s="3" t="s">
        <v>4</v>
      </c>
    </row>
    <row r="7342" spans="1:3" ht="13.5" thickBot="1" x14ac:dyDescent="0.25">
      <c r="A7342" s="3">
        <v>1711</v>
      </c>
      <c r="B7342" s="28"/>
      <c r="C7342" s="3" t="s">
        <v>3</v>
      </c>
    </row>
    <row r="7343" spans="1:3" ht="13.5" thickBot="1" x14ac:dyDescent="0.25">
      <c r="A7343" s="3">
        <v>3785</v>
      </c>
      <c r="B7343" s="28"/>
      <c r="C7343" s="3" t="s">
        <v>4</v>
      </c>
    </row>
    <row r="7344" spans="1:3" ht="13.5" thickBot="1" x14ac:dyDescent="0.25">
      <c r="A7344" s="3">
        <v>7956</v>
      </c>
      <c r="B7344" s="28"/>
      <c r="C7344" s="3" t="s">
        <v>4</v>
      </c>
    </row>
    <row r="7345" spans="1:3" ht="13.5" thickBot="1" x14ac:dyDescent="0.25">
      <c r="A7345" s="3">
        <v>5942</v>
      </c>
      <c r="B7345" s="28"/>
      <c r="C7345" s="3" t="s">
        <v>3</v>
      </c>
    </row>
    <row r="7346" spans="1:3" ht="13.5" thickBot="1" x14ac:dyDescent="0.25">
      <c r="A7346" s="3">
        <v>6649</v>
      </c>
      <c r="B7346" s="28"/>
      <c r="C7346" s="3" t="s">
        <v>6</v>
      </c>
    </row>
    <row r="7347" spans="1:3" ht="13.5" thickBot="1" x14ac:dyDescent="0.25">
      <c r="A7347" s="3">
        <v>4035</v>
      </c>
      <c r="B7347" s="28"/>
      <c r="C7347" s="3" t="s">
        <v>3</v>
      </c>
    </row>
    <row r="7348" spans="1:3" ht="13.5" thickBot="1" x14ac:dyDescent="0.25">
      <c r="A7348" s="3">
        <v>4943</v>
      </c>
      <c r="B7348" s="28"/>
      <c r="C7348" s="3" t="s">
        <v>7</v>
      </c>
    </row>
    <row r="7349" spans="1:3" ht="13.5" thickBot="1" x14ac:dyDescent="0.25">
      <c r="A7349" s="3">
        <v>4928</v>
      </c>
      <c r="B7349" s="28"/>
      <c r="C7349" s="3" t="s">
        <v>4</v>
      </c>
    </row>
    <row r="7350" spans="1:3" ht="13.5" thickBot="1" x14ac:dyDescent="0.25">
      <c r="A7350" s="3">
        <v>3601</v>
      </c>
      <c r="B7350" s="28"/>
      <c r="C7350" s="3" t="s">
        <v>3</v>
      </c>
    </row>
    <row r="7351" spans="1:3" ht="13.5" thickBot="1" x14ac:dyDescent="0.25">
      <c r="A7351" s="3">
        <v>3377</v>
      </c>
      <c r="B7351" s="28"/>
      <c r="C7351" s="3" t="s">
        <v>3</v>
      </c>
    </row>
    <row r="7352" spans="1:3" ht="13.5" thickBot="1" x14ac:dyDescent="0.25">
      <c r="A7352" s="3">
        <v>1756</v>
      </c>
      <c r="B7352" s="28"/>
      <c r="C7352" s="3" t="s">
        <v>4</v>
      </c>
    </row>
    <row r="7353" spans="1:3" ht="13.5" thickBot="1" x14ac:dyDescent="0.25">
      <c r="A7353" s="3">
        <v>2660</v>
      </c>
      <c r="B7353" s="28"/>
      <c r="C7353" s="3" t="s">
        <v>4</v>
      </c>
    </row>
    <row r="7354" spans="1:3" ht="13.5" thickBot="1" x14ac:dyDescent="0.25">
      <c r="A7354" s="3">
        <v>458</v>
      </c>
      <c r="B7354" s="28"/>
      <c r="C7354" s="3" t="s">
        <v>3</v>
      </c>
    </row>
    <row r="7355" spans="1:3" ht="13.5" thickBot="1" x14ac:dyDescent="0.25">
      <c r="A7355" s="3">
        <v>2940</v>
      </c>
      <c r="B7355" s="28"/>
      <c r="C7355" s="3" t="s">
        <v>3</v>
      </c>
    </row>
    <row r="7356" spans="1:3" ht="13.5" thickBot="1" x14ac:dyDescent="0.25">
      <c r="A7356" s="3">
        <v>352</v>
      </c>
      <c r="B7356" s="28"/>
      <c r="C7356" s="3" t="s">
        <v>4</v>
      </c>
    </row>
    <row r="7357" spans="1:3" ht="13.5" thickBot="1" x14ac:dyDescent="0.25">
      <c r="A7357" s="3">
        <v>7782</v>
      </c>
      <c r="B7357" s="28"/>
      <c r="C7357" s="3" t="s">
        <v>3</v>
      </c>
    </row>
    <row r="7358" spans="1:3" ht="13.5" thickBot="1" x14ac:dyDescent="0.25">
      <c r="A7358" s="3">
        <v>933</v>
      </c>
      <c r="B7358" s="28"/>
      <c r="C7358" s="3" t="s">
        <v>7</v>
      </c>
    </row>
    <row r="7359" spans="1:3" ht="13.5" thickBot="1" x14ac:dyDescent="0.25">
      <c r="A7359" s="3">
        <v>7083</v>
      </c>
      <c r="B7359" s="28"/>
      <c r="C7359" s="3" t="s">
        <v>3</v>
      </c>
    </row>
    <row r="7360" spans="1:3" ht="13.5" thickBot="1" x14ac:dyDescent="0.25">
      <c r="A7360" s="3">
        <v>5778</v>
      </c>
      <c r="B7360" s="28"/>
      <c r="C7360" s="3" t="s">
        <v>6</v>
      </c>
    </row>
    <row r="7361" spans="1:3" ht="13.5" thickBot="1" x14ac:dyDescent="0.25">
      <c r="A7361" s="3">
        <v>779</v>
      </c>
      <c r="B7361" s="28"/>
      <c r="C7361" s="3" t="s">
        <v>3</v>
      </c>
    </row>
    <row r="7362" spans="1:3" ht="13.5" thickBot="1" x14ac:dyDescent="0.25">
      <c r="A7362" s="3">
        <v>3377</v>
      </c>
      <c r="B7362" s="28"/>
      <c r="C7362" s="3" t="s">
        <v>4</v>
      </c>
    </row>
    <row r="7363" spans="1:3" ht="13.5" thickBot="1" x14ac:dyDescent="0.25">
      <c r="A7363" s="3">
        <v>1811</v>
      </c>
      <c r="B7363" s="28"/>
      <c r="C7363" s="3" t="s">
        <v>3</v>
      </c>
    </row>
    <row r="7364" spans="1:3" ht="13.5" thickBot="1" x14ac:dyDescent="0.25">
      <c r="A7364" s="3">
        <v>6551</v>
      </c>
      <c r="B7364" s="28"/>
      <c r="C7364" s="3" t="s">
        <v>3</v>
      </c>
    </row>
    <row r="7365" spans="1:3" ht="13.5" thickBot="1" x14ac:dyDescent="0.25">
      <c r="A7365" s="3">
        <v>6903</v>
      </c>
      <c r="B7365" s="28"/>
      <c r="C7365" s="3" t="s">
        <v>6</v>
      </c>
    </row>
    <row r="7366" spans="1:3" ht="13.5" thickBot="1" x14ac:dyDescent="0.25">
      <c r="A7366" s="3">
        <v>4079</v>
      </c>
      <c r="B7366" s="28"/>
      <c r="C7366" s="3" t="s">
        <v>5</v>
      </c>
    </row>
    <row r="7367" spans="1:3" ht="13.5" thickBot="1" x14ac:dyDescent="0.25">
      <c r="A7367" s="3">
        <v>5130</v>
      </c>
      <c r="B7367" s="28"/>
      <c r="C7367" s="3" t="s">
        <v>7</v>
      </c>
    </row>
    <row r="7368" spans="1:3" ht="13.5" thickBot="1" x14ac:dyDescent="0.25">
      <c r="A7368" s="3">
        <v>2058</v>
      </c>
      <c r="B7368" s="28"/>
      <c r="C7368" s="3" t="s">
        <v>4</v>
      </c>
    </row>
    <row r="7369" spans="1:3" ht="13.5" thickBot="1" x14ac:dyDescent="0.25">
      <c r="A7369" s="3">
        <v>7227</v>
      </c>
      <c r="B7369" s="28"/>
      <c r="C7369" s="3" t="s">
        <v>4</v>
      </c>
    </row>
    <row r="7370" spans="1:3" ht="13.5" thickBot="1" x14ac:dyDescent="0.25">
      <c r="A7370" s="3">
        <v>6551</v>
      </c>
      <c r="B7370" s="28"/>
      <c r="C7370" s="3" t="s">
        <v>4</v>
      </c>
    </row>
    <row r="7371" spans="1:3" ht="13.5" thickBot="1" x14ac:dyDescent="0.25">
      <c r="A7371" s="3">
        <v>7648</v>
      </c>
      <c r="B7371" s="28"/>
      <c r="C7371" s="3" t="s">
        <v>4</v>
      </c>
    </row>
    <row r="7372" spans="1:3" ht="13.5" thickBot="1" x14ac:dyDescent="0.25">
      <c r="A7372" s="3">
        <v>1431</v>
      </c>
      <c r="B7372" s="28"/>
      <c r="C7372" s="3" t="s">
        <v>6</v>
      </c>
    </row>
    <row r="7373" spans="1:3" ht="13.5" thickBot="1" x14ac:dyDescent="0.25">
      <c r="A7373" s="3">
        <v>5155</v>
      </c>
      <c r="B7373" s="28"/>
      <c r="C7373" s="3" t="s">
        <v>3</v>
      </c>
    </row>
    <row r="7374" spans="1:3" ht="13.5" thickBot="1" x14ac:dyDescent="0.25">
      <c r="A7374" s="3">
        <v>7134</v>
      </c>
      <c r="B7374" s="28"/>
      <c r="C7374" s="3" t="s">
        <v>7</v>
      </c>
    </row>
    <row r="7375" spans="1:3" ht="13.5" thickBot="1" x14ac:dyDescent="0.25">
      <c r="A7375" s="3">
        <v>7648</v>
      </c>
      <c r="B7375" s="28"/>
      <c r="C7375" s="3" t="s">
        <v>3</v>
      </c>
    </row>
    <row r="7376" spans="1:3" ht="13.5" thickBot="1" x14ac:dyDescent="0.25">
      <c r="A7376" s="3">
        <v>6365</v>
      </c>
      <c r="B7376" s="28"/>
      <c r="C7376" s="3" t="s">
        <v>6</v>
      </c>
    </row>
    <row r="7377" spans="1:3" ht="13.5" thickBot="1" x14ac:dyDescent="0.25">
      <c r="A7377" s="3">
        <v>1863</v>
      </c>
      <c r="B7377" s="28"/>
      <c r="C7377" s="3" t="s">
        <v>7</v>
      </c>
    </row>
    <row r="7378" spans="1:3" ht="13.5" thickBot="1" x14ac:dyDescent="0.25">
      <c r="A7378" s="3">
        <v>2660</v>
      </c>
      <c r="B7378" s="28"/>
      <c r="C7378" s="3" t="s">
        <v>3</v>
      </c>
    </row>
    <row r="7379" spans="1:3" ht="13.5" thickBot="1" x14ac:dyDescent="0.25">
      <c r="A7379" s="3">
        <v>7134</v>
      </c>
      <c r="B7379" s="28"/>
      <c r="C7379" s="3" t="s">
        <v>4</v>
      </c>
    </row>
    <row r="7380" spans="1:3" ht="13.5" thickBot="1" x14ac:dyDescent="0.25">
      <c r="A7380" s="3">
        <v>4324</v>
      </c>
      <c r="B7380" s="28"/>
      <c r="C7380" s="3" t="s">
        <v>3</v>
      </c>
    </row>
    <row r="7381" spans="1:3" ht="13.5" thickBot="1" x14ac:dyDescent="0.25">
      <c r="A7381" s="3">
        <v>1431</v>
      </c>
      <c r="B7381" s="28"/>
      <c r="C7381" s="3" t="s">
        <v>5</v>
      </c>
    </row>
    <row r="7382" spans="1:3" ht="13.5" thickBot="1" x14ac:dyDescent="0.25">
      <c r="A7382" s="3">
        <v>3380</v>
      </c>
      <c r="B7382" s="28"/>
      <c r="C7382" s="3" t="s">
        <v>3</v>
      </c>
    </row>
    <row r="7383" spans="1:3" ht="13.5" thickBot="1" x14ac:dyDescent="0.25">
      <c r="A7383" s="3">
        <v>4035</v>
      </c>
      <c r="B7383" s="28"/>
      <c r="C7383" s="3" t="s">
        <v>6</v>
      </c>
    </row>
    <row r="7384" spans="1:3" ht="13.5" thickBot="1" x14ac:dyDescent="0.25">
      <c r="A7384" s="3">
        <v>4978</v>
      </c>
      <c r="B7384" s="28"/>
      <c r="C7384" s="3" t="s">
        <v>6</v>
      </c>
    </row>
    <row r="7385" spans="1:3" ht="13.5" thickBot="1" x14ac:dyDescent="0.25">
      <c r="A7385" s="3">
        <v>7227</v>
      </c>
      <c r="B7385" s="28"/>
      <c r="C7385" s="3" t="s">
        <v>5</v>
      </c>
    </row>
    <row r="7386" spans="1:3" ht="13.5" thickBot="1" x14ac:dyDescent="0.25">
      <c r="A7386" s="3">
        <v>6763</v>
      </c>
      <c r="B7386" s="28"/>
      <c r="C7386" s="3" t="s">
        <v>7</v>
      </c>
    </row>
    <row r="7387" spans="1:3" ht="13.5" thickBot="1" x14ac:dyDescent="0.25">
      <c r="A7387" s="3">
        <v>4074</v>
      </c>
      <c r="B7387" s="28"/>
      <c r="C7387" s="3" t="s">
        <v>4</v>
      </c>
    </row>
    <row r="7388" spans="1:3" ht="13.5" thickBot="1" x14ac:dyDescent="0.25">
      <c r="A7388" s="3">
        <v>4928</v>
      </c>
      <c r="B7388" s="28"/>
      <c r="C7388" s="3" t="s">
        <v>3</v>
      </c>
    </row>
    <row r="7389" spans="1:3" ht="13.5" thickBot="1" x14ac:dyDescent="0.25">
      <c r="A7389" s="3">
        <v>6409</v>
      </c>
      <c r="B7389" s="28"/>
      <c r="C7389" s="3" t="s">
        <v>3</v>
      </c>
    </row>
    <row r="7390" spans="1:3" ht="13.5" thickBot="1" x14ac:dyDescent="0.25">
      <c r="A7390" s="3">
        <v>3517</v>
      </c>
      <c r="B7390" s="28"/>
      <c r="C7390" s="3" t="s">
        <v>3</v>
      </c>
    </row>
    <row r="7391" spans="1:3" ht="13.5" thickBot="1" x14ac:dyDescent="0.25">
      <c r="A7391" s="3">
        <v>3743</v>
      </c>
      <c r="B7391" s="28"/>
      <c r="C7391" s="3" t="s">
        <v>7</v>
      </c>
    </row>
    <row r="7392" spans="1:3" ht="13.5" thickBot="1" x14ac:dyDescent="0.25">
      <c r="A7392" s="3">
        <v>5265</v>
      </c>
      <c r="B7392" s="28"/>
      <c r="C7392" s="3" t="s">
        <v>3</v>
      </c>
    </row>
    <row r="7393" spans="1:3" ht="13.5" thickBot="1" x14ac:dyDescent="0.25">
      <c r="A7393" s="3">
        <v>4320</v>
      </c>
      <c r="B7393" s="28"/>
      <c r="C7393" s="3" t="s">
        <v>3</v>
      </c>
    </row>
    <row r="7394" spans="1:3" ht="13.5" thickBot="1" x14ac:dyDescent="0.25">
      <c r="A7394" s="3">
        <v>2245</v>
      </c>
      <c r="B7394" s="28"/>
      <c r="C7394" s="3" t="s">
        <v>4</v>
      </c>
    </row>
    <row r="7395" spans="1:3" ht="13.5" thickBot="1" x14ac:dyDescent="0.25">
      <c r="A7395" s="3">
        <v>6115</v>
      </c>
      <c r="B7395" s="28"/>
      <c r="C7395" s="3" t="s">
        <v>3</v>
      </c>
    </row>
    <row r="7396" spans="1:3" ht="13.5" thickBot="1" x14ac:dyDescent="0.25">
      <c r="A7396" s="3">
        <v>4410</v>
      </c>
      <c r="B7396" s="28"/>
      <c r="C7396" s="3" t="s">
        <v>3</v>
      </c>
    </row>
    <row r="7397" spans="1:3" ht="13.5" thickBot="1" x14ac:dyDescent="0.25">
      <c r="A7397" s="3">
        <v>4003</v>
      </c>
      <c r="B7397" s="28"/>
      <c r="C7397" s="3" t="s">
        <v>7</v>
      </c>
    </row>
    <row r="7398" spans="1:3" ht="13.5" thickBot="1" x14ac:dyDescent="0.25">
      <c r="A7398" s="3">
        <v>4320</v>
      </c>
      <c r="B7398" s="28"/>
      <c r="C7398" s="3" t="s">
        <v>4</v>
      </c>
    </row>
    <row r="7399" spans="1:3" ht="13.5" thickBot="1" x14ac:dyDescent="0.25">
      <c r="A7399" s="3">
        <v>222</v>
      </c>
      <c r="B7399" s="28"/>
      <c r="C7399" s="3" t="s">
        <v>6</v>
      </c>
    </row>
    <row r="7400" spans="1:3" ht="13.5" thickBot="1" x14ac:dyDescent="0.25">
      <c r="A7400" s="3">
        <v>458</v>
      </c>
      <c r="B7400" s="28"/>
      <c r="C7400" s="3" t="s">
        <v>5</v>
      </c>
    </row>
    <row r="7401" spans="1:3" ht="13.5" thickBot="1" x14ac:dyDescent="0.25">
      <c r="A7401" s="3">
        <v>5490</v>
      </c>
      <c r="B7401" s="28"/>
      <c r="C7401" s="3" t="s">
        <v>3</v>
      </c>
    </row>
    <row r="7402" spans="1:3" ht="13.5" thickBot="1" x14ac:dyDescent="0.25">
      <c r="A7402" s="3">
        <v>5839</v>
      </c>
      <c r="B7402" s="28"/>
      <c r="C7402" s="3" t="s">
        <v>6</v>
      </c>
    </row>
    <row r="7403" spans="1:3" ht="13.5" thickBot="1" x14ac:dyDescent="0.25">
      <c r="A7403" s="3">
        <v>690</v>
      </c>
      <c r="B7403" s="28"/>
      <c r="C7403" s="3" t="s">
        <v>3</v>
      </c>
    </row>
    <row r="7404" spans="1:3" ht="13.5" thickBot="1" x14ac:dyDescent="0.25">
      <c r="A7404" s="3">
        <v>4312</v>
      </c>
      <c r="B7404" s="28"/>
      <c r="C7404" s="3" t="s">
        <v>3</v>
      </c>
    </row>
    <row r="7405" spans="1:3" ht="13.5" thickBot="1" x14ac:dyDescent="0.25">
      <c r="A7405" s="3">
        <v>933</v>
      </c>
      <c r="B7405" s="28"/>
      <c r="C7405" s="3" t="s">
        <v>5</v>
      </c>
    </row>
    <row r="7406" spans="1:3" ht="13.5" thickBot="1" x14ac:dyDescent="0.25">
      <c r="A7406" s="3">
        <v>5669</v>
      </c>
      <c r="B7406" s="28"/>
      <c r="C7406" s="3" t="s">
        <v>3</v>
      </c>
    </row>
    <row r="7407" spans="1:3" ht="13.5" thickBot="1" x14ac:dyDescent="0.25">
      <c r="A7407" s="3">
        <v>5521</v>
      </c>
      <c r="B7407" s="28"/>
      <c r="C7407" s="3" t="s">
        <v>6</v>
      </c>
    </row>
    <row r="7408" spans="1:3" ht="13.5" thickBot="1" x14ac:dyDescent="0.25">
      <c r="A7408" s="3">
        <v>2769</v>
      </c>
      <c r="B7408" s="28"/>
      <c r="C7408" s="3" t="s">
        <v>4</v>
      </c>
    </row>
    <row r="7409" spans="1:3" ht="13.5" thickBot="1" x14ac:dyDescent="0.25">
      <c r="A7409" s="3">
        <v>4079</v>
      </c>
      <c r="B7409" s="28"/>
      <c r="C7409" s="3" t="s">
        <v>7</v>
      </c>
    </row>
    <row r="7410" spans="1:3" ht="13.5" thickBot="1" x14ac:dyDescent="0.25">
      <c r="A7410" s="3">
        <v>6825</v>
      </c>
      <c r="B7410" s="28"/>
      <c r="C7410" s="3" t="s">
        <v>3</v>
      </c>
    </row>
    <row r="7411" spans="1:3" ht="13.5" thickBot="1" x14ac:dyDescent="0.25">
      <c r="A7411" s="3">
        <v>7847</v>
      </c>
      <c r="B7411" s="28"/>
      <c r="C7411" s="3" t="s">
        <v>3</v>
      </c>
    </row>
    <row r="7412" spans="1:3" ht="13.5" thickBot="1" x14ac:dyDescent="0.25">
      <c r="A7412" s="3">
        <v>5181</v>
      </c>
      <c r="B7412" s="28"/>
      <c r="C7412" s="3" t="s">
        <v>7</v>
      </c>
    </row>
    <row r="7413" spans="1:3" ht="13.5" thickBot="1" x14ac:dyDescent="0.25">
      <c r="A7413" s="3">
        <v>7134</v>
      </c>
      <c r="B7413" s="28"/>
      <c r="C7413" s="3" t="s">
        <v>6</v>
      </c>
    </row>
    <row r="7414" spans="1:3" ht="13.5" thickBot="1" x14ac:dyDescent="0.25">
      <c r="A7414" s="3">
        <v>2245</v>
      </c>
      <c r="B7414" s="28"/>
      <c r="C7414" s="3" t="s">
        <v>3</v>
      </c>
    </row>
    <row r="7415" spans="1:3" ht="13.5" thickBot="1" x14ac:dyDescent="0.25">
      <c r="A7415" s="3">
        <v>7956</v>
      </c>
      <c r="B7415" s="28"/>
      <c r="C7415" s="3" t="s">
        <v>5</v>
      </c>
    </row>
    <row r="7416" spans="1:3" ht="13.5" thickBot="1" x14ac:dyDescent="0.25">
      <c r="A7416" s="3">
        <v>1570</v>
      </c>
      <c r="B7416" s="28"/>
      <c r="C7416" s="3" t="s">
        <v>5</v>
      </c>
    </row>
    <row r="7417" spans="1:3" ht="13.5" thickBot="1" x14ac:dyDescent="0.25">
      <c r="A7417" s="3">
        <v>7166</v>
      </c>
      <c r="B7417" s="28"/>
      <c r="C7417" s="3" t="s">
        <v>6</v>
      </c>
    </row>
    <row r="7418" spans="1:3" ht="13.5" thickBot="1" x14ac:dyDescent="0.25">
      <c r="A7418" s="3">
        <v>4689</v>
      </c>
      <c r="B7418" s="28"/>
      <c r="C7418" s="3" t="s">
        <v>3</v>
      </c>
    </row>
    <row r="7419" spans="1:3" ht="13.5" thickBot="1" x14ac:dyDescent="0.25">
      <c r="A7419" s="3">
        <v>749</v>
      </c>
      <c r="B7419" s="28"/>
      <c r="C7419" s="3" t="s">
        <v>6</v>
      </c>
    </row>
    <row r="7420" spans="1:3" ht="13.5" thickBot="1" x14ac:dyDescent="0.25">
      <c r="A7420" s="3">
        <v>5434</v>
      </c>
      <c r="B7420" s="28"/>
      <c r="C7420" s="3" t="s">
        <v>3</v>
      </c>
    </row>
    <row r="7421" spans="1:3" ht="13.5" thickBot="1" x14ac:dyDescent="0.25">
      <c r="A7421" s="3">
        <v>1935</v>
      </c>
      <c r="B7421" s="28"/>
      <c r="C7421" s="3" t="s">
        <v>4</v>
      </c>
    </row>
    <row r="7422" spans="1:3" ht="13.5" thickBot="1" x14ac:dyDescent="0.25">
      <c r="A7422" s="3">
        <v>6154</v>
      </c>
      <c r="B7422" s="28"/>
      <c r="C7422" s="3" t="s">
        <v>6</v>
      </c>
    </row>
    <row r="7423" spans="1:3" ht="13.5" thickBot="1" x14ac:dyDescent="0.25">
      <c r="A7423" s="3">
        <v>458</v>
      </c>
      <c r="B7423" s="28"/>
      <c r="C7423" s="3" t="s">
        <v>4</v>
      </c>
    </row>
    <row r="7424" spans="1:3" ht="13.5" thickBot="1" x14ac:dyDescent="0.25">
      <c r="A7424" s="3">
        <v>580</v>
      </c>
      <c r="B7424" s="28"/>
      <c r="C7424" s="3" t="s">
        <v>4</v>
      </c>
    </row>
    <row r="7425" spans="1:3" ht="13.5" thickBot="1" x14ac:dyDescent="0.25">
      <c r="A7425" s="3">
        <v>2855</v>
      </c>
      <c r="B7425" s="28"/>
      <c r="C7425" s="3" t="s">
        <v>3</v>
      </c>
    </row>
    <row r="7426" spans="1:3" ht="13.5" thickBot="1" x14ac:dyDescent="0.25">
      <c r="A7426" s="3">
        <v>4872</v>
      </c>
      <c r="B7426" s="28"/>
      <c r="C7426" s="3" t="s">
        <v>4</v>
      </c>
    </row>
    <row r="7427" spans="1:3" ht="13.5" thickBot="1" x14ac:dyDescent="0.25">
      <c r="A7427" s="3">
        <v>3971</v>
      </c>
      <c r="B7427" s="28"/>
      <c r="C7427" s="3" t="s">
        <v>3</v>
      </c>
    </row>
    <row r="7428" spans="1:3" ht="13.5" thickBot="1" x14ac:dyDescent="0.25">
      <c r="A7428" s="3">
        <v>2590</v>
      </c>
      <c r="B7428" s="28"/>
      <c r="C7428" s="3" t="s">
        <v>6</v>
      </c>
    </row>
    <row r="7429" spans="1:3" ht="13.5" thickBot="1" x14ac:dyDescent="0.25">
      <c r="A7429" s="3">
        <v>6961</v>
      </c>
      <c r="B7429" s="28"/>
      <c r="C7429" s="3" t="s">
        <v>3</v>
      </c>
    </row>
    <row r="7430" spans="1:3" ht="13.5" thickBot="1" x14ac:dyDescent="0.25">
      <c r="A7430" s="3">
        <v>4872</v>
      </c>
      <c r="B7430" s="28"/>
      <c r="C7430" s="3" t="s">
        <v>3</v>
      </c>
    </row>
    <row r="7431" spans="1:3" ht="13.5" thickBot="1" x14ac:dyDescent="0.25">
      <c r="A7431" s="3">
        <v>4369</v>
      </c>
      <c r="B7431" s="28"/>
      <c r="C7431" s="3" t="s">
        <v>4</v>
      </c>
    </row>
    <row r="7432" spans="1:3" ht="13.5" thickBot="1" x14ac:dyDescent="0.25">
      <c r="A7432" s="3">
        <v>1935</v>
      </c>
      <c r="B7432" s="28"/>
      <c r="C7432" s="3" t="s">
        <v>3</v>
      </c>
    </row>
    <row r="7433" spans="1:3" ht="13.5" thickBot="1" x14ac:dyDescent="0.25">
      <c r="A7433" s="3">
        <v>5373</v>
      </c>
      <c r="B7433" s="28"/>
      <c r="C7433" s="3" t="s">
        <v>6</v>
      </c>
    </row>
    <row r="7434" spans="1:3" ht="13.5" thickBot="1" x14ac:dyDescent="0.25">
      <c r="A7434" s="3">
        <v>933</v>
      </c>
      <c r="B7434" s="28"/>
      <c r="C7434" s="3" t="s">
        <v>6</v>
      </c>
    </row>
    <row r="7435" spans="1:3" ht="13.5" thickBot="1" x14ac:dyDescent="0.25">
      <c r="A7435" s="3">
        <v>1323</v>
      </c>
      <c r="B7435" s="28"/>
      <c r="C7435" s="3" t="s">
        <v>3</v>
      </c>
    </row>
    <row r="7436" spans="1:3" ht="13.5" thickBot="1" x14ac:dyDescent="0.25">
      <c r="A7436" s="3">
        <v>3750</v>
      </c>
      <c r="B7436" s="28"/>
      <c r="C7436" s="3" t="s">
        <v>3</v>
      </c>
    </row>
    <row r="7437" spans="1:3" ht="13.5" thickBot="1" x14ac:dyDescent="0.25">
      <c r="A7437" s="3">
        <v>3380</v>
      </c>
      <c r="B7437" s="28"/>
      <c r="C7437" s="3" t="s">
        <v>6</v>
      </c>
    </row>
    <row r="7438" spans="1:3" ht="13.5" thickBot="1" x14ac:dyDescent="0.25">
      <c r="A7438" s="3">
        <v>4065</v>
      </c>
      <c r="B7438" s="28"/>
      <c r="C7438" s="3" t="s">
        <v>3</v>
      </c>
    </row>
    <row r="7439" spans="1:3" ht="13.5" thickBot="1" x14ac:dyDescent="0.25">
      <c r="A7439" s="3">
        <v>1591</v>
      </c>
      <c r="B7439" s="28"/>
      <c r="C7439" s="3" t="s">
        <v>3</v>
      </c>
    </row>
    <row r="7440" spans="1:3" ht="13.5" thickBot="1" x14ac:dyDescent="0.25">
      <c r="A7440" s="3">
        <v>4324</v>
      </c>
      <c r="B7440" s="28"/>
      <c r="C7440" s="3" t="s">
        <v>4</v>
      </c>
    </row>
    <row r="7441" spans="1:3" ht="13.5" thickBot="1" x14ac:dyDescent="0.25">
      <c r="A7441" s="3">
        <v>2686</v>
      </c>
      <c r="B7441" s="28"/>
      <c r="C7441" s="3" t="s">
        <v>7</v>
      </c>
    </row>
    <row r="7442" spans="1:3" ht="13.5" thickBot="1" x14ac:dyDescent="0.25">
      <c r="A7442" s="3">
        <v>7956</v>
      </c>
      <c r="B7442" s="28"/>
      <c r="C7442" s="3" t="s">
        <v>7</v>
      </c>
    </row>
    <row r="7443" spans="1:3" ht="13.5" thickBot="1" x14ac:dyDescent="0.25">
      <c r="A7443" s="3">
        <v>4324</v>
      </c>
      <c r="B7443" s="28"/>
      <c r="C7443" s="3" t="s">
        <v>7</v>
      </c>
    </row>
    <row r="7444" spans="1:3" ht="13.5" thickBot="1" x14ac:dyDescent="0.25">
      <c r="A7444" s="3">
        <v>4909</v>
      </c>
      <c r="B7444" s="28"/>
      <c r="C7444" s="3" t="s">
        <v>6</v>
      </c>
    </row>
    <row r="7445" spans="1:3" ht="13.5" thickBot="1" x14ac:dyDescent="0.25">
      <c r="A7445" s="3">
        <v>2454</v>
      </c>
      <c r="B7445" s="28"/>
      <c r="C7445" s="3" t="s">
        <v>3</v>
      </c>
    </row>
    <row r="7446" spans="1:3" ht="13.5" thickBot="1" x14ac:dyDescent="0.25">
      <c r="A7446" s="3">
        <v>4536</v>
      </c>
      <c r="B7446" s="28"/>
      <c r="C7446" s="3" t="s">
        <v>3</v>
      </c>
    </row>
    <row r="7447" spans="1:3" ht="13.5" thickBot="1" x14ac:dyDescent="0.25">
      <c r="A7447" s="3">
        <v>4928</v>
      </c>
      <c r="B7447" s="28"/>
      <c r="C7447" s="3" t="s">
        <v>7</v>
      </c>
    </row>
    <row r="7448" spans="1:3" ht="13.5" thickBot="1" x14ac:dyDescent="0.25">
      <c r="A7448" s="3">
        <v>2036</v>
      </c>
      <c r="B7448" s="28"/>
      <c r="C7448" s="3" t="s">
        <v>3</v>
      </c>
    </row>
    <row r="7449" spans="1:3" ht="13.5" thickBot="1" x14ac:dyDescent="0.25">
      <c r="A7449" s="3">
        <v>7166</v>
      </c>
      <c r="B7449" s="28"/>
      <c r="C7449" s="3" t="s">
        <v>5</v>
      </c>
    </row>
    <row r="7450" spans="1:3" ht="13.5" thickBot="1" x14ac:dyDescent="0.25">
      <c r="A7450" s="3">
        <v>5778</v>
      </c>
      <c r="B7450" s="28"/>
      <c r="C7450" s="3" t="s">
        <v>7</v>
      </c>
    </row>
    <row r="7451" spans="1:3" ht="13.5" thickBot="1" x14ac:dyDescent="0.25">
      <c r="A7451" s="3">
        <v>5926</v>
      </c>
      <c r="B7451" s="28"/>
      <c r="C7451" s="3" t="s">
        <v>3</v>
      </c>
    </row>
    <row r="7452" spans="1:3" ht="13.5" thickBot="1" x14ac:dyDescent="0.25">
      <c r="A7452" s="3">
        <v>1323</v>
      </c>
      <c r="B7452" s="28"/>
      <c r="C7452" s="3" t="s">
        <v>5</v>
      </c>
    </row>
    <row r="7453" spans="1:3" ht="13.5" thickBot="1" x14ac:dyDescent="0.25">
      <c r="A7453" s="3">
        <v>6643</v>
      </c>
      <c r="B7453" s="28"/>
      <c r="C7453" s="3" t="s">
        <v>3</v>
      </c>
    </row>
    <row r="7454" spans="1:3" ht="13.5" thickBot="1" x14ac:dyDescent="0.25">
      <c r="A7454" s="3">
        <v>5839</v>
      </c>
      <c r="B7454" s="28"/>
      <c r="C7454" s="3" t="s">
        <v>7</v>
      </c>
    </row>
    <row r="7455" spans="1:3" ht="13.5" thickBot="1" x14ac:dyDescent="0.25">
      <c r="A7455" s="3">
        <v>7429</v>
      </c>
      <c r="B7455" s="28"/>
      <c r="C7455" s="3" t="s">
        <v>3</v>
      </c>
    </row>
    <row r="7456" spans="1:3" ht="13.5" thickBot="1" x14ac:dyDescent="0.25">
      <c r="A7456" s="3">
        <v>352</v>
      </c>
      <c r="B7456" s="28"/>
      <c r="C7456" s="3" t="s">
        <v>6</v>
      </c>
    </row>
    <row r="7457" spans="1:3" ht="13.5" thickBot="1" x14ac:dyDescent="0.25">
      <c r="A7457" s="3">
        <v>1570</v>
      </c>
      <c r="B7457" s="28"/>
      <c r="C7457" s="3" t="s">
        <v>3</v>
      </c>
    </row>
    <row r="7458" spans="1:3" ht="13.5" thickBot="1" x14ac:dyDescent="0.25">
      <c r="A7458" s="3">
        <v>4928</v>
      </c>
      <c r="B7458" s="28"/>
      <c r="C7458" s="3" t="s">
        <v>5</v>
      </c>
    </row>
    <row r="7459" spans="1:3" ht="13.5" thickBot="1" x14ac:dyDescent="0.25">
      <c r="A7459" s="3">
        <v>4536</v>
      </c>
      <c r="B7459" s="28"/>
      <c r="C7459" s="3" t="s">
        <v>4</v>
      </c>
    </row>
    <row r="7460" spans="1:3" ht="13.5" thickBot="1" x14ac:dyDescent="0.25">
      <c r="A7460" s="3">
        <v>2276</v>
      </c>
      <c r="B7460" s="28"/>
      <c r="C7460" s="3" t="s">
        <v>3</v>
      </c>
    </row>
    <row r="7461" spans="1:3" ht="13.5" thickBot="1" x14ac:dyDescent="0.25">
      <c r="A7461" s="3">
        <v>381</v>
      </c>
      <c r="B7461" s="28"/>
      <c r="C7461" s="3" t="s">
        <v>6</v>
      </c>
    </row>
    <row r="7462" spans="1:3" ht="13.5" thickBot="1" x14ac:dyDescent="0.25">
      <c r="A7462" s="3">
        <v>458</v>
      </c>
      <c r="B7462" s="28"/>
      <c r="C7462" s="3" t="s">
        <v>7</v>
      </c>
    </row>
    <row r="7463" spans="1:3" ht="13.5" thickBot="1" x14ac:dyDescent="0.25">
      <c r="A7463" s="3">
        <v>5526</v>
      </c>
      <c r="B7463" s="28"/>
      <c r="C7463" s="3" t="s">
        <v>6</v>
      </c>
    </row>
    <row r="7464" spans="1:3" ht="13.5" thickBot="1" x14ac:dyDescent="0.25">
      <c r="A7464" s="3">
        <v>4291</v>
      </c>
      <c r="B7464" s="28"/>
      <c r="C7464" s="3" t="s">
        <v>6</v>
      </c>
    </row>
    <row r="7465" spans="1:3" ht="13.5" thickBot="1" x14ac:dyDescent="0.25">
      <c r="A7465" s="3">
        <v>5926</v>
      </c>
      <c r="B7465" s="28"/>
      <c r="C7465" s="3" t="s">
        <v>4</v>
      </c>
    </row>
    <row r="7466" spans="1:3" ht="13.5" thickBot="1" x14ac:dyDescent="0.25">
      <c r="A7466" s="3">
        <v>309</v>
      </c>
      <c r="B7466" s="28"/>
      <c r="C7466" s="3" t="s">
        <v>3</v>
      </c>
    </row>
    <row r="7467" spans="1:3" ht="13.5" thickBot="1" x14ac:dyDescent="0.25">
      <c r="A7467" s="3">
        <v>1496</v>
      </c>
      <c r="B7467" s="28"/>
      <c r="C7467" s="3" t="s">
        <v>3</v>
      </c>
    </row>
    <row r="7468" spans="1:3" ht="13.5" thickBot="1" x14ac:dyDescent="0.25">
      <c r="A7468" s="3">
        <v>2685</v>
      </c>
      <c r="B7468" s="28"/>
      <c r="C7468" s="3" t="s">
        <v>3</v>
      </c>
    </row>
    <row r="7469" spans="1:3" ht="13.5" thickBot="1" x14ac:dyDescent="0.25">
      <c r="A7469" s="3">
        <v>4306</v>
      </c>
      <c r="B7469" s="28"/>
      <c r="C7469" s="3" t="s">
        <v>3</v>
      </c>
    </row>
    <row r="7470" spans="1:3" ht="13.5" thickBot="1" x14ac:dyDescent="0.25">
      <c r="A7470" s="3">
        <v>3860</v>
      </c>
      <c r="B7470" s="28"/>
      <c r="C7470" s="3" t="s">
        <v>3</v>
      </c>
    </row>
    <row r="7471" spans="1:3" ht="13.5" thickBot="1" x14ac:dyDescent="0.25">
      <c r="A7471" s="3">
        <v>2012</v>
      </c>
      <c r="B7471" s="28"/>
      <c r="C7471" s="3" t="s">
        <v>3</v>
      </c>
    </row>
    <row r="7472" spans="1:3" ht="13.5" thickBot="1" x14ac:dyDescent="0.25">
      <c r="A7472" s="3">
        <v>774</v>
      </c>
      <c r="B7472" s="28"/>
      <c r="C7472" s="3" t="s">
        <v>7</v>
      </c>
    </row>
    <row r="7473" spans="1:3" ht="13.5" thickBot="1" x14ac:dyDescent="0.25">
      <c r="A7473" s="3">
        <v>3834</v>
      </c>
      <c r="B7473" s="28"/>
      <c r="C7473" s="3" t="s">
        <v>6</v>
      </c>
    </row>
    <row r="7474" spans="1:3" ht="13.5" thickBot="1" x14ac:dyDescent="0.25">
      <c r="A7474" s="3">
        <v>2112</v>
      </c>
      <c r="B7474" s="28"/>
      <c r="C7474" s="3" t="s">
        <v>7</v>
      </c>
    </row>
    <row r="7475" spans="1:3" ht="13.5" thickBot="1" x14ac:dyDescent="0.25">
      <c r="A7475" s="3">
        <v>1141</v>
      </c>
      <c r="B7475" s="28"/>
      <c r="C7475" s="3" t="s">
        <v>3</v>
      </c>
    </row>
    <row r="7476" spans="1:3" ht="13.5" thickBot="1" x14ac:dyDescent="0.25">
      <c r="A7476" s="3">
        <v>729</v>
      </c>
      <c r="B7476" s="28"/>
      <c r="C7476" s="3" t="s">
        <v>3</v>
      </c>
    </row>
    <row r="7477" spans="1:3" ht="13.5" thickBot="1" x14ac:dyDescent="0.25">
      <c r="A7477" s="3">
        <v>5669</v>
      </c>
      <c r="B7477" s="28"/>
      <c r="C7477" s="3" t="s">
        <v>4</v>
      </c>
    </row>
    <row r="7478" spans="1:3" ht="13.5" thickBot="1" x14ac:dyDescent="0.25">
      <c r="A7478" s="3">
        <v>5373</v>
      </c>
      <c r="B7478" s="28"/>
      <c r="C7478" s="3" t="s">
        <v>7</v>
      </c>
    </row>
    <row r="7479" spans="1:3" ht="13.5" thickBot="1" x14ac:dyDescent="0.25">
      <c r="A7479" s="3">
        <v>1570</v>
      </c>
      <c r="B7479" s="28"/>
      <c r="C7479" s="3" t="s">
        <v>4</v>
      </c>
    </row>
    <row r="7480" spans="1:3" ht="13.5" thickBot="1" x14ac:dyDescent="0.25">
      <c r="A7480" s="3">
        <v>4486</v>
      </c>
      <c r="B7480" s="28"/>
      <c r="C7480" s="3" t="s">
        <v>3</v>
      </c>
    </row>
    <row r="7481" spans="1:3" ht="13.5" thickBot="1" x14ac:dyDescent="0.25">
      <c r="A7481" s="3">
        <v>7227</v>
      </c>
      <c r="B7481" s="28"/>
      <c r="C7481" s="3" t="s">
        <v>6</v>
      </c>
    </row>
    <row r="7482" spans="1:3" ht="13.5" thickBot="1" x14ac:dyDescent="0.25">
      <c r="A7482" s="3">
        <v>1935</v>
      </c>
      <c r="B7482" s="28"/>
      <c r="C7482" s="3" t="s">
        <v>5</v>
      </c>
    </row>
    <row r="7483" spans="1:3" ht="13.5" thickBot="1" x14ac:dyDescent="0.25">
      <c r="A7483" s="3">
        <v>309</v>
      </c>
      <c r="B7483" s="28"/>
      <c r="C7483" s="3" t="s">
        <v>4</v>
      </c>
    </row>
    <row r="7484" spans="1:3" ht="13.5" thickBot="1" x14ac:dyDescent="0.25">
      <c r="A7484" s="3">
        <v>381</v>
      </c>
      <c r="B7484" s="28"/>
      <c r="C7484" s="3" t="s">
        <v>5</v>
      </c>
    </row>
    <row r="7485" spans="1:3" ht="13.5" thickBot="1" x14ac:dyDescent="0.25">
      <c r="A7485" s="3">
        <v>673</v>
      </c>
      <c r="B7485" s="28"/>
      <c r="C7485" s="3" t="s">
        <v>6</v>
      </c>
    </row>
    <row r="7486" spans="1:3" ht="13.5" thickBot="1" x14ac:dyDescent="0.25">
      <c r="A7486" s="3">
        <v>2454</v>
      </c>
      <c r="B7486" s="28"/>
      <c r="C7486" s="3" t="s">
        <v>4</v>
      </c>
    </row>
    <row r="7487" spans="1:3" ht="13.5" thickBot="1" x14ac:dyDescent="0.25">
      <c r="A7487" s="3">
        <v>3664</v>
      </c>
      <c r="B7487" s="28"/>
      <c r="C7487" s="3" t="s">
        <v>3</v>
      </c>
    </row>
    <row r="7488" spans="1:3" ht="13.5" thickBot="1" x14ac:dyDescent="0.25">
      <c r="A7488" s="3">
        <v>774</v>
      </c>
      <c r="B7488" s="28"/>
      <c r="C7488" s="3" t="s">
        <v>6</v>
      </c>
    </row>
    <row r="7489" spans="1:3" ht="13.5" thickBot="1" x14ac:dyDescent="0.25">
      <c r="A7489" s="3">
        <v>3860</v>
      </c>
      <c r="B7489" s="28"/>
      <c r="C7489" s="3" t="s">
        <v>4</v>
      </c>
    </row>
    <row r="7490" spans="1:3" ht="13.5" thickBot="1" x14ac:dyDescent="0.25">
      <c r="A7490" s="3">
        <v>4320</v>
      </c>
      <c r="B7490" s="28"/>
      <c r="C7490" s="3" t="s">
        <v>5</v>
      </c>
    </row>
    <row r="7491" spans="1:3" ht="13.5" thickBot="1" x14ac:dyDescent="0.25">
      <c r="A7491" s="3">
        <v>6774</v>
      </c>
      <c r="B7491" s="28"/>
      <c r="C7491" s="3" t="s">
        <v>3</v>
      </c>
    </row>
    <row r="7492" spans="1:3" ht="13.5" thickBot="1" x14ac:dyDescent="0.25">
      <c r="A7492" s="3">
        <v>4936</v>
      </c>
      <c r="B7492" s="28"/>
      <c r="C7492" s="3" t="s">
        <v>6</v>
      </c>
    </row>
    <row r="7493" spans="1:3" ht="13.5" thickBot="1" x14ac:dyDescent="0.25">
      <c r="A7493" s="3">
        <v>5906</v>
      </c>
      <c r="B7493" s="28"/>
      <c r="C7493" s="3" t="s">
        <v>4</v>
      </c>
    </row>
    <row r="7494" spans="1:3" ht="13.5" thickBot="1" x14ac:dyDescent="0.25">
      <c r="A7494" s="3">
        <v>7648</v>
      </c>
      <c r="B7494" s="28"/>
      <c r="C7494" s="3" t="s">
        <v>5</v>
      </c>
    </row>
    <row r="7495" spans="1:3" ht="13.5" thickBot="1" x14ac:dyDescent="0.25">
      <c r="A7495" s="3">
        <v>4384</v>
      </c>
      <c r="B7495" s="28"/>
      <c r="C7495" s="3" t="s">
        <v>3</v>
      </c>
    </row>
    <row r="7496" spans="1:3" ht="13.5" thickBot="1" x14ac:dyDescent="0.25">
      <c r="A7496" s="3">
        <v>5129</v>
      </c>
      <c r="B7496" s="28"/>
      <c r="C7496" s="3" t="s">
        <v>3</v>
      </c>
    </row>
    <row r="7497" spans="1:3" ht="13.5" thickBot="1" x14ac:dyDescent="0.25">
      <c r="A7497" s="3">
        <v>6585</v>
      </c>
      <c r="B7497" s="28"/>
      <c r="C7497" s="3" t="s">
        <v>6</v>
      </c>
    </row>
    <row r="7498" spans="1:3" ht="13.5" thickBot="1" x14ac:dyDescent="0.25">
      <c r="A7498" s="3">
        <v>6512</v>
      </c>
      <c r="B7498" s="28"/>
      <c r="C7498" s="3" t="s">
        <v>6</v>
      </c>
    </row>
    <row r="7499" spans="1:3" ht="13.5" thickBot="1" x14ac:dyDescent="0.25">
      <c r="A7499" s="3">
        <v>2685</v>
      </c>
      <c r="B7499" s="28"/>
      <c r="C7499" s="3" t="s">
        <v>4</v>
      </c>
    </row>
    <row r="7500" spans="1:3" ht="13.5" thickBot="1" x14ac:dyDescent="0.25">
      <c r="A7500" s="3">
        <v>147</v>
      </c>
      <c r="B7500" s="28"/>
      <c r="C7500" s="3" t="s">
        <v>3</v>
      </c>
    </row>
    <row r="7501" spans="1:3" ht="13.5" thickBot="1" x14ac:dyDescent="0.25">
      <c r="A7501" s="3">
        <v>1401</v>
      </c>
      <c r="B7501" s="28"/>
      <c r="C7501" s="3" t="s">
        <v>5</v>
      </c>
    </row>
    <row r="7502" spans="1:3" ht="13.5" thickBot="1" x14ac:dyDescent="0.25">
      <c r="A7502" s="3">
        <v>3380</v>
      </c>
      <c r="B7502" s="28"/>
      <c r="C7502" s="3" t="s">
        <v>5</v>
      </c>
    </row>
    <row r="7503" spans="1:3" ht="13.5" thickBot="1" x14ac:dyDescent="0.25">
      <c r="A7503" s="3">
        <v>4018</v>
      </c>
      <c r="B7503" s="28"/>
      <c r="C7503" s="3" t="s">
        <v>3</v>
      </c>
    </row>
    <row r="7504" spans="1:3" ht="13.5" thickBot="1" x14ac:dyDescent="0.25">
      <c r="A7504" s="3">
        <v>1401</v>
      </c>
      <c r="B7504" s="28"/>
      <c r="C7504" s="3" t="s">
        <v>3</v>
      </c>
    </row>
    <row r="7505" spans="1:3" ht="13.5" thickBot="1" x14ac:dyDescent="0.25">
      <c r="A7505" s="3">
        <v>3130</v>
      </c>
      <c r="B7505" s="28"/>
      <c r="C7505" s="3" t="s">
        <v>3</v>
      </c>
    </row>
    <row r="7506" spans="1:3" ht="13.5" thickBot="1" x14ac:dyDescent="0.25">
      <c r="A7506" s="3">
        <v>7134</v>
      </c>
      <c r="B7506" s="28"/>
      <c r="C7506" s="3" t="s">
        <v>5</v>
      </c>
    </row>
    <row r="7507" spans="1:3" ht="13.5" thickBot="1" x14ac:dyDescent="0.25">
      <c r="A7507" s="3">
        <v>4320</v>
      </c>
      <c r="B7507" s="28"/>
      <c r="C7507" s="3" t="s">
        <v>6</v>
      </c>
    </row>
    <row r="7508" spans="1:3" ht="13.5" thickBot="1" x14ac:dyDescent="0.25">
      <c r="A7508" s="3">
        <v>3727</v>
      </c>
      <c r="B7508" s="28"/>
      <c r="C7508" s="3" t="s">
        <v>3</v>
      </c>
    </row>
    <row r="7509" spans="1:3" ht="13.5" thickBot="1" x14ac:dyDescent="0.25">
      <c r="A7509" s="3">
        <v>4928</v>
      </c>
      <c r="B7509" s="28"/>
      <c r="C7509" s="3" t="s">
        <v>6</v>
      </c>
    </row>
    <row r="7510" spans="1:3" ht="13.5" thickBot="1" x14ac:dyDescent="0.25">
      <c r="A7510" s="3">
        <v>3084</v>
      </c>
      <c r="B7510" s="28"/>
      <c r="C7510" s="3" t="s">
        <v>3</v>
      </c>
    </row>
    <row r="7511" spans="1:3" ht="13.5" thickBot="1" x14ac:dyDescent="0.25">
      <c r="A7511" s="3">
        <v>2940</v>
      </c>
      <c r="B7511" s="28"/>
      <c r="C7511" s="3" t="s">
        <v>4</v>
      </c>
    </row>
    <row r="7512" spans="1:3" ht="13.5" thickBot="1" x14ac:dyDescent="0.25">
      <c r="A7512" s="3">
        <v>6115</v>
      </c>
      <c r="B7512" s="28"/>
      <c r="C7512" s="3" t="s">
        <v>4</v>
      </c>
    </row>
    <row r="7513" spans="1:3" ht="13.5" thickBot="1" x14ac:dyDescent="0.25">
      <c r="A7513" s="3">
        <v>2151</v>
      </c>
      <c r="B7513" s="28"/>
      <c r="C7513" s="3" t="s">
        <v>3</v>
      </c>
    </row>
    <row r="7514" spans="1:3" ht="13.5" thickBot="1" x14ac:dyDescent="0.25">
      <c r="A7514" s="3">
        <v>1756</v>
      </c>
      <c r="B7514" s="28"/>
      <c r="C7514" s="3" t="s">
        <v>6</v>
      </c>
    </row>
    <row r="7515" spans="1:3" ht="13.5" thickBot="1" x14ac:dyDescent="0.25">
      <c r="A7515" s="3">
        <v>7200</v>
      </c>
      <c r="B7515" s="28"/>
      <c r="C7515" s="3" t="s">
        <v>3</v>
      </c>
    </row>
    <row r="7516" spans="1:3" ht="13.5" thickBot="1" x14ac:dyDescent="0.25">
      <c r="A7516" s="3">
        <v>4536</v>
      </c>
      <c r="B7516" s="28"/>
      <c r="C7516" s="3" t="s">
        <v>6</v>
      </c>
    </row>
    <row r="7517" spans="1:3" ht="13.5" thickBot="1" x14ac:dyDescent="0.25">
      <c r="A7517" s="3">
        <v>1534</v>
      </c>
      <c r="B7517" s="28"/>
      <c r="C7517" s="3" t="s">
        <v>3</v>
      </c>
    </row>
    <row r="7518" spans="1:3" ht="13.5" thickBot="1" x14ac:dyDescent="0.25">
      <c r="A7518" s="3">
        <v>475</v>
      </c>
      <c r="B7518" s="28"/>
      <c r="C7518" s="3" t="s">
        <v>4</v>
      </c>
    </row>
    <row r="7519" spans="1:3" ht="13.5" thickBot="1" x14ac:dyDescent="0.25">
      <c r="A7519" s="3">
        <v>1935</v>
      </c>
      <c r="B7519" s="28"/>
      <c r="C7519" s="3" t="s">
        <v>7</v>
      </c>
    </row>
    <row r="7520" spans="1:3" ht="13.5" thickBot="1" x14ac:dyDescent="0.25">
      <c r="A7520" s="3">
        <v>5129</v>
      </c>
      <c r="B7520" s="28"/>
      <c r="C7520" s="3" t="s">
        <v>4</v>
      </c>
    </row>
    <row r="7521" spans="1:3" ht="13.5" thickBot="1" x14ac:dyDescent="0.25">
      <c r="A7521" s="3">
        <v>4234</v>
      </c>
      <c r="B7521" s="28"/>
      <c r="C7521" s="3" t="s">
        <v>3</v>
      </c>
    </row>
    <row r="7522" spans="1:3" ht="13.5" thickBot="1" x14ac:dyDescent="0.25">
      <c r="A7522" s="3">
        <v>531</v>
      </c>
      <c r="B7522" s="28"/>
      <c r="C7522" s="3" t="s">
        <v>3</v>
      </c>
    </row>
    <row r="7523" spans="1:3" ht="13.5" thickBot="1" x14ac:dyDescent="0.25">
      <c r="A7523" s="3">
        <v>2967</v>
      </c>
      <c r="B7523" s="28"/>
      <c r="C7523" s="3" t="s">
        <v>3</v>
      </c>
    </row>
    <row r="7524" spans="1:3" ht="13.5" thickBot="1" x14ac:dyDescent="0.25">
      <c r="A7524" s="3">
        <v>309</v>
      </c>
      <c r="B7524" s="28"/>
      <c r="C7524" s="3" t="s">
        <v>7</v>
      </c>
    </row>
    <row r="7525" spans="1:3" ht="13.5" thickBot="1" x14ac:dyDescent="0.25">
      <c r="A7525" s="3">
        <v>4843</v>
      </c>
      <c r="B7525" s="28"/>
      <c r="C7525" s="3" t="s">
        <v>4</v>
      </c>
    </row>
    <row r="7526" spans="1:3" ht="13.5" thickBot="1" x14ac:dyDescent="0.25">
      <c r="A7526" s="3">
        <v>7174</v>
      </c>
      <c r="B7526" s="28"/>
      <c r="C7526" s="3" t="s">
        <v>3</v>
      </c>
    </row>
    <row r="7527" spans="1:3" ht="13.5" thickBot="1" x14ac:dyDescent="0.25">
      <c r="A7527" s="3">
        <v>2843</v>
      </c>
      <c r="B7527" s="28"/>
      <c r="C7527" s="3" t="s">
        <v>6</v>
      </c>
    </row>
    <row r="7528" spans="1:3" ht="13.5" thickBot="1" x14ac:dyDescent="0.25">
      <c r="A7528" s="3">
        <v>18</v>
      </c>
      <c r="B7528" s="28"/>
      <c r="C7528" s="3" t="s">
        <v>6</v>
      </c>
    </row>
    <row r="7529" spans="1:3" ht="13.5" thickBot="1" x14ac:dyDescent="0.25">
      <c r="A7529" s="3">
        <v>218</v>
      </c>
      <c r="B7529" s="28"/>
      <c r="C7529" s="3" t="s">
        <v>3</v>
      </c>
    </row>
    <row r="7530" spans="1:3" ht="13.5" thickBot="1" x14ac:dyDescent="0.25">
      <c r="A7530" s="3">
        <v>4765</v>
      </c>
      <c r="B7530" s="28"/>
      <c r="C7530" s="3" t="s">
        <v>3</v>
      </c>
    </row>
    <row r="7531" spans="1:3" ht="13.5" thickBot="1" x14ac:dyDescent="0.25">
      <c r="A7531" s="3">
        <v>1401</v>
      </c>
      <c r="B7531" s="28"/>
      <c r="C7531" s="3" t="s">
        <v>4</v>
      </c>
    </row>
    <row r="7532" spans="1:3" ht="13.5" thickBot="1" x14ac:dyDescent="0.25">
      <c r="A7532" s="3">
        <v>1548</v>
      </c>
      <c r="B7532" s="28"/>
      <c r="C7532" s="3" t="s">
        <v>3</v>
      </c>
    </row>
    <row r="7533" spans="1:3" ht="13.5" thickBot="1" x14ac:dyDescent="0.25">
      <c r="A7533" s="3">
        <v>1384</v>
      </c>
      <c r="B7533" s="28"/>
      <c r="C7533" s="3" t="s">
        <v>3</v>
      </c>
    </row>
    <row r="7534" spans="1:3" ht="13.5" thickBot="1" x14ac:dyDescent="0.25">
      <c r="A7534" s="3">
        <v>416</v>
      </c>
      <c r="B7534" s="28"/>
      <c r="C7534" s="3" t="s">
        <v>7</v>
      </c>
    </row>
    <row r="7535" spans="1:3" ht="13.5" thickBot="1" x14ac:dyDescent="0.25">
      <c r="A7535" s="3">
        <v>5131</v>
      </c>
      <c r="B7535" s="28"/>
      <c r="C7535" s="3" t="s">
        <v>6</v>
      </c>
    </row>
    <row r="7536" spans="1:3" ht="13.5" thickBot="1" x14ac:dyDescent="0.25">
      <c r="A7536" s="3">
        <v>4843</v>
      </c>
      <c r="B7536" s="28"/>
      <c r="C7536" s="3" t="s">
        <v>3</v>
      </c>
    </row>
    <row r="7537" spans="1:3" ht="13.5" thickBot="1" x14ac:dyDescent="0.25">
      <c r="A7537" s="3">
        <v>7670</v>
      </c>
      <c r="B7537" s="28"/>
      <c r="C7537" s="3" t="s">
        <v>3</v>
      </c>
    </row>
    <row r="7538" spans="1:3" ht="13.5" thickBot="1" x14ac:dyDescent="0.25">
      <c r="A7538" s="3">
        <v>2756</v>
      </c>
      <c r="B7538" s="28"/>
      <c r="C7538" s="3" t="s">
        <v>6</v>
      </c>
    </row>
    <row r="7539" spans="1:3" ht="13.5" thickBot="1" x14ac:dyDescent="0.25">
      <c r="A7539" s="3">
        <v>1424</v>
      </c>
      <c r="B7539" s="28"/>
      <c r="C7539" s="3" t="s">
        <v>3</v>
      </c>
    </row>
    <row r="7540" spans="1:3" ht="13.5" thickBot="1" x14ac:dyDescent="0.25">
      <c r="A7540" s="3">
        <v>4486</v>
      </c>
      <c r="B7540" s="28"/>
      <c r="C7540" s="3" t="s">
        <v>4</v>
      </c>
    </row>
    <row r="7541" spans="1:3" ht="13.5" thickBot="1" x14ac:dyDescent="0.25">
      <c r="A7541" s="3">
        <v>2276</v>
      </c>
      <c r="B7541" s="28"/>
      <c r="C7541" s="3" t="s">
        <v>4</v>
      </c>
    </row>
    <row r="7542" spans="1:3" ht="13.5" thickBot="1" x14ac:dyDescent="0.25">
      <c r="A7542" s="3">
        <v>6961</v>
      </c>
      <c r="B7542" s="28"/>
      <c r="C7542" s="3" t="s">
        <v>4</v>
      </c>
    </row>
    <row r="7543" spans="1:3" ht="13.5" thickBot="1" x14ac:dyDescent="0.25">
      <c r="A7543" s="3">
        <v>7069</v>
      </c>
      <c r="B7543" s="28"/>
      <c r="C7543" s="3" t="s">
        <v>3</v>
      </c>
    </row>
    <row r="7544" spans="1:3" ht="13.5" thickBot="1" x14ac:dyDescent="0.25">
      <c r="A7544" s="3">
        <v>6677</v>
      </c>
      <c r="B7544" s="28"/>
      <c r="C7544" s="3" t="s">
        <v>6</v>
      </c>
    </row>
    <row r="7545" spans="1:3" ht="13.5" thickBot="1" x14ac:dyDescent="0.25">
      <c r="A7545" s="3">
        <v>4324</v>
      </c>
      <c r="B7545" s="28"/>
      <c r="C7545" s="3" t="s">
        <v>6</v>
      </c>
    </row>
    <row r="7546" spans="1:3" ht="13.5" thickBot="1" x14ac:dyDescent="0.25">
      <c r="A7546" s="3">
        <v>3078</v>
      </c>
      <c r="B7546" s="28"/>
      <c r="C7546" s="3" t="s">
        <v>3</v>
      </c>
    </row>
    <row r="7547" spans="1:3" ht="13.5" thickBot="1" x14ac:dyDescent="0.25">
      <c r="A7547" s="3">
        <v>2265</v>
      </c>
      <c r="B7547" s="28"/>
      <c r="C7547" s="3" t="s">
        <v>6</v>
      </c>
    </row>
    <row r="7548" spans="1:3" ht="13.5" thickBot="1" x14ac:dyDescent="0.25">
      <c r="A7548" s="3">
        <v>3496</v>
      </c>
      <c r="B7548" s="28"/>
      <c r="C7548" s="3" t="s">
        <v>4</v>
      </c>
    </row>
    <row r="7549" spans="1:3" ht="13.5" thickBot="1" x14ac:dyDescent="0.25">
      <c r="A7549" s="3">
        <v>2265</v>
      </c>
      <c r="B7549" s="28"/>
      <c r="C7549" s="3" t="s">
        <v>7</v>
      </c>
    </row>
    <row r="7550" spans="1:3" ht="13.5" thickBot="1" x14ac:dyDescent="0.25">
      <c r="A7550" s="3">
        <v>3785</v>
      </c>
      <c r="B7550" s="28"/>
      <c r="C7550" s="3" t="s">
        <v>7</v>
      </c>
    </row>
    <row r="7551" spans="1:3" ht="13.5" thickBot="1" x14ac:dyDescent="0.25">
      <c r="A7551" s="3">
        <v>7174</v>
      </c>
      <c r="B7551" s="28"/>
      <c r="C7551" s="3" t="s">
        <v>5</v>
      </c>
    </row>
    <row r="7552" spans="1:3" ht="13.5" thickBot="1" x14ac:dyDescent="0.25">
      <c r="A7552" s="3">
        <v>1570</v>
      </c>
      <c r="B7552" s="28"/>
      <c r="C7552" s="3" t="s">
        <v>6</v>
      </c>
    </row>
    <row r="7553" spans="1:3" ht="13.5" thickBot="1" x14ac:dyDescent="0.25">
      <c r="A7553" s="3">
        <v>5618</v>
      </c>
      <c r="B7553" s="28"/>
      <c r="C7553" s="3" t="s">
        <v>6</v>
      </c>
    </row>
    <row r="7554" spans="1:3" ht="13.5" thickBot="1" x14ac:dyDescent="0.25">
      <c r="A7554" s="3">
        <v>1019</v>
      </c>
      <c r="B7554" s="28"/>
      <c r="C7554" s="3" t="s">
        <v>6</v>
      </c>
    </row>
    <row r="7555" spans="1:3" ht="13.5" thickBot="1" x14ac:dyDescent="0.25">
      <c r="A7555" s="3">
        <v>1591</v>
      </c>
      <c r="B7555" s="28"/>
      <c r="C7555" s="3" t="s">
        <v>4</v>
      </c>
    </row>
    <row r="7556" spans="1:3" ht="13.5" thickBot="1" x14ac:dyDescent="0.25">
      <c r="A7556" s="3">
        <v>4324</v>
      </c>
      <c r="B7556" s="28"/>
      <c r="C7556" s="3" t="s">
        <v>5</v>
      </c>
    </row>
    <row r="7557" spans="1:3" ht="13.5" thickBot="1" x14ac:dyDescent="0.25">
      <c r="A7557" s="3">
        <v>6450</v>
      </c>
      <c r="B7557" s="28"/>
      <c r="C7557" s="3" t="s">
        <v>3</v>
      </c>
    </row>
    <row r="7558" spans="1:3" ht="13.5" thickBot="1" x14ac:dyDescent="0.25">
      <c r="A7558" s="3">
        <v>2058</v>
      </c>
      <c r="B7558" s="28"/>
      <c r="C7558" s="3" t="s">
        <v>7</v>
      </c>
    </row>
    <row r="7559" spans="1:3" ht="13.5" thickBot="1" x14ac:dyDescent="0.25">
      <c r="A7559" s="3">
        <v>2183</v>
      </c>
      <c r="B7559" s="28"/>
      <c r="C7559" s="3" t="s">
        <v>6</v>
      </c>
    </row>
    <row r="7560" spans="1:3" ht="13.5" thickBot="1" x14ac:dyDescent="0.25">
      <c r="A7560" s="3">
        <v>4122</v>
      </c>
      <c r="B7560" s="28"/>
      <c r="C7560" s="3" t="s">
        <v>3</v>
      </c>
    </row>
    <row r="7561" spans="1:3" ht="13.5" thickBot="1" x14ac:dyDescent="0.25">
      <c r="A7561" s="3">
        <v>6763</v>
      </c>
      <c r="B7561" s="28"/>
      <c r="C7561" s="3" t="s">
        <v>6</v>
      </c>
    </row>
    <row r="7562" spans="1:3" ht="13.5" thickBot="1" x14ac:dyDescent="0.25">
      <c r="A7562" s="3">
        <v>4789</v>
      </c>
      <c r="B7562" s="28"/>
      <c r="C7562" s="3" t="s">
        <v>3</v>
      </c>
    </row>
    <row r="7563" spans="1:3" ht="13.5" thickBot="1" x14ac:dyDescent="0.25">
      <c r="A7563" s="3">
        <v>7083</v>
      </c>
      <c r="B7563" s="28"/>
      <c r="C7563" s="3" t="s">
        <v>5</v>
      </c>
    </row>
    <row r="7564" spans="1:3" ht="13.5" thickBot="1" x14ac:dyDescent="0.25">
      <c r="A7564" s="3">
        <v>2454</v>
      </c>
      <c r="B7564" s="28"/>
      <c r="C7564" s="3" t="s">
        <v>5</v>
      </c>
    </row>
    <row r="7565" spans="1:3" ht="13.5" thickBot="1" x14ac:dyDescent="0.25">
      <c r="A7565" s="3">
        <v>3262</v>
      </c>
      <c r="B7565" s="28"/>
      <c r="C7565" s="3" t="s">
        <v>3</v>
      </c>
    </row>
    <row r="7566" spans="1:3" ht="13.5" thickBot="1" x14ac:dyDescent="0.25">
      <c r="A7566" s="3">
        <v>2448</v>
      </c>
      <c r="B7566" s="28"/>
      <c r="C7566" s="3" t="s">
        <v>3</v>
      </c>
    </row>
    <row r="7567" spans="1:3" ht="13.5" thickBot="1" x14ac:dyDescent="0.25">
      <c r="A7567" s="3">
        <v>1716</v>
      </c>
      <c r="B7567" s="28"/>
      <c r="C7567" s="3" t="s">
        <v>3</v>
      </c>
    </row>
    <row r="7568" spans="1:3" ht="13.5" thickBot="1" x14ac:dyDescent="0.25">
      <c r="A7568" s="3">
        <v>4536</v>
      </c>
      <c r="B7568" s="28"/>
      <c r="C7568" s="3" t="s">
        <v>5</v>
      </c>
    </row>
    <row r="7569" spans="1:3" ht="13.5" thickBot="1" x14ac:dyDescent="0.25">
      <c r="A7569" s="3">
        <v>3023</v>
      </c>
      <c r="B7569" s="28"/>
      <c r="C7569" s="3" t="s">
        <v>3</v>
      </c>
    </row>
    <row r="7570" spans="1:3" ht="13.5" thickBot="1" x14ac:dyDescent="0.25">
      <c r="A7570" s="3">
        <v>4872</v>
      </c>
      <c r="B7570" s="28"/>
      <c r="C7570" s="3" t="s">
        <v>7</v>
      </c>
    </row>
    <row r="7571" spans="1:3" ht="13.5" thickBot="1" x14ac:dyDescent="0.25">
      <c r="A7571" s="3">
        <v>4018</v>
      </c>
      <c r="B7571" s="28"/>
      <c r="C7571" s="3" t="s">
        <v>4</v>
      </c>
    </row>
    <row r="7572" spans="1:3" ht="13.5" thickBot="1" x14ac:dyDescent="0.25">
      <c r="A7572" s="3">
        <v>5457</v>
      </c>
      <c r="B7572" s="28"/>
      <c r="C7572" s="3" t="s">
        <v>3</v>
      </c>
    </row>
    <row r="7573" spans="1:3" ht="13.5" thickBot="1" x14ac:dyDescent="0.25">
      <c r="A7573" s="3">
        <v>7429</v>
      </c>
      <c r="B7573" s="28"/>
      <c r="C7573" s="3" t="s">
        <v>4</v>
      </c>
    </row>
    <row r="7574" spans="1:3" ht="13.5" thickBot="1" x14ac:dyDescent="0.25">
      <c r="A7574" s="3">
        <v>4493</v>
      </c>
      <c r="B7574" s="28"/>
      <c r="C7574" s="3" t="s">
        <v>3</v>
      </c>
    </row>
    <row r="7575" spans="1:3" ht="13.5" thickBot="1" x14ac:dyDescent="0.25">
      <c r="A7575" s="3">
        <v>1323</v>
      </c>
      <c r="B7575" s="28"/>
      <c r="C7575" s="3" t="s">
        <v>6</v>
      </c>
    </row>
    <row r="7576" spans="1:3" ht="13.5" thickBot="1" x14ac:dyDescent="0.25">
      <c r="A7576" s="3">
        <v>377</v>
      </c>
      <c r="B7576" s="28"/>
      <c r="C7576" s="3" t="s">
        <v>3</v>
      </c>
    </row>
    <row r="7577" spans="1:3" ht="13.5" thickBot="1" x14ac:dyDescent="0.25">
      <c r="A7577" s="3">
        <v>1350</v>
      </c>
      <c r="B7577" s="28"/>
      <c r="C7577" s="3" t="s">
        <v>3</v>
      </c>
    </row>
    <row r="7578" spans="1:3" ht="13.5" thickBot="1" x14ac:dyDescent="0.25">
      <c r="A7578" s="3">
        <v>2967</v>
      </c>
      <c r="B7578" s="28"/>
      <c r="C7578" s="3" t="s">
        <v>6</v>
      </c>
    </row>
    <row r="7579" spans="1:3" ht="13.5" thickBot="1" x14ac:dyDescent="0.25">
      <c r="A7579" s="3">
        <v>4745</v>
      </c>
      <c r="B7579" s="28"/>
      <c r="C7579" s="3" t="s">
        <v>3</v>
      </c>
    </row>
    <row r="7580" spans="1:3" ht="13.5" thickBot="1" x14ac:dyDescent="0.25">
      <c r="A7580" s="3">
        <v>1141</v>
      </c>
      <c r="B7580" s="28"/>
      <c r="C7580" s="3" t="s">
        <v>4</v>
      </c>
    </row>
    <row r="7581" spans="1:3" ht="13.5" thickBot="1" x14ac:dyDescent="0.25">
      <c r="A7581" s="3">
        <v>1917</v>
      </c>
      <c r="B7581" s="28"/>
      <c r="C7581" s="3" t="s">
        <v>6</v>
      </c>
    </row>
    <row r="7582" spans="1:3" ht="13.5" thickBot="1" x14ac:dyDescent="0.25">
      <c r="A7582" s="3">
        <v>6416</v>
      </c>
      <c r="B7582" s="28"/>
      <c r="C7582" s="3" t="s">
        <v>5</v>
      </c>
    </row>
    <row r="7583" spans="1:3" ht="13.5" thickBot="1" x14ac:dyDescent="0.25">
      <c r="A7583" s="3">
        <v>3095</v>
      </c>
      <c r="B7583" s="28"/>
      <c r="C7583" s="3" t="s">
        <v>7</v>
      </c>
    </row>
    <row r="7584" spans="1:3" ht="13.5" thickBot="1" x14ac:dyDescent="0.25">
      <c r="A7584" s="3">
        <v>7590</v>
      </c>
      <c r="B7584" s="28"/>
      <c r="C7584" s="3" t="s">
        <v>3</v>
      </c>
    </row>
    <row r="7585" spans="1:3" ht="13.5" thickBot="1" x14ac:dyDescent="0.25">
      <c r="A7585" s="3">
        <v>5811</v>
      </c>
      <c r="B7585" s="28"/>
      <c r="C7585" s="3" t="s">
        <v>3</v>
      </c>
    </row>
    <row r="7586" spans="1:3" ht="13.5" thickBot="1" x14ac:dyDescent="0.25">
      <c r="A7586" s="3">
        <v>3676</v>
      </c>
      <c r="B7586" s="28"/>
      <c r="C7586" s="3" t="s">
        <v>3</v>
      </c>
    </row>
    <row r="7587" spans="1:3" ht="13.5" thickBot="1" x14ac:dyDescent="0.25">
      <c r="A7587" s="3">
        <v>2644</v>
      </c>
      <c r="B7587" s="28"/>
      <c r="C7587" s="3" t="s">
        <v>3</v>
      </c>
    </row>
    <row r="7588" spans="1:3" ht="13.5" thickBot="1" x14ac:dyDescent="0.25">
      <c r="A7588" s="3">
        <v>7221</v>
      </c>
      <c r="B7588" s="28"/>
      <c r="C7588" s="3" t="s">
        <v>3</v>
      </c>
    </row>
    <row r="7589" spans="1:3" ht="13.5" thickBot="1" x14ac:dyDescent="0.25">
      <c r="A7589" s="3">
        <v>668</v>
      </c>
      <c r="B7589" s="28"/>
      <c r="C7589" s="3" t="s">
        <v>3</v>
      </c>
    </row>
    <row r="7590" spans="1:3" ht="13.5" thickBot="1" x14ac:dyDescent="0.25">
      <c r="A7590" s="3">
        <v>6416</v>
      </c>
      <c r="B7590" s="28"/>
      <c r="C7590" s="3" t="s">
        <v>3</v>
      </c>
    </row>
    <row r="7591" spans="1:3" ht="13.5" thickBot="1" x14ac:dyDescent="0.25">
      <c r="A7591" s="3">
        <v>4306</v>
      </c>
      <c r="B7591" s="28"/>
      <c r="C7591" s="3" t="s">
        <v>4</v>
      </c>
    </row>
    <row r="7592" spans="1:3" ht="13.5" thickBot="1" x14ac:dyDescent="0.25">
      <c r="A7592" s="3">
        <v>4872</v>
      </c>
      <c r="B7592" s="28"/>
      <c r="C7592" s="3" t="s">
        <v>6</v>
      </c>
    </row>
    <row r="7593" spans="1:3" ht="13.5" thickBot="1" x14ac:dyDescent="0.25">
      <c r="A7593" s="3">
        <v>3823</v>
      </c>
      <c r="B7593" s="28"/>
      <c r="C7593" s="3" t="s">
        <v>3</v>
      </c>
    </row>
    <row r="7594" spans="1:3" ht="13.5" thickBot="1" x14ac:dyDescent="0.25">
      <c r="A7594" s="3">
        <v>4843</v>
      </c>
      <c r="B7594" s="28"/>
      <c r="C7594" s="3" t="s">
        <v>5</v>
      </c>
    </row>
    <row r="7595" spans="1:3" ht="13.5" thickBot="1" x14ac:dyDescent="0.25">
      <c r="A7595" s="3">
        <v>668</v>
      </c>
      <c r="B7595" s="28"/>
      <c r="C7595" s="3" t="s">
        <v>4</v>
      </c>
    </row>
    <row r="7596" spans="1:3" ht="13.5" thickBot="1" x14ac:dyDescent="0.25">
      <c r="A7596" s="3">
        <v>523</v>
      </c>
      <c r="B7596" s="28"/>
      <c r="C7596" s="3" t="s">
        <v>3</v>
      </c>
    </row>
    <row r="7597" spans="1:3" ht="13.5" thickBot="1" x14ac:dyDescent="0.25">
      <c r="A7597" s="3">
        <v>5486</v>
      </c>
      <c r="B7597" s="28"/>
      <c r="C7597" s="3" t="s">
        <v>3</v>
      </c>
    </row>
    <row r="7598" spans="1:3" ht="13.5" thickBot="1" x14ac:dyDescent="0.25">
      <c r="A7598" s="3">
        <v>5199</v>
      </c>
      <c r="B7598" s="28"/>
      <c r="C7598" s="3" t="s">
        <v>3</v>
      </c>
    </row>
    <row r="7599" spans="1:3" ht="13.5" thickBot="1" x14ac:dyDescent="0.25">
      <c r="A7599" s="3">
        <v>6591</v>
      </c>
      <c r="B7599" s="28"/>
      <c r="C7599" s="3" t="s">
        <v>6</v>
      </c>
    </row>
    <row r="7600" spans="1:3" ht="13.5" thickBot="1" x14ac:dyDescent="0.25">
      <c r="A7600" s="3">
        <v>3327</v>
      </c>
      <c r="B7600" s="28"/>
      <c r="C7600" s="3" t="s">
        <v>3</v>
      </c>
    </row>
    <row r="7601" spans="1:3" ht="13.5" thickBot="1" x14ac:dyDescent="0.25">
      <c r="A7601" s="3">
        <v>631</v>
      </c>
      <c r="B7601" s="28"/>
      <c r="C7601" s="3" t="s">
        <v>3</v>
      </c>
    </row>
    <row r="7602" spans="1:3" ht="13.5" thickBot="1" x14ac:dyDescent="0.25">
      <c r="A7602" s="3">
        <v>6735</v>
      </c>
      <c r="B7602" s="28"/>
      <c r="C7602" s="3" t="s">
        <v>5</v>
      </c>
    </row>
    <row r="7603" spans="1:3" ht="13.5" thickBot="1" x14ac:dyDescent="0.25">
      <c r="A7603" s="3">
        <v>7006</v>
      </c>
      <c r="B7603" s="28"/>
      <c r="C7603" s="3" t="s">
        <v>3</v>
      </c>
    </row>
    <row r="7604" spans="1:3" ht="13.5" thickBot="1" x14ac:dyDescent="0.25">
      <c r="A7604" s="3">
        <v>6735</v>
      </c>
      <c r="B7604" s="28"/>
      <c r="C7604" s="3" t="s">
        <v>3</v>
      </c>
    </row>
    <row r="7605" spans="1:3" ht="13.5" thickBot="1" x14ac:dyDescent="0.25">
      <c r="A7605" s="3">
        <v>3676</v>
      </c>
      <c r="B7605" s="28"/>
      <c r="C7605" s="3" t="s">
        <v>4</v>
      </c>
    </row>
    <row r="7606" spans="1:3" ht="13.5" thickBot="1" x14ac:dyDescent="0.25">
      <c r="A7606" s="3">
        <v>170</v>
      </c>
      <c r="B7606" s="28"/>
      <c r="C7606" s="3" t="s">
        <v>3</v>
      </c>
    </row>
    <row r="7607" spans="1:3" ht="13.5" thickBot="1" x14ac:dyDescent="0.25">
      <c r="A7607" s="3">
        <v>5811</v>
      </c>
      <c r="B7607" s="28"/>
      <c r="C7607" s="3" t="s">
        <v>6</v>
      </c>
    </row>
    <row r="7608" spans="1:3" ht="13.5" thickBot="1" x14ac:dyDescent="0.25">
      <c r="A7608" s="3">
        <v>4825</v>
      </c>
      <c r="B7608" s="28"/>
      <c r="C7608" s="3" t="s">
        <v>3</v>
      </c>
    </row>
    <row r="7609" spans="1:3" ht="13.5" thickBot="1" x14ac:dyDescent="0.25">
      <c r="A7609" s="3">
        <v>7429</v>
      </c>
      <c r="B7609" s="28"/>
      <c r="C7609" s="3" t="s">
        <v>7</v>
      </c>
    </row>
    <row r="7610" spans="1:3" ht="13.5" thickBot="1" x14ac:dyDescent="0.25">
      <c r="A7610" s="3">
        <v>3762</v>
      </c>
      <c r="B7610" s="28"/>
      <c r="C7610" s="3" t="s">
        <v>6</v>
      </c>
    </row>
    <row r="7611" spans="1:3" ht="13.5" thickBot="1" x14ac:dyDescent="0.25">
      <c r="A7611" s="3">
        <v>7221</v>
      </c>
      <c r="B7611" s="28"/>
      <c r="C7611" s="3" t="s">
        <v>4</v>
      </c>
    </row>
    <row r="7612" spans="1:3" ht="13.5" thickBot="1" x14ac:dyDescent="0.25">
      <c r="A7612" s="3">
        <v>6416</v>
      </c>
      <c r="B7612" s="28"/>
      <c r="C7612" s="3" t="s">
        <v>4</v>
      </c>
    </row>
    <row r="7613" spans="1:3" ht="13.5" thickBot="1" x14ac:dyDescent="0.25">
      <c r="A7613" s="3">
        <v>2448</v>
      </c>
      <c r="B7613" s="28"/>
      <c r="C7613" s="3" t="s">
        <v>4</v>
      </c>
    </row>
    <row r="7614" spans="1:3" ht="13.5" thickBot="1" x14ac:dyDescent="0.25">
      <c r="A7614" s="3">
        <v>1271</v>
      </c>
      <c r="B7614" s="28"/>
      <c r="C7614" s="3" t="s">
        <v>4</v>
      </c>
    </row>
    <row r="7615" spans="1:3" ht="13.5" thickBot="1" x14ac:dyDescent="0.25">
      <c r="A7615" s="3">
        <v>2971</v>
      </c>
      <c r="B7615" s="28"/>
      <c r="C7615" s="3" t="s">
        <v>4</v>
      </c>
    </row>
    <row r="7616" spans="1:3" ht="13.5" thickBot="1" x14ac:dyDescent="0.25">
      <c r="A7616" s="3">
        <v>4563</v>
      </c>
      <c r="B7616" s="28"/>
      <c r="C7616" s="3" t="s">
        <v>5</v>
      </c>
    </row>
    <row r="7617" spans="1:3" ht="13.5" thickBot="1" x14ac:dyDescent="0.25">
      <c r="A7617" s="3">
        <v>6450</v>
      </c>
      <c r="B7617" s="28"/>
      <c r="C7617" s="3" t="s">
        <v>4</v>
      </c>
    </row>
    <row r="7618" spans="1:3" ht="13.5" thickBot="1" x14ac:dyDescent="0.25">
      <c r="A7618" s="3">
        <v>1384</v>
      </c>
      <c r="B7618" s="28"/>
      <c r="C7618" s="3" t="s">
        <v>6</v>
      </c>
    </row>
    <row r="7619" spans="1:3" ht="13.5" thickBot="1" x14ac:dyDescent="0.25">
      <c r="A7619" s="3">
        <v>2175</v>
      </c>
      <c r="B7619" s="28"/>
      <c r="C7619" s="3" t="s">
        <v>3</v>
      </c>
    </row>
    <row r="7620" spans="1:3" ht="13.5" thickBot="1" x14ac:dyDescent="0.25">
      <c r="A7620" s="3">
        <v>458</v>
      </c>
      <c r="B7620" s="28"/>
      <c r="C7620" s="3" t="s">
        <v>6</v>
      </c>
    </row>
    <row r="7621" spans="1:3" ht="13.5" thickBot="1" x14ac:dyDescent="0.25">
      <c r="A7621" s="3">
        <v>5663</v>
      </c>
      <c r="B7621" s="28"/>
      <c r="C7621" s="3" t="s">
        <v>3</v>
      </c>
    </row>
    <row r="7622" spans="1:3" ht="13.5" thickBot="1" x14ac:dyDescent="0.25">
      <c r="A7622" s="3">
        <v>6450</v>
      </c>
      <c r="B7622" s="28"/>
      <c r="C7622" s="3" t="s">
        <v>5</v>
      </c>
    </row>
    <row r="7623" spans="1:3" ht="13.5" thickBot="1" x14ac:dyDescent="0.25">
      <c r="A7623" s="3">
        <v>487</v>
      </c>
      <c r="B7623" s="28"/>
      <c r="C7623" s="3" t="s">
        <v>3</v>
      </c>
    </row>
    <row r="7624" spans="1:3" ht="13.5" thickBot="1" x14ac:dyDescent="0.25">
      <c r="A7624" s="3">
        <v>7956</v>
      </c>
      <c r="B7624" s="28"/>
      <c r="C7624" s="3" t="s">
        <v>6</v>
      </c>
    </row>
    <row r="7625" spans="1:3" ht="13.5" thickBot="1" x14ac:dyDescent="0.25">
      <c r="A7625" s="3">
        <v>729</v>
      </c>
      <c r="B7625" s="28"/>
      <c r="C7625" s="3" t="s">
        <v>4</v>
      </c>
    </row>
    <row r="7626" spans="1:3" ht="13.5" thickBot="1" x14ac:dyDescent="0.25">
      <c r="A7626" s="3">
        <v>194</v>
      </c>
      <c r="B7626" s="28"/>
      <c r="C7626" s="3" t="s">
        <v>3</v>
      </c>
    </row>
    <row r="7627" spans="1:3" ht="13.5" thickBot="1" x14ac:dyDescent="0.25">
      <c r="A7627" s="3">
        <v>7847</v>
      </c>
      <c r="B7627" s="28"/>
      <c r="C7627" s="3" t="s">
        <v>5</v>
      </c>
    </row>
    <row r="7628" spans="1:3" ht="13.5" thickBot="1" x14ac:dyDescent="0.25">
      <c r="A7628" s="3">
        <v>1384</v>
      </c>
      <c r="B7628" s="28"/>
      <c r="C7628" s="3" t="s">
        <v>4</v>
      </c>
    </row>
    <row r="7629" spans="1:3" ht="13.5" thickBot="1" x14ac:dyDescent="0.25">
      <c r="A7629" s="3">
        <v>1995</v>
      </c>
      <c r="B7629" s="28"/>
      <c r="C7629" s="3" t="s">
        <v>3</v>
      </c>
    </row>
    <row r="7630" spans="1:3" ht="13.5" thickBot="1" x14ac:dyDescent="0.25">
      <c r="A7630" s="3">
        <v>5199</v>
      </c>
      <c r="B7630" s="28"/>
      <c r="C7630" s="3" t="s">
        <v>5</v>
      </c>
    </row>
    <row r="7631" spans="1:3" ht="13.5" thickBot="1" x14ac:dyDescent="0.25">
      <c r="A7631" s="3">
        <v>2227</v>
      </c>
      <c r="B7631" s="28"/>
      <c r="C7631" s="3" t="s">
        <v>3</v>
      </c>
    </row>
    <row r="7632" spans="1:3" ht="13.5" thickBot="1" x14ac:dyDescent="0.25">
      <c r="A7632" s="3">
        <v>3521</v>
      </c>
      <c r="B7632" s="28"/>
      <c r="C7632" s="3" t="s">
        <v>3</v>
      </c>
    </row>
    <row r="7633" spans="1:3" ht="13.5" thickBot="1" x14ac:dyDescent="0.25">
      <c r="A7633" s="3">
        <v>2603</v>
      </c>
      <c r="B7633" s="28"/>
      <c r="C7633" s="3" t="s">
        <v>3</v>
      </c>
    </row>
    <row r="7634" spans="1:3" ht="13.5" thickBot="1" x14ac:dyDescent="0.25">
      <c r="A7634" s="3">
        <v>3521</v>
      </c>
      <c r="B7634" s="28"/>
      <c r="C7634" s="3" t="s">
        <v>5</v>
      </c>
    </row>
    <row r="7635" spans="1:3" ht="13.5" thickBot="1" x14ac:dyDescent="0.25">
      <c r="A7635" s="3">
        <v>3078</v>
      </c>
      <c r="B7635" s="28"/>
      <c r="C7635" s="3" t="s">
        <v>4</v>
      </c>
    </row>
    <row r="7636" spans="1:3" ht="13.5" thickBot="1" x14ac:dyDescent="0.25">
      <c r="A7636" s="3">
        <v>4234</v>
      </c>
      <c r="B7636" s="28"/>
      <c r="C7636" s="3" t="s">
        <v>6</v>
      </c>
    </row>
    <row r="7637" spans="1:3" ht="13.5" thickBot="1" x14ac:dyDescent="0.25">
      <c r="A7637" s="3">
        <v>3781</v>
      </c>
      <c r="B7637" s="28"/>
      <c r="C7637" s="3" t="s">
        <v>3</v>
      </c>
    </row>
    <row r="7638" spans="1:3" ht="13.5" thickBot="1" x14ac:dyDescent="0.25">
      <c r="A7638" s="3">
        <v>5811</v>
      </c>
      <c r="B7638" s="28"/>
      <c r="C7638" s="3" t="s">
        <v>5</v>
      </c>
    </row>
    <row r="7639" spans="1:3" ht="13.5" thickBot="1" x14ac:dyDescent="0.25">
      <c r="A7639" s="3">
        <v>2454</v>
      </c>
      <c r="B7639" s="28"/>
      <c r="C7639" s="3" t="s">
        <v>7</v>
      </c>
    </row>
    <row r="7640" spans="1:3" ht="13.5" thickBot="1" x14ac:dyDescent="0.25">
      <c r="A7640" s="3">
        <v>6774</v>
      </c>
      <c r="B7640" s="28"/>
      <c r="C7640" s="3" t="s">
        <v>6</v>
      </c>
    </row>
    <row r="7641" spans="1:3" ht="13.5" thickBot="1" x14ac:dyDescent="0.25">
      <c r="A7641" s="3">
        <v>7847</v>
      </c>
      <c r="B7641" s="28"/>
      <c r="C7641" s="3" t="s">
        <v>7</v>
      </c>
    </row>
    <row r="7642" spans="1:3" ht="13.5" thickBot="1" x14ac:dyDescent="0.25">
      <c r="A7642" s="3">
        <v>2124</v>
      </c>
      <c r="B7642" s="28"/>
      <c r="C7642" s="3" t="s">
        <v>3</v>
      </c>
    </row>
    <row r="7643" spans="1:3" ht="13.5" thickBot="1" x14ac:dyDescent="0.25">
      <c r="A7643" s="3">
        <v>4546</v>
      </c>
      <c r="B7643" s="28"/>
      <c r="C7643" s="3" t="s">
        <v>4</v>
      </c>
    </row>
    <row r="7644" spans="1:3" ht="13.5" thickBot="1" x14ac:dyDescent="0.25">
      <c r="A7644" s="3">
        <v>4234</v>
      </c>
      <c r="B7644" s="28"/>
      <c r="C7644" s="3" t="s">
        <v>4</v>
      </c>
    </row>
    <row r="7645" spans="1:3" ht="13.5" thickBot="1" x14ac:dyDescent="0.25">
      <c r="A7645" s="3">
        <v>162</v>
      </c>
      <c r="B7645" s="28"/>
      <c r="C7645" s="3" t="s">
        <v>3</v>
      </c>
    </row>
    <row r="7646" spans="1:3" ht="13.5" thickBot="1" x14ac:dyDescent="0.25">
      <c r="A7646" s="3">
        <v>4745</v>
      </c>
      <c r="B7646" s="28"/>
      <c r="C7646" s="3" t="s">
        <v>4</v>
      </c>
    </row>
    <row r="7647" spans="1:3" ht="13.5" thickBot="1" x14ac:dyDescent="0.25">
      <c r="A7647" s="3">
        <v>2227</v>
      </c>
      <c r="B7647" s="28"/>
      <c r="C7647" s="3" t="s">
        <v>4</v>
      </c>
    </row>
    <row r="7648" spans="1:3" ht="13.5" thickBot="1" x14ac:dyDescent="0.25">
      <c r="A7648" s="3">
        <v>4540</v>
      </c>
      <c r="B7648" s="28"/>
      <c r="C7648" s="3" t="s">
        <v>3</v>
      </c>
    </row>
    <row r="7649" spans="1:3" ht="13.5" thickBot="1" x14ac:dyDescent="0.25">
      <c r="A7649" s="3">
        <v>4563</v>
      </c>
      <c r="B7649" s="28"/>
      <c r="C7649" s="3" t="s">
        <v>3</v>
      </c>
    </row>
    <row r="7650" spans="1:3" ht="13.5" thickBot="1" x14ac:dyDescent="0.25">
      <c r="A7650" s="3">
        <v>4546</v>
      </c>
      <c r="B7650" s="28"/>
      <c r="C7650" s="3" t="s">
        <v>3</v>
      </c>
    </row>
    <row r="7651" spans="1:3" ht="13.5" thickBot="1" x14ac:dyDescent="0.25">
      <c r="A7651" s="3">
        <v>2448</v>
      </c>
      <c r="B7651" s="28"/>
      <c r="C7651" s="3" t="s">
        <v>7</v>
      </c>
    </row>
    <row r="7652" spans="1:3" ht="13.5" thickBot="1" x14ac:dyDescent="0.25">
      <c r="A7652" s="3">
        <v>6416</v>
      </c>
      <c r="B7652" s="28"/>
      <c r="C7652" s="3" t="s">
        <v>6</v>
      </c>
    </row>
    <row r="7653" spans="1:3" ht="13.5" thickBot="1" x14ac:dyDescent="0.25">
      <c r="A7653" s="3">
        <v>446</v>
      </c>
      <c r="B7653" s="28"/>
      <c r="C7653" s="3" t="s">
        <v>6</v>
      </c>
    </row>
    <row r="7654" spans="1:3" ht="13.5" thickBot="1" x14ac:dyDescent="0.25">
      <c r="A7654" s="3">
        <v>2276</v>
      </c>
      <c r="B7654" s="28"/>
      <c r="C7654" s="3" t="s">
        <v>7</v>
      </c>
    </row>
    <row r="7655" spans="1:3" ht="13.5" thickBot="1" x14ac:dyDescent="0.25">
      <c r="A7655" s="3">
        <v>4825</v>
      </c>
      <c r="B7655" s="28"/>
      <c r="C7655" s="3" t="s">
        <v>4</v>
      </c>
    </row>
    <row r="7656" spans="1:3" ht="13.5" thickBot="1" x14ac:dyDescent="0.25">
      <c r="A7656" s="3">
        <v>4929</v>
      </c>
      <c r="B7656" s="28"/>
      <c r="C7656" s="3" t="s">
        <v>3</v>
      </c>
    </row>
    <row r="7657" spans="1:3" ht="13.5" thickBot="1" x14ac:dyDescent="0.25">
      <c r="A7657" s="3">
        <v>5669</v>
      </c>
      <c r="B7657" s="28"/>
      <c r="C7657" s="3" t="s">
        <v>5</v>
      </c>
    </row>
    <row r="7658" spans="1:3" ht="13.5" thickBot="1" x14ac:dyDescent="0.25">
      <c r="A7658" s="3">
        <v>2603</v>
      </c>
      <c r="B7658" s="28"/>
      <c r="C7658" s="3" t="s">
        <v>5</v>
      </c>
    </row>
    <row r="7659" spans="1:3" ht="13.5" thickBot="1" x14ac:dyDescent="0.25">
      <c r="A7659" s="3">
        <v>4018</v>
      </c>
      <c r="B7659" s="28"/>
      <c r="C7659" s="3" t="s">
        <v>6</v>
      </c>
    </row>
    <row r="7660" spans="1:3" ht="13.5" thickBot="1" x14ac:dyDescent="0.25">
      <c r="A7660" s="3">
        <v>2454</v>
      </c>
      <c r="B7660" s="28"/>
      <c r="C7660" s="3" t="s">
        <v>6</v>
      </c>
    </row>
    <row r="7661" spans="1:3" ht="13.5" thickBot="1" x14ac:dyDescent="0.25">
      <c r="A7661" s="3">
        <v>3860</v>
      </c>
      <c r="B7661" s="28"/>
      <c r="C7661" s="3" t="s">
        <v>6</v>
      </c>
    </row>
    <row r="7662" spans="1:3" ht="13.5" thickBot="1" x14ac:dyDescent="0.25">
      <c r="A7662" s="3">
        <v>7069</v>
      </c>
      <c r="B7662" s="28"/>
      <c r="C7662" s="3" t="s">
        <v>6</v>
      </c>
    </row>
    <row r="7663" spans="1:3" ht="13.5" thickBot="1" x14ac:dyDescent="0.25">
      <c r="A7663" s="3">
        <v>218</v>
      </c>
      <c r="B7663" s="28"/>
      <c r="C7663" s="3" t="s">
        <v>4</v>
      </c>
    </row>
    <row r="7664" spans="1:3" ht="13.5" thickBot="1" x14ac:dyDescent="0.25">
      <c r="A7664" s="3">
        <v>6735</v>
      </c>
      <c r="B7664" s="28"/>
      <c r="C7664" s="3" t="s">
        <v>6</v>
      </c>
    </row>
    <row r="7665" spans="1:3" ht="13.5" thickBot="1" x14ac:dyDescent="0.25">
      <c r="A7665" s="3">
        <v>1431</v>
      </c>
      <c r="B7665" s="28"/>
      <c r="C7665" s="3" t="s">
        <v>7</v>
      </c>
    </row>
    <row r="7666" spans="1:3" ht="13.5" thickBot="1" x14ac:dyDescent="0.25">
      <c r="A7666" s="3">
        <v>7166</v>
      </c>
      <c r="B7666" s="28"/>
      <c r="C7666" s="3" t="s">
        <v>7</v>
      </c>
    </row>
    <row r="7667" spans="1:3" ht="13.5" thickBot="1" x14ac:dyDescent="0.25">
      <c r="A7667" s="3">
        <v>1271</v>
      </c>
      <c r="B7667" s="28"/>
      <c r="C7667" s="3" t="s">
        <v>3</v>
      </c>
    </row>
    <row r="7668" spans="1:3" ht="13.5" thickBot="1" x14ac:dyDescent="0.25">
      <c r="A7668" s="3">
        <v>5199</v>
      </c>
      <c r="B7668" s="28"/>
      <c r="C7668" s="3" t="s">
        <v>4</v>
      </c>
    </row>
    <row r="7669" spans="1:3" ht="13.5" thickBot="1" x14ac:dyDescent="0.25">
      <c r="A7669" s="3">
        <v>7590</v>
      </c>
      <c r="B7669" s="28"/>
      <c r="C7669" s="3" t="s">
        <v>4</v>
      </c>
    </row>
    <row r="7670" spans="1:3" ht="13.5" thickBot="1" x14ac:dyDescent="0.25">
      <c r="A7670" s="3">
        <v>1935</v>
      </c>
      <c r="B7670" s="28"/>
      <c r="C7670" s="3" t="s">
        <v>6</v>
      </c>
    </row>
    <row r="7671" spans="1:3" ht="13.5" thickBot="1" x14ac:dyDescent="0.25">
      <c r="A7671" s="3">
        <v>5811</v>
      </c>
      <c r="B7671" s="28"/>
      <c r="C7671" s="3" t="s">
        <v>4</v>
      </c>
    </row>
    <row r="7672" spans="1:3" ht="13.5" thickBot="1" x14ac:dyDescent="0.25">
      <c r="A7672" s="3">
        <v>162</v>
      </c>
      <c r="B7672" s="28"/>
      <c r="C7672" s="3" t="s">
        <v>4</v>
      </c>
    </row>
    <row r="7673" spans="1:3" ht="13.5" thickBot="1" x14ac:dyDescent="0.25">
      <c r="A7673" s="3">
        <v>3517</v>
      </c>
      <c r="B7673" s="28"/>
      <c r="C7673" s="3" t="s">
        <v>4</v>
      </c>
    </row>
    <row r="7674" spans="1:3" ht="13.5" thickBot="1" x14ac:dyDescent="0.25">
      <c r="A7674" s="3">
        <v>416</v>
      </c>
      <c r="B7674" s="28"/>
      <c r="C7674" s="3" t="s">
        <v>6</v>
      </c>
    </row>
    <row r="7675" spans="1:3" ht="13.5" thickBot="1" x14ac:dyDescent="0.25">
      <c r="A7675" s="3">
        <v>4065</v>
      </c>
      <c r="B7675" s="28"/>
      <c r="C7675" s="3" t="s">
        <v>4</v>
      </c>
    </row>
    <row r="7676" spans="1:3" ht="13.5" thickBot="1" x14ac:dyDescent="0.25">
      <c r="A7676" s="3">
        <v>3781</v>
      </c>
      <c r="B7676" s="28"/>
      <c r="C7676" s="3" t="s">
        <v>4</v>
      </c>
    </row>
    <row r="7677" spans="1:3" ht="13.5" thickBot="1" x14ac:dyDescent="0.25">
      <c r="A7677" s="3">
        <v>6551</v>
      </c>
      <c r="B7677" s="28"/>
      <c r="C7677" s="3" t="s">
        <v>5</v>
      </c>
    </row>
    <row r="7678" spans="1:3" ht="13.5" thickBot="1" x14ac:dyDescent="0.25">
      <c r="A7678" s="3">
        <v>2940</v>
      </c>
      <c r="B7678" s="28"/>
      <c r="C7678" s="3" t="s">
        <v>5</v>
      </c>
    </row>
    <row r="7679" spans="1:3" ht="13.5" thickBot="1" x14ac:dyDescent="0.25">
      <c r="A7679" s="3">
        <v>218</v>
      </c>
      <c r="B7679" s="28"/>
      <c r="C7679" s="3" t="s">
        <v>7</v>
      </c>
    </row>
    <row r="7680" spans="1:3" ht="13.5" thickBot="1" x14ac:dyDescent="0.25">
      <c r="A7680" s="3">
        <v>2826</v>
      </c>
      <c r="B7680" s="28"/>
      <c r="C7680" s="3" t="s">
        <v>3</v>
      </c>
    </row>
    <row r="7681" spans="1:3" ht="13.5" thickBot="1" x14ac:dyDescent="0.25">
      <c r="A7681" s="3">
        <v>2971</v>
      </c>
      <c r="B7681" s="28"/>
      <c r="C7681" s="3" t="s">
        <v>3</v>
      </c>
    </row>
    <row r="7682" spans="1:3" ht="13.5" thickBot="1" x14ac:dyDescent="0.25">
      <c r="A7682" s="3">
        <v>3284</v>
      </c>
      <c r="B7682" s="28"/>
      <c r="C7682" s="3" t="s">
        <v>3</v>
      </c>
    </row>
    <row r="7683" spans="1:3" ht="13.5" thickBot="1" x14ac:dyDescent="0.25">
      <c r="A7683" s="3">
        <v>5040</v>
      </c>
      <c r="B7683" s="28"/>
      <c r="C7683" s="3" t="s">
        <v>3</v>
      </c>
    </row>
    <row r="7684" spans="1:3" ht="13.5" thickBot="1" x14ac:dyDescent="0.25">
      <c r="A7684" s="3">
        <v>3280</v>
      </c>
      <c r="B7684" s="28"/>
      <c r="C7684" s="3" t="s">
        <v>3</v>
      </c>
    </row>
    <row r="7685" spans="1:3" ht="13.5" thickBot="1" x14ac:dyDescent="0.25">
      <c r="A7685" s="3">
        <v>1238</v>
      </c>
      <c r="B7685" s="28"/>
      <c r="C7685" s="3" t="s">
        <v>3</v>
      </c>
    </row>
    <row r="7686" spans="1:3" ht="13.5" thickBot="1" x14ac:dyDescent="0.25">
      <c r="A7686" s="3">
        <v>2227</v>
      </c>
      <c r="B7686" s="28"/>
      <c r="C7686" s="3" t="s">
        <v>7</v>
      </c>
    </row>
    <row r="7687" spans="1:3" ht="13.5" thickBot="1" x14ac:dyDescent="0.25">
      <c r="A7687" s="3">
        <v>2826</v>
      </c>
      <c r="B7687" s="28"/>
      <c r="C7687" s="3" t="s">
        <v>4</v>
      </c>
    </row>
    <row r="7688" spans="1:3" ht="13.5" thickBot="1" x14ac:dyDescent="0.25">
      <c r="A7688" s="3">
        <v>4929</v>
      </c>
      <c r="B7688" s="28"/>
      <c r="C7688" s="3" t="s">
        <v>6</v>
      </c>
    </row>
    <row r="7689" spans="1:3" ht="13.5" thickBot="1" x14ac:dyDescent="0.25">
      <c r="A7689" s="3">
        <v>2112</v>
      </c>
      <c r="B7689" s="28"/>
      <c r="C7689" s="3" t="s">
        <v>6</v>
      </c>
    </row>
    <row r="7690" spans="1:3" ht="13.5" thickBot="1" x14ac:dyDescent="0.25">
      <c r="A7690" s="3">
        <v>7227</v>
      </c>
      <c r="B7690" s="28"/>
      <c r="C7690" s="3" t="s">
        <v>7</v>
      </c>
    </row>
    <row r="7691" spans="1:3" ht="13.5" thickBot="1" x14ac:dyDescent="0.25">
      <c r="A7691" s="3">
        <v>2419</v>
      </c>
      <c r="B7691" s="28"/>
      <c r="C7691" s="3" t="s">
        <v>5</v>
      </c>
    </row>
    <row r="7692" spans="1:3" ht="13.5" thickBot="1" x14ac:dyDescent="0.25">
      <c r="A7692" s="3">
        <v>170</v>
      </c>
      <c r="B7692" s="28"/>
      <c r="C7692" s="3" t="s">
        <v>4</v>
      </c>
    </row>
    <row r="7693" spans="1:3" ht="13.5" thickBot="1" x14ac:dyDescent="0.25">
      <c r="A7693" s="3">
        <v>1179</v>
      </c>
      <c r="B7693" s="28"/>
      <c r="C7693" s="3" t="s">
        <v>3</v>
      </c>
    </row>
    <row r="7694" spans="1:3" ht="13.5" thickBot="1" x14ac:dyDescent="0.25">
      <c r="A7694" s="3">
        <v>2855</v>
      </c>
      <c r="B7694" s="28"/>
      <c r="C7694" s="3" t="s">
        <v>4</v>
      </c>
    </row>
    <row r="7695" spans="1:3" ht="13.5" thickBot="1" x14ac:dyDescent="0.25">
      <c r="A7695" s="3">
        <v>5926</v>
      </c>
      <c r="B7695" s="28"/>
      <c r="C7695" s="3" t="s">
        <v>5</v>
      </c>
    </row>
    <row r="7696" spans="1:3" ht="13.5" thickBot="1" x14ac:dyDescent="0.25">
      <c r="A7696" s="3">
        <v>7369</v>
      </c>
      <c r="B7696" s="28"/>
      <c r="C7696" s="3" t="s">
        <v>3</v>
      </c>
    </row>
    <row r="7697" spans="1:3" ht="13.5" thickBot="1" x14ac:dyDescent="0.25">
      <c r="A7697" s="3">
        <v>3521</v>
      </c>
      <c r="B7697" s="28"/>
      <c r="C7697" s="3" t="s">
        <v>4</v>
      </c>
    </row>
    <row r="7698" spans="1:3" ht="13.5" thickBot="1" x14ac:dyDescent="0.25">
      <c r="A7698" s="3">
        <v>2685</v>
      </c>
      <c r="B7698" s="28"/>
      <c r="C7698" s="3" t="s">
        <v>5</v>
      </c>
    </row>
    <row r="7699" spans="1:3" ht="13.5" thickBot="1" x14ac:dyDescent="0.25">
      <c r="A7699" s="3">
        <v>5663</v>
      </c>
      <c r="B7699" s="28"/>
      <c r="C7699" s="3" t="s">
        <v>4</v>
      </c>
    </row>
    <row r="7700" spans="1:3" ht="13.5" thickBot="1" x14ac:dyDescent="0.25">
      <c r="A7700" s="3">
        <v>2071</v>
      </c>
      <c r="B7700" s="28"/>
      <c r="C7700" s="3" t="s">
        <v>3</v>
      </c>
    </row>
    <row r="7701" spans="1:3" ht="13.5" thickBot="1" x14ac:dyDescent="0.25">
      <c r="A7701" s="3">
        <v>7083</v>
      </c>
      <c r="B7701" s="28"/>
      <c r="C7701" s="3" t="s">
        <v>6</v>
      </c>
    </row>
    <row r="7702" spans="1:3" ht="13.5" thickBot="1" x14ac:dyDescent="0.25">
      <c r="A7702" s="3">
        <v>2826</v>
      </c>
      <c r="B7702" s="28"/>
      <c r="C7702" s="3" t="s">
        <v>5</v>
      </c>
    </row>
    <row r="7703" spans="1:3" ht="13.5" thickBot="1" x14ac:dyDescent="0.25">
      <c r="A7703" s="3">
        <v>2971</v>
      </c>
      <c r="B7703" s="28"/>
      <c r="C7703" s="3" t="s">
        <v>6</v>
      </c>
    </row>
    <row r="7704" spans="1:3" ht="13.5" thickBot="1" x14ac:dyDescent="0.25">
      <c r="A7704" s="3">
        <v>4465</v>
      </c>
      <c r="B7704" s="28"/>
      <c r="C7704" s="3" t="s">
        <v>6</v>
      </c>
    </row>
    <row r="7705" spans="1:3" ht="13.5" thickBot="1" x14ac:dyDescent="0.25">
      <c r="A7705" s="3">
        <v>2226</v>
      </c>
      <c r="B7705" s="28"/>
      <c r="C7705" s="3" t="s">
        <v>3</v>
      </c>
    </row>
    <row r="7706" spans="1:3" ht="13.5" thickBot="1" x14ac:dyDescent="0.25">
      <c r="A7706" s="3">
        <v>1023</v>
      </c>
      <c r="B7706" s="28"/>
      <c r="C7706" s="3" t="s">
        <v>3</v>
      </c>
    </row>
    <row r="7707" spans="1:3" ht="13.5" thickBot="1" x14ac:dyDescent="0.25">
      <c r="A7707" s="3">
        <v>2448</v>
      </c>
      <c r="B7707" s="28"/>
      <c r="C7707" s="3" t="s">
        <v>5</v>
      </c>
    </row>
    <row r="7708" spans="1:3" ht="13.5" thickBot="1" x14ac:dyDescent="0.25">
      <c r="A7708" s="3">
        <v>6735</v>
      </c>
      <c r="B7708" s="28"/>
      <c r="C7708" s="3" t="s">
        <v>4</v>
      </c>
    </row>
    <row r="7709" spans="1:3" ht="13.5" thickBot="1" x14ac:dyDescent="0.25">
      <c r="A7709" s="3">
        <v>5130</v>
      </c>
      <c r="B7709" s="28"/>
      <c r="C7709" s="3" t="s">
        <v>6</v>
      </c>
    </row>
    <row r="7710" spans="1:3" ht="13.5" thickBot="1" x14ac:dyDescent="0.25">
      <c r="A7710" s="3">
        <v>2124</v>
      </c>
      <c r="B7710" s="28"/>
      <c r="C7710" s="3" t="s">
        <v>4</v>
      </c>
    </row>
    <row r="7711" spans="1:3" ht="13.5" thickBot="1" x14ac:dyDescent="0.25">
      <c r="A7711" s="3">
        <v>4825</v>
      </c>
      <c r="B7711" s="28"/>
      <c r="C7711" s="3" t="s">
        <v>7</v>
      </c>
    </row>
    <row r="7712" spans="1:3" ht="13.5" thickBot="1" x14ac:dyDescent="0.25">
      <c r="A7712" s="3">
        <v>4546</v>
      </c>
      <c r="B7712" s="28"/>
      <c r="C7712" s="3" t="s">
        <v>5</v>
      </c>
    </row>
    <row r="7713" spans="1:3" ht="13.5" thickBot="1" x14ac:dyDescent="0.25">
      <c r="A7713" s="3">
        <v>377</v>
      </c>
      <c r="B7713" s="28"/>
      <c r="C7713" s="3" t="s">
        <v>4</v>
      </c>
    </row>
    <row r="7714" spans="1:3" ht="13.5" thickBot="1" x14ac:dyDescent="0.25">
      <c r="A7714" s="3">
        <v>7286</v>
      </c>
      <c r="B7714" s="28"/>
      <c r="C7714" s="3" t="s">
        <v>3</v>
      </c>
    </row>
    <row r="7715" spans="1:3" ht="13.5" thickBot="1" x14ac:dyDescent="0.25">
      <c r="A7715" s="3">
        <v>6433</v>
      </c>
      <c r="B7715" s="28"/>
      <c r="C7715" s="3" t="s">
        <v>3</v>
      </c>
    </row>
    <row r="7716" spans="1:3" ht="13.5" thickBot="1" x14ac:dyDescent="0.25">
      <c r="A7716" s="3">
        <v>4018</v>
      </c>
      <c r="B7716" s="28"/>
      <c r="C7716" s="3" t="s">
        <v>5</v>
      </c>
    </row>
    <row r="7717" spans="1:3" ht="13.5" thickBot="1" x14ac:dyDescent="0.25">
      <c r="A7717" s="3">
        <v>6433</v>
      </c>
      <c r="B7717" s="28"/>
      <c r="C7717" s="3" t="s">
        <v>4</v>
      </c>
    </row>
    <row r="7718" spans="1:3" ht="13.5" thickBot="1" x14ac:dyDescent="0.25">
      <c r="A7718" s="3">
        <v>501</v>
      </c>
      <c r="B7718" s="28"/>
      <c r="C7718" s="3" t="s">
        <v>3</v>
      </c>
    </row>
    <row r="7719" spans="1:3" ht="13.5" thickBot="1" x14ac:dyDescent="0.25">
      <c r="A7719" s="3">
        <v>4536</v>
      </c>
      <c r="B7719" s="28"/>
      <c r="C7719" s="3" t="s">
        <v>7</v>
      </c>
    </row>
    <row r="7720" spans="1:3" ht="13.5" thickBot="1" x14ac:dyDescent="0.25">
      <c r="A7720" s="3">
        <v>506</v>
      </c>
      <c r="B7720" s="28"/>
      <c r="C7720" s="3" t="s">
        <v>3</v>
      </c>
    </row>
    <row r="7721" spans="1:3" ht="13.5" thickBot="1" x14ac:dyDescent="0.25">
      <c r="A7721" s="3">
        <v>1023</v>
      </c>
      <c r="B7721" s="28"/>
      <c r="C7721" s="3" t="s">
        <v>5</v>
      </c>
    </row>
    <row r="7722" spans="1:3" ht="13.5" thickBot="1" x14ac:dyDescent="0.25">
      <c r="A7722" s="3">
        <v>6961</v>
      </c>
      <c r="B7722" s="28"/>
      <c r="C7722" s="3" t="s">
        <v>6</v>
      </c>
    </row>
    <row r="7723" spans="1:3" ht="13.5" thickBot="1" x14ac:dyDescent="0.25">
      <c r="A7723" s="3">
        <v>4546</v>
      </c>
      <c r="B7723" s="28"/>
      <c r="C7723" s="3" t="s">
        <v>6</v>
      </c>
    </row>
    <row r="7724" spans="1:3" ht="13.5" thickBot="1" x14ac:dyDescent="0.25">
      <c r="A7724" s="3">
        <v>6405</v>
      </c>
      <c r="B7724" s="28"/>
      <c r="C7724" s="3" t="s">
        <v>3</v>
      </c>
    </row>
    <row r="7725" spans="1:3" ht="13.5" thickBot="1" x14ac:dyDescent="0.25">
      <c r="A7725" s="3">
        <v>5040</v>
      </c>
      <c r="B7725" s="28"/>
      <c r="C7725" s="3" t="s">
        <v>4</v>
      </c>
    </row>
    <row r="7726" spans="1:3" ht="13.5" thickBot="1" x14ac:dyDescent="0.25">
      <c r="A7726" s="3">
        <v>1534</v>
      </c>
      <c r="B7726" s="28"/>
      <c r="C7726" s="3" t="s">
        <v>5</v>
      </c>
    </row>
    <row r="7727" spans="1:3" ht="13.5" thickBot="1" x14ac:dyDescent="0.25">
      <c r="A7727" s="3">
        <v>958</v>
      </c>
      <c r="B7727" s="28"/>
      <c r="C7727" s="3" t="s">
        <v>3</v>
      </c>
    </row>
    <row r="7728" spans="1:3" ht="13.5" thickBot="1" x14ac:dyDescent="0.25">
      <c r="A7728" s="3">
        <v>3133</v>
      </c>
      <c r="B7728" s="28"/>
      <c r="C7728" s="3" t="s">
        <v>6</v>
      </c>
    </row>
    <row r="7729" spans="1:3" ht="13.5" thickBot="1" x14ac:dyDescent="0.25">
      <c r="A7729" s="3">
        <v>6961</v>
      </c>
      <c r="B7729" s="28"/>
      <c r="C7729" s="3" t="s">
        <v>5</v>
      </c>
    </row>
    <row r="7730" spans="1:3" ht="13.5" thickBot="1" x14ac:dyDescent="0.25">
      <c r="A7730" s="3">
        <v>2419</v>
      </c>
      <c r="B7730" s="28"/>
      <c r="C7730" s="3" t="s">
        <v>3</v>
      </c>
    </row>
    <row r="7731" spans="1:3" ht="13.5" thickBot="1" x14ac:dyDescent="0.25">
      <c r="A7731" s="3">
        <v>3319</v>
      </c>
      <c r="B7731" s="28"/>
      <c r="C7731" s="3" t="s">
        <v>3</v>
      </c>
    </row>
    <row r="7732" spans="1:3" ht="13.5" thickBot="1" x14ac:dyDescent="0.25">
      <c r="A7732" s="3">
        <v>2419</v>
      </c>
      <c r="B7732" s="28"/>
      <c r="C7732" s="3" t="s">
        <v>4</v>
      </c>
    </row>
    <row r="7733" spans="1:3" ht="13.5" thickBot="1" x14ac:dyDescent="0.25">
      <c r="A7733" s="3">
        <v>1467</v>
      </c>
      <c r="B7733" s="28"/>
      <c r="C7733" s="3" t="s">
        <v>3</v>
      </c>
    </row>
    <row r="7734" spans="1:3" ht="13.5" thickBot="1" x14ac:dyDescent="0.25">
      <c r="A7734" s="3">
        <v>5486</v>
      </c>
      <c r="B7734" s="28"/>
      <c r="C7734" s="3" t="s">
        <v>4</v>
      </c>
    </row>
    <row r="7735" spans="1:3" ht="13.5" thickBot="1" x14ac:dyDescent="0.25">
      <c r="A7735" s="3">
        <v>7289</v>
      </c>
      <c r="B7735" s="28"/>
      <c r="C7735" s="3" t="s">
        <v>3</v>
      </c>
    </row>
    <row r="7736" spans="1:3" ht="13.5" thickBot="1" x14ac:dyDescent="0.25">
      <c r="A7736" s="3">
        <v>2266</v>
      </c>
      <c r="B7736" s="28"/>
      <c r="C7736" s="3" t="s">
        <v>3</v>
      </c>
    </row>
    <row r="7737" spans="1:3" ht="13.5" thickBot="1" x14ac:dyDescent="0.25">
      <c r="A7737" s="3">
        <v>6551</v>
      </c>
      <c r="B7737" s="28"/>
      <c r="C7737" s="3" t="s">
        <v>7</v>
      </c>
    </row>
    <row r="7738" spans="1:3" ht="13.5" thickBot="1" x14ac:dyDescent="0.25">
      <c r="A7738" s="3">
        <v>958</v>
      </c>
      <c r="B7738" s="28"/>
      <c r="C7738" s="3" t="s">
        <v>5</v>
      </c>
    </row>
    <row r="7739" spans="1:3" ht="13.5" thickBot="1" x14ac:dyDescent="0.25">
      <c r="A7739" s="3">
        <v>4825</v>
      </c>
      <c r="B7739" s="28"/>
      <c r="C7739" s="3" t="s">
        <v>6</v>
      </c>
    </row>
    <row r="7740" spans="1:3" ht="13.5" thickBot="1" x14ac:dyDescent="0.25">
      <c r="A7740" s="3">
        <v>2996</v>
      </c>
      <c r="B7740" s="28"/>
      <c r="C7740" s="3" t="s">
        <v>3</v>
      </c>
    </row>
    <row r="7741" spans="1:3" ht="13.5" thickBot="1" x14ac:dyDescent="0.25">
      <c r="A7741" s="3">
        <v>2465</v>
      </c>
      <c r="B7741" s="28"/>
      <c r="C7741" s="3" t="s">
        <v>4</v>
      </c>
    </row>
    <row r="7742" spans="1:3" ht="13.5" thickBot="1" x14ac:dyDescent="0.25">
      <c r="A7742" s="3">
        <v>1236</v>
      </c>
      <c r="B7742" s="28"/>
      <c r="C7742" s="3" t="s">
        <v>3</v>
      </c>
    </row>
    <row r="7743" spans="1:3" ht="13.5" thickBot="1" x14ac:dyDescent="0.25">
      <c r="A7743" s="3">
        <v>3546</v>
      </c>
      <c r="B7743" s="28"/>
      <c r="C7743" s="3" t="s">
        <v>3</v>
      </c>
    </row>
    <row r="7744" spans="1:3" ht="13.5" thickBot="1" x14ac:dyDescent="0.25">
      <c r="A7744" s="3">
        <v>1651</v>
      </c>
      <c r="B7744" s="28"/>
      <c r="C7744" s="3" t="s">
        <v>3</v>
      </c>
    </row>
    <row r="7745" spans="1:3" ht="13.5" thickBot="1" x14ac:dyDescent="0.25">
      <c r="A7745" s="3">
        <v>2227</v>
      </c>
      <c r="B7745" s="28"/>
      <c r="C7745" s="3" t="s">
        <v>5</v>
      </c>
    </row>
    <row r="7746" spans="1:3" ht="13.5" thickBot="1" x14ac:dyDescent="0.25">
      <c r="A7746" s="3">
        <v>2826</v>
      </c>
      <c r="B7746" s="28"/>
      <c r="C7746" s="3" t="s">
        <v>7</v>
      </c>
    </row>
    <row r="7747" spans="1:3" ht="13.5" thickBot="1" x14ac:dyDescent="0.25">
      <c r="A7747" s="3">
        <v>3860</v>
      </c>
      <c r="B7747" s="28"/>
      <c r="C7747" s="3" t="s">
        <v>5</v>
      </c>
    </row>
    <row r="7748" spans="1:3" ht="13.5" thickBot="1" x14ac:dyDescent="0.25">
      <c r="A7748" s="3">
        <v>7379</v>
      </c>
      <c r="B7748" s="28"/>
      <c r="C7748" s="3" t="s">
        <v>3</v>
      </c>
    </row>
    <row r="7749" spans="1:3" ht="13.5" thickBot="1" x14ac:dyDescent="0.25">
      <c r="A7749" s="3">
        <v>2940</v>
      </c>
      <c r="B7749" s="28"/>
      <c r="C7749" s="3" t="s">
        <v>6</v>
      </c>
    </row>
    <row r="7750" spans="1:3" ht="13.5" thickBot="1" x14ac:dyDescent="0.25">
      <c r="A7750" s="3">
        <v>5330</v>
      </c>
      <c r="B7750" s="28"/>
      <c r="C7750" s="3" t="s">
        <v>3</v>
      </c>
    </row>
    <row r="7751" spans="1:3" ht="13.5" thickBot="1" x14ac:dyDescent="0.25">
      <c r="A7751" s="3">
        <v>7154</v>
      </c>
      <c r="B7751" s="28"/>
      <c r="C7751" s="3" t="s">
        <v>3</v>
      </c>
    </row>
    <row r="7752" spans="1:3" ht="13.5" thickBot="1" x14ac:dyDescent="0.25">
      <c r="A7752" s="3">
        <v>287</v>
      </c>
      <c r="B7752" s="28"/>
      <c r="C7752" s="3" t="s">
        <v>3</v>
      </c>
    </row>
    <row r="7753" spans="1:3" ht="13.5" thickBot="1" x14ac:dyDescent="0.25">
      <c r="A7753" s="3">
        <v>2465</v>
      </c>
      <c r="B7753" s="28"/>
      <c r="C7753" s="3" t="s">
        <v>3</v>
      </c>
    </row>
    <row r="7754" spans="1:3" ht="13.5" thickBot="1" x14ac:dyDescent="0.25">
      <c r="A7754" s="3">
        <v>4035</v>
      </c>
      <c r="B7754" s="28"/>
      <c r="C7754" s="3" t="s">
        <v>7</v>
      </c>
    </row>
    <row r="7755" spans="1:3" ht="13.5" thickBot="1" x14ac:dyDescent="0.25">
      <c r="A7755" s="3">
        <v>4540</v>
      </c>
      <c r="B7755" s="28"/>
      <c r="C7755" s="3" t="s">
        <v>4</v>
      </c>
    </row>
    <row r="7756" spans="1:3" ht="13.5" thickBot="1" x14ac:dyDescent="0.25">
      <c r="A7756" s="3">
        <v>487</v>
      </c>
      <c r="B7756" s="28"/>
      <c r="C7756" s="3" t="s">
        <v>4</v>
      </c>
    </row>
    <row r="7757" spans="1:3" ht="13.5" thickBot="1" x14ac:dyDescent="0.25">
      <c r="A7757" s="3">
        <v>6862</v>
      </c>
      <c r="B7757" s="28"/>
      <c r="C7757" s="3" t="s">
        <v>6</v>
      </c>
    </row>
    <row r="7758" spans="1:3" ht="13.5" thickBot="1" x14ac:dyDescent="0.25">
      <c r="A7758" s="3">
        <v>4369</v>
      </c>
      <c r="B7758" s="28"/>
      <c r="C7758" s="3" t="s">
        <v>6</v>
      </c>
    </row>
    <row r="7759" spans="1:3" ht="13.5" thickBot="1" x14ac:dyDescent="0.25">
      <c r="A7759" s="3">
        <v>5811</v>
      </c>
      <c r="B7759" s="28"/>
      <c r="C7759" s="3" t="s">
        <v>7</v>
      </c>
    </row>
    <row r="7760" spans="1:3" ht="13.5" thickBot="1" x14ac:dyDescent="0.25">
      <c r="A7760" s="3">
        <v>3688</v>
      </c>
      <c r="B7760" s="28"/>
      <c r="C7760" s="3" t="s">
        <v>3</v>
      </c>
    </row>
    <row r="7761" spans="1:3" ht="13.5" thickBot="1" x14ac:dyDescent="0.25">
      <c r="A7761" s="3">
        <v>4660</v>
      </c>
      <c r="B7761" s="28"/>
      <c r="C7761" s="3" t="s">
        <v>3</v>
      </c>
    </row>
    <row r="7762" spans="1:3" ht="13.5" thickBot="1" x14ac:dyDescent="0.25">
      <c r="A7762" s="3">
        <v>4789</v>
      </c>
      <c r="B7762" s="28"/>
      <c r="C7762" s="3" t="s">
        <v>4</v>
      </c>
    </row>
    <row r="7763" spans="1:3" ht="13.5" thickBot="1" x14ac:dyDescent="0.25">
      <c r="A7763" s="3">
        <v>1127</v>
      </c>
      <c r="B7763" s="28"/>
      <c r="C7763" s="3" t="s">
        <v>3</v>
      </c>
    </row>
    <row r="7764" spans="1:3" ht="13.5" thickBot="1" x14ac:dyDescent="0.25">
      <c r="A7764" s="3">
        <v>2566</v>
      </c>
      <c r="B7764" s="28"/>
      <c r="C7764" s="3" t="s">
        <v>3</v>
      </c>
    </row>
    <row r="7765" spans="1:3" ht="13.5" thickBot="1" x14ac:dyDescent="0.25">
      <c r="A7765" s="3">
        <v>1462</v>
      </c>
      <c r="B7765" s="28"/>
      <c r="C7765" s="3" t="s">
        <v>3</v>
      </c>
    </row>
    <row r="7766" spans="1:3" ht="13.5" thickBot="1" x14ac:dyDescent="0.25">
      <c r="A7766" s="3">
        <v>4013</v>
      </c>
      <c r="B7766" s="28"/>
      <c r="C7766" s="3" t="s">
        <v>3</v>
      </c>
    </row>
    <row r="7767" spans="1:3" ht="13.5" thickBot="1" x14ac:dyDescent="0.25">
      <c r="A7767" s="3">
        <v>7289</v>
      </c>
      <c r="B7767" s="28"/>
      <c r="C7767" s="3" t="s">
        <v>6</v>
      </c>
    </row>
    <row r="7768" spans="1:3" ht="13.5" thickBot="1" x14ac:dyDescent="0.25">
      <c r="A7768" s="3">
        <v>1384</v>
      </c>
      <c r="B7768" s="28"/>
      <c r="C7768" s="3" t="s">
        <v>5</v>
      </c>
    </row>
    <row r="7769" spans="1:3" ht="13.5" thickBot="1" x14ac:dyDescent="0.25">
      <c r="A7769" s="3">
        <v>5541</v>
      </c>
      <c r="B7769" s="28"/>
      <c r="C7769" s="3" t="s">
        <v>3</v>
      </c>
    </row>
    <row r="7770" spans="1:3" ht="13.5" thickBot="1" x14ac:dyDescent="0.25">
      <c r="A7770" s="3">
        <v>2603</v>
      </c>
      <c r="B7770" s="28"/>
      <c r="C7770" s="3" t="s">
        <v>4</v>
      </c>
    </row>
    <row r="7771" spans="1:3" ht="13.5" thickBot="1" x14ac:dyDescent="0.25">
      <c r="A7771" s="3">
        <v>4665</v>
      </c>
      <c r="B7771" s="28"/>
      <c r="C7771" s="3" t="s">
        <v>5</v>
      </c>
    </row>
    <row r="7772" spans="1:3" ht="13.5" thickBot="1" x14ac:dyDescent="0.25">
      <c r="A7772" s="3">
        <v>3078</v>
      </c>
      <c r="B7772" s="28"/>
      <c r="C7772" s="3" t="s">
        <v>6</v>
      </c>
    </row>
    <row r="7773" spans="1:3" ht="13.5" thickBot="1" x14ac:dyDescent="0.25">
      <c r="A7773" s="3">
        <v>5290</v>
      </c>
      <c r="B7773" s="28"/>
      <c r="C7773" s="3" t="s">
        <v>3</v>
      </c>
    </row>
    <row r="7774" spans="1:3" ht="13.5" thickBot="1" x14ac:dyDescent="0.25">
      <c r="A7774" s="3">
        <v>3826</v>
      </c>
      <c r="B7774" s="28"/>
      <c r="C7774" s="3" t="s">
        <v>3</v>
      </c>
    </row>
    <row r="7775" spans="1:3" ht="13.5" thickBot="1" x14ac:dyDescent="0.25">
      <c r="A7775" s="3">
        <v>7717</v>
      </c>
      <c r="B7775" s="28"/>
      <c r="C7775" s="3" t="s">
        <v>3</v>
      </c>
    </row>
    <row r="7776" spans="1:3" ht="13.5" thickBot="1" x14ac:dyDescent="0.25">
      <c r="A7776" s="3">
        <v>7069</v>
      </c>
      <c r="B7776" s="28"/>
      <c r="C7776" s="3" t="s">
        <v>5</v>
      </c>
    </row>
    <row r="7777" spans="1:3" ht="13.5" thickBot="1" x14ac:dyDescent="0.25">
      <c r="A7777" s="3">
        <v>1322</v>
      </c>
      <c r="B7777" s="28"/>
      <c r="C7777" s="3" t="s">
        <v>5</v>
      </c>
    </row>
    <row r="7778" spans="1:3" ht="13.5" thickBot="1" x14ac:dyDescent="0.25">
      <c r="A7778" s="3">
        <v>7154</v>
      </c>
      <c r="B7778" s="28"/>
      <c r="C7778" s="3" t="s">
        <v>6</v>
      </c>
    </row>
    <row r="7779" spans="1:3" ht="13.5" thickBot="1" x14ac:dyDescent="0.25">
      <c r="A7779" s="3">
        <v>6949</v>
      </c>
      <c r="B7779" s="28"/>
      <c r="C7779" s="3" t="s">
        <v>3</v>
      </c>
    </row>
    <row r="7780" spans="1:3" ht="13.5" thickBot="1" x14ac:dyDescent="0.25">
      <c r="A7780" s="3">
        <v>1534</v>
      </c>
      <c r="B7780" s="28"/>
      <c r="C7780" s="3" t="s">
        <v>7</v>
      </c>
    </row>
    <row r="7781" spans="1:3" ht="13.5" thickBot="1" x14ac:dyDescent="0.25">
      <c r="A7781" s="3">
        <v>4616</v>
      </c>
      <c r="B7781" s="28"/>
      <c r="C7781" s="3" t="s">
        <v>3</v>
      </c>
    </row>
    <row r="7782" spans="1:3" ht="13.5" thickBot="1" x14ac:dyDescent="0.25">
      <c r="A7782" s="3">
        <v>5630</v>
      </c>
      <c r="B7782" s="28"/>
      <c r="C7782" s="3" t="s">
        <v>3</v>
      </c>
    </row>
    <row r="7783" spans="1:3" ht="13.5" thickBot="1" x14ac:dyDescent="0.25">
      <c r="A7783" s="3">
        <v>287</v>
      </c>
      <c r="B7783" s="28"/>
      <c r="C7783" s="3" t="s">
        <v>4</v>
      </c>
    </row>
    <row r="7784" spans="1:3" ht="13.5" thickBot="1" x14ac:dyDescent="0.25">
      <c r="A7784" s="3">
        <v>7543</v>
      </c>
      <c r="B7784" s="28"/>
      <c r="C7784" s="3" t="s">
        <v>3</v>
      </c>
    </row>
    <row r="7785" spans="1:3" ht="13.5" thickBot="1" x14ac:dyDescent="0.25">
      <c r="A7785" s="3">
        <v>287</v>
      </c>
      <c r="B7785" s="28"/>
      <c r="C7785" s="3" t="s">
        <v>5</v>
      </c>
    </row>
    <row r="7786" spans="1:3" ht="13.5" thickBot="1" x14ac:dyDescent="0.25">
      <c r="A7786" s="3">
        <v>1548</v>
      </c>
      <c r="B7786" s="28"/>
      <c r="C7786" s="3" t="s">
        <v>4</v>
      </c>
    </row>
    <row r="7787" spans="1:3" ht="13.5" thickBot="1" x14ac:dyDescent="0.25">
      <c r="A7787" s="3">
        <v>6973</v>
      </c>
      <c r="B7787" s="28"/>
      <c r="C7787" s="3" t="s">
        <v>3</v>
      </c>
    </row>
    <row r="7788" spans="1:3" ht="13.5" thickBot="1" x14ac:dyDescent="0.25">
      <c r="A7788" s="3">
        <v>5045</v>
      </c>
      <c r="B7788" s="28"/>
      <c r="C7788" s="3" t="s">
        <v>3</v>
      </c>
    </row>
    <row r="7789" spans="1:3" ht="13.5" thickBot="1" x14ac:dyDescent="0.25">
      <c r="A7789" s="3">
        <v>5659</v>
      </c>
      <c r="B7789" s="28"/>
      <c r="C7789" s="3" t="s">
        <v>3</v>
      </c>
    </row>
    <row r="7790" spans="1:3" ht="13.5" thickBot="1" x14ac:dyDescent="0.25">
      <c r="A7790" s="3">
        <v>5028</v>
      </c>
      <c r="B7790" s="28"/>
      <c r="C7790" s="3" t="s">
        <v>3</v>
      </c>
    </row>
    <row r="7791" spans="1:3" ht="13.5" thickBot="1" x14ac:dyDescent="0.25">
      <c r="A7791" s="3">
        <v>4018</v>
      </c>
      <c r="B7791" s="28"/>
      <c r="C7791" s="3" t="s">
        <v>7</v>
      </c>
    </row>
    <row r="7792" spans="1:3" ht="13.5" thickBot="1" x14ac:dyDescent="0.25">
      <c r="A7792" s="3">
        <v>2603</v>
      </c>
      <c r="B7792" s="28"/>
      <c r="C7792" s="3" t="s">
        <v>6</v>
      </c>
    </row>
    <row r="7793" spans="1:3" ht="13.5" thickBot="1" x14ac:dyDescent="0.25">
      <c r="A7793" s="3">
        <v>5199</v>
      </c>
      <c r="B7793" s="28"/>
      <c r="C7793" s="3" t="s">
        <v>7</v>
      </c>
    </row>
    <row r="7794" spans="1:3" ht="13.5" thickBot="1" x14ac:dyDescent="0.25">
      <c r="A7794" s="3">
        <v>1534</v>
      </c>
      <c r="B7794" s="28"/>
      <c r="C7794" s="3" t="s">
        <v>6</v>
      </c>
    </row>
    <row r="7795" spans="1:3" ht="13.5" thickBot="1" x14ac:dyDescent="0.25">
      <c r="A7795" s="3">
        <v>3890</v>
      </c>
      <c r="B7795" s="28"/>
      <c r="C7795" s="3" t="s">
        <v>3</v>
      </c>
    </row>
    <row r="7796" spans="1:3" ht="13.5" thickBot="1" x14ac:dyDescent="0.25">
      <c r="A7796" s="3">
        <v>218</v>
      </c>
      <c r="B7796" s="28"/>
      <c r="C7796" s="3" t="s">
        <v>5</v>
      </c>
    </row>
    <row r="7797" spans="1:3" ht="13.5" thickBot="1" x14ac:dyDescent="0.25">
      <c r="A7797" s="3">
        <v>1424</v>
      </c>
      <c r="B7797" s="28"/>
      <c r="C7797" s="3" t="s">
        <v>4</v>
      </c>
    </row>
    <row r="7798" spans="1:3" ht="13.5" thickBot="1" x14ac:dyDescent="0.25">
      <c r="A7798" s="3">
        <v>2996</v>
      </c>
      <c r="B7798" s="28"/>
      <c r="C7798" s="3" t="s">
        <v>4</v>
      </c>
    </row>
    <row r="7799" spans="1:3" ht="13.5" thickBot="1" x14ac:dyDescent="0.25">
      <c r="A7799" s="3">
        <v>6450</v>
      </c>
      <c r="B7799" s="28"/>
      <c r="C7799" s="3" t="s">
        <v>7</v>
      </c>
    </row>
    <row r="7800" spans="1:3" ht="13.5" thickBot="1" x14ac:dyDescent="0.25">
      <c r="A7800" s="3">
        <v>7670</v>
      </c>
      <c r="B7800" s="28"/>
      <c r="C7800" s="3" t="s">
        <v>4</v>
      </c>
    </row>
    <row r="7801" spans="1:3" ht="13.5" thickBot="1" x14ac:dyDescent="0.25">
      <c r="A7801" s="3">
        <v>3095</v>
      </c>
      <c r="B7801" s="28"/>
      <c r="C7801" s="3" t="s">
        <v>6</v>
      </c>
    </row>
    <row r="7802" spans="1:3" ht="13.5" thickBot="1" x14ac:dyDescent="0.25">
      <c r="A7802" s="3">
        <v>7590</v>
      </c>
      <c r="B7802" s="28"/>
      <c r="C7802" s="3" t="s">
        <v>6</v>
      </c>
    </row>
    <row r="7803" spans="1:3" ht="13.5" thickBot="1" x14ac:dyDescent="0.25">
      <c r="A7803" s="3">
        <v>7262</v>
      </c>
      <c r="B7803" s="28"/>
      <c r="C7803" s="3" t="s">
        <v>4</v>
      </c>
    </row>
    <row r="7804" spans="1:3" ht="13.5" thickBot="1" x14ac:dyDescent="0.25">
      <c r="A7804" s="3">
        <v>2140</v>
      </c>
      <c r="B7804" s="28"/>
      <c r="C7804" s="3" t="s">
        <v>3</v>
      </c>
    </row>
    <row r="7805" spans="1:3" ht="13.5" thickBot="1" x14ac:dyDescent="0.25">
      <c r="A7805" s="3">
        <v>4234</v>
      </c>
      <c r="B7805" s="28"/>
      <c r="C7805" s="3" t="s">
        <v>5</v>
      </c>
    </row>
    <row r="7806" spans="1:3" ht="13.5" thickBot="1" x14ac:dyDescent="0.25">
      <c r="A7806" s="3">
        <v>2967</v>
      </c>
      <c r="B7806" s="28"/>
      <c r="C7806" s="3" t="s">
        <v>5</v>
      </c>
    </row>
    <row r="7807" spans="1:3" ht="13.5" thickBot="1" x14ac:dyDescent="0.25">
      <c r="A7807" s="3">
        <v>5669</v>
      </c>
      <c r="B7807" s="28"/>
      <c r="C7807" s="3" t="s">
        <v>7</v>
      </c>
    </row>
    <row r="7808" spans="1:3" ht="13.5" thickBot="1" x14ac:dyDescent="0.25">
      <c r="A7808" s="3">
        <v>531</v>
      </c>
      <c r="B7808" s="28"/>
      <c r="C7808" s="3" t="s">
        <v>7</v>
      </c>
    </row>
    <row r="7809" spans="1:3" ht="13.5" thickBot="1" x14ac:dyDescent="0.25">
      <c r="A7809" s="3">
        <v>1401</v>
      </c>
      <c r="B7809" s="28"/>
      <c r="C7809" s="3" t="s">
        <v>6</v>
      </c>
    </row>
    <row r="7810" spans="1:3" ht="13.5" thickBot="1" x14ac:dyDescent="0.25">
      <c r="A7810" s="3">
        <v>7648</v>
      </c>
      <c r="B7810" s="28"/>
      <c r="C7810" s="3" t="s">
        <v>7</v>
      </c>
    </row>
    <row r="7811" spans="1:3" ht="13.5" thickBot="1" x14ac:dyDescent="0.25">
      <c r="A7811" s="3">
        <v>7717</v>
      </c>
      <c r="B7811" s="28"/>
      <c r="C7811" s="3" t="s">
        <v>4</v>
      </c>
    </row>
    <row r="7812" spans="1:3" ht="13.5" thickBot="1" x14ac:dyDescent="0.25">
      <c r="A7812" s="3">
        <v>1323</v>
      </c>
      <c r="B7812" s="28"/>
      <c r="C7812" s="3" t="s">
        <v>7</v>
      </c>
    </row>
    <row r="7813" spans="1:3" ht="13.5" thickBot="1" x14ac:dyDescent="0.25">
      <c r="A7813" s="3">
        <v>7262</v>
      </c>
      <c r="B7813" s="28"/>
      <c r="C7813" s="3" t="s">
        <v>3</v>
      </c>
    </row>
    <row r="7814" spans="1:3" ht="13.5" thickBot="1" x14ac:dyDescent="0.25">
      <c r="A7814" s="3">
        <v>5663</v>
      </c>
      <c r="B7814" s="28"/>
      <c r="C7814" s="3" t="s">
        <v>5</v>
      </c>
    </row>
    <row r="7815" spans="1:3" ht="13.5" thickBot="1" x14ac:dyDescent="0.25">
      <c r="A7815" s="3">
        <v>7590</v>
      </c>
      <c r="B7815" s="28"/>
      <c r="C7815" s="3" t="s">
        <v>7</v>
      </c>
    </row>
    <row r="7816" spans="1:3" ht="13.5" thickBot="1" x14ac:dyDescent="0.25">
      <c r="A7816" s="3">
        <v>487</v>
      </c>
      <c r="B7816" s="28"/>
      <c r="C7816" s="3" t="s">
        <v>5</v>
      </c>
    </row>
    <row r="7817" spans="1:3" ht="13.5" thickBot="1" x14ac:dyDescent="0.25">
      <c r="A7817" s="3">
        <v>6477</v>
      </c>
      <c r="B7817" s="28"/>
      <c r="C7817" s="3" t="s">
        <v>3</v>
      </c>
    </row>
    <row r="7818" spans="1:3" ht="13.5" thickBot="1" x14ac:dyDescent="0.25">
      <c r="A7818" s="3">
        <v>5040</v>
      </c>
      <c r="B7818" s="28"/>
      <c r="C7818" s="3" t="s">
        <v>6</v>
      </c>
    </row>
    <row r="7819" spans="1:3" ht="13.5" thickBot="1" x14ac:dyDescent="0.25">
      <c r="A7819" s="3">
        <v>1322</v>
      </c>
      <c r="B7819" s="28"/>
      <c r="C7819" s="3" t="s">
        <v>3</v>
      </c>
    </row>
    <row r="7820" spans="1:3" ht="13.5" thickBot="1" x14ac:dyDescent="0.25">
      <c r="A7820" s="3">
        <v>6551</v>
      </c>
      <c r="B7820" s="28"/>
      <c r="C7820" s="3" t="s">
        <v>6</v>
      </c>
    </row>
    <row r="7821" spans="1:3" ht="13.5" thickBot="1" x14ac:dyDescent="0.25">
      <c r="A7821" s="3">
        <v>4616</v>
      </c>
      <c r="B7821" s="28"/>
      <c r="C7821" s="3" t="s">
        <v>5</v>
      </c>
    </row>
    <row r="7822" spans="1:3" ht="13.5" thickBot="1" x14ac:dyDescent="0.25">
      <c r="A7822" s="3">
        <v>2206</v>
      </c>
      <c r="B7822" s="28"/>
      <c r="C7822" s="3" t="s">
        <v>3</v>
      </c>
    </row>
    <row r="7823" spans="1:3" ht="13.5" thickBot="1" x14ac:dyDescent="0.25">
      <c r="A7823" s="3">
        <v>4665</v>
      </c>
      <c r="B7823" s="28"/>
      <c r="C7823" s="3" t="s">
        <v>3</v>
      </c>
    </row>
    <row r="7824" spans="1:3" ht="13.5" thickBot="1" x14ac:dyDescent="0.25">
      <c r="A7824" s="3">
        <v>5500</v>
      </c>
      <c r="B7824" s="28"/>
      <c r="C7824" s="3" t="s">
        <v>3</v>
      </c>
    </row>
    <row r="7825" spans="1:3" ht="13.5" thickBot="1" x14ac:dyDescent="0.25">
      <c r="A7825" s="3">
        <v>309</v>
      </c>
      <c r="B7825" s="28"/>
      <c r="C7825" s="3" t="s">
        <v>6</v>
      </c>
    </row>
    <row r="7826" spans="1:3" ht="13.5" thickBot="1" x14ac:dyDescent="0.25">
      <c r="A7826" s="3">
        <v>6385</v>
      </c>
      <c r="B7826" s="28"/>
      <c r="C7826" s="3" t="s">
        <v>3</v>
      </c>
    </row>
    <row r="7827" spans="1:3" ht="13.5" thickBot="1" x14ac:dyDescent="0.25">
      <c r="A7827" s="3">
        <v>7513</v>
      </c>
      <c r="B7827" s="28"/>
      <c r="C7827" s="3" t="s">
        <v>3</v>
      </c>
    </row>
    <row r="7828" spans="1:3" ht="13.5" thickBot="1" x14ac:dyDescent="0.25">
      <c r="A7828" s="3">
        <v>1651</v>
      </c>
      <c r="B7828" s="28"/>
      <c r="C7828" s="3" t="s">
        <v>6</v>
      </c>
    </row>
    <row r="7829" spans="1:3" ht="13.5" thickBot="1" x14ac:dyDescent="0.25">
      <c r="A7829" s="3">
        <v>2761</v>
      </c>
      <c r="B7829" s="28"/>
      <c r="C7829" s="3" t="s">
        <v>3</v>
      </c>
    </row>
    <row r="7830" spans="1:3" ht="13.5" thickBot="1" x14ac:dyDescent="0.25">
      <c r="A7830" s="3">
        <v>470</v>
      </c>
      <c r="B7830" s="28"/>
      <c r="C7830" s="3" t="s">
        <v>3</v>
      </c>
    </row>
    <row r="7831" spans="1:3" ht="13.5" thickBot="1" x14ac:dyDescent="0.25">
      <c r="A7831" s="3">
        <v>6774</v>
      </c>
      <c r="B7831" s="28"/>
      <c r="C7831" s="3" t="s">
        <v>5</v>
      </c>
    </row>
    <row r="7832" spans="1:3" ht="13.5" thickBot="1" x14ac:dyDescent="0.25">
      <c r="A7832" s="3">
        <v>6778</v>
      </c>
      <c r="B7832" s="28"/>
      <c r="C7832" s="3" t="s">
        <v>3</v>
      </c>
    </row>
    <row r="7833" spans="1:3" ht="13.5" thickBot="1" x14ac:dyDescent="0.25">
      <c r="A7833" s="3">
        <v>2281</v>
      </c>
      <c r="B7833" s="28"/>
      <c r="C7833" s="3" t="s">
        <v>3</v>
      </c>
    </row>
    <row r="7834" spans="1:3" ht="13.5" thickBot="1" x14ac:dyDescent="0.25">
      <c r="A7834" s="3">
        <v>3032</v>
      </c>
      <c r="B7834" s="28"/>
      <c r="C7834" s="3" t="s">
        <v>3</v>
      </c>
    </row>
    <row r="7835" spans="1:3" ht="13.5" thickBot="1" x14ac:dyDescent="0.25">
      <c r="A7835" s="3">
        <v>7672</v>
      </c>
      <c r="B7835" s="28"/>
      <c r="C7835" s="3" t="s">
        <v>3</v>
      </c>
    </row>
    <row r="7836" spans="1:3" ht="13.5" thickBot="1" x14ac:dyDescent="0.25">
      <c r="A7836" s="3">
        <v>6685</v>
      </c>
      <c r="B7836" s="28"/>
      <c r="C7836" s="3" t="s">
        <v>3</v>
      </c>
    </row>
    <row r="7837" spans="1:3" ht="13.5" thickBot="1" x14ac:dyDescent="0.25">
      <c r="A7837" s="3">
        <v>7513</v>
      </c>
      <c r="B7837" s="28"/>
      <c r="C7837" s="3" t="s">
        <v>4</v>
      </c>
    </row>
    <row r="7838" spans="1:3" ht="13.5" thickBot="1" x14ac:dyDescent="0.25">
      <c r="A7838" s="3">
        <v>5769</v>
      </c>
      <c r="B7838" s="28"/>
      <c r="C7838" s="3" t="s">
        <v>4</v>
      </c>
    </row>
    <row r="7839" spans="1:3" ht="13.5" thickBot="1" x14ac:dyDescent="0.25">
      <c r="A7839" s="3">
        <v>3890</v>
      </c>
      <c r="B7839" s="28"/>
      <c r="C7839" s="3" t="s">
        <v>4</v>
      </c>
    </row>
    <row r="7840" spans="1:3" ht="13.5" thickBot="1" x14ac:dyDescent="0.25">
      <c r="A7840" s="3">
        <v>7783</v>
      </c>
      <c r="B7840" s="28"/>
      <c r="C7840" s="3" t="s">
        <v>5</v>
      </c>
    </row>
    <row r="7841" spans="1:3" ht="13.5" thickBot="1" x14ac:dyDescent="0.25">
      <c r="A7841" s="3">
        <v>1481</v>
      </c>
      <c r="B7841" s="28"/>
      <c r="C7841" s="3" t="s">
        <v>3</v>
      </c>
    </row>
    <row r="7842" spans="1:3" ht="13.5" thickBot="1" x14ac:dyDescent="0.25">
      <c r="A7842" s="3">
        <v>4540</v>
      </c>
      <c r="B7842" s="28"/>
      <c r="C7842" s="3" t="s">
        <v>7</v>
      </c>
    </row>
    <row r="7843" spans="1:3" ht="13.5" thickBot="1" x14ac:dyDescent="0.25">
      <c r="A7843" s="3">
        <v>5333</v>
      </c>
      <c r="B7843" s="28"/>
      <c r="C7843" s="3" t="s">
        <v>3</v>
      </c>
    </row>
    <row r="7844" spans="1:3" ht="13.5" thickBot="1" x14ac:dyDescent="0.25">
      <c r="A7844" s="3">
        <v>1236</v>
      </c>
      <c r="B7844" s="28"/>
      <c r="C7844" s="3" t="s">
        <v>4</v>
      </c>
    </row>
    <row r="7845" spans="1:3" ht="13.5" thickBot="1" x14ac:dyDescent="0.25">
      <c r="A7845" s="3">
        <v>6897</v>
      </c>
      <c r="B7845" s="28"/>
      <c r="C7845" s="3" t="s">
        <v>3</v>
      </c>
    </row>
    <row r="7846" spans="1:3" ht="13.5" thickBot="1" x14ac:dyDescent="0.25">
      <c r="A7846" s="3">
        <v>3860</v>
      </c>
      <c r="B7846" s="28"/>
      <c r="C7846" s="3" t="s">
        <v>7</v>
      </c>
    </row>
    <row r="7847" spans="1:3" ht="13.5" thickBot="1" x14ac:dyDescent="0.25">
      <c r="A7847" s="3">
        <v>1651</v>
      </c>
      <c r="B7847" s="28"/>
      <c r="C7847" s="3" t="s">
        <v>4</v>
      </c>
    </row>
    <row r="7848" spans="1:3" ht="13.5" thickBot="1" x14ac:dyDescent="0.25">
      <c r="A7848" s="3">
        <v>2120</v>
      </c>
      <c r="B7848" s="28"/>
      <c r="C7848" s="3" t="s">
        <v>3</v>
      </c>
    </row>
    <row r="7849" spans="1:3" ht="13.5" thickBot="1" x14ac:dyDescent="0.25">
      <c r="A7849" s="3">
        <v>4774</v>
      </c>
      <c r="B7849" s="28"/>
      <c r="C7849" s="3" t="s">
        <v>4</v>
      </c>
    </row>
    <row r="7850" spans="1:3" ht="13.5" thickBot="1" x14ac:dyDescent="0.25">
      <c r="A7850" s="3">
        <v>7120</v>
      </c>
      <c r="B7850" s="28"/>
      <c r="C7850" s="3" t="s">
        <v>3</v>
      </c>
    </row>
    <row r="7851" spans="1:3" ht="13.5" thickBot="1" x14ac:dyDescent="0.25">
      <c r="A7851" s="3">
        <v>5769</v>
      </c>
      <c r="B7851" s="28"/>
      <c r="C7851" s="3" t="s">
        <v>3</v>
      </c>
    </row>
    <row r="7852" spans="1:3" ht="13.5" thickBot="1" x14ac:dyDescent="0.25">
      <c r="A7852" s="3">
        <v>531</v>
      </c>
      <c r="B7852" s="28"/>
      <c r="C7852" s="3" t="s">
        <v>6</v>
      </c>
    </row>
    <row r="7853" spans="1:3" ht="13.5" thickBot="1" x14ac:dyDescent="0.25">
      <c r="A7853" s="3">
        <v>2059</v>
      </c>
      <c r="B7853" s="28"/>
      <c r="C7853" s="3" t="s">
        <v>3</v>
      </c>
    </row>
    <row r="7854" spans="1:3" ht="13.5" thickBot="1" x14ac:dyDescent="0.25">
      <c r="A7854" s="3">
        <v>5669</v>
      </c>
      <c r="B7854" s="28"/>
      <c r="C7854" s="3" t="s">
        <v>6</v>
      </c>
    </row>
    <row r="7855" spans="1:3" ht="13.5" thickBot="1" x14ac:dyDescent="0.25">
      <c r="A7855" s="3">
        <v>3553</v>
      </c>
      <c r="B7855" s="28"/>
      <c r="C7855" s="3" t="s">
        <v>3</v>
      </c>
    </row>
    <row r="7856" spans="1:3" ht="13.5" thickBot="1" x14ac:dyDescent="0.25">
      <c r="A7856" s="3">
        <v>3785</v>
      </c>
      <c r="B7856" s="28"/>
      <c r="C7856" s="3" t="s">
        <v>6</v>
      </c>
    </row>
    <row r="7857" spans="1:3" ht="13.5" thickBot="1" x14ac:dyDescent="0.25">
      <c r="A7857" s="3">
        <v>7154</v>
      </c>
      <c r="B7857" s="28"/>
      <c r="C7857" s="3" t="s">
        <v>4</v>
      </c>
    </row>
    <row r="7858" spans="1:3" ht="13.5" thickBot="1" x14ac:dyDescent="0.25">
      <c r="A7858" s="3">
        <v>470</v>
      </c>
      <c r="B7858" s="28"/>
      <c r="C7858" s="3" t="s">
        <v>4</v>
      </c>
    </row>
    <row r="7859" spans="1:3" ht="13.5" thickBot="1" x14ac:dyDescent="0.25">
      <c r="A7859" s="3">
        <v>3183</v>
      </c>
      <c r="B7859" s="28"/>
      <c r="C7859" s="3" t="s">
        <v>3</v>
      </c>
    </row>
    <row r="7860" spans="1:3" ht="13.5" thickBot="1" x14ac:dyDescent="0.25">
      <c r="A7860" s="3">
        <v>575</v>
      </c>
      <c r="B7860" s="28"/>
      <c r="C7860" s="3" t="s">
        <v>3</v>
      </c>
    </row>
    <row r="7861" spans="1:3" ht="13.5" thickBot="1" x14ac:dyDescent="0.25">
      <c r="A7861" s="3">
        <v>1863</v>
      </c>
      <c r="B7861" s="28"/>
      <c r="C7861" s="3" t="s">
        <v>6</v>
      </c>
    </row>
    <row r="7862" spans="1:3" ht="13.5" thickBot="1" x14ac:dyDescent="0.25">
      <c r="A7862" s="3">
        <v>1287</v>
      </c>
      <c r="B7862" s="28"/>
      <c r="C7862" s="3" t="s">
        <v>3</v>
      </c>
    </row>
    <row r="7863" spans="1:3" ht="13.5" thickBot="1" x14ac:dyDescent="0.25">
      <c r="A7863" s="3">
        <v>4774</v>
      </c>
      <c r="B7863" s="28"/>
      <c r="C7863" s="3" t="s">
        <v>5</v>
      </c>
    </row>
    <row r="7864" spans="1:3" ht="13.5" thickBot="1" x14ac:dyDescent="0.25">
      <c r="A7864" s="3">
        <v>4891</v>
      </c>
      <c r="B7864" s="28"/>
      <c r="C7864" s="3" t="s">
        <v>3</v>
      </c>
    </row>
    <row r="7865" spans="1:3" ht="13.5" thickBot="1" x14ac:dyDescent="0.25">
      <c r="A7865" s="3">
        <v>6735</v>
      </c>
      <c r="B7865" s="28"/>
      <c r="C7865" s="3" t="s">
        <v>7</v>
      </c>
    </row>
    <row r="7866" spans="1:3" ht="13.5" thickBot="1" x14ac:dyDescent="0.25">
      <c r="A7866" s="3">
        <v>5663</v>
      </c>
      <c r="B7866" s="28"/>
      <c r="C7866" s="3" t="s">
        <v>7</v>
      </c>
    </row>
    <row r="7867" spans="1:3" ht="13.5" thickBot="1" x14ac:dyDescent="0.25">
      <c r="A7867" s="3">
        <v>6729</v>
      </c>
      <c r="B7867" s="28"/>
      <c r="C7867" s="3" t="s">
        <v>3</v>
      </c>
    </row>
    <row r="7868" spans="1:3" ht="13.5" thickBot="1" x14ac:dyDescent="0.25">
      <c r="A7868" s="3">
        <v>2937</v>
      </c>
      <c r="B7868" s="28"/>
      <c r="C7868" s="3" t="s">
        <v>3</v>
      </c>
    </row>
    <row r="7869" spans="1:3" ht="13.5" thickBot="1" x14ac:dyDescent="0.25">
      <c r="A7869" s="3">
        <v>7289</v>
      </c>
      <c r="B7869" s="28"/>
      <c r="C7869" s="3" t="s">
        <v>5</v>
      </c>
    </row>
    <row r="7870" spans="1:3" ht="13.5" thickBot="1" x14ac:dyDescent="0.25">
      <c r="A7870" s="3">
        <v>6097</v>
      </c>
      <c r="B7870" s="28"/>
      <c r="C7870" s="3" t="s">
        <v>6</v>
      </c>
    </row>
    <row r="7871" spans="1:3" ht="13.5" thickBot="1" x14ac:dyDescent="0.25">
      <c r="A7871" s="3">
        <v>7534</v>
      </c>
      <c r="B7871" s="28"/>
      <c r="C7871" s="3" t="s">
        <v>4</v>
      </c>
    </row>
    <row r="7872" spans="1:3" ht="13.5" thickBot="1" x14ac:dyDescent="0.25">
      <c r="A7872" s="3">
        <v>1481</v>
      </c>
      <c r="B7872" s="28"/>
      <c r="C7872" s="3" t="s">
        <v>4</v>
      </c>
    </row>
    <row r="7873" spans="1:3" ht="13.5" thickBot="1" x14ac:dyDescent="0.25">
      <c r="A7873" s="3">
        <v>7768</v>
      </c>
      <c r="B7873" s="28"/>
      <c r="C7873" s="3" t="s">
        <v>3</v>
      </c>
    </row>
    <row r="7874" spans="1:3" ht="13.5" thickBot="1" x14ac:dyDescent="0.25">
      <c r="A7874" s="3">
        <v>6174</v>
      </c>
      <c r="B7874" s="28"/>
      <c r="C7874" s="3" t="s">
        <v>3</v>
      </c>
    </row>
    <row r="7875" spans="1:3" ht="13.5" thickBot="1" x14ac:dyDescent="0.25">
      <c r="A7875" s="3">
        <v>4774</v>
      </c>
      <c r="B7875" s="28"/>
      <c r="C7875" s="3" t="s">
        <v>3</v>
      </c>
    </row>
    <row r="7876" spans="1:3" ht="13.5" thickBot="1" x14ac:dyDescent="0.25">
      <c r="A7876" s="3">
        <v>4170</v>
      </c>
      <c r="B7876" s="28"/>
      <c r="C7876" s="3" t="s">
        <v>3</v>
      </c>
    </row>
    <row r="7877" spans="1:3" ht="13.5" thickBot="1" x14ac:dyDescent="0.25">
      <c r="A7877" s="3">
        <v>7174</v>
      </c>
      <c r="B7877" s="28"/>
      <c r="C7877" s="3" t="s">
        <v>7</v>
      </c>
    </row>
    <row r="7878" spans="1:3" ht="13.5" thickBot="1" x14ac:dyDescent="0.25">
      <c r="A7878" s="3">
        <v>5500</v>
      </c>
      <c r="B7878" s="28"/>
      <c r="C7878" s="3" t="s">
        <v>4</v>
      </c>
    </row>
    <row r="7879" spans="1:3" ht="13.5" thickBot="1" x14ac:dyDescent="0.25">
      <c r="A7879" s="3">
        <v>805</v>
      </c>
      <c r="B7879" s="28"/>
      <c r="C7879" s="3" t="s">
        <v>3</v>
      </c>
    </row>
    <row r="7880" spans="1:3" ht="13.5" thickBot="1" x14ac:dyDescent="0.25">
      <c r="A7880" s="3">
        <v>501</v>
      </c>
      <c r="B7880" s="28"/>
      <c r="C7880" s="3" t="s">
        <v>7</v>
      </c>
    </row>
    <row r="7881" spans="1:3" ht="13.5" thickBot="1" x14ac:dyDescent="0.25">
      <c r="A7881" s="3">
        <v>536</v>
      </c>
      <c r="B7881" s="28"/>
      <c r="C7881" s="3" t="s">
        <v>3</v>
      </c>
    </row>
    <row r="7882" spans="1:3" ht="13.5" thickBot="1" x14ac:dyDescent="0.25">
      <c r="A7882" s="3">
        <v>7919</v>
      </c>
      <c r="B7882" s="28"/>
      <c r="C7882" s="3" t="s">
        <v>3</v>
      </c>
    </row>
    <row r="7883" spans="1:3" ht="13.5" thickBot="1" x14ac:dyDescent="0.25">
      <c r="A7883" s="3">
        <v>392</v>
      </c>
      <c r="B7883" s="28"/>
      <c r="C7883" s="3" t="s">
        <v>3</v>
      </c>
    </row>
    <row r="7884" spans="1:3" ht="13.5" thickBot="1" x14ac:dyDescent="0.25">
      <c r="A7884" s="3">
        <v>7724</v>
      </c>
      <c r="B7884" s="28"/>
      <c r="C7884" s="3" t="s">
        <v>3</v>
      </c>
    </row>
    <row r="7885" spans="1:3" ht="13.5" thickBot="1" x14ac:dyDescent="0.25">
      <c r="A7885" s="3">
        <v>501</v>
      </c>
      <c r="B7885" s="28"/>
      <c r="C7885" s="3" t="s">
        <v>4</v>
      </c>
    </row>
    <row r="7886" spans="1:3" ht="13.5" thickBot="1" x14ac:dyDescent="0.25">
      <c r="A7886" s="3">
        <v>4891</v>
      </c>
      <c r="B7886" s="28"/>
      <c r="C7886" s="3" t="s">
        <v>4</v>
      </c>
    </row>
    <row r="7887" spans="1:3" ht="13.5" thickBot="1" x14ac:dyDescent="0.25">
      <c r="A7887" s="3">
        <v>7847</v>
      </c>
      <c r="B7887" s="28"/>
      <c r="C7887" s="3" t="s">
        <v>6</v>
      </c>
    </row>
    <row r="7888" spans="1:3" ht="13.5" thickBot="1" x14ac:dyDescent="0.25">
      <c r="A7888" s="3">
        <v>3388</v>
      </c>
      <c r="B7888" s="28"/>
      <c r="C7888" s="3" t="s">
        <v>3</v>
      </c>
    </row>
    <row r="7889" spans="1:3" ht="13.5" thickBot="1" x14ac:dyDescent="0.25">
      <c r="A7889" s="3">
        <v>7429</v>
      </c>
      <c r="B7889" s="28"/>
      <c r="C7889" s="3" t="s">
        <v>6</v>
      </c>
    </row>
    <row r="7890" spans="1:3" ht="13.5" thickBot="1" x14ac:dyDescent="0.25">
      <c r="A7890" s="3">
        <v>6021</v>
      </c>
      <c r="B7890" s="28"/>
      <c r="C7890" s="3" t="s">
        <v>3</v>
      </c>
    </row>
    <row r="7891" spans="1:3" ht="13.5" thickBot="1" x14ac:dyDescent="0.25">
      <c r="A7891" s="3">
        <v>7221</v>
      </c>
      <c r="B7891" s="28"/>
      <c r="C7891" s="3" t="s">
        <v>5</v>
      </c>
    </row>
    <row r="7892" spans="1:3" ht="13.5" thickBot="1" x14ac:dyDescent="0.25">
      <c r="A7892" s="3">
        <v>6774</v>
      </c>
      <c r="B7892" s="28"/>
      <c r="C7892" s="3" t="s">
        <v>7</v>
      </c>
    </row>
    <row r="7893" spans="1:3" ht="13.5" thickBot="1" x14ac:dyDescent="0.25">
      <c r="A7893" s="3">
        <v>4079</v>
      </c>
      <c r="B7893" s="28"/>
      <c r="C7893" s="3" t="s">
        <v>6</v>
      </c>
    </row>
    <row r="7894" spans="1:3" ht="13.5" thickBot="1" x14ac:dyDescent="0.25">
      <c r="A7894" s="3">
        <v>2226</v>
      </c>
      <c r="B7894" s="28"/>
      <c r="C7894" s="3" t="s">
        <v>5</v>
      </c>
    </row>
    <row r="7895" spans="1:3" ht="13.5" thickBot="1" x14ac:dyDescent="0.25">
      <c r="A7895" s="3">
        <v>4843</v>
      </c>
      <c r="B7895" s="28"/>
      <c r="C7895" s="3" t="s">
        <v>7</v>
      </c>
    </row>
    <row r="7896" spans="1:3" ht="13.5" thickBot="1" x14ac:dyDescent="0.25">
      <c r="A7896" s="3">
        <v>7783</v>
      </c>
      <c r="B7896" s="28"/>
      <c r="C7896" s="3" t="s">
        <v>3</v>
      </c>
    </row>
    <row r="7897" spans="1:3" ht="13.5" thickBot="1" x14ac:dyDescent="0.25">
      <c r="A7897" s="3">
        <v>7289</v>
      </c>
      <c r="B7897" s="28"/>
      <c r="C7897" s="3" t="s">
        <v>4</v>
      </c>
    </row>
    <row r="7898" spans="1:3" ht="13.5" thickBot="1" x14ac:dyDescent="0.25">
      <c r="A7898" s="3">
        <v>5045</v>
      </c>
      <c r="B7898" s="28"/>
      <c r="C7898" s="3" t="s">
        <v>5</v>
      </c>
    </row>
    <row r="7899" spans="1:3" ht="13.5" thickBot="1" x14ac:dyDescent="0.25">
      <c r="A7899" s="3">
        <v>7534</v>
      </c>
      <c r="B7899" s="28"/>
      <c r="C7899" s="3" t="s">
        <v>3</v>
      </c>
    </row>
    <row r="7900" spans="1:3" ht="13.5" thickBot="1" x14ac:dyDescent="0.25">
      <c r="A7900" s="3">
        <v>7513</v>
      </c>
      <c r="B7900" s="28"/>
      <c r="C7900" s="3" t="s">
        <v>5</v>
      </c>
    </row>
    <row r="7901" spans="1:3" ht="13.5" thickBot="1" x14ac:dyDescent="0.25">
      <c r="A7901" s="3">
        <v>5005</v>
      </c>
      <c r="B7901" s="28"/>
      <c r="C7901" s="3" t="s">
        <v>3</v>
      </c>
    </row>
    <row r="7902" spans="1:3" ht="13.5" thickBot="1" x14ac:dyDescent="0.25">
      <c r="A7902" s="3">
        <v>3423</v>
      </c>
      <c r="B7902" s="28"/>
      <c r="C7902" s="3" t="s">
        <v>3</v>
      </c>
    </row>
    <row r="7903" spans="1:3" ht="13.5" thickBot="1" x14ac:dyDescent="0.25">
      <c r="A7903" s="3">
        <v>4170</v>
      </c>
      <c r="B7903" s="28"/>
      <c r="C7903" s="3" t="s">
        <v>5</v>
      </c>
    </row>
    <row r="7904" spans="1:3" ht="13.5" thickBot="1" x14ac:dyDescent="0.25">
      <c r="A7904" s="3">
        <v>4769</v>
      </c>
      <c r="B7904" s="28"/>
      <c r="C7904" s="3" t="s">
        <v>3</v>
      </c>
    </row>
    <row r="7905" spans="1:3" ht="13.5" thickBot="1" x14ac:dyDescent="0.25">
      <c r="A7905" s="3">
        <v>1322</v>
      </c>
      <c r="B7905" s="28"/>
      <c r="C7905" s="3" t="s">
        <v>4</v>
      </c>
    </row>
    <row r="7906" spans="1:3" ht="13.5" thickBot="1" x14ac:dyDescent="0.25">
      <c r="A7906" s="3">
        <v>4266</v>
      </c>
      <c r="B7906" s="28"/>
      <c r="C7906" s="3" t="s">
        <v>3</v>
      </c>
    </row>
    <row r="7907" spans="1:3" ht="13.5" thickBot="1" x14ac:dyDescent="0.25">
      <c r="A7907" s="3">
        <v>5040</v>
      </c>
      <c r="B7907" s="28"/>
      <c r="C7907" s="3" t="s">
        <v>5</v>
      </c>
    </row>
    <row r="7908" spans="1:3" ht="13.5" thickBot="1" x14ac:dyDescent="0.25">
      <c r="A7908" s="3">
        <v>5659</v>
      </c>
      <c r="B7908" s="28"/>
      <c r="C7908" s="3" t="s">
        <v>4</v>
      </c>
    </row>
    <row r="7909" spans="1:3" ht="13.5" thickBot="1" x14ac:dyDescent="0.25">
      <c r="A7909" s="3">
        <v>5330</v>
      </c>
      <c r="B7909" s="28"/>
      <c r="C7909" s="3" t="s">
        <v>4</v>
      </c>
    </row>
    <row r="7910" spans="1:3" ht="13.5" thickBot="1" x14ac:dyDescent="0.25">
      <c r="A7910" s="3">
        <v>5650</v>
      </c>
      <c r="B7910" s="28"/>
      <c r="C7910" s="3" t="s">
        <v>3</v>
      </c>
    </row>
    <row r="7911" spans="1:3" ht="13.5" thickBot="1" x14ac:dyDescent="0.25">
      <c r="A7911" s="3">
        <v>6174</v>
      </c>
      <c r="B7911" s="28"/>
      <c r="C7911" s="3" t="s">
        <v>7</v>
      </c>
    </row>
    <row r="7912" spans="1:3" ht="13.5" thickBot="1" x14ac:dyDescent="0.25">
      <c r="A7912" s="3">
        <v>6632</v>
      </c>
      <c r="B7912" s="28"/>
      <c r="C7912" s="3" t="s">
        <v>3</v>
      </c>
    </row>
    <row r="7913" spans="1:3" ht="13.5" thickBot="1" x14ac:dyDescent="0.25">
      <c r="A7913" s="3">
        <v>4852</v>
      </c>
      <c r="B7913" s="28"/>
      <c r="C7913" s="3" t="s">
        <v>3</v>
      </c>
    </row>
    <row r="7914" spans="1:3" ht="13.5" thickBot="1" x14ac:dyDescent="0.25">
      <c r="A7914" s="3">
        <v>6174</v>
      </c>
      <c r="B7914" s="28"/>
      <c r="C7914" s="3" t="s">
        <v>5</v>
      </c>
    </row>
    <row r="7915" spans="1:3" ht="13.5" thickBot="1" x14ac:dyDescent="0.25">
      <c r="A7915" s="3">
        <v>762</v>
      </c>
      <c r="B7915" s="28"/>
      <c r="C7915" s="3" t="s">
        <v>3</v>
      </c>
    </row>
    <row r="7916" spans="1:3" ht="13.5" thickBot="1" x14ac:dyDescent="0.25">
      <c r="A7916" s="3">
        <v>7451</v>
      </c>
      <c r="B7916" s="28"/>
      <c r="C7916" s="3" t="s">
        <v>3</v>
      </c>
    </row>
    <row r="7917" spans="1:3" ht="13.5" thickBot="1" x14ac:dyDescent="0.25">
      <c r="A7917" s="3">
        <v>506</v>
      </c>
      <c r="B7917" s="28"/>
      <c r="C7917" s="3" t="s">
        <v>5</v>
      </c>
    </row>
    <row r="7918" spans="1:3" ht="13.5" thickBot="1" x14ac:dyDescent="0.25">
      <c r="A7918" s="3">
        <v>6973</v>
      </c>
      <c r="B7918" s="28"/>
      <c r="C7918" s="3" t="s">
        <v>6</v>
      </c>
    </row>
    <row r="7919" spans="1:3" ht="13.5" thickBot="1" x14ac:dyDescent="0.25">
      <c r="A7919" s="3">
        <v>2792</v>
      </c>
      <c r="B7919" s="28"/>
      <c r="C7919" s="3" t="s">
        <v>3</v>
      </c>
    </row>
    <row r="7920" spans="1:3" ht="13.5" thickBot="1" x14ac:dyDescent="0.25">
      <c r="A7920" s="3">
        <v>501</v>
      </c>
      <c r="B7920" s="28"/>
      <c r="C7920" s="3" t="s">
        <v>6</v>
      </c>
    </row>
    <row r="7921" spans="1:3" ht="13.5" thickBot="1" x14ac:dyDescent="0.25">
      <c r="A7921" s="3">
        <v>4234</v>
      </c>
      <c r="B7921" s="28"/>
      <c r="C7921" s="3" t="s">
        <v>7</v>
      </c>
    </row>
    <row r="7922" spans="1:3" ht="13.5" thickBot="1" x14ac:dyDescent="0.25">
      <c r="A7922" s="3">
        <v>6317</v>
      </c>
      <c r="B7922" s="28"/>
      <c r="C7922" s="3" t="s">
        <v>3</v>
      </c>
    </row>
    <row r="7923" spans="1:3" ht="13.5" thickBot="1" x14ac:dyDescent="0.25">
      <c r="A7923" s="3">
        <v>2206</v>
      </c>
      <c r="B7923" s="28"/>
      <c r="C7923" s="3" t="s">
        <v>4</v>
      </c>
    </row>
    <row r="7924" spans="1:3" ht="13.5" thickBot="1" x14ac:dyDescent="0.25">
      <c r="A7924" s="3">
        <v>2140</v>
      </c>
      <c r="B7924" s="28"/>
      <c r="C7924" s="3" t="s">
        <v>4</v>
      </c>
    </row>
    <row r="7925" spans="1:3" ht="13.5" thickBot="1" x14ac:dyDescent="0.25">
      <c r="A7925" s="3">
        <v>362</v>
      </c>
      <c r="B7925" s="28"/>
      <c r="C7925" s="3" t="s">
        <v>3</v>
      </c>
    </row>
    <row r="7926" spans="1:3" ht="13.5" thickBot="1" x14ac:dyDescent="0.25">
      <c r="A7926" s="3">
        <v>470</v>
      </c>
      <c r="B7926" s="28"/>
      <c r="C7926" s="3" t="s">
        <v>5</v>
      </c>
    </row>
    <row r="7927" spans="1:3" ht="13.5" thickBot="1" x14ac:dyDescent="0.25">
      <c r="A7927" s="3">
        <v>5126</v>
      </c>
      <c r="B7927" s="28"/>
      <c r="C7927" s="3" t="s">
        <v>4</v>
      </c>
    </row>
    <row r="7928" spans="1:3" ht="13.5" thickBot="1" x14ac:dyDescent="0.25">
      <c r="A7928" s="3">
        <v>2058</v>
      </c>
      <c r="B7928" s="28"/>
      <c r="C7928" s="3" t="s">
        <v>6</v>
      </c>
    </row>
    <row r="7929" spans="1:3" ht="13.5" thickBot="1" x14ac:dyDescent="0.25">
      <c r="A7929" s="3">
        <v>7783</v>
      </c>
      <c r="B7929" s="28"/>
      <c r="C7929" s="3" t="s">
        <v>4</v>
      </c>
    </row>
    <row r="7930" spans="1:3" ht="13.5" thickBot="1" x14ac:dyDescent="0.25">
      <c r="A7930" s="3">
        <v>7768</v>
      </c>
      <c r="B7930" s="28"/>
      <c r="C7930" s="3" t="s">
        <v>7</v>
      </c>
    </row>
    <row r="7931" spans="1:3" ht="13.5" thickBot="1" x14ac:dyDescent="0.25">
      <c r="A7931" s="3">
        <v>7154</v>
      </c>
      <c r="B7931" s="28"/>
      <c r="C7931" s="3" t="s">
        <v>7</v>
      </c>
    </row>
    <row r="7932" spans="1:3" ht="13.5" thickBot="1" x14ac:dyDescent="0.25">
      <c r="A7932" s="3">
        <v>5126</v>
      </c>
      <c r="B7932" s="28"/>
      <c r="C7932" s="3" t="s">
        <v>3</v>
      </c>
    </row>
    <row r="7933" spans="1:3" ht="13.5" thickBot="1" x14ac:dyDescent="0.25">
      <c r="A7933" s="3">
        <v>6168</v>
      </c>
      <c r="B7933" s="28"/>
      <c r="C7933" s="3" t="s">
        <v>3</v>
      </c>
    </row>
    <row r="7934" spans="1:3" ht="13.5" thickBot="1" x14ac:dyDescent="0.25">
      <c r="A7934" s="3">
        <v>127</v>
      </c>
      <c r="B7934" s="28"/>
      <c r="C7934" s="3" t="s">
        <v>3</v>
      </c>
    </row>
    <row r="7935" spans="1:3" ht="13.5" thickBot="1" x14ac:dyDescent="0.25">
      <c r="A7935" s="3">
        <v>6973</v>
      </c>
      <c r="B7935" s="28"/>
      <c r="C7935" s="3" t="s">
        <v>7</v>
      </c>
    </row>
    <row r="7936" spans="1:3" ht="13.5" thickBot="1" x14ac:dyDescent="0.25">
      <c r="A7936" s="3">
        <v>2281</v>
      </c>
      <c r="B7936" s="28"/>
      <c r="C7936" s="3" t="s">
        <v>5</v>
      </c>
    </row>
    <row r="7937" spans="1:3" ht="13.5" thickBot="1" x14ac:dyDescent="0.25">
      <c r="A7937" s="3">
        <v>5650</v>
      </c>
      <c r="B7937" s="28"/>
      <c r="C7937" s="3" t="s">
        <v>5</v>
      </c>
    </row>
    <row r="7938" spans="1:3" ht="13.5" thickBot="1" x14ac:dyDescent="0.25">
      <c r="A7938" s="3">
        <v>3032</v>
      </c>
      <c r="B7938" s="28"/>
      <c r="C7938" s="3" t="s">
        <v>4</v>
      </c>
    </row>
    <row r="7939" spans="1:3" ht="13.5" thickBot="1" x14ac:dyDescent="0.25">
      <c r="A7939" s="3">
        <v>958</v>
      </c>
      <c r="B7939" s="28"/>
      <c r="C7939" s="3" t="s">
        <v>7</v>
      </c>
    </row>
    <row r="7940" spans="1:3" ht="13.5" thickBot="1" x14ac:dyDescent="0.25">
      <c r="A7940" s="3">
        <v>7451</v>
      </c>
      <c r="B7940" s="28"/>
      <c r="C7940" s="3" t="s">
        <v>4</v>
      </c>
    </row>
    <row r="7941" spans="1:3" ht="13.5" thickBot="1" x14ac:dyDescent="0.25">
      <c r="A7941" s="3">
        <v>5909</v>
      </c>
      <c r="B7941" s="28"/>
      <c r="C7941" s="3" t="s">
        <v>5</v>
      </c>
    </row>
    <row r="7942" spans="1:3" ht="13.5" thickBot="1" x14ac:dyDescent="0.25">
      <c r="A7942" s="3">
        <v>7768</v>
      </c>
      <c r="B7942" s="28"/>
      <c r="C7942" s="3" t="s">
        <v>5</v>
      </c>
    </row>
    <row r="7943" spans="1:3" ht="13.5" thickBot="1" x14ac:dyDescent="0.25">
      <c r="A7943" s="3">
        <v>4185</v>
      </c>
      <c r="B7943" s="28"/>
      <c r="C7943" s="3" t="s">
        <v>4</v>
      </c>
    </row>
    <row r="7944" spans="1:3" ht="13.5" thickBot="1" x14ac:dyDescent="0.25">
      <c r="A7944" s="3">
        <v>4774</v>
      </c>
      <c r="B7944" s="28"/>
      <c r="C7944" s="3" t="s">
        <v>7</v>
      </c>
    </row>
    <row r="7945" spans="1:3" ht="13.5" thickBot="1" x14ac:dyDescent="0.25">
      <c r="A7945" s="3">
        <v>3786</v>
      </c>
      <c r="B7945" s="28"/>
      <c r="C7945" s="3" t="s">
        <v>3</v>
      </c>
    </row>
    <row r="7946" spans="1:3" ht="13.5" thickBot="1" x14ac:dyDescent="0.25">
      <c r="A7946" s="3">
        <v>536</v>
      </c>
      <c r="B7946" s="28"/>
      <c r="C7946" s="3" t="s">
        <v>4</v>
      </c>
    </row>
    <row r="7947" spans="1:3" ht="13.5" thickBot="1" x14ac:dyDescent="0.25">
      <c r="A7947" s="3">
        <v>3183</v>
      </c>
      <c r="B7947" s="28"/>
      <c r="C7947" s="3" t="s">
        <v>4</v>
      </c>
    </row>
    <row r="7948" spans="1:3" ht="13.5" thickBot="1" x14ac:dyDescent="0.25">
      <c r="A7948" s="3">
        <v>7919</v>
      </c>
      <c r="B7948" s="28"/>
      <c r="C7948" s="3" t="s">
        <v>6</v>
      </c>
    </row>
    <row r="7949" spans="1:3" ht="13.5" thickBot="1" x14ac:dyDescent="0.25">
      <c r="A7949" s="3">
        <v>6832</v>
      </c>
      <c r="B7949" s="28"/>
      <c r="C7949" s="3" t="s">
        <v>3</v>
      </c>
    </row>
    <row r="7950" spans="1:3" ht="13.5" thickBot="1" x14ac:dyDescent="0.25">
      <c r="A7950" s="3">
        <v>7174</v>
      </c>
      <c r="B7950" s="28"/>
      <c r="C7950" s="3" t="s">
        <v>6</v>
      </c>
    </row>
    <row r="7951" spans="1:3" ht="13.5" thickBot="1" x14ac:dyDescent="0.25">
      <c r="A7951" s="3">
        <v>5909</v>
      </c>
      <c r="B7951" s="28"/>
      <c r="C7951" s="3" t="s">
        <v>3</v>
      </c>
    </row>
    <row r="7952" spans="1:3" ht="13.5" thickBot="1" x14ac:dyDescent="0.25">
      <c r="A7952" s="3">
        <v>2448</v>
      </c>
      <c r="B7952" s="28"/>
      <c r="C7952" s="3" t="s">
        <v>6</v>
      </c>
    </row>
    <row r="7953" spans="1:3" ht="13.5" thickBot="1" x14ac:dyDescent="0.25">
      <c r="A7953" s="3">
        <v>487</v>
      </c>
      <c r="B7953" s="28"/>
      <c r="C7953" s="3" t="s">
        <v>7</v>
      </c>
    </row>
    <row r="7954" spans="1:3" ht="13.5" thickBot="1" x14ac:dyDescent="0.25">
      <c r="A7954" s="3">
        <v>2295</v>
      </c>
      <c r="B7954" s="28"/>
      <c r="C7954" s="3" t="s">
        <v>3</v>
      </c>
    </row>
    <row r="7955" spans="1:3" ht="13.5" thickBot="1" x14ac:dyDescent="0.25">
      <c r="A7955" s="3">
        <v>7648</v>
      </c>
      <c r="B7955" s="28"/>
      <c r="C7955" s="3" t="s">
        <v>6</v>
      </c>
    </row>
    <row r="7956" spans="1:3" ht="13.5" thickBot="1" x14ac:dyDescent="0.25">
      <c r="A7956" s="3">
        <v>5032</v>
      </c>
      <c r="B7956" s="28"/>
      <c r="C7956" s="3" t="s">
        <v>3</v>
      </c>
    </row>
    <row r="7957" spans="1:3" ht="13.5" thickBot="1" x14ac:dyDescent="0.25">
      <c r="A7957" s="3">
        <v>4185</v>
      </c>
      <c r="B7957" s="28"/>
      <c r="C7957" s="3" t="s">
        <v>3</v>
      </c>
    </row>
    <row r="7958" spans="1:3" ht="13.5" thickBot="1" x14ac:dyDescent="0.25">
      <c r="A7958" s="3">
        <v>4665</v>
      </c>
      <c r="B7958" s="28"/>
      <c r="C7958" s="3" t="s">
        <v>4</v>
      </c>
    </row>
    <row r="7959" spans="1:3" ht="13.5" thickBot="1" x14ac:dyDescent="0.25">
      <c r="A7959" s="3">
        <v>3939</v>
      </c>
      <c r="B7959" s="28"/>
      <c r="C7959" s="3" t="s">
        <v>3</v>
      </c>
    </row>
    <row r="7960" spans="1:3" ht="13.5" thickBot="1" x14ac:dyDescent="0.25">
      <c r="A7960" s="3">
        <v>218</v>
      </c>
      <c r="B7960" s="28"/>
      <c r="C7960" s="3" t="s">
        <v>6</v>
      </c>
    </row>
    <row r="7961" spans="1:3" ht="13.5" thickBot="1" x14ac:dyDescent="0.25">
      <c r="A7961" s="3">
        <v>487</v>
      </c>
      <c r="B7961" s="28"/>
      <c r="C7961" s="3" t="s">
        <v>6</v>
      </c>
    </row>
    <row r="7962" spans="1:3" ht="13.5" thickBot="1" x14ac:dyDescent="0.25">
      <c r="A7962" s="3">
        <v>2996</v>
      </c>
      <c r="B7962" s="28"/>
      <c r="C7962" s="3" t="s">
        <v>6</v>
      </c>
    </row>
    <row r="7963" spans="1:3" ht="13.5" thickBot="1" x14ac:dyDescent="0.25">
      <c r="A7963" s="3">
        <v>6127</v>
      </c>
      <c r="B7963" s="28"/>
      <c r="C7963" s="3" t="s">
        <v>3</v>
      </c>
    </row>
    <row r="7964" spans="1:3" ht="13.5" thickBot="1" x14ac:dyDescent="0.25">
      <c r="A7964" s="3">
        <v>3982</v>
      </c>
      <c r="B7964" s="28"/>
      <c r="C7964" s="3" t="s">
        <v>3</v>
      </c>
    </row>
    <row r="7965" spans="1:3" ht="13.5" thickBot="1" x14ac:dyDescent="0.25">
      <c r="A7965" s="3">
        <v>3302</v>
      </c>
      <c r="B7965" s="28"/>
      <c r="C7965" s="3" t="s">
        <v>3</v>
      </c>
    </row>
    <row r="7966" spans="1:3" ht="13.5" thickBot="1" x14ac:dyDescent="0.25">
      <c r="A7966" s="3">
        <v>235</v>
      </c>
      <c r="B7966" s="28"/>
      <c r="C7966" s="3" t="s">
        <v>3</v>
      </c>
    </row>
    <row r="7967" spans="1:3" ht="13.5" thickBot="1" x14ac:dyDescent="0.25">
      <c r="A7967" s="3">
        <v>1127</v>
      </c>
      <c r="B7967" s="28"/>
      <c r="C7967" s="3" t="s">
        <v>4</v>
      </c>
    </row>
    <row r="7968" spans="1:3" ht="13.5" thickBot="1" x14ac:dyDescent="0.25">
      <c r="A7968" s="3">
        <v>5926</v>
      </c>
      <c r="B7968" s="28"/>
      <c r="C7968" s="3" t="s">
        <v>6</v>
      </c>
    </row>
    <row r="7969" spans="1:3" ht="13.5" thickBot="1" x14ac:dyDescent="0.25">
      <c r="A7969" s="3">
        <v>470</v>
      </c>
      <c r="B7969" s="28"/>
      <c r="C7969" s="3" t="s">
        <v>7</v>
      </c>
    </row>
    <row r="7970" spans="1:3" ht="13.5" thickBot="1" x14ac:dyDescent="0.25">
      <c r="A7970" s="3">
        <v>6174</v>
      </c>
      <c r="B7970" s="28"/>
      <c r="C7970" s="3" t="s">
        <v>4</v>
      </c>
    </row>
    <row r="7971" spans="1:3" ht="13.5" thickBot="1" x14ac:dyDescent="0.25">
      <c r="A7971" s="3">
        <v>3917</v>
      </c>
      <c r="B7971" s="28"/>
      <c r="C7971" s="3" t="s">
        <v>3</v>
      </c>
    </row>
    <row r="7972" spans="1:3" ht="13.5" thickBot="1" x14ac:dyDescent="0.25">
      <c r="A7972" s="3">
        <v>7742</v>
      </c>
      <c r="B7972" s="28"/>
      <c r="C7972" s="3" t="s">
        <v>3</v>
      </c>
    </row>
    <row r="7973" spans="1:3" ht="13.5" thickBot="1" x14ac:dyDescent="0.25">
      <c r="A7973" s="3">
        <v>4621</v>
      </c>
      <c r="B7973" s="28"/>
      <c r="C7973" s="3" t="s">
        <v>3</v>
      </c>
    </row>
    <row r="7974" spans="1:3" ht="13.5" thickBot="1" x14ac:dyDescent="0.25">
      <c r="A7974" s="3">
        <v>6320</v>
      </c>
      <c r="B7974" s="28"/>
      <c r="C7974" s="3" t="s">
        <v>4</v>
      </c>
    </row>
    <row r="7975" spans="1:3" ht="13.5" thickBot="1" x14ac:dyDescent="0.25">
      <c r="A7975" s="3">
        <v>1913</v>
      </c>
      <c r="B7975" s="28"/>
      <c r="C7975" s="3" t="s">
        <v>3</v>
      </c>
    </row>
    <row r="7976" spans="1:3" ht="13.5" thickBot="1" x14ac:dyDescent="0.25">
      <c r="A7976" s="3">
        <v>5061</v>
      </c>
      <c r="B7976" s="28"/>
      <c r="C7976" s="3" t="s">
        <v>3</v>
      </c>
    </row>
    <row r="7977" spans="1:3" ht="13.5" thickBot="1" x14ac:dyDescent="0.25">
      <c r="A7977" s="3">
        <v>1322</v>
      </c>
      <c r="B7977" s="28"/>
      <c r="C7977" s="3" t="s">
        <v>7</v>
      </c>
    </row>
    <row r="7978" spans="1:3" ht="13.5" thickBot="1" x14ac:dyDescent="0.25">
      <c r="A7978" s="3">
        <v>4170</v>
      </c>
      <c r="B7978" s="28"/>
      <c r="C7978" s="3" t="s">
        <v>4</v>
      </c>
    </row>
    <row r="7979" spans="1:3" ht="13.5" thickBot="1" x14ac:dyDescent="0.25">
      <c r="A7979" s="3">
        <v>5851</v>
      </c>
      <c r="B7979" s="28"/>
      <c r="C7979" s="3" t="s">
        <v>4</v>
      </c>
    </row>
    <row r="7980" spans="1:3" ht="13.5" thickBot="1" x14ac:dyDescent="0.25">
      <c r="A7980" s="3">
        <v>3521</v>
      </c>
      <c r="B7980" s="28"/>
      <c r="C7980" s="3" t="s">
        <v>6</v>
      </c>
    </row>
    <row r="7981" spans="1:3" ht="13.5" thickBot="1" x14ac:dyDescent="0.25">
      <c r="A7981" s="3">
        <v>762</v>
      </c>
      <c r="B7981" s="28"/>
      <c r="C7981" s="3" t="s">
        <v>6</v>
      </c>
    </row>
    <row r="7982" spans="1:3" ht="13.5" thickBot="1" x14ac:dyDescent="0.25">
      <c r="A7982" s="3">
        <v>146</v>
      </c>
      <c r="B7982" s="28"/>
      <c r="C7982" s="3" t="s">
        <v>3</v>
      </c>
    </row>
    <row r="7983" spans="1:3" ht="13.5" thickBot="1" x14ac:dyDescent="0.25">
      <c r="A7983" s="3">
        <v>5061</v>
      </c>
      <c r="B7983" s="28"/>
      <c r="C7983" s="3" t="s">
        <v>4</v>
      </c>
    </row>
    <row r="7984" spans="1:3" ht="13.5" thickBot="1" x14ac:dyDescent="0.25">
      <c r="A7984" s="3">
        <v>536</v>
      </c>
      <c r="B7984" s="28"/>
      <c r="C7984" s="3" t="s">
        <v>7</v>
      </c>
    </row>
    <row r="7985" spans="1:3" ht="13.5" thickBot="1" x14ac:dyDescent="0.25">
      <c r="A7985" s="3">
        <v>7381</v>
      </c>
      <c r="B7985" s="28"/>
      <c r="C7985" s="3" t="s">
        <v>3</v>
      </c>
    </row>
    <row r="7986" spans="1:3" ht="13.5" thickBot="1" x14ac:dyDescent="0.25">
      <c r="A7986" s="3">
        <v>2777</v>
      </c>
      <c r="B7986" s="28"/>
      <c r="C7986" s="3" t="s">
        <v>3</v>
      </c>
    </row>
    <row r="7987" spans="1:3" ht="13.5" thickBot="1" x14ac:dyDescent="0.25">
      <c r="A7987" s="3">
        <v>3499</v>
      </c>
      <c r="B7987" s="28"/>
      <c r="C7987" s="3" t="s">
        <v>3</v>
      </c>
    </row>
    <row r="7988" spans="1:3" ht="13.5" thickBot="1" x14ac:dyDescent="0.25">
      <c r="A7988" s="3">
        <v>1322</v>
      </c>
      <c r="B7988" s="28"/>
      <c r="C7988" s="3" t="s">
        <v>6</v>
      </c>
    </row>
    <row r="7989" spans="1:3" ht="13.5" thickBot="1" x14ac:dyDescent="0.25">
      <c r="A7989" s="3">
        <v>3760</v>
      </c>
      <c r="B7989" s="28"/>
      <c r="C7989" s="3" t="s">
        <v>3</v>
      </c>
    </row>
    <row r="7990" spans="1:3" ht="13.5" thickBot="1" x14ac:dyDescent="0.25">
      <c r="A7990" s="3">
        <v>5663</v>
      </c>
      <c r="B7990" s="28"/>
      <c r="C7990" s="3" t="s">
        <v>6</v>
      </c>
    </row>
    <row r="7991" spans="1:3" ht="13.5" thickBot="1" x14ac:dyDescent="0.25">
      <c r="A7991" s="3">
        <v>2381</v>
      </c>
      <c r="B7991" s="28"/>
      <c r="C7991" s="3" t="s">
        <v>3</v>
      </c>
    </row>
    <row r="7992" spans="1:3" ht="13.5" thickBot="1" x14ac:dyDescent="0.25">
      <c r="A7992" s="3">
        <v>2409</v>
      </c>
      <c r="B7992" s="28"/>
      <c r="C7992" s="3" t="s">
        <v>3</v>
      </c>
    </row>
    <row r="7993" spans="1:3" ht="13.5" thickBot="1" x14ac:dyDescent="0.25">
      <c r="A7993" s="3">
        <v>7742</v>
      </c>
      <c r="B7993" s="28"/>
      <c r="C7993" s="3" t="s">
        <v>4</v>
      </c>
    </row>
    <row r="7994" spans="1:3" ht="13.5" thickBot="1" x14ac:dyDescent="0.25">
      <c r="A7994" s="3">
        <v>7154</v>
      </c>
      <c r="B7994" s="28"/>
      <c r="C7994" s="3" t="s">
        <v>5</v>
      </c>
    </row>
    <row r="7995" spans="1:3" ht="13.5" thickBot="1" x14ac:dyDescent="0.25">
      <c r="A7995" s="3">
        <v>3688</v>
      </c>
      <c r="B7995" s="28"/>
      <c r="C7995" s="3" t="s">
        <v>4</v>
      </c>
    </row>
    <row r="7996" spans="1:3" ht="13.5" thickBot="1" x14ac:dyDescent="0.25">
      <c r="A7996" s="3">
        <v>377</v>
      </c>
      <c r="B7996" s="28"/>
      <c r="C7996" s="3" t="s">
        <v>6</v>
      </c>
    </row>
    <row r="7997" spans="1:3" ht="13.5" thickBot="1" x14ac:dyDescent="0.25">
      <c r="A7997" s="3">
        <v>7742</v>
      </c>
      <c r="B7997" s="28"/>
      <c r="C7997" s="3" t="s">
        <v>5</v>
      </c>
    </row>
    <row r="7998" spans="1:3" ht="13.5" thickBot="1" x14ac:dyDescent="0.25">
      <c r="A7998" s="3">
        <v>2465</v>
      </c>
      <c r="B7998" s="28"/>
      <c r="C7998" s="3" t="s">
        <v>5</v>
      </c>
    </row>
    <row r="7999" spans="1:3" ht="13.5" thickBot="1" x14ac:dyDescent="0.25">
      <c r="A7999" s="3">
        <v>5909</v>
      </c>
      <c r="B7999" s="28"/>
      <c r="C7999" s="3" t="s">
        <v>4</v>
      </c>
    </row>
    <row r="8000" spans="1:3" ht="13.5" thickBot="1" x14ac:dyDescent="0.25">
      <c r="A8000" s="3">
        <v>7983</v>
      </c>
      <c r="B8000" s="28"/>
      <c r="C8000" s="3" t="s">
        <v>3</v>
      </c>
    </row>
    <row r="8001" spans="1:3" ht="13.5" thickBot="1" x14ac:dyDescent="0.25">
      <c r="A8001" s="3">
        <v>1919</v>
      </c>
      <c r="B8001" s="28"/>
      <c r="C8001" s="3" t="s">
        <v>3</v>
      </c>
    </row>
    <row r="8002" spans="1:3" ht="13.5" thickBot="1" x14ac:dyDescent="0.25">
      <c r="A8002" s="3">
        <v>762</v>
      </c>
      <c r="B8002" s="28"/>
      <c r="C8002" s="3" t="s">
        <v>4</v>
      </c>
    </row>
    <row r="8003" spans="1:3" ht="13.5" thickBot="1" x14ac:dyDescent="0.25">
      <c r="A8003" s="3">
        <v>3302</v>
      </c>
      <c r="B8003" s="28"/>
      <c r="C8003" s="3" t="s">
        <v>4</v>
      </c>
    </row>
    <row r="8004" spans="1:3" ht="13.5" thickBot="1" x14ac:dyDescent="0.25">
      <c r="A8004" s="3">
        <v>4111</v>
      </c>
      <c r="B8004" s="28"/>
      <c r="C8004" s="3" t="s">
        <v>3</v>
      </c>
    </row>
    <row r="8005" spans="1:3" ht="13.5" thickBot="1" x14ac:dyDescent="0.25">
      <c r="A8005" s="3">
        <v>5851</v>
      </c>
      <c r="B8005" s="28"/>
      <c r="C8005" s="3" t="s">
        <v>3</v>
      </c>
    </row>
    <row r="8006" spans="1:3" ht="13.5" thickBot="1" x14ac:dyDescent="0.25">
      <c r="A8006" s="3">
        <v>3183</v>
      </c>
      <c r="B8006" s="28"/>
      <c r="C8006" s="3" t="s">
        <v>7</v>
      </c>
    </row>
    <row r="8007" spans="1:3" ht="13.5" thickBot="1" x14ac:dyDescent="0.25">
      <c r="A8007" s="3">
        <v>6320</v>
      </c>
      <c r="B8007" s="28"/>
      <c r="C8007" s="3" t="s">
        <v>3</v>
      </c>
    </row>
    <row r="8008" spans="1:3" ht="13.5" thickBot="1" x14ac:dyDescent="0.25">
      <c r="A8008" s="3">
        <v>4444</v>
      </c>
      <c r="B8008" s="28"/>
      <c r="C8008" s="3" t="s">
        <v>3</v>
      </c>
    </row>
    <row r="8009" spans="1:3" ht="13.5" thickBot="1" x14ac:dyDescent="0.25">
      <c r="A8009" s="3">
        <v>6320</v>
      </c>
      <c r="B8009" s="28"/>
      <c r="C8009" s="3" t="s">
        <v>5</v>
      </c>
    </row>
    <row r="8010" spans="1:3" ht="13.5" thickBot="1" x14ac:dyDescent="0.25">
      <c r="A8010" s="3">
        <v>4563</v>
      </c>
      <c r="B8010" s="28"/>
      <c r="C8010" s="3" t="s">
        <v>7</v>
      </c>
    </row>
    <row r="8011" spans="1:3" ht="13.5" thickBot="1" x14ac:dyDescent="0.25">
      <c r="A8011" s="3">
        <v>2777</v>
      </c>
      <c r="B8011" s="28"/>
      <c r="C8011" s="3" t="s">
        <v>4</v>
      </c>
    </row>
    <row r="8012" spans="1:3" ht="13.5" thickBot="1" x14ac:dyDescent="0.25">
      <c r="A8012" s="3">
        <v>2564</v>
      </c>
      <c r="B8012" s="28"/>
      <c r="C8012" s="3" t="s">
        <v>3</v>
      </c>
    </row>
    <row r="8013" spans="1:3" ht="13.5" thickBot="1" x14ac:dyDescent="0.25">
      <c r="A8013" s="3">
        <v>2780</v>
      </c>
      <c r="B8013" s="28"/>
      <c r="C8013" s="3" t="s">
        <v>3</v>
      </c>
    </row>
    <row r="8014" spans="1:3" ht="13.5" thickBot="1" x14ac:dyDescent="0.25">
      <c r="A8014" s="3">
        <v>3738</v>
      </c>
      <c r="B8014" s="28"/>
      <c r="C8014" s="3" t="s">
        <v>3</v>
      </c>
    </row>
    <row r="8015" spans="1:3" ht="13.5" thickBot="1" x14ac:dyDescent="0.25">
      <c r="A8015" s="3">
        <v>775</v>
      </c>
      <c r="B8015" s="28"/>
      <c r="C8015" s="3" t="s">
        <v>3</v>
      </c>
    </row>
    <row r="8016" spans="1:3" ht="13.5" thickBot="1" x14ac:dyDescent="0.25">
      <c r="A8016" s="3">
        <v>3423</v>
      </c>
      <c r="B8016" s="28"/>
      <c r="C8016" s="3" t="s">
        <v>4</v>
      </c>
    </row>
    <row r="8017" spans="1:3" ht="13.5" thickBot="1" x14ac:dyDescent="0.25">
      <c r="A8017" s="3">
        <v>5293</v>
      </c>
      <c r="B8017" s="28"/>
      <c r="C8017" s="3" t="s">
        <v>3</v>
      </c>
    </row>
    <row r="8018" spans="1:3" ht="13.5" thickBot="1" x14ac:dyDescent="0.25">
      <c r="A8018" s="3">
        <v>5045</v>
      </c>
      <c r="B8018" s="28"/>
      <c r="C8018" s="3" t="s">
        <v>6</v>
      </c>
    </row>
    <row r="8019" spans="1:3" ht="13.5" thickBot="1" x14ac:dyDescent="0.25">
      <c r="A8019" s="3">
        <v>5951</v>
      </c>
      <c r="B8019" s="28"/>
      <c r="C8019" s="3" t="s">
        <v>3</v>
      </c>
    </row>
    <row r="8020" spans="1:3" ht="13.5" thickBot="1" x14ac:dyDescent="0.25">
      <c r="A8020" s="3">
        <v>2857</v>
      </c>
      <c r="B8020" s="28"/>
      <c r="C8020" s="3" t="s">
        <v>3</v>
      </c>
    </row>
    <row r="8021" spans="1:3" ht="13.5" thickBot="1" x14ac:dyDescent="0.25">
      <c r="A8021" s="3">
        <v>7252</v>
      </c>
      <c r="B8021" s="28"/>
      <c r="C8021" s="3" t="s">
        <v>3</v>
      </c>
    </row>
    <row r="8022" spans="1:3" ht="13.5" thickBot="1" x14ac:dyDescent="0.25">
      <c r="A8022" s="3">
        <v>2295</v>
      </c>
      <c r="B8022" s="28"/>
      <c r="C8022" s="3" t="s">
        <v>4</v>
      </c>
    </row>
    <row r="8023" spans="1:3" ht="13.5" thickBot="1" x14ac:dyDescent="0.25">
      <c r="A8023" s="3">
        <v>1023</v>
      </c>
      <c r="B8023" s="28"/>
      <c r="C8023" s="3" t="s">
        <v>7</v>
      </c>
    </row>
    <row r="8024" spans="1:3" ht="13.5" thickBot="1" x14ac:dyDescent="0.25">
      <c r="A8024" s="3">
        <v>219</v>
      </c>
      <c r="B8024" s="28"/>
      <c r="C8024" s="3" t="s">
        <v>3</v>
      </c>
    </row>
    <row r="8025" spans="1:3" ht="13.5" thickBot="1" x14ac:dyDescent="0.25">
      <c r="A8025" s="3">
        <v>5</v>
      </c>
      <c r="B8025" s="28"/>
      <c r="C8025" s="3" t="s">
        <v>3</v>
      </c>
    </row>
    <row r="8026" spans="1:3" ht="13.5" thickBot="1" x14ac:dyDescent="0.25">
      <c r="A8026" s="3">
        <v>1023</v>
      </c>
      <c r="B8026" s="28"/>
      <c r="C8026" s="3" t="s">
        <v>6</v>
      </c>
    </row>
    <row r="8027" spans="1:3" ht="13.5" thickBot="1" x14ac:dyDescent="0.25">
      <c r="A8027" s="3">
        <v>2227</v>
      </c>
      <c r="B8027" s="28"/>
      <c r="C8027" s="3" t="s">
        <v>6</v>
      </c>
    </row>
    <row r="8028" spans="1:3" ht="13.5" thickBot="1" x14ac:dyDescent="0.25">
      <c r="A8028" s="3">
        <v>7061</v>
      </c>
      <c r="B8028" s="28"/>
      <c r="C8028" s="3" t="s">
        <v>3</v>
      </c>
    </row>
    <row r="8029" spans="1:3" ht="13.5" thickBot="1" x14ac:dyDescent="0.25">
      <c r="A8029" s="3">
        <v>5650</v>
      </c>
      <c r="B8029" s="28"/>
      <c r="C8029" s="3" t="s">
        <v>4</v>
      </c>
    </row>
    <row r="8030" spans="1:3" ht="13.5" thickBot="1" x14ac:dyDescent="0.25">
      <c r="A8030" s="3">
        <v>3809</v>
      </c>
      <c r="B8030" s="28"/>
      <c r="C8030" s="3" t="s">
        <v>3</v>
      </c>
    </row>
    <row r="8031" spans="1:3" ht="13.5" thickBot="1" x14ac:dyDescent="0.25">
      <c r="A8031" s="3">
        <v>2233</v>
      </c>
      <c r="B8031" s="28"/>
      <c r="C8031" s="3" t="s">
        <v>3</v>
      </c>
    </row>
    <row r="8032" spans="1:3" ht="13.5" thickBot="1" x14ac:dyDescent="0.25">
      <c r="A8032" s="3">
        <v>6387</v>
      </c>
      <c r="B8032" s="28"/>
      <c r="C8032" s="3" t="s">
        <v>3</v>
      </c>
    </row>
    <row r="8033" spans="1:3" ht="13.5" thickBot="1" x14ac:dyDescent="0.25">
      <c r="A8033" s="3">
        <v>3917</v>
      </c>
      <c r="B8033" s="28"/>
      <c r="C8033" s="3" t="s">
        <v>4</v>
      </c>
    </row>
    <row r="8034" spans="1:3" ht="13.5" thickBot="1" x14ac:dyDescent="0.25">
      <c r="A8034" s="3">
        <v>3180</v>
      </c>
      <c r="B8034" s="28"/>
      <c r="C8034" s="3" t="s">
        <v>3</v>
      </c>
    </row>
    <row r="8035" spans="1:3" ht="13.5" thickBot="1" x14ac:dyDescent="0.25">
      <c r="A8035" s="3">
        <v>4616</v>
      </c>
      <c r="B8035" s="28"/>
      <c r="C8035" s="3" t="s">
        <v>7</v>
      </c>
    </row>
    <row r="8036" spans="1:3" ht="13.5" thickBot="1" x14ac:dyDescent="0.25">
      <c r="A8036" s="3">
        <v>6979</v>
      </c>
      <c r="B8036" s="28"/>
      <c r="C8036" s="3" t="s">
        <v>3</v>
      </c>
    </row>
    <row r="8037" spans="1:3" ht="13.5" thickBot="1" x14ac:dyDescent="0.25">
      <c r="A8037" s="3">
        <v>6502</v>
      </c>
      <c r="B8037" s="28"/>
      <c r="C8037" s="3" t="s">
        <v>3</v>
      </c>
    </row>
    <row r="8038" spans="1:3" ht="13.5" thickBot="1" x14ac:dyDescent="0.25">
      <c r="A8038" s="3">
        <v>4660</v>
      </c>
      <c r="B8038" s="28"/>
      <c r="C8038" s="3" t="s">
        <v>4</v>
      </c>
    </row>
    <row r="8039" spans="1:3" ht="13.5" thickBot="1" x14ac:dyDescent="0.25">
      <c r="A8039" s="3">
        <v>2276</v>
      </c>
      <c r="B8039" s="28"/>
      <c r="C8039" s="3" t="s">
        <v>6</v>
      </c>
    </row>
    <row r="8040" spans="1:3" ht="13.5" thickBot="1" x14ac:dyDescent="0.25">
      <c r="A8040" s="3">
        <v>6145</v>
      </c>
      <c r="B8040" s="28"/>
      <c r="C8040" s="3" t="s">
        <v>4</v>
      </c>
    </row>
    <row r="8041" spans="1:3" ht="13.5" thickBot="1" x14ac:dyDescent="0.25">
      <c r="A8041" s="3">
        <v>536</v>
      </c>
      <c r="B8041" s="28"/>
      <c r="C8041" s="3" t="s">
        <v>5</v>
      </c>
    </row>
    <row r="8042" spans="1:3" ht="13.5" thickBot="1" x14ac:dyDescent="0.25">
      <c r="A8042" s="3">
        <v>4621</v>
      </c>
      <c r="B8042" s="28"/>
      <c r="C8042" s="3" t="s">
        <v>4</v>
      </c>
    </row>
    <row r="8043" spans="1:3" ht="13.5" thickBot="1" x14ac:dyDescent="0.25">
      <c r="A8043" s="3">
        <v>2418</v>
      </c>
      <c r="B8043" s="28"/>
      <c r="C8043" s="3" t="s">
        <v>3</v>
      </c>
    </row>
    <row r="8044" spans="1:3" ht="13.5" thickBot="1" x14ac:dyDescent="0.25">
      <c r="A8044" s="3">
        <v>1189</v>
      </c>
      <c r="B8044" s="28"/>
      <c r="C8044" s="3" t="s">
        <v>3</v>
      </c>
    </row>
    <row r="8045" spans="1:3" ht="13.5" thickBot="1" x14ac:dyDescent="0.25">
      <c r="A8045" s="3">
        <v>2685</v>
      </c>
      <c r="B8045" s="28"/>
      <c r="C8045" s="3" t="s">
        <v>6</v>
      </c>
    </row>
    <row r="8046" spans="1:3" ht="13.5" thickBot="1" x14ac:dyDescent="0.25">
      <c r="A8046" s="3">
        <v>1189</v>
      </c>
      <c r="B8046" s="28"/>
      <c r="C8046" s="3" t="s">
        <v>5</v>
      </c>
    </row>
    <row r="8047" spans="1:3" ht="13.5" thickBot="1" x14ac:dyDescent="0.25">
      <c r="A8047" s="3">
        <v>4665</v>
      </c>
      <c r="B8047" s="28"/>
      <c r="C8047" s="3" t="s">
        <v>7</v>
      </c>
    </row>
    <row r="8048" spans="1:3" ht="13.5" thickBot="1" x14ac:dyDescent="0.25">
      <c r="A8048" s="3">
        <v>762</v>
      </c>
      <c r="B8048" s="28"/>
      <c r="C8048" s="3" t="s">
        <v>5</v>
      </c>
    </row>
    <row r="8049" spans="1:3" ht="13.5" thickBot="1" x14ac:dyDescent="0.25">
      <c r="A8049" s="3">
        <v>3439</v>
      </c>
      <c r="B8049" s="28"/>
      <c r="C8049" s="3" t="s">
        <v>3</v>
      </c>
    </row>
    <row r="8050" spans="1:3" ht="13.5" thickBot="1" x14ac:dyDescent="0.25">
      <c r="A8050" s="3">
        <v>5909</v>
      </c>
      <c r="B8050" s="28"/>
      <c r="C8050" s="3" t="s">
        <v>6</v>
      </c>
    </row>
    <row r="8051" spans="1:3" ht="13.5" thickBot="1" x14ac:dyDescent="0.25">
      <c r="A8051" s="3">
        <v>3449</v>
      </c>
      <c r="B8051" s="28"/>
      <c r="C8051" s="3" t="s">
        <v>3</v>
      </c>
    </row>
    <row r="8052" spans="1:3" ht="13.5" thickBot="1" x14ac:dyDescent="0.25">
      <c r="A8052" s="3">
        <v>6350</v>
      </c>
      <c r="B8052" s="28"/>
      <c r="C8052" s="3" t="s">
        <v>3</v>
      </c>
    </row>
    <row r="8053" spans="1:3" ht="13.5" thickBot="1" x14ac:dyDescent="0.25">
      <c r="A8053" s="3">
        <v>7742</v>
      </c>
      <c r="B8053" s="28"/>
      <c r="C8053" s="3" t="s">
        <v>7</v>
      </c>
    </row>
    <row r="8054" spans="1:3" ht="13.5" thickBot="1" x14ac:dyDescent="0.25">
      <c r="A8054" s="3">
        <v>6317</v>
      </c>
      <c r="B8054" s="28"/>
      <c r="C8054" s="3" t="s">
        <v>4</v>
      </c>
    </row>
    <row r="8055" spans="1:3" ht="13.5" thickBot="1" x14ac:dyDescent="0.25">
      <c r="A8055" s="3">
        <v>7289</v>
      </c>
      <c r="B8055" s="28"/>
      <c r="C8055" s="3" t="s">
        <v>7</v>
      </c>
    </row>
    <row r="8056" spans="1:3" ht="13.5" thickBot="1" x14ac:dyDescent="0.25">
      <c r="A8056" s="3">
        <v>6145</v>
      </c>
      <c r="B8056" s="28"/>
      <c r="C8056" s="3" t="s">
        <v>3</v>
      </c>
    </row>
    <row r="8057" spans="1:3" ht="13.5" thickBot="1" x14ac:dyDescent="0.25">
      <c r="A8057" s="3">
        <v>3139</v>
      </c>
      <c r="B8057" s="28"/>
      <c r="C8057" s="3" t="s">
        <v>3</v>
      </c>
    </row>
    <row r="8058" spans="1:3" ht="13.5" thickBot="1" x14ac:dyDescent="0.25">
      <c r="A8058" s="3">
        <v>1919</v>
      </c>
      <c r="B8058" s="28"/>
      <c r="C8058" s="3" t="s">
        <v>4</v>
      </c>
    </row>
    <row r="8059" spans="1:3" ht="13.5" thickBot="1" x14ac:dyDescent="0.25">
      <c r="A8059" s="3">
        <v>4621</v>
      </c>
      <c r="B8059" s="28"/>
      <c r="C8059" s="3" t="s">
        <v>5</v>
      </c>
    </row>
    <row r="8060" spans="1:3" ht="13.5" thickBot="1" x14ac:dyDescent="0.25">
      <c r="A8060" s="3">
        <v>1647</v>
      </c>
      <c r="B8060" s="28"/>
      <c r="C8060" s="3" t="s">
        <v>3</v>
      </c>
    </row>
    <row r="8061" spans="1:3" ht="13.5" thickBot="1" x14ac:dyDescent="0.25">
      <c r="A8061" s="3">
        <v>5909</v>
      </c>
      <c r="B8061" s="28"/>
      <c r="C8061" s="3" t="s">
        <v>7</v>
      </c>
    </row>
    <row r="8062" spans="1:3" ht="13.5" thickBot="1" x14ac:dyDescent="0.25">
      <c r="A8062" s="3">
        <v>4626</v>
      </c>
      <c r="B8062" s="28"/>
      <c r="C8062" s="3" t="s">
        <v>3</v>
      </c>
    </row>
    <row r="8063" spans="1:3" ht="13.5" thickBot="1" x14ac:dyDescent="0.25">
      <c r="A8063" s="3">
        <v>1880</v>
      </c>
      <c r="B8063" s="28"/>
      <c r="C8063" s="3" t="s">
        <v>3</v>
      </c>
    </row>
    <row r="8064" spans="1:3" ht="13.5" thickBot="1" x14ac:dyDescent="0.25">
      <c r="A8064" s="3">
        <v>2005</v>
      </c>
      <c r="B8064" s="28"/>
      <c r="C8064" s="3" t="s">
        <v>3</v>
      </c>
    </row>
    <row r="8065" spans="1:3" ht="13.5" thickBot="1" x14ac:dyDescent="0.25">
      <c r="A8065" s="3">
        <v>6673</v>
      </c>
      <c r="B8065" s="28"/>
      <c r="C8065" s="3" t="s">
        <v>3</v>
      </c>
    </row>
    <row r="8066" spans="1:3" ht="13.5" thickBot="1" x14ac:dyDescent="0.25">
      <c r="A8066" s="3">
        <v>2535</v>
      </c>
      <c r="B8066" s="28"/>
      <c r="C8066" s="3" t="s">
        <v>3</v>
      </c>
    </row>
    <row r="8067" spans="1:3" ht="13.5" thickBot="1" x14ac:dyDescent="0.25">
      <c r="A8067" s="3">
        <v>5005</v>
      </c>
      <c r="B8067" s="28"/>
      <c r="C8067" s="3" t="s">
        <v>4</v>
      </c>
    </row>
    <row r="8068" spans="1:3" ht="13.5" thickBot="1" x14ac:dyDescent="0.25">
      <c r="A8068" s="3">
        <v>4207</v>
      </c>
      <c r="B8068" s="28"/>
      <c r="C8068" s="3" t="s">
        <v>3</v>
      </c>
    </row>
    <row r="8069" spans="1:3" ht="13.5" thickBot="1" x14ac:dyDescent="0.25">
      <c r="A8069" s="3">
        <v>1192</v>
      </c>
      <c r="B8069" s="28"/>
      <c r="C8069" s="3" t="s">
        <v>3</v>
      </c>
    </row>
    <row r="8070" spans="1:3" ht="13.5" thickBot="1" x14ac:dyDescent="0.25">
      <c r="A8070" s="3">
        <v>5045</v>
      </c>
      <c r="B8070" s="28"/>
      <c r="C8070" s="3" t="s">
        <v>7</v>
      </c>
    </row>
    <row r="8071" spans="1:3" ht="13.5" thickBot="1" x14ac:dyDescent="0.25">
      <c r="A8071" s="3">
        <v>2909</v>
      </c>
      <c r="B8071" s="28"/>
      <c r="C8071" s="3" t="s">
        <v>3</v>
      </c>
    </row>
    <row r="8072" spans="1:3" ht="13.5" thickBot="1" x14ac:dyDescent="0.25">
      <c r="A8072" s="3">
        <v>1080</v>
      </c>
      <c r="B8072" s="28"/>
      <c r="C8072" s="3" t="s">
        <v>3</v>
      </c>
    </row>
    <row r="8073" spans="1:3" ht="13.5" thickBot="1" x14ac:dyDescent="0.25">
      <c r="A8073" s="3">
        <v>4843</v>
      </c>
      <c r="B8073" s="28"/>
      <c r="C8073" s="3" t="s">
        <v>6</v>
      </c>
    </row>
    <row r="8074" spans="1:3" ht="13.5" thickBot="1" x14ac:dyDescent="0.25">
      <c r="A8074" s="3">
        <v>6450</v>
      </c>
      <c r="B8074" s="28"/>
      <c r="C8074" s="3" t="s">
        <v>6</v>
      </c>
    </row>
    <row r="8075" spans="1:3" ht="13.5" thickBot="1" x14ac:dyDescent="0.25">
      <c r="A8075" s="3">
        <v>4170</v>
      </c>
      <c r="B8075" s="28"/>
      <c r="C8075" s="3" t="s">
        <v>6</v>
      </c>
    </row>
    <row r="8076" spans="1:3" ht="13.5" thickBot="1" x14ac:dyDescent="0.25">
      <c r="A8076" s="3">
        <v>5199</v>
      </c>
      <c r="B8076" s="28"/>
      <c r="C8076" s="3" t="s">
        <v>6</v>
      </c>
    </row>
    <row r="8077" spans="1:3" ht="13.5" thickBot="1" x14ac:dyDescent="0.25">
      <c r="A8077" s="3">
        <v>7953</v>
      </c>
      <c r="B8077" s="28"/>
      <c r="C8077" s="3" t="s">
        <v>3</v>
      </c>
    </row>
    <row r="8078" spans="1:3" ht="13.5" thickBot="1" x14ac:dyDescent="0.25">
      <c r="A8078" s="3">
        <v>4999</v>
      </c>
      <c r="B8078" s="28"/>
      <c r="C8078" s="3" t="s">
        <v>3</v>
      </c>
    </row>
    <row r="8079" spans="1:3" ht="13.5" thickBot="1" x14ac:dyDescent="0.25">
      <c r="A8079" s="3">
        <v>3183</v>
      </c>
      <c r="B8079" s="28"/>
      <c r="C8079" s="3" t="s">
        <v>5</v>
      </c>
    </row>
    <row r="8080" spans="1:3" ht="13.5" thickBot="1" x14ac:dyDescent="0.25">
      <c r="A8080" s="3">
        <v>4615</v>
      </c>
      <c r="B8080" s="28"/>
      <c r="C8080" s="3" t="s">
        <v>3</v>
      </c>
    </row>
    <row r="8081" spans="1:3" ht="13.5" thickBot="1" x14ac:dyDescent="0.25">
      <c r="A8081" s="3">
        <v>3495</v>
      </c>
      <c r="B8081" s="28"/>
      <c r="C8081" s="3" t="s">
        <v>3</v>
      </c>
    </row>
    <row r="8082" spans="1:3" ht="13.5" thickBot="1" x14ac:dyDescent="0.25">
      <c r="A8082" s="3">
        <v>7252</v>
      </c>
      <c r="B8082" s="28"/>
      <c r="C8082" s="3" t="s">
        <v>5</v>
      </c>
    </row>
    <row r="8083" spans="1:3" ht="13.5" thickBot="1" x14ac:dyDescent="0.25">
      <c r="A8083" s="3">
        <v>7534</v>
      </c>
      <c r="B8083" s="28"/>
      <c r="C8083" s="3" t="s">
        <v>6</v>
      </c>
    </row>
    <row r="8084" spans="1:3" ht="13.5" thickBot="1" x14ac:dyDescent="0.25">
      <c r="A8084" s="3">
        <v>6452</v>
      </c>
      <c r="B8084" s="28"/>
      <c r="C8084" s="3" t="s">
        <v>3</v>
      </c>
    </row>
    <row r="8085" spans="1:3" ht="13.5" thickBot="1" x14ac:dyDescent="0.25">
      <c r="A8085" s="3">
        <v>3392</v>
      </c>
      <c r="B8085" s="28"/>
      <c r="C8085" s="3" t="s">
        <v>3</v>
      </c>
    </row>
    <row r="8086" spans="1:3" ht="13.5" thickBot="1" x14ac:dyDescent="0.25">
      <c r="A8086" s="3">
        <v>3588</v>
      </c>
      <c r="B8086" s="28"/>
      <c r="C8086" s="3" t="s">
        <v>3</v>
      </c>
    </row>
    <row r="8087" spans="1:3" ht="13.5" thickBot="1" x14ac:dyDescent="0.25">
      <c r="A8087" s="3">
        <v>5126</v>
      </c>
      <c r="B8087" s="28"/>
      <c r="C8087" s="3" t="s">
        <v>5</v>
      </c>
    </row>
    <row r="8088" spans="1:3" ht="13.5" thickBot="1" x14ac:dyDescent="0.25">
      <c r="A8088" s="3">
        <v>4621</v>
      </c>
      <c r="B8088" s="28"/>
      <c r="C8088" s="3" t="s">
        <v>6</v>
      </c>
    </row>
    <row r="8089" spans="1:3" ht="13.5" thickBot="1" x14ac:dyDescent="0.25">
      <c r="A8089" s="3">
        <v>4665</v>
      </c>
      <c r="B8089" s="28"/>
      <c r="C8089" s="3" t="s">
        <v>6</v>
      </c>
    </row>
    <row r="8090" spans="1:3" ht="13.5" thickBot="1" x14ac:dyDescent="0.25">
      <c r="A8090" s="3">
        <v>2535</v>
      </c>
      <c r="B8090" s="28"/>
      <c r="C8090" s="3" t="s">
        <v>4</v>
      </c>
    </row>
    <row r="8091" spans="1:3" ht="13.5" thickBot="1" x14ac:dyDescent="0.25">
      <c r="A8091" s="3">
        <v>392</v>
      </c>
      <c r="B8091" s="28"/>
      <c r="C8091" s="3" t="s">
        <v>4</v>
      </c>
    </row>
    <row r="8092" spans="1:3" ht="13.5" thickBot="1" x14ac:dyDescent="0.25">
      <c r="A8092" s="3">
        <v>3669</v>
      </c>
      <c r="B8092" s="28"/>
      <c r="C8092" s="3" t="s">
        <v>3</v>
      </c>
    </row>
    <row r="8093" spans="1:3" ht="13.5" thickBot="1" x14ac:dyDescent="0.25">
      <c r="A8093" s="3">
        <v>7594</v>
      </c>
      <c r="B8093" s="28"/>
      <c r="C8093" s="3" t="s">
        <v>3</v>
      </c>
    </row>
    <row r="8094" spans="1:3" ht="13.5" thickBot="1" x14ac:dyDescent="0.25">
      <c r="A8094" s="3">
        <v>713</v>
      </c>
      <c r="B8094" s="28"/>
      <c r="C8094" s="3" t="s">
        <v>3</v>
      </c>
    </row>
    <row r="8095" spans="1:3" ht="13.5" thickBot="1" x14ac:dyDescent="0.25">
      <c r="A8095" s="3">
        <v>2535</v>
      </c>
      <c r="B8095" s="28"/>
      <c r="C8095" s="3" t="s">
        <v>7</v>
      </c>
    </row>
    <row r="8096" spans="1:3" ht="13.5" thickBot="1" x14ac:dyDescent="0.25">
      <c r="A8096" s="3">
        <v>1916</v>
      </c>
      <c r="B8096" s="28"/>
      <c r="C8096" s="3" t="s">
        <v>3</v>
      </c>
    </row>
    <row r="8097" spans="1:3" ht="13.5" thickBot="1" x14ac:dyDescent="0.25">
      <c r="A8097" s="3">
        <v>7513</v>
      </c>
      <c r="B8097" s="28"/>
      <c r="C8097" s="3" t="s">
        <v>6</v>
      </c>
    </row>
    <row r="8098" spans="1:3" ht="13.5" thickBot="1" x14ac:dyDescent="0.25">
      <c r="A8098" s="3">
        <v>6387</v>
      </c>
      <c r="B8098" s="28"/>
      <c r="C8098" s="3" t="s">
        <v>4</v>
      </c>
    </row>
    <row r="8099" spans="1:3" ht="13.5" thickBot="1" x14ac:dyDescent="0.25">
      <c r="A8099" s="3">
        <v>506</v>
      </c>
      <c r="B8099" s="28"/>
      <c r="C8099" s="3" t="s">
        <v>7</v>
      </c>
    </row>
    <row r="8100" spans="1:3" ht="13.5" thickBot="1" x14ac:dyDescent="0.25">
      <c r="A8100" s="3">
        <v>2418</v>
      </c>
      <c r="B8100" s="28"/>
      <c r="C8100" s="3" t="s">
        <v>4</v>
      </c>
    </row>
    <row r="8101" spans="1:3" ht="13.5" thickBot="1" x14ac:dyDescent="0.25">
      <c r="A8101" s="3">
        <v>1189</v>
      </c>
      <c r="B8101" s="28"/>
      <c r="C8101" s="3" t="s">
        <v>4</v>
      </c>
    </row>
    <row r="8102" spans="1:3" ht="13.5" thickBot="1" x14ac:dyDescent="0.25">
      <c r="A8102" s="3">
        <v>3975</v>
      </c>
      <c r="B8102" s="28"/>
      <c r="C8102" s="3" t="s">
        <v>3</v>
      </c>
    </row>
    <row r="8103" spans="1:3" ht="13.5" thickBot="1" x14ac:dyDescent="0.25">
      <c r="A8103" s="3">
        <v>4429</v>
      </c>
      <c r="B8103" s="28"/>
      <c r="C8103" s="3" t="s">
        <v>3</v>
      </c>
    </row>
    <row r="8104" spans="1:3" ht="13.5" thickBot="1" x14ac:dyDescent="0.25">
      <c r="A8104" s="3">
        <v>2005</v>
      </c>
      <c r="B8104" s="28"/>
      <c r="C8104" s="3" t="s">
        <v>4</v>
      </c>
    </row>
    <row r="8105" spans="1:3" ht="13.5" thickBot="1" x14ac:dyDescent="0.25">
      <c r="A8105" s="3">
        <v>7919</v>
      </c>
      <c r="B8105" s="28"/>
      <c r="C8105" s="3" t="s">
        <v>5</v>
      </c>
    </row>
    <row r="8106" spans="1:3" ht="13.5" thickBot="1" x14ac:dyDescent="0.25">
      <c r="A8106" s="3">
        <v>3180</v>
      </c>
      <c r="B8106" s="28"/>
      <c r="C8106" s="3" t="s">
        <v>4</v>
      </c>
    </row>
    <row r="8107" spans="1:3" ht="13.5" thickBot="1" x14ac:dyDescent="0.25">
      <c r="A8107" s="3">
        <v>7909</v>
      </c>
      <c r="B8107" s="28"/>
      <c r="C8107" s="3" t="s">
        <v>3</v>
      </c>
    </row>
    <row r="8108" spans="1:3" ht="13.5" thickBot="1" x14ac:dyDescent="0.25">
      <c r="A8108" s="3">
        <v>506</v>
      </c>
      <c r="B8108" s="28"/>
      <c r="C8108" s="3" t="s">
        <v>6</v>
      </c>
    </row>
    <row r="8109" spans="1:3" ht="13.5" thickBot="1" x14ac:dyDescent="0.25">
      <c r="A8109" s="3">
        <v>7556</v>
      </c>
      <c r="B8109" s="28"/>
      <c r="C8109" s="3" t="s">
        <v>3</v>
      </c>
    </row>
    <row r="8110" spans="1:3" ht="13.5" thickBot="1" x14ac:dyDescent="0.25">
      <c r="A8110" s="3">
        <v>6225</v>
      </c>
      <c r="B8110" s="28"/>
      <c r="C8110" s="3" t="s">
        <v>3</v>
      </c>
    </row>
    <row r="8111" spans="1:3" ht="13.5" thickBot="1" x14ac:dyDescent="0.25">
      <c r="A8111" s="3">
        <v>2826</v>
      </c>
      <c r="B8111" s="28"/>
      <c r="C8111" s="3" t="s">
        <v>6</v>
      </c>
    </row>
    <row r="8112" spans="1:3" ht="13.5" thickBot="1" x14ac:dyDescent="0.25">
      <c r="A8112" s="3">
        <v>7451</v>
      </c>
      <c r="B8112" s="28"/>
      <c r="C8112" s="3" t="s">
        <v>6</v>
      </c>
    </row>
    <row r="8113" spans="1:3" ht="13.5" thickBot="1" x14ac:dyDescent="0.25">
      <c r="A8113" s="3">
        <v>3139</v>
      </c>
      <c r="B8113" s="28"/>
      <c r="C8113" s="3" t="s">
        <v>4</v>
      </c>
    </row>
    <row r="8114" spans="1:3" ht="13.5" thickBot="1" x14ac:dyDescent="0.25">
      <c r="A8114" s="3">
        <v>7221</v>
      </c>
      <c r="B8114" s="28"/>
      <c r="C8114" s="3" t="s">
        <v>6</v>
      </c>
    </row>
    <row r="8115" spans="1:3" ht="13.5" thickBot="1" x14ac:dyDescent="0.25">
      <c r="A8115" s="3">
        <v>5061</v>
      </c>
      <c r="B8115" s="28"/>
      <c r="C8115" s="3" t="s">
        <v>5</v>
      </c>
    </row>
    <row r="8116" spans="1:3" ht="13.5" thickBot="1" x14ac:dyDescent="0.25">
      <c r="A8116" s="3">
        <v>4330</v>
      </c>
      <c r="B8116" s="28"/>
      <c r="C8116" s="3" t="s">
        <v>3</v>
      </c>
    </row>
    <row r="8117" spans="1:3" ht="13.5" thickBot="1" x14ac:dyDescent="0.25">
      <c r="A8117" s="3">
        <v>1657</v>
      </c>
      <c r="B8117" s="28"/>
      <c r="C8117" s="3" t="s">
        <v>4</v>
      </c>
    </row>
    <row r="8118" spans="1:3" ht="13.5" thickBot="1" x14ac:dyDescent="0.25">
      <c r="A8118" s="3">
        <v>6225</v>
      </c>
      <c r="B8118" s="28"/>
      <c r="C8118" s="3" t="s">
        <v>4</v>
      </c>
    </row>
    <row r="8119" spans="1:3" ht="13.5" thickBot="1" x14ac:dyDescent="0.25">
      <c r="A8119" s="3">
        <v>1913</v>
      </c>
      <c r="B8119" s="28"/>
      <c r="C8119" s="3" t="s">
        <v>4</v>
      </c>
    </row>
    <row r="8120" spans="1:3" ht="13.5" thickBot="1" x14ac:dyDescent="0.25">
      <c r="A8120" s="3">
        <v>6079</v>
      </c>
      <c r="B8120" s="28"/>
      <c r="C8120" s="3" t="s">
        <v>3</v>
      </c>
    </row>
    <row r="8121" spans="1:3" ht="13.5" thickBot="1" x14ac:dyDescent="0.25">
      <c r="A8121" s="3">
        <v>659</v>
      </c>
      <c r="B8121" s="28"/>
      <c r="C8121" s="3" t="s">
        <v>3</v>
      </c>
    </row>
    <row r="8122" spans="1:3" ht="13.5" thickBot="1" x14ac:dyDescent="0.25">
      <c r="A8122" s="3">
        <v>6174</v>
      </c>
      <c r="B8122" s="28"/>
      <c r="C8122" s="3" t="s">
        <v>6</v>
      </c>
    </row>
    <row r="8123" spans="1:3" ht="13.5" thickBot="1" x14ac:dyDescent="0.25">
      <c r="A8123" s="3">
        <v>129</v>
      </c>
      <c r="B8123" s="28"/>
      <c r="C8123" s="3" t="s">
        <v>3</v>
      </c>
    </row>
    <row r="8124" spans="1:3" ht="13.5" thickBot="1" x14ac:dyDescent="0.25">
      <c r="A8124" s="3">
        <v>1657</v>
      </c>
      <c r="B8124" s="28"/>
      <c r="C8124" s="3" t="s">
        <v>3</v>
      </c>
    </row>
    <row r="8125" spans="1:3" ht="13.5" thickBot="1" x14ac:dyDescent="0.25">
      <c r="A8125" s="3">
        <v>3056</v>
      </c>
      <c r="B8125" s="28"/>
      <c r="C8125" s="3" t="s">
        <v>3</v>
      </c>
    </row>
    <row r="8126" spans="1:3" ht="13.5" thickBot="1" x14ac:dyDescent="0.25">
      <c r="A8126" s="3">
        <v>6987</v>
      </c>
      <c r="B8126" s="28"/>
      <c r="C8126" s="3" t="s">
        <v>3</v>
      </c>
    </row>
    <row r="8127" spans="1:3" ht="13.5" thickBot="1" x14ac:dyDescent="0.25">
      <c r="A8127" s="3">
        <v>3428</v>
      </c>
      <c r="B8127" s="28"/>
      <c r="C8127" s="3" t="s">
        <v>3</v>
      </c>
    </row>
    <row r="8128" spans="1:3" ht="13.5" thickBot="1" x14ac:dyDescent="0.25">
      <c r="A8128" s="3">
        <v>4185</v>
      </c>
      <c r="B8128" s="28"/>
      <c r="C8128" s="3" t="s">
        <v>6</v>
      </c>
    </row>
    <row r="8129" spans="1:3" ht="13.5" thickBot="1" x14ac:dyDescent="0.25">
      <c r="A8129" s="3">
        <v>3939</v>
      </c>
      <c r="B8129" s="28"/>
      <c r="C8129" s="3" t="s">
        <v>4</v>
      </c>
    </row>
    <row r="8130" spans="1:3" ht="13.5" thickBot="1" x14ac:dyDescent="0.25">
      <c r="A8130" s="3">
        <v>2406</v>
      </c>
      <c r="B8130" s="28"/>
      <c r="C8130" s="3" t="s">
        <v>3</v>
      </c>
    </row>
    <row r="8131" spans="1:3" ht="13.5" thickBot="1" x14ac:dyDescent="0.25">
      <c r="A8131" s="3">
        <v>762</v>
      </c>
      <c r="B8131" s="28"/>
      <c r="C8131" s="3" t="s">
        <v>7</v>
      </c>
    </row>
    <row r="8132" spans="1:3" ht="13.5" thickBot="1" x14ac:dyDescent="0.25">
      <c r="A8132" s="3">
        <v>5437</v>
      </c>
      <c r="B8132" s="28"/>
      <c r="C8132" s="3" t="s">
        <v>3</v>
      </c>
    </row>
    <row r="8133" spans="1:3" ht="13.5" thickBot="1" x14ac:dyDescent="0.25">
      <c r="A8133" s="3">
        <v>4999</v>
      </c>
      <c r="B8133" s="28"/>
      <c r="C8133" s="3" t="s">
        <v>4</v>
      </c>
    </row>
    <row r="8134" spans="1:3" ht="13.5" thickBot="1" x14ac:dyDescent="0.25">
      <c r="A8134" s="3">
        <v>958</v>
      </c>
      <c r="B8134" s="28"/>
      <c r="C8134" s="3" t="s">
        <v>6</v>
      </c>
    </row>
    <row r="8135" spans="1:3" ht="13.5" thickBot="1" x14ac:dyDescent="0.25">
      <c r="A8135" s="3">
        <v>4111</v>
      </c>
      <c r="B8135" s="28"/>
      <c r="C8135" s="3" t="s">
        <v>7</v>
      </c>
    </row>
    <row r="8136" spans="1:3" ht="13.5" thickBot="1" x14ac:dyDescent="0.25">
      <c r="A8136" s="3">
        <v>1510</v>
      </c>
      <c r="B8136" s="28"/>
      <c r="C8136" s="3" t="s">
        <v>3</v>
      </c>
    </row>
    <row r="8137" spans="1:3" ht="13.5" thickBot="1" x14ac:dyDescent="0.25">
      <c r="A8137" s="3">
        <v>5964</v>
      </c>
      <c r="B8137" s="28"/>
      <c r="C8137" s="3" t="s">
        <v>3</v>
      </c>
    </row>
    <row r="8138" spans="1:3" ht="13.5" thickBot="1" x14ac:dyDescent="0.25">
      <c r="A8138" s="3">
        <v>6295</v>
      </c>
      <c r="B8138" s="28"/>
      <c r="C8138" s="3" t="s">
        <v>4</v>
      </c>
    </row>
    <row r="8139" spans="1:3" ht="13.5" thickBot="1" x14ac:dyDescent="0.25">
      <c r="A8139" s="3">
        <v>3856</v>
      </c>
      <c r="B8139" s="28"/>
      <c r="C8139" s="3" t="s">
        <v>3</v>
      </c>
    </row>
    <row r="8140" spans="1:3" ht="13.5" thickBot="1" x14ac:dyDescent="0.25">
      <c r="A8140" s="3">
        <v>347</v>
      </c>
      <c r="B8140" s="28"/>
      <c r="C8140" s="3" t="s">
        <v>3</v>
      </c>
    </row>
    <row r="8141" spans="1:3" ht="13.5" thickBot="1" x14ac:dyDescent="0.25">
      <c r="A8141" s="3">
        <v>6295</v>
      </c>
      <c r="B8141" s="28"/>
      <c r="C8141" s="3" t="s">
        <v>3</v>
      </c>
    </row>
    <row r="8142" spans="1:3" ht="13.5" thickBot="1" x14ac:dyDescent="0.25">
      <c r="A8142" s="3">
        <v>7594</v>
      </c>
      <c r="B8142" s="28"/>
      <c r="C8142" s="3" t="s">
        <v>4</v>
      </c>
    </row>
    <row r="8143" spans="1:3" ht="13.5" thickBot="1" x14ac:dyDescent="0.25">
      <c r="A8143" s="3">
        <v>4852</v>
      </c>
      <c r="B8143" s="28"/>
      <c r="C8143" s="3" t="s">
        <v>4</v>
      </c>
    </row>
    <row r="8144" spans="1:3" ht="13.5" thickBot="1" x14ac:dyDescent="0.25">
      <c r="A8144" s="3">
        <v>3738</v>
      </c>
      <c r="B8144" s="28"/>
      <c r="C8144" s="3" t="s">
        <v>4</v>
      </c>
    </row>
    <row r="8145" spans="1:3" ht="13.5" thickBot="1" x14ac:dyDescent="0.25">
      <c r="A8145" s="3">
        <v>6979</v>
      </c>
      <c r="B8145" s="28"/>
      <c r="C8145" s="3" t="s">
        <v>4</v>
      </c>
    </row>
    <row r="8146" spans="1:3" ht="13.5" thickBot="1" x14ac:dyDescent="0.25">
      <c r="A8146" s="3">
        <v>5500</v>
      </c>
      <c r="B8146" s="28"/>
      <c r="C8146" s="3" t="s">
        <v>6</v>
      </c>
    </row>
    <row r="8147" spans="1:3" ht="13.5" thickBot="1" x14ac:dyDescent="0.25">
      <c r="A8147" s="3">
        <v>347</v>
      </c>
      <c r="B8147" s="28"/>
      <c r="C8147" s="3" t="s">
        <v>4</v>
      </c>
    </row>
    <row r="8148" spans="1:3" ht="13.5" thickBot="1" x14ac:dyDescent="0.25">
      <c r="A8148" s="3">
        <v>5650</v>
      </c>
      <c r="B8148" s="28"/>
      <c r="C8148" s="3" t="s">
        <v>6</v>
      </c>
    </row>
    <row r="8149" spans="1:3" ht="13.5" thickBot="1" x14ac:dyDescent="0.25">
      <c r="A8149" s="3">
        <v>6314</v>
      </c>
      <c r="B8149" s="28"/>
      <c r="C8149" s="3" t="s">
        <v>3</v>
      </c>
    </row>
    <row r="8150" spans="1:3" ht="13.5" thickBot="1" x14ac:dyDescent="0.25">
      <c r="A8150" s="3">
        <v>2163</v>
      </c>
      <c r="B8150" s="28"/>
      <c r="C8150" s="3" t="s">
        <v>3</v>
      </c>
    </row>
    <row r="8151" spans="1:3" ht="13.5" thickBot="1" x14ac:dyDescent="0.25">
      <c r="A8151" s="3">
        <v>3917</v>
      </c>
      <c r="B8151" s="28"/>
      <c r="C8151" s="3" t="s">
        <v>5</v>
      </c>
    </row>
    <row r="8152" spans="1:3" ht="13.5" thickBot="1" x14ac:dyDescent="0.25">
      <c r="A8152" s="3">
        <v>4540</v>
      </c>
      <c r="B8152" s="28"/>
      <c r="C8152" s="3" t="s">
        <v>6</v>
      </c>
    </row>
    <row r="8153" spans="1:3" ht="13.5" thickBot="1" x14ac:dyDescent="0.25">
      <c r="A8153" s="3">
        <v>7252</v>
      </c>
      <c r="B8153" s="28"/>
      <c r="C8153" s="3" t="s">
        <v>4</v>
      </c>
    </row>
    <row r="8154" spans="1:3" ht="13.5" thickBot="1" x14ac:dyDescent="0.25">
      <c r="A8154" s="3">
        <v>956</v>
      </c>
      <c r="B8154" s="28"/>
      <c r="C8154" s="3" t="s">
        <v>3</v>
      </c>
    </row>
    <row r="8155" spans="1:3" ht="13.5" thickBot="1" x14ac:dyDescent="0.25">
      <c r="A8155" s="3">
        <v>3323</v>
      </c>
      <c r="B8155" s="28"/>
      <c r="C8155" s="3" t="s">
        <v>3</v>
      </c>
    </row>
    <row r="8156" spans="1:3" ht="13.5" thickBot="1" x14ac:dyDescent="0.25">
      <c r="A8156" s="3">
        <v>3439</v>
      </c>
      <c r="B8156" s="28"/>
      <c r="C8156" s="3" t="s">
        <v>4</v>
      </c>
    </row>
    <row r="8157" spans="1:3" ht="13.5" thickBot="1" x14ac:dyDescent="0.25">
      <c r="A8157" s="3">
        <v>1080</v>
      </c>
      <c r="B8157" s="28"/>
      <c r="C8157" s="3" t="s">
        <v>5</v>
      </c>
    </row>
    <row r="8158" spans="1:3" ht="13.5" thickBot="1" x14ac:dyDescent="0.25">
      <c r="A8158" s="3">
        <v>2226</v>
      </c>
      <c r="B8158" s="28"/>
      <c r="C8158" s="3" t="s">
        <v>6</v>
      </c>
    </row>
    <row r="8159" spans="1:3" ht="13.5" thickBot="1" x14ac:dyDescent="0.25">
      <c r="A8159" s="3">
        <v>4621</v>
      </c>
      <c r="B8159" s="28"/>
      <c r="C8159" s="3" t="s">
        <v>7</v>
      </c>
    </row>
    <row r="8160" spans="1:3" ht="13.5" thickBot="1" x14ac:dyDescent="0.25">
      <c r="A8160" s="3">
        <v>1596</v>
      </c>
      <c r="B8160" s="28"/>
      <c r="C8160" s="3" t="s">
        <v>3</v>
      </c>
    </row>
    <row r="8161" spans="1:3" ht="13.5" thickBot="1" x14ac:dyDescent="0.25">
      <c r="A8161" s="3">
        <v>287</v>
      </c>
      <c r="B8161" s="28"/>
      <c r="C8161" s="3" t="s">
        <v>6</v>
      </c>
    </row>
    <row r="8162" spans="1:3" ht="13.5" thickBot="1" x14ac:dyDescent="0.25">
      <c r="A8162" s="3">
        <v>2941</v>
      </c>
      <c r="B8162" s="28"/>
      <c r="C8162" s="3" t="s">
        <v>3</v>
      </c>
    </row>
    <row r="8163" spans="1:3" ht="13.5" thickBot="1" x14ac:dyDescent="0.25">
      <c r="A8163" s="3">
        <v>3323</v>
      </c>
      <c r="B8163" s="28"/>
      <c r="C8163" s="3" t="s">
        <v>5</v>
      </c>
    </row>
    <row r="8164" spans="1:3" ht="13.5" thickBot="1" x14ac:dyDescent="0.25">
      <c r="A8164" s="3">
        <v>3917</v>
      </c>
      <c r="B8164" s="28"/>
      <c r="C8164" s="3" t="s">
        <v>6</v>
      </c>
    </row>
    <row r="8165" spans="1:3" ht="13.5" thickBot="1" x14ac:dyDescent="0.25">
      <c r="A8165" s="3">
        <v>7556</v>
      </c>
      <c r="B8165" s="28"/>
      <c r="C8165" s="3" t="s">
        <v>4</v>
      </c>
    </row>
    <row r="8166" spans="1:3" ht="13.5" thickBot="1" x14ac:dyDescent="0.25">
      <c r="A8166" s="3">
        <v>1080</v>
      </c>
      <c r="B8166" s="28"/>
      <c r="C8166" s="3" t="s">
        <v>4</v>
      </c>
    </row>
    <row r="8167" spans="1:3" ht="13.5" thickBot="1" x14ac:dyDescent="0.25">
      <c r="A8167" s="3">
        <v>1125</v>
      </c>
      <c r="B8167" s="28"/>
      <c r="C8167" s="3" t="s">
        <v>3</v>
      </c>
    </row>
    <row r="8168" spans="1:3" ht="13.5" thickBot="1" x14ac:dyDescent="0.25">
      <c r="A8168" s="3">
        <v>6424</v>
      </c>
      <c r="B8168" s="28"/>
      <c r="C8168" s="3" t="s">
        <v>3</v>
      </c>
    </row>
    <row r="8169" spans="1:3" ht="13.5" thickBot="1" x14ac:dyDescent="0.25">
      <c r="A8169" s="3">
        <v>1913</v>
      </c>
      <c r="B8169" s="28"/>
      <c r="C8169" s="3" t="s">
        <v>7</v>
      </c>
    </row>
    <row r="8170" spans="1:3" ht="13.5" thickBot="1" x14ac:dyDescent="0.25">
      <c r="A8170" s="3">
        <v>5769</v>
      </c>
      <c r="B8170" s="28"/>
      <c r="C8170" s="3" t="s">
        <v>6</v>
      </c>
    </row>
    <row r="8171" spans="1:3" ht="13.5" thickBot="1" x14ac:dyDescent="0.25">
      <c r="A8171" s="3">
        <v>6832</v>
      </c>
      <c r="B8171" s="28"/>
      <c r="C8171" s="3" t="s">
        <v>4</v>
      </c>
    </row>
    <row r="8172" spans="1:3" ht="13.5" thickBot="1" x14ac:dyDescent="0.25">
      <c r="A8172" s="3">
        <v>4616</v>
      </c>
      <c r="B8172" s="28"/>
      <c r="C8172" s="3" t="s">
        <v>6</v>
      </c>
    </row>
    <row r="8173" spans="1:3" ht="13.5" thickBot="1" x14ac:dyDescent="0.25">
      <c r="A8173" s="3">
        <v>5992</v>
      </c>
      <c r="B8173" s="28"/>
      <c r="C8173" s="3" t="s">
        <v>3</v>
      </c>
    </row>
    <row r="8174" spans="1:3" ht="13.5" thickBot="1" x14ac:dyDescent="0.25">
      <c r="A8174" s="3">
        <v>7451</v>
      </c>
      <c r="B8174" s="28"/>
      <c r="C8174" s="3" t="s">
        <v>5</v>
      </c>
    </row>
    <row r="8175" spans="1:3" ht="13.5" thickBot="1" x14ac:dyDescent="0.25">
      <c r="A8175" s="3">
        <v>7966</v>
      </c>
      <c r="B8175" s="28"/>
      <c r="C8175" s="3" t="s">
        <v>3</v>
      </c>
    </row>
    <row r="8176" spans="1:3" ht="13.5" thickBot="1" x14ac:dyDescent="0.25">
      <c r="A8176" s="3">
        <v>4287</v>
      </c>
      <c r="B8176" s="28"/>
      <c r="C8176" s="3" t="s">
        <v>3</v>
      </c>
    </row>
    <row r="8177" spans="1:3" ht="13.5" thickBot="1" x14ac:dyDescent="0.25">
      <c r="A8177" s="3">
        <v>6320</v>
      </c>
      <c r="B8177" s="28"/>
      <c r="C8177" s="3" t="s">
        <v>7</v>
      </c>
    </row>
    <row r="8178" spans="1:3" ht="13.5" thickBot="1" x14ac:dyDescent="0.25">
      <c r="A8178" s="3">
        <v>3423</v>
      </c>
      <c r="B8178" s="28"/>
      <c r="C8178" s="3" t="s">
        <v>5</v>
      </c>
    </row>
    <row r="8179" spans="1:3" ht="13.5" thickBot="1" x14ac:dyDescent="0.25">
      <c r="A8179" s="3">
        <v>4563</v>
      </c>
      <c r="B8179" s="28"/>
      <c r="C8179" s="3" t="s">
        <v>6</v>
      </c>
    </row>
    <row r="8180" spans="1:3" ht="13.5" thickBot="1" x14ac:dyDescent="0.25">
      <c r="A8180" s="3">
        <v>2406</v>
      </c>
      <c r="B8180" s="28"/>
      <c r="C8180" s="3" t="s">
        <v>4</v>
      </c>
    </row>
    <row r="8181" spans="1:3" ht="13.5" thickBot="1" x14ac:dyDescent="0.25">
      <c r="A8181" s="3">
        <v>4429</v>
      </c>
      <c r="B8181" s="28"/>
      <c r="C8181" s="3" t="s">
        <v>4</v>
      </c>
    </row>
    <row r="8182" spans="1:3" ht="13.5" thickBot="1" x14ac:dyDescent="0.25">
      <c r="A8182" s="3">
        <v>470</v>
      </c>
      <c r="B8182" s="28"/>
      <c r="C8182" s="3" t="s">
        <v>6</v>
      </c>
    </row>
    <row r="8183" spans="1:3" ht="13.5" thickBot="1" x14ac:dyDescent="0.25">
      <c r="A8183" s="3">
        <v>3502</v>
      </c>
      <c r="B8183" s="28"/>
      <c r="C8183" s="3" t="s">
        <v>5</v>
      </c>
    </row>
    <row r="8184" spans="1:3" ht="13.5" thickBot="1" x14ac:dyDescent="0.25">
      <c r="A8184" s="3">
        <v>4137</v>
      </c>
      <c r="B8184" s="28"/>
      <c r="C8184" s="3" t="s">
        <v>3</v>
      </c>
    </row>
    <row r="8185" spans="1:3" ht="13.5" thickBot="1" x14ac:dyDescent="0.25">
      <c r="A8185" s="3">
        <v>3363</v>
      </c>
      <c r="B8185" s="28"/>
      <c r="C8185" s="3" t="s">
        <v>5</v>
      </c>
    </row>
    <row r="8186" spans="1:3" ht="13.5" thickBot="1" x14ac:dyDescent="0.25">
      <c r="A8186" s="3">
        <v>1873</v>
      </c>
      <c r="B8186" s="28"/>
      <c r="C8186" s="3" t="s">
        <v>3</v>
      </c>
    </row>
    <row r="8187" spans="1:3" ht="13.5" thickBot="1" x14ac:dyDescent="0.25">
      <c r="A8187" s="3">
        <v>2657</v>
      </c>
      <c r="B8187" s="28"/>
      <c r="C8187" s="3" t="s">
        <v>3</v>
      </c>
    </row>
    <row r="8188" spans="1:3" ht="13.5" thickBot="1" x14ac:dyDescent="0.25">
      <c r="A8188" s="3">
        <v>1887</v>
      </c>
      <c r="B8188" s="28"/>
      <c r="C8188" s="3" t="s">
        <v>3</v>
      </c>
    </row>
    <row r="8189" spans="1:3" ht="13.5" thickBot="1" x14ac:dyDescent="0.25">
      <c r="A8189" s="3">
        <v>5081</v>
      </c>
      <c r="B8189" s="28"/>
      <c r="C8189" s="3" t="s">
        <v>3</v>
      </c>
    </row>
    <row r="8190" spans="1:3" ht="13.5" thickBot="1" x14ac:dyDescent="0.25">
      <c r="A8190" s="3">
        <v>6118</v>
      </c>
      <c r="B8190" s="28"/>
      <c r="C8190" s="3" t="s">
        <v>3</v>
      </c>
    </row>
    <row r="8191" spans="1:3" ht="13.5" thickBot="1" x14ac:dyDescent="0.25">
      <c r="A8191" s="3">
        <v>5126</v>
      </c>
      <c r="B8191" s="28"/>
      <c r="C8191" s="3" t="s">
        <v>7</v>
      </c>
    </row>
    <row r="8192" spans="1:3" ht="13.5" thickBot="1" x14ac:dyDescent="0.25">
      <c r="A8192" s="3">
        <v>2777</v>
      </c>
      <c r="B8192" s="28"/>
      <c r="C8192" s="3" t="s">
        <v>5</v>
      </c>
    </row>
    <row r="8193" spans="1:3" ht="13.5" thickBot="1" x14ac:dyDescent="0.25">
      <c r="A8193" s="3">
        <v>7252</v>
      </c>
      <c r="B8193" s="28"/>
      <c r="C8193" s="3" t="s">
        <v>6</v>
      </c>
    </row>
    <row r="8194" spans="1:3" ht="13.5" thickBot="1" x14ac:dyDescent="0.25">
      <c r="A8194" s="3">
        <v>7742</v>
      </c>
      <c r="B8194" s="28"/>
      <c r="C8194" s="3" t="s">
        <v>6</v>
      </c>
    </row>
    <row r="8195" spans="1:3" ht="13.5" thickBot="1" x14ac:dyDescent="0.25">
      <c r="A8195" s="3">
        <v>5317</v>
      </c>
      <c r="B8195" s="28"/>
      <c r="C8195" s="3" t="s">
        <v>3</v>
      </c>
    </row>
    <row r="8196" spans="1:3" ht="13.5" thickBot="1" x14ac:dyDescent="0.25">
      <c r="A8196" s="3">
        <v>6692</v>
      </c>
      <c r="B8196" s="28"/>
      <c r="C8196" s="3" t="s">
        <v>3</v>
      </c>
    </row>
    <row r="8197" spans="1:3" ht="13.5" thickBot="1" x14ac:dyDescent="0.25">
      <c r="A8197" s="3">
        <v>3179</v>
      </c>
      <c r="B8197" s="28"/>
      <c r="C8197" s="3" t="s">
        <v>3</v>
      </c>
    </row>
    <row r="8198" spans="1:3" ht="13.5" thickBot="1" x14ac:dyDescent="0.25">
      <c r="A8198" s="3">
        <v>170</v>
      </c>
      <c r="B8198" s="28"/>
      <c r="C8198" s="3" t="s">
        <v>6</v>
      </c>
    </row>
    <row r="8199" spans="1:3" ht="13.5" thickBot="1" x14ac:dyDescent="0.25">
      <c r="A8199" s="3">
        <v>3439</v>
      </c>
      <c r="B8199" s="28"/>
      <c r="C8199" s="3" t="s">
        <v>7</v>
      </c>
    </row>
    <row r="8200" spans="1:3" ht="13.5" thickBot="1" x14ac:dyDescent="0.25">
      <c r="A8200" s="3">
        <v>3423</v>
      </c>
      <c r="B8200" s="28"/>
      <c r="C8200" s="3" t="s">
        <v>7</v>
      </c>
    </row>
    <row r="8201" spans="1:3" ht="13.5" thickBot="1" x14ac:dyDescent="0.25">
      <c r="A8201" s="3">
        <v>6768</v>
      </c>
      <c r="B8201" s="28"/>
      <c r="C8201" s="3" t="s">
        <v>3</v>
      </c>
    </row>
    <row r="8202" spans="1:3" ht="13.5" thickBot="1" x14ac:dyDescent="0.25">
      <c r="A8202" s="3">
        <v>3917</v>
      </c>
      <c r="B8202" s="28"/>
      <c r="C8202" s="3" t="s">
        <v>7</v>
      </c>
    </row>
    <row r="8203" spans="1:3" ht="13.5" thickBot="1" x14ac:dyDescent="0.25">
      <c r="A8203" s="3">
        <v>3363</v>
      </c>
      <c r="B8203" s="28"/>
      <c r="C8203" s="3" t="s">
        <v>3</v>
      </c>
    </row>
    <row r="8204" spans="1:3" ht="13.5" thickBot="1" x14ac:dyDescent="0.25">
      <c r="A8204" s="3">
        <v>2535</v>
      </c>
      <c r="B8204" s="28"/>
      <c r="C8204" s="3" t="s">
        <v>5</v>
      </c>
    </row>
    <row r="8205" spans="1:3" ht="13.5" thickBot="1" x14ac:dyDescent="0.25">
      <c r="A8205" s="3">
        <v>6572</v>
      </c>
      <c r="B8205" s="28"/>
      <c r="C8205" s="3" t="s">
        <v>3</v>
      </c>
    </row>
    <row r="8206" spans="1:3" ht="13.5" thickBot="1" x14ac:dyDescent="0.25">
      <c r="A8206" s="3">
        <v>3502</v>
      </c>
      <c r="B8206" s="28"/>
      <c r="C8206" s="3" t="s">
        <v>3</v>
      </c>
    </row>
    <row r="8207" spans="1:3" ht="13.5" thickBot="1" x14ac:dyDescent="0.25">
      <c r="A8207" s="3">
        <v>2228</v>
      </c>
      <c r="B8207" s="28"/>
      <c r="C8207" s="3" t="s">
        <v>3</v>
      </c>
    </row>
    <row r="8208" spans="1:3" ht="13.5" thickBot="1" x14ac:dyDescent="0.25">
      <c r="A8208" s="3">
        <v>6632</v>
      </c>
      <c r="B8208" s="28"/>
      <c r="C8208" s="3" t="s">
        <v>6</v>
      </c>
    </row>
    <row r="8209" spans="1:3" ht="13.5" thickBot="1" x14ac:dyDescent="0.25">
      <c r="A8209" s="3">
        <v>6424</v>
      </c>
      <c r="B8209" s="28"/>
      <c r="C8209" s="3" t="s">
        <v>5</v>
      </c>
    </row>
    <row r="8210" spans="1:3" ht="13.5" thickBot="1" x14ac:dyDescent="0.25">
      <c r="A8210" s="3">
        <v>5647</v>
      </c>
      <c r="B8210" s="28"/>
      <c r="C8210" s="3" t="s">
        <v>3</v>
      </c>
    </row>
    <row r="8211" spans="1:3" ht="13.5" thickBot="1" x14ac:dyDescent="0.25">
      <c r="A8211" s="3">
        <v>2517</v>
      </c>
      <c r="B8211" s="28"/>
      <c r="C8211" s="3" t="s">
        <v>4</v>
      </c>
    </row>
    <row r="8212" spans="1:3" ht="13.5" thickBot="1" x14ac:dyDescent="0.25">
      <c r="A8212" s="3">
        <v>2640</v>
      </c>
      <c r="B8212" s="28"/>
      <c r="C8212" s="3" t="s">
        <v>3</v>
      </c>
    </row>
    <row r="8213" spans="1:3" ht="13.5" thickBot="1" x14ac:dyDescent="0.25">
      <c r="A8213" s="3">
        <v>1887</v>
      </c>
      <c r="B8213" s="28"/>
      <c r="C8213" s="3" t="s">
        <v>4</v>
      </c>
    </row>
    <row r="8214" spans="1:3" ht="13.5" thickBot="1" x14ac:dyDescent="0.25">
      <c r="A8214" s="3">
        <v>2517</v>
      </c>
      <c r="B8214" s="28"/>
      <c r="C8214" s="3" t="s">
        <v>5</v>
      </c>
    </row>
    <row r="8215" spans="1:3" ht="13.5" thickBot="1" x14ac:dyDescent="0.25">
      <c r="A8215" s="3">
        <v>2228</v>
      </c>
      <c r="B8215" s="28"/>
      <c r="C8215" s="3" t="s">
        <v>4</v>
      </c>
    </row>
    <row r="8216" spans="1:3" ht="13.5" thickBot="1" x14ac:dyDescent="0.25">
      <c r="A8216" s="3">
        <v>2419</v>
      </c>
      <c r="B8216" s="28"/>
      <c r="C8216" s="3" t="s">
        <v>6</v>
      </c>
    </row>
    <row r="8217" spans="1:3" ht="13.5" thickBot="1" x14ac:dyDescent="0.25">
      <c r="A8217" s="3">
        <v>1916</v>
      </c>
      <c r="B8217" s="28"/>
      <c r="C8217" s="3" t="s">
        <v>4</v>
      </c>
    </row>
    <row r="8218" spans="1:3" ht="13.5" thickBot="1" x14ac:dyDescent="0.25">
      <c r="A8218" s="3">
        <v>6854</v>
      </c>
      <c r="B8218" s="28"/>
      <c r="C8218" s="3" t="s">
        <v>3</v>
      </c>
    </row>
    <row r="8219" spans="1:3" ht="13.5" thickBot="1" x14ac:dyDescent="0.25">
      <c r="A8219" s="3">
        <v>5118</v>
      </c>
      <c r="B8219" s="28"/>
      <c r="C8219" s="3" t="s">
        <v>3</v>
      </c>
    </row>
    <row r="8220" spans="1:3" ht="13.5" thickBot="1" x14ac:dyDescent="0.25">
      <c r="A8220" s="3">
        <v>1481</v>
      </c>
      <c r="B8220" s="28"/>
      <c r="C8220" s="3" t="s">
        <v>6</v>
      </c>
    </row>
    <row r="8221" spans="1:3" ht="13.5" thickBot="1" x14ac:dyDescent="0.25">
      <c r="A8221" s="3">
        <v>4429</v>
      </c>
      <c r="B8221" s="28"/>
      <c r="C8221" s="3" t="s">
        <v>5</v>
      </c>
    </row>
    <row r="8222" spans="1:3" ht="13.5" thickBot="1" x14ac:dyDescent="0.25">
      <c r="A8222" s="3">
        <v>659</v>
      </c>
      <c r="B8222" s="28"/>
      <c r="C8222" s="3" t="s">
        <v>4</v>
      </c>
    </row>
    <row r="8223" spans="1:3" ht="13.5" thickBot="1" x14ac:dyDescent="0.25">
      <c r="A8223" s="3">
        <v>6692</v>
      </c>
      <c r="B8223" s="28"/>
      <c r="C8223" s="3" t="s">
        <v>4</v>
      </c>
    </row>
    <row r="8224" spans="1:3" ht="13.5" thickBot="1" x14ac:dyDescent="0.25">
      <c r="A8224" s="3">
        <v>5448</v>
      </c>
      <c r="B8224" s="28"/>
      <c r="C8224" s="3" t="s">
        <v>3</v>
      </c>
    </row>
    <row r="8225" spans="1:3" ht="13.5" thickBot="1" x14ac:dyDescent="0.25">
      <c r="A8225" s="3">
        <v>2517</v>
      </c>
      <c r="B8225" s="28"/>
      <c r="C8225" s="3" t="s">
        <v>3</v>
      </c>
    </row>
    <row r="8226" spans="1:3" ht="13.5" thickBot="1" x14ac:dyDescent="0.25">
      <c r="A8226" s="3">
        <v>3323</v>
      </c>
      <c r="B8226" s="28"/>
      <c r="C8226" s="3" t="s">
        <v>7</v>
      </c>
    </row>
    <row r="8227" spans="1:3" ht="13.5" thickBot="1" x14ac:dyDescent="0.25">
      <c r="A8227" s="3">
        <v>1189</v>
      </c>
      <c r="B8227" s="28"/>
      <c r="C8227" s="3" t="s">
        <v>6</v>
      </c>
    </row>
    <row r="8228" spans="1:3" ht="13.5" thickBot="1" x14ac:dyDescent="0.25">
      <c r="A8228" s="3">
        <v>5317</v>
      </c>
      <c r="B8228" s="28"/>
      <c r="C8228" s="3" t="s">
        <v>4</v>
      </c>
    </row>
    <row r="8229" spans="1:3" ht="13.5" thickBot="1" x14ac:dyDescent="0.25">
      <c r="A8229" s="3">
        <v>7198</v>
      </c>
      <c r="B8229" s="28"/>
      <c r="C8229" s="3" t="s">
        <v>3</v>
      </c>
    </row>
    <row r="8230" spans="1:3" ht="13.5" thickBot="1" x14ac:dyDescent="0.25">
      <c r="A8230" s="3">
        <v>6350</v>
      </c>
      <c r="B8230" s="28"/>
      <c r="C8230" s="3" t="s">
        <v>4</v>
      </c>
    </row>
    <row r="8231" spans="1:3" ht="13.5" thickBot="1" x14ac:dyDescent="0.25">
      <c r="A8231" s="3">
        <v>7211</v>
      </c>
      <c r="B8231" s="28"/>
      <c r="C8231" s="3" t="s">
        <v>3</v>
      </c>
    </row>
    <row r="8232" spans="1:3" ht="13.5" thickBot="1" x14ac:dyDescent="0.25">
      <c r="A8232" s="3">
        <v>1657</v>
      </c>
      <c r="B8232" s="28"/>
      <c r="C8232" s="3" t="s">
        <v>5</v>
      </c>
    </row>
    <row r="8233" spans="1:3" ht="13.5" thickBot="1" x14ac:dyDescent="0.25">
      <c r="A8233" s="3">
        <v>2119</v>
      </c>
      <c r="B8233" s="28"/>
      <c r="C8233" s="3" t="s">
        <v>3</v>
      </c>
    </row>
    <row r="8234" spans="1:3" ht="13.5" thickBot="1" x14ac:dyDescent="0.25">
      <c r="A8234" s="3">
        <v>7252</v>
      </c>
      <c r="B8234" s="28"/>
      <c r="C8234" s="3" t="s">
        <v>7</v>
      </c>
    </row>
    <row r="8235" spans="1:3" ht="13.5" thickBot="1" x14ac:dyDescent="0.25">
      <c r="A8235" s="3">
        <v>5448</v>
      </c>
      <c r="B8235" s="28"/>
      <c r="C8235" s="3" t="s">
        <v>7</v>
      </c>
    </row>
    <row r="8236" spans="1:3" ht="13.5" thickBot="1" x14ac:dyDescent="0.25">
      <c r="A8236" s="3">
        <v>5437</v>
      </c>
      <c r="B8236" s="28"/>
      <c r="C8236" s="3" t="s">
        <v>5</v>
      </c>
    </row>
    <row r="8237" spans="1:3" ht="13.5" thickBot="1" x14ac:dyDescent="0.25">
      <c r="A8237" s="3">
        <v>4185</v>
      </c>
      <c r="B8237" s="28"/>
      <c r="C8237" s="3" t="s">
        <v>7</v>
      </c>
    </row>
    <row r="8238" spans="1:3" ht="13.5" thickBot="1" x14ac:dyDescent="0.25">
      <c r="A8238" s="3">
        <v>6987</v>
      </c>
      <c r="B8238" s="28"/>
      <c r="C8238" s="3" t="s">
        <v>4</v>
      </c>
    </row>
    <row r="8239" spans="1:3" ht="13.5" thickBot="1" x14ac:dyDescent="0.25">
      <c r="A8239" s="3">
        <v>6076</v>
      </c>
      <c r="B8239" s="28"/>
      <c r="C8239" s="3" t="s">
        <v>5</v>
      </c>
    </row>
    <row r="8240" spans="1:3" ht="13.5" thickBot="1" x14ac:dyDescent="0.25">
      <c r="A8240" s="3">
        <v>4429</v>
      </c>
      <c r="B8240" s="28"/>
      <c r="C8240" s="3" t="s">
        <v>7</v>
      </c>
    </row>
    <row r="8241" spans="1:3" ht="13.5" thickBot="1" x14ac:dyDescent="0.25">
      <c r="A8241" s="3">
        <v>3495</v>
      </c>
      <c r="B8241" s="28"/>
      <c r="C8241" s="3" t="s">
        <v>4</v>
      </c>
    </row>
    <row r="8242" spans="1:3" ht="13.5" thickBot="1" x14ac:dyDescent="0.25">
      <c r="A8242" s="3">
        <v>1895</v>
      </c>
      <c r="B8242" s="28"/>
      <c r="C8242" s="3" t="s">
        <v>3</v>
      </c>
    </row>
    <row r="8243" spans="1:3" ht="13.5" thickBot="1" x14ac:dyDescent="0.25">
      <c r="A8243" s="3">
        <v>6673</v>
      </c>
      <c r="B8243" s="28"/>
      <c r="C8243" s="3" t="s">
        <v>5</v>
      </c>
    </row>
    <row r="8244" spans="1:3" ht="13.5" thickBot="1" x14ac:dyDescent="0.25">
      <c r="A8244" s="3">
        <v>1709</v>
      </c>
      <c r="B8244" s="28"/>
      <c r="C8244" s="3" t="s">
        <v>3</v>
      </c>
    </row>
    <row r="8245" spans="1:3" ht="13.5" thickBot="1" x14ac:dyDescent="0.25">
      <c r="A8245" s="3">
        <v>1164</v>
      </c>
      <c r="B8245" s="28"/>
      <c r="C8245" s="3" t="s">
        <v>3</v>
      </c>
    </row>
    <row r="8246" spans="1:3" ht="13.5" thickBot="1" x14ac:dyDescent="0.25">
      <c r="A8246" s="3">
        <v>6102</v>
      </c>
      <c r="B8246" s="28"/>
      <c r="C8246" s="3" t="s">
        <v>3</v>
      </c>
    </row>
    <row r="8247" spans="1:3" ht="13.5" thickBot="1" x14ac:dyDescent="0.25">
      <c r="A8247" s="3">
        <v>6804</v>
      </c>
      <c r="B8247" s="28"/>
      <c r="C8247" s="3" t="s">
        <v>3</v>
      </c>
    </row>
    <row r="8248" spans="1:3" ht="13.5" thickBot="1" x14ac:dyDescent="0.25">
      <c r="A8248" s="3">
        <v>3529</v>
      </c>
      <c r="B8248" s="28"/>
      <c r="C8248" s="3" t="s">
        <v>3</v>
      </c>
    </row>
    <row r="8249" spans="1:3" ht="13.5" thickBot="1" x14ac:dyDescent="0.25">
      <c r="A8249" s="3">
        <v>7970</v>
      </c>
      <c r="B8249" s="28"/>
      <c r="C8249" s="3" t="s">
        <v>3</v>
      </c>
    </row>
    <row r="8250" spans="1:3" ht="13.5" thickBot="1" x14ac:dyDescent="0.25">
      <c r="A8250" s="3">
        <v>5317</v>
      </c>
      <c r="B8250" s="28"/>
      <c r="C8250" s="3" t="s">
        <v>7</v>
      </c>
    </row>
    <row r="8251" spans="1:3" ht="13.5" thickBot="1" x14ac:dyDescent="0.25">
      <c r="A8251" s="3">
        <v>3439</v>
      </c>
      <c r="B8251" s="28"/>
      <c r="C8251" s="3" t="s">
        <v>6</v>
      </c>
    </row>
    <row r="8252" spans="1:3" ht="13.5" thickBot="1" x14ac:dyDescent="0.25">
      <c r="A8252" s="3">
        <v>5118</v>
      </c>
      <c r="B8252" s="28"/>
      <c r="C8252" s="3" t="s">
        <v>5</v>
      </c>
    </row>
    <row r="8253" spans="1:3" ht="13.5" thickBot="1" x14ac:dyDescent="0.25">
      <c r="A8253" s="3">
        <v>7783</v>
      </c>
      <c r="B8253" s="28"/>
      <c r="C8253" s="3" t="s">
        <v>6</v>
      </c>
    </row>
    <row r="8254" spans="1:3" ht="13.5" thickBot="1" x14ac:dyDescent="0.25">
      <c r="A8254" s="3">
        <v>355</v>
      </c>
      <c r="B8254" s="28"/>
      <c r="C8254" s="3" t="s">
        <v>4</v>
      </c>
    </row>
    <row r="8255" spans="1:3" ht="13.5" thickBot="1" x14ac:dyDescent="0.25">
      <c r="A8255" s="3">
        <v>536</v>
      </c>
      <c r="B8255" s="28"/>
      <c r="C8255" s="3" t="s">
        <v>6</v>
      </c>
    </row>
    <row r="8256" spans="1:3" ht="13.5" thickBot="1" x14ac:dyDescent="0.25">
      <c r="A8256" s="3">
        <v>3502</v>
      </c>
      <c r="B8256" s="28"/>
      <c r="C8256" s="3" t="s">
        <v>6</v>
      </c>
    </row>
    <row r="8257" spans="1:3" ht="13.5" thickBot="1" x14ac:dyDescent="0.25">
      <c r="A8257" s="3">
        <v>7085</v>
      </c>
      <c r="B8257" s="28"/>
      <c r="C8257" s="3" t="s">
        <v>3</v>
      </c>
    </row>
    <row r="8258" spans="1:3" ht="13.5" thickBot="1" x14ac:dyDescent="0.25">
      <c r="A8258" s="3">
        <v>1596</v>
      </c>
      <c r="B8258" s="28"/>
      <c r="C8258" s="3" t="s">
        <v>4</v>
      </c>
    </row>
    <row r="8259" spans="1:3" ht="13.5" thickBot="1" x14ac:dyDescent="0.25">
      <c r="A8259" s="3">
        <v>7329</v>
      </c>
      <c r="B8259" s="28"/>
      <c r="C8259" s="3" t="s">
        <v>3</v>
      </c>
    </row>
    <row r="8260" spans="1:3" ht="13.5" thickBot="1" x14ac:dyDescent="0.25">
      <c r="A8260" s="3">
        <v>355</v>
      </c>
      <c r="B8260" s="28"/>
      <c r="C8260" s="3" t="s">
        <v>3</v>
      </c>
    </row>
    <row r="8261" spans="1:3" ht="13.5" thickBot="1" x14ac:dyDescent="0.25">
      <c r="A8261" s="3">
        <v>5552</v>
      </c>
      <c r="B8261" s="28"/>
      <c r="C8261" s="3" t="s">
        <v>3</v>
      </c>
    </row>
    <row r="8262" spans="1:3" ht="13.5" thickBot="1" x14ac:dyDescent="0.25">
      <c r="A8262" s="3">
        <v>5515</v>
      </c>
      <c r="B8262" s="28"/>
      <c r="C8262" s="3" t="s">
        <v>3</v>
      </c>
    </row>
    <row r="8263" spans="1:3" ht="13.5" thickBot="1" x14ac:dyDescent="0.25">
      <c r="A8263" s="3">
        <v>5005</v>
      </c>
      <c r="B8263" s="28"/>
      <c r="C8263" s="3" t="s">
        <v>7</v>
      </c>
    </row>
    <row r="8264" spans="1:3" ht="13.5" thickBot="1" x14ac:dyDescent="0.25">
      <c r="A8264" s="3">
        <v>1510</v>
      </c>
      <c r="B8264" s="28"/>
      <c r="C8264" s="3" t="s">
        <v>4</v>
      </c>
    </row>
    <row r="8265" spans="1:3" ht="13.5" thickBot="1" x14ac:dyDescent="0.25">
      <c r="A8265" s="3">
        <v>5137</v>
      </c>
      <c r="B8265" s="28"/>
      <c r="C8265" s="3" t="s">
        <v>3</v>
      </c>
    </row>
    <row r="8266" spans="1:3" ht="13.5" thickBot="1" x14ac:dyDescent="0.25">
      <c r="A8266" s="3">
        <v>7007</v>
      </c>
      <c r="B8266" s="28"/>
      <c r="C8266" s="3" t="s">
        <v>3</v>
      </c>
    </row>
    <row r="8267" spans="1:3" ht="13.5" thickBot="1" x14ac:dyDescent="0.25">
      <c r="A8267" s="3">
        <v>5448</v>
      </c>
      <c r="B8267" s="28"/>
      <c r="C8267" s="3" t="s">
        <v>4</v>
      </c>
    </row>
    <row r="8268" spans="1:3" ht="13.5" thickBot="1" x14ac:dyDescent="0.25">
      <c r="A8268" s="3">
        <v>2657</v>
      </c>
      <c r="B8268" s="28"/>
      <c r="C8268" s="3" t="s">
        <v>7</v>
      </c>
    </row>
    <row r="8269" spans="1:3" ht="13.5" thickBot="1" x14ac:dyDescent="0.25">
      <c r="A8269" s="3">
        <v>5437</v>
      </c>
      <c r="B8269" s="28"/>
      <c r="C8269" s="3" t="s">
        <v>4</v>
      </c>
    </row>
    <row r="8270" spans="1:3" ht="13.5" thickBot="1" x14ac:dyDescent="0.25">
      <c r="A8270" s="3">
        <v>6306</v>
      </c>
      <c r="B8270" s="28"/>
      <c r="C8270" s="3" t="s">
        <v>3</v>
      </c>
    </row>
    <row r="8271" spans="1:3" ht="13.5" thickBot="1" x14ac:dyDescent="0.25">
      <c r="A8271" s="3">
        <v>6679</v>
      </c>
      <c r="B8271" s="28"/>
      <c r="C8271" s="3" t="s">
        <v>3</v>
      </c>
    </row>
    <row r="8272" spans="1:3" ht="13.5" thickBot="1" x14ac:dyDescent="0.25">
      <c r="A8272" s="3">
        <v>139</v>
      </c>
      <c r="B8272" s="28"/>
      <c r="C8272" s="3" t="s">
        <v>3</v>
      </c>
    </row>
    <row r="8273" spans="1:3" ht="13.5" thickBot="1" x14ac:dyDescent="0.25">
      <c r="A8273" s="3">
        <v>1515</v>
      </c>
      <c r="B8273" s="28"/>
      <c r="C8273" s="3" t="s">
        <v>3</v>
      </c>
    </row>
    <row r="8274" spans="1:3" ht="13.5" thickBot="1" x14ac:dyDescent="0.25">
      <c r="A8274" s="3">
        <v>2657</v>
      </c>
      <c r="B8274" s="28"/>
      <c r="C8274" s="3" t="s">
        <v>4</v>
      </c>
    </row>
    <row r="8275" spans="1:3" ht="13.5" thickBot="1" x14ac:dyDescent="0.25">
      <c r="A8275" s="3">
        <v>347</v>
      </c>
      <c r="B8275" s="28"/>
      <c r="C8275" s="3" t="s">
        <v>5</v>
      </c>
    </row>
    <row r="8276" spans="1:3" ht="13.5" thickBot="1" x14ac:dyDescent="0.25">
      <c r="A8276" s="3">
        <v>1301</v>
      </c>
      <c r="B8276" s="28"/>
      <c r="C8276" s="3" t="s">
        <v>3</v>
      </c>
    </row>
    <row r="8277" spans="1:3" ht="13.5" thickBot="1" x14ac:dyDescent="0.25">
      <c r="A8277" s="3">
        <v>2465</v>
      </c>
      <c r="B8277" s="28"/>
      <c r="C8277" s="3" t="s">
        <v>6</v>
      </c>
    </row>
    <row r="8278" spans="1:3" ht="13.5" thickBot="1" x14ac:dyDescent="0.25">
      <c r="A8278" s="3">
        <v>5081</v>
      </c>
      <c r="B8278" s="28"/>
      <c r="C8278" s="3" t="s">
        <v>7</v>
      </c>
    </row>
    <row r="8279" spans="1:3" ht="13.5" thickBot="1" x14ac:dyDescent="0.25">
      <c r="A8279" s="3">
        <v>3423</v>
      </c>
      <c r="B8279" s="28"/>
      <c r="C8279" s="3" t="s">
        <v>6</v>
      </c>
    </row>
    <row r="8280" spans="1:3" ht="13.5" thickBot="1" x14ac:dyDescent="0.25">
      <c r="A8280" s="3">
        <v>2777</v>
      </c>
      <c r="B8280" s="28"/>
      <c r="C8280" s="3" t="s">
        <v>6</v>
      </c>
    </row>
    <row r="8281" spans="1:3" ht="13.5" thickBot="1" x14ac:dyDescent="0.25">
      <c r="A8281" s="3">
        <v>6673</v>
      </c>
      <c r="B8281" s="28"/>
      <c r="C8281" s="3" t="s">
        <v>6</v>
      </c>
    </row>
    <row r="8282" spans="1:3" ht="13.5" thickBot="1" x14ac:dyDescent="0.25">
      <c r="A8282" s="3">
        <v>6076</v>
      </c>
      <c r="B8282" s="28"/>
      <c r="C8282" s="3" t="s">
        <v>3</v>
      </c>
    </row>
    <row r="8283" spans="1:3" ht="13.5" thickBot="1" x14ac:dyDescent="0.25">
      <c r="A8283" s="3">
        <v>5061</v>
      </c>
      <c r="B8283" s="28"/>
      <c r="C8283" s="3" t="s">
        <v>7</v>
      </c>
    </row>
    <row r="8284" spans="1:3" ht="13.5" thickBot="1" x14ac:dyDescent="0.25">
      <c r="A8284" s="3">
        <v>1510</v>
      </c>
      <c r="B8284" s="28"/>
      <c r="C8284" s="3" t="s">
        <v>7</v>
      </c>
    </row>
    <row r="8285" spans="1:3" ht="13.5" thickBot="1" x14ac:dyDescent="0.25">
      <c r="A8285" s="3">
        <v>5853</v>
      </c>
      <c r="B8285" s="28"/>
      <c r="C8285" s="3" t="s">
        <v>3</v>
      </c>
    </row>
    <row r="8286" spans="1:3" ht="13.5" thickBot="1" x14ac:dyDescent="0.25">
      <c r="A8286" s="3">
        <v>3183</v>
      </c>
      <c r="B8286" s="28"/>
      <c r="C8286" s="3" t="s">
        <v>6</v>
      </c>
    </row>
    <row r="8287" spans="1:3" ht="13.5" thickBot="1" x14ac:dyDescent="0.25">
      <c r="A8287" s="3">
        <v>7198</v>
      </c>
      <c r="B8287" s="28"/>
      <c r="C8287" s="3" t="s">
        <v>4</v>
      </c>
    </row>
    <row r="8288" spans="1:3" ht="13.5" thickBot="1" x14ac:dyDescent="0.25">
      <c r="A8288" s="3">
        <v>5837</v>
      </c>
      <c r="B8288" s="28"/>
      <c r="C8288" s="3" t="s">
        <v>3</v>
      </c>
    </row>
    <row r="8289" spans="1:3" ht="13.5" thickBot="1" x14ac:dyDescent="0.25">
      <c r="A8289" s="3">
        <v>4711</v>
      </c>
      <c r="B8289" s="28"/>
      <c r="C8289" s="3" t="s">
        <v>4</v>
      </c>
    </row>
    <row r="8290" spans="1:3" ht="13.5" thickBot="1" x14ac:dyDescent="0.25">
      <c r="A8290" s="3">
        <v>2119</v>
      </c>
      <c r="B8290" s="28"/>
      <c r="C8290" s="3" t="s">
        <v>6</v>
      </c>
    </row>
    <row r="8291" spans="1:3" ht="13.5" thickBot="1" x14ac:dyDescent="0.25">
      <c r="A8291" s="3">
        <v>1887</v>
      </c>
      <c r="B8291" s="28"/>
      <c r="C8291" s="3" t="s">
        <v>5</v>
      </c>
    </row>
    <row r="8292" spans="1:3" ht="13.5" thickBot="1" x14ac:dyDescent="0.25">
      <c r="A8292" s="3">
        <v>5038</v>
      </c>
      <c r="B8292" s="28"/>
      <c r="C8292" s="3" t="s">
        <v>3</v>
      </c>
    </row>
    <row r="8293" spans="1:3" ht="13.5" thickBot="1" x14ac:dyDescent="0.25">
      <c r="A8293" s="3">
        <v>4999</v>
      </c>
      <c r="B8293" s="28"/>
      <c r="C8293" s="3" t="s">
        <v>6</v>
      </c>
    </row>
    <row r="8294" spans="1:3" ht="13.5" thickBot="1" x14ac:dyDescent="0.25">
      <c r="A8294" s="3">
        <v>6079</v>
      </c>
      <c r="B8294" s="28"/>
      <c r="C8294" s="3" t="s">
        <v>4</v>
      </c>
    </row>
    <row r="8295" spans="1:3" ht="13.5" thickBot="1" x14ac:dyDescent="0.25">
      <c r="A8295" s="3">
        <v>7953</v>
      </c>
      <c r="B8295" s="28"/>
      <c r="C8295" s="3" t="s">
        <v>4</v>
      </c>
    </row>
    <row r="8296" spans="1:3" ht="13.5" thickBot="1" x14ac:dyDescent="0.25">
      <c r="A8296" s="3">
        <v>7702</v>
      </c>
      <c r="B8296" s="28"/>
      <c r="C8296" s="3" t="s">
        <v>3</v>
      </c>
    </row>
    <row r="8297" spans="1:3" ht="13.5" thickBot="1" x14ac:dyDescent="0.25">
      <c r="A8297" s="3">
        <v>5118</v>
      </c>
      <c r="B8297" s="28"/>
      <c r="C8297" s="3" t="s">
        <v>4</v>
      </c>
    </row>
    <row r="8298" spans="1:3" ht="13.5" thickBot="1" x14ac:dyDescent="0.25">
      <c r="A8298" s="3">
        <v>1919</v>
      </c>
      <c r="B8298" s="28"/>
      <c r="C8298" s="3" t="s">
        <v>6</v>
      </c>
    </row>
    <row r="8299" spans="1:3" ht="13.5" thickBot="1" x14ac:dyDescent="0.25">
      <c r="A8299" s="3">
        <v>355</v>
      </c>
      <c r="B8299" s="28"/>
      <c r="C8299" s="3" t="s">
        <v>7</v>
      </c>
    </row>
    <row r="8300" spans="1:3" ht="13.5" thickBot="1" x14ac:dyDescent="0.25">
      <c r="A8300" s="3">
        <v>5081</v>
      </c>
      <c r="B8300" s="28"/>
      <c r="C8300" s="3" t="s">
        <v>4</v>
      </c>
    </row>
    <row r="8301" spans="1:3" ht="13.5" thickBot="1" x14ac:dyDescent="0.25">
      <c r="A8301" s="3">
        <v>4055</v>
      </c>
      <c r="B8301" s="28"/>
      <c r="C8301" s="3" t="s">
        <v>3</v>
      </c>
    </row>
    <row r="8302" spans="1:3" ht="13.5" thickBot="1" x14ac:dyDescent="0.25">
      <c r="A8302" s="3">
        <v>6804</v>
      </c>
      <c r="B8302" s="28"/>
      <c r="C8302" s="3" t="s">
        <v>5</v>
      </c>
    </row>
    <row r="8303" spans="1:3" ht="13.5" thickBot="1" x14ac:dyDescent="0.25">
      <c r="A8303" s="3">
        <v>5930</v>
      </c>
      <c r="B8303" s="28"/>
      <c r="C8303" s="3" t="s">
        <v>4</v>
      </c>
    </row>
    <row r="8304" spans="1:3" ht="13.5" thickBot="1" x14ac:dyDescent="0.25">
      <c r="A8304" s="3">
        <v>3529</v>
      </c>
      <c r="B8304" s="28"/>
      <c r="C8304" s="3" t="s">
        <v>4</v>
      </c>
    </row>
    <row r="8305" spans="1:3" ht="13.5" thickBot="1" x14ac:dyDescent="0.25">
      <c r="A8305" s="3">
        <v>2802</v>
      </c>
      <c r="B8305" s="28"/>
      <c r="C8305" s="3" t="s">
        <v>3</v>
      </c>
    </row>
    <row r="8306" spans="1:3" ht="13.5" thickBot="1" x14ac:dyDescent="0.25">
      <c r="A8306" s="3">
        <v>2228</v>
      </c>
      <c r="B8306" s="28"/>
      <c r="C8306" s="3" t="s">
        <v>7</v>
      </c>
    </row>
    <row r="8307" spans="1:3" ht="13.5" thickBot="1" x14ac:dyDescent="0.25">
      <c r="A8307" s="3">
        <v>3312</v>
      </c>
      <c r="B8307" s="28"/>
      <c r="C8307" s="3" t="s">
        <v>3</v>
      </c>
    </row>
    <row r="8308" spans="1:3" ht="13.5" thickBot="1" x14ac:dyDescent="0.25">
      <c r="A8308" s="3">
        <v>5126</v>
      </c>
      <c r="B8308" s="28"/>
      <c r="C8308" s="3" t="s">
        <v>6</v>
      </c>
    </row>
    <row r="8309" spans="1:3" ht="13.5" thickBot="1" x14ac:dyDescent="0.25">
      <c r="A8309" s="3">
        <v>2777</v>
      </c>
      <c r="B8309" s="28"/>
      <c r="C8309" s="3" t="s">
        <v>7</v>
      </c>
    </row>
    <row r="8310" spans="1:3" ht="13.5" thickBot="1" x14ac:dyDescent="0.25">
      <c r="A8310" s="3">
        <v>1489</v>
      </c>
      <c r="B8310" s="28"/>
      <c r="C8310" s="3" t="s">
        <v>3</v>
      </c>
    </row>
    <row r="8311" spans="1:3" ht="13.5" thickBot="1" x14ac:dyDescent="0.25">
      <c r="A8311" s="3">
        <v>2622</v>
      </c>
      <c r="B8311" s="28"/>
      <c r="C8311" s="3" t="s">
        <v>3</v>
      </c>
    </row>
    <row r="8312" spans="1:3" ht="13.5" thickBot="1" x14ac:dyDescent="0.25">
      <c r="A8312" s="3">
        <v>4687</v>
      </c>
      <c r="B8312" s="28"/>
      <c r="C8312" s="3" t="s">
        <v>3</v>
      </c>
    </row>
    <row r="8313" spans="1:3" ht="13.5" thickBot="1" x14ac:dyDescent="0.25">
      <c r="A8313" s="3">
        <v>5930</v>
      </c>
      <c r="B8313" s="28"/>
      <c r="C8313" s="3" t="s">
        <v>3</v>
      </c>
    </row>
    <row r="8314" spans="1:3" ht="13.5" thickBot="1" x14ac:dyDescent="0.25">
      <c r="A8314" s="3">
        <v>1175</v>
      </c>
      <c r="B8314" s="28"/>
      <c r="C8314" s="3" t="s">
        <v>3</v>
      </c>
    </row>
    <row r="8315" spans="1:3" ht="13.5" thickBot="1" x14ac:dyDescent="0.25">
      <c r="A8315" s="3">
        <v>3210</v>
      </c>
      <c r="B8315" s="28"/>
      <c r="C8315" s="3" t="s">
        <v>3</v>
      </c>
    </row>
    <row r="8316" spans="1:3" ht="13.5" thickBot="1" x14ac:dyDescent="0.25">
      <c r="A8316" s="3">
        <v>7329</v>
      </c>
      <c r="B8316" s="28"/>
      <c r="C8316" s="3" t="s">
        <v>5</v>
      </c>
    </row>
    <row r="8317" spans="1:3" ht="13.5" thickBot="1" x14ac:dyDescent="0.25">
      <c r="A8317" s="3">
        <v>7619</v>
      </c>
      <c r="B8317" s="28"/>
      <c r="C8317" s="3" t="s">
        <v>3</v>
      </c>
    </row>
    <row r="8318" spans="1:3" ht="13.5" thickBot="1" x14ac:dyDescent="0.25">
      <c r="A8318" s="3">
        <v>3179</v>
      </c>
      <c r="B8318" s="28"/>
      <c r="C8318" s="3" t="s">
        <v>4</v>
      </c>
    </row>
    <row r="8319" spans="1:3" ht="13.5" thickBot="1" x14ac:dyDescent="0.25">
      <c r="A8319" s="3">
        <v>2281</v>
      </c>
      <c r="B8319" s="28"/>
      <c r="C8319" s="3" t="s">
        <v>6</v>
      </c>
    </row>
    <row r="8320" spans="1:3" ht="13.5" thickBot="1" x14ac:dyDescent="0.25">
      <c r="A8320" s="3">
        <v>4711</v>
      </c>
      <c r="B8320" s="28"/>
      <c r="C8320" s="3" t="s">
        <v>3</v>
      </c>
    </row>
    <row r="8321" spans="1:3" ht="13.5" thickBot="1" x14ac:dyDescent="0.25">
      <c r="A8321" s="3">
        <v>3890</v>
      </c>
      <c r="B8321" s="28"/>
      <c r="C8321" s="3" t="s">
        <v>6</v>
      </c>
    </row>
    <row r="8322" spans="1:3" ht="13.5" thickBot="1" x14ac:dyDescent="0.25">
      <c r="A8322" s="3">
        <v>4774</v>
      </c>
      <c r="B8322" s="28"/>
      <c r="C8322" s="3" t="s">
        <v>6</v>
      </c>
    </row>
    <row r="8323" spans="1:3" ht="13.5" thickBot="1" x14ac:dyDescent="0.25">
      <c r="A8323" s="3">
        <v>5837</v>
      </c>
      <c r="B8323" s="28"/>
      <c r="C8323" s="3" t="s">
        <v>4</v>
      </c>
    </row>
    <row r="8324" spans="1:3" ht="13.5" thickBot="1" x14ac:dyDescent="0.25">
      <c r="A8324" s="3">
        <v>1873</v>
      </c>
      <c r="B8324" s="28"/>
      <c r="C8324" s="3" t="s">
        <v>4</v>
      </c>
    </row>
    <row r="8325" spans="1:3" ht="13.5" thickBot="1" x14ac:dyDescent="0.25">
      <c r="A8325" s="3">
        <v>5138</v>
      </c>
      <c r="B8325" s="28"/>
      <c r="C8325" s="3" t="s">
        <v>3</v>
      </c>
    </row>
    <row r="8326" spans="1:3" ht="13.5" thickBot="1" x14ac:dyDescent="0.25">
      <c r="A8326" s="3">
        <v>3943</v>
      </c>
      <c r="B8326" s="28"/>
      <c r="C8326" s="3" t="s">
        <v>5</v>
      </c>
    </row>
    <row r="8327" spans="1:3" ht="13.5" thickBot="1" x14ac:dyDescent="0.25">
      <c r="A8327" s="3">
        <v>2622</v>
      </c>
      <c r="B8327" s="28"/>
      <c r="C8327" s="3" t="s">
        <v>4</v>
      </c>
    </row>
    <row r="8328" spans="1:3" ht="13.5" thickBot="1" x14ac:dyDescent="0.25">
      <c r="A8328" s="3">
        <v>6692</v>
      </c>
      <c r="B8328" s="28"/>
      <c r="C8328" s="3" t="s">
        <v>5</v>
      </c>
    </row>
    <row r="8329" spans="1:3" ht="13.5" thickBot="1" x14ac:dyDescent="0.25">
      <c r="A8329" s="3">
        <v>2228</v>
      </c>
      <c r="B8329" s="28"/>
      <c r="C8329" s="3" t="s">
        <v>5</v>
      </c>
    </row>
    <row r="8330" spans="1:3" ht="13.5" thickBot="1" x14ac:dyDescent="0.25">
      <c r="A8330" s="3">
        <v>1164</v>
      </c>
      <c r="B8330" s="28"/>
      <c r="C8330" s="3" t="s">
        <v>7</v>
      </c>
    </row>
    <row r="8331" spans="1:3" ht="13.5" thickBot="1" x14ac:dyDescent="0.25">
      <c r="A8331" s="3">
        <v>2119</v>
      </c>
      <c r="B8331" s="28"/>
      <c r="C8331" s="3" t="s">
        <v>4</v>
      </c>
    </row>
    <row r="8332" spans="1:3" ht="13.5" thickBot="1" x14ac:dyDescent="0.25">
      <c r="A8332" s="3">
        <v>3363</v>
      </c>
      <c r="B8332" s="28"/>
      <c r="C8332" s="3" t="s">
        <v>4</v>
      </c>
    </row>
    <row r="8333" spans="1:3" ht="13.5" thickBot="1" x14ac:dyDescent="0.25">
      <c r="A8333" s="3">
        <v>3669</v>
      </c>
      <c r="B8333" s="28"/>
      <c r="C8333" s="3" t="s">
        <v>4</v>
      </c>
    </row>
    <row r="8334" spans="1:3" ht="13.5" thickBot="1" x14ac:dyDescent="0.25">
      <c r="A8334" s="3">
        <v>1657</v>
      </c>
      <c r="B8334" s="28"/>
      <c r="C8334" s="3" t="s">
        <v>7</v>
      </c>
    </row>
    <row r="8335" spans="1:3" ht="13.5" thickBot="1" x14ac:dyDescent="0.25">
      <c r="A8335" s="3">
        <v>5188</v>
      </c>
      <c r="B8335" s="28"/>
      <c r="C8335" s="3" t="s">
        <v>3</v>
      </c>
    </row>
    <row r="8336" spans="1:3" ht="13.5" thickBot="1" x14ac:dyDescent="0.25">
      <c r="A8336" s="3">
        <v>2517</v>
      </c>
      <c r="B8336" s="28"/>
      <c r="C8336" s="3" t="s">
        <v>7</v>
      </c>
    </row>
    <row r="8337" spans="1:3" ht="13.5" thickBot="1" x14ac:dyDescent="0.25">
      <c r="A8337" s="3">
        <v>6320</v>
      </c>
      <c r="B8337" s="28"/>
      <c r="C8337" s="3" t="s">
        <v>6</v>
      </c>
    </row>
    <row r="8338" spans="1:3" ht="13.5" thickBot="1" x14ac:dyDescent="0.25">
      <c r="A8338" s="3">
        <v>4005</v>
      </c>
      <c r="B8338" s="28"/>
      <c r="C8338" s="3" t="s">
        <v>3</v>
      </c>
    </row>
    <row r="8339" spans="1:3" ht="13.5" thickBot="1" x14ac:dyDescent="0.25">
      <c r="A8339" s="3">
        <v>27</v>
      </c>
      <c r="B8339" s="28"/>
      <c r="C8339" s="3" t="s">
        <v>3</v>
      </c>
    </row>
    <row r="8340" spans="1:3" ht="13.5" thickBot="1" x14ac:dyDescent="0.25">
      <c r="A8340" s="3">
        <v>4646</v>
      </c>
      <c r="B8340" s="28"/>
      <c r="C8340" s="3" t="s">
        <v>3</v>
      </c>
    </row>
    <row r="8341" spans="1:3" ht="13.5" thickBot="1" x14ac:dyDescent="0.25">
      <c r="A8341" s="3">
        <v>7577</v>
      </c>
      <c r="B8341" s="28"/>
      <c r="C8341" s="3" t="s">
        <v>3</v>
      </c>
    </row>
    <row r="8342" spans="1:3" ht="13.5" thickBot="1" x14ac:dyDescent="0.25">
      <c r="A8342" s="3">
        <v>268</v>
      </c>
      <c r="B8342" s="28"/>
      <c r="C8342" s="3" t="s">
        <v>3</v>
      </c>
    </row>
    <row r="8343" spans="1:3" ht="13.5" thickBot="1" x14ac:dyDescent="0.25">
      <c r="A8343" s="3">
        <v>3943</v>
      </c>
      <c r="B8343" s="28"/>
      <c r="C8343" s="3" t="s">
        <v>3</v>
      </c>
    </row>
    <row r="8344" spans="1:3" ht="13.5" thickBot="1" x14ac:dyDescent="0.25">
      <c r="A8344" s="3">
        <v>1873</v>
      </c>
      <c r="B8344" s="28"/>
      <c r="C8344" s="3" t="s">
        <v>5</v>
      </c>
    </row>
    <row r="8345" spans="1:3" ht="13.5" thickBot="1" x14ac:dyDescent="0.25">
      <c r="A8345" s="3">
        <v>1248</v>
      </c>
      <c r="B8345" s="28"/>
      <c r="C8345" s="3" t="s">
        <v>3</v>
      </c>
    </row>
    <row r="8346" spans="1:3" ht="13.5" thickBot="1" x14ac:dyDescent="0.25">
      <c r="A8346" s="3">
        <v>3943</v>
      </c>
      <c r="B8346" s="28"/>
      <c r="C8346" s="3" t="s">
        <v>4</v>
      </c>
    </row>
    <row r="8347" spans="1:3" ht="13.5" thickBot="1" x14ac:dyDescent="0.25">
      <c r="A8347" s="3">
        <v>1558</v>
      </c>
      <c r="B8347" s="28"/>
      <c r="C8347" s="3" t="s">
        <v>3</v>
      </c>
    </row>
    <row r="8348" spans="1:3" ht="13.5" thickBot="1" x14ac:dyDescent="0.25">
      <c r="A8348" s="3">
        <v>6687</v>
      </c>
      <c r="B8348" s="28"/>
      <c r="C8348" s="3" t="s">
        <v>3</v>
      </c>
    </row>
    <row r="8349" spans="1:3" ht="13.5" thickBot="1" x14ac:dyDescent="0.25">
      <c r="A8349" s="3">
        <v>6565</v>
      </c>
      <c r="B8349" s="28"/>
      <c r="C8349" s="3" t="s">
        <v>3</v>
      </c>
    </row>
    <row r="8350" spans="1:3" ht="13.5" thickBot="1" x14ac:dyDescent="0.25">
      <c r="A8350" s="3">
        <v>5851</v>
      </c>
      <c r="B8350" s="28"/>
      <c r="C8350" s="3" t="s">
        <v>6</v>
      </c>
    </row>
    <row r="8351" spans="1:3" ht="13.5" thickBot="1" x14ac:dyDescent="0.25">
      <c r="A8351" s="3">
        <v>7402</v>
      </c>
      <c r="B8351" s="28"/>
      <c r="C8351" s="3" t="s">
        <v>3</v>
      </c>
    </row>
    <row r="8352" spans="1:3" ht="13.5" thickBot="1" x14ac:dyDescent="0.25">
      <c r="A8352" s="3">
        <v>27</v>
      </c>
      <c r="B8352" s="28"/>
      <c r="C8352" s="3" t="s">
        <v>4</v>
      </c>
    </row>
    <row r="8353" spans="1:3" ht="13.5" thickBot="1" x14ac:dyDescent="0.25">
      <c r="A8353" s="3">
        <v>1123</v>
      </c>
      <c r="B8353" s="28"/>
      <c r="C8353" s="3" t="s">
        <v>3</v>
      </c>
    </row>
    <row r="8354" spans="1:3" ht="13.5" thickBot="1" x14ac:dyDescent="0.25">
      <c r="A8354" s="3">
        <v>7702</v>
      </c>
      <c r="B8354" s="28"/>
      <c r="C8354" s="3" t="s">
        <v>7</v>
      </c>
    </row>
    <row r="8355" spans="1:3" ht="13.5" thickBot="1" x14ac:dyDescent="0.25">
      <c r="A8355" s="3">
        <v>27</v>
      </c>
      <c r="B8355" s="28"/>
      <c r="C8355" s="3" t="s">
        <v>6</v>
      </c>
    </row>
    <row r="8356" spans="1:3" ht="13.5" thickBot="1" x14ac:dyDescent="0.25">
      <c r="A8356" s="3">
        <v>5760</v>
      </c>
      <c r="B8356" s="28"/>
      <c r="C8356" s="3" t="s">
        <v>3</v>
      </c>
    </row>
    <row r="8357" spans="1:3" ht="13.5" thickBot="1" x14ac:dyDescent="0.25">
      <c r="A8357" s="3">
        <v>4005</v>
      </c>
      <c r="B8357" s="28"/>
      <c r="C8357" s="3" t="s">
        <v>7</v>
      </c>
    </row>
    <row r="8358" spans="1:3" ht="13.5" thickBot="1" x14ac:dyDescent="0.25">
      <c r="A8358" s="3">
        <v>632</v>
      </c>
      <c r="B8358" s="28"/>
      <c r="C8358" s="3" t="s">
        <v>3</v>
      </c>
    </row>
    <row r="8359" spans="1:3" ht="13.5" thickBot="1" x14ac:dyDescent="0.25">
      <c r="A8359" s="3">
        <v>6818</v>
      </c>
      <c r="B8359" s="28"/>
      <c r="C8359" s="3" t="s">
        <v>3</v>
      </c>
    </row>
    <row r="8360" spans="1:3" ht="13.5" thickBot="1" x14ac:dyDescent="0.25">
      <c r="A8360" s="3">
        <v>3943</v>
      </c>
      <c r="B8360" s="28"/>
      <c r="C8360" s="3" t="s">
        <v>6</v>
      </c>
    </row>
    <row r="8361" spans="1:3" ht="13.5" thickBot="1" x14ac:dyDescent="0.25">
      <c r="A8361" s="3">
        <v>7329</v>
      </c>
      <c r="B8361" s="28"/>
      <c r="C8361" s="3" t="s">
        <v>4</v>
      </c>
    </row>
    <row r="8362" spans="1:3" ht="13.5" thickBot="1" x14ac:dyDescent="0.25">
      <c r="A8362" s="3">
        <v>1873</v>
      </c>
      <c r="B8362" s="28"/>
      <c r="C8362" s="3" t="s">
        <v>6</v>
      </c>
    </row>
    <row r="8363" spans="1:3" ht="13.5" thickBot="1" x14ac:dyDescent="0.25">
      <c r="A8363" s="3">
        <v>469</v>
      </c>
      <c r="B8363" s="28"/>
      <c r="C8363" s="3" t="s">
        <v>3</v>
      </c>
    </row>
    <row r="8364" spans="1:3" ht="13.5" thickBot="1" x14ac:dyDescent="0.25">
      <c r="A8364" s="3">
        <v>7444</v>
      </c>
      <c r="B8364" s="28"/>
      <c r="C8364" s="3" t="s">
        <v>3</v>
      </c>
    </row>
    <row r="8365" spans="1:3" ht="13.5" thickBot="1" x14ac:dyDescent="0.25">
      <c r="A8365" s="3">
        <v>6061</v>
      </c>
      <c r="B8365" s="28"/>
      <c r="C8365" s="3" t="s">
        <v>4</v>
      </c>
    </row>
    <row r="8366" spans="1:3" ht="13.5" thickBot="1" x14ac:dyDescent="0.25">
      <c r="A8366" s="3">
        <v>3174</v>
      </c>
      <c r="B8366" s="28"/>
      <c r="C8366" s="3" t="s">
        <v>3</v>
      </c>
    </row>
    <row r="8367" spans="1:3" ht="13.5" thickBot="1" x14ac:dyDescent="0.25">
      <c r="A8367" s="3">
        <v>3041</v>
      </c>
      <c r="B8367" s="28"/>
      <c r="C8367" s="3" t="s">
        <v>3</v>
      </c>
    </row>
    <row r="8368" spans="1:3" ht="13.5" thickBot="1" x14ac:dyDescent="0.25">
      <c r="A8368" s="3">
        <v>7768</v>
      </c>
      <c r="B8368" s="28"/>
      <c r="C8368" s="3" t="s">
        <v>6</v>
      </c>
    </row>
    <row r="8369" spans="1:3" ht="13.5" thickBot="1" x14ac:dyDescent="0.25">
      <c r="A8369" s="3">
        <v>6387</v>
      </c>
      <c r="B8369" s="28"/>
      <c r="C8369" s="3" t="s">
        <v>6</v>
      </c>
    </row>
    <row r="8370" spans="1:3" ht="13.5" thickBot="1" x14ac:dyDescent="0.25">
      <c r="A8370" s="3">
        <v>2657</v>
      </c>
      <c r="B8370" s="28"/>
      <c r="C8370" s="3" t="s">
        <v>5</v>
      </c>
    </row>
    <row r="8371" spans="1:3" ht="13.5" thickBot="1" x14ac:dyDescent="0.25">
      <c r="A8371" s="3">
        <v>1596</v>
      </c>
      <c r="B8371" s="28"/>
      <c r="C8371" s="3" t="s">
        <v>5</v>
      </c>
    </row>
    <row r="8372" spans="1:3" ht="13.5" thickBot="1" x14ac:dyDescent="0.25">
      <c r="A8372" s="3">
        <v>5005</v>
      </c>
      <c r="B8372" s="28"/>
      <c r="C8372" s="3" t="s">
        <v>6</v>
      </c>
    </row>
    <row r="8373" spans="1:3" ht="13.5" thickBot="1" x14ac:dyDescent="0.25">
      <c r="A8373" s="3">
        <v>6424</v>
      </c>
      <c r="B8373" s="28"/>
      <c r="C8373" s="3" t="s">
        <v>6</v>
      </c>
    </row>
    <row r="8374" spans="1:3" ht="13.5" thickBot="1" x14ac:dyDescent="0.25">
      <c r="A8374" s="3">
        <v>3613</v>
      </c>
      <c r="B8374" s="28"/>
      <c r="C8374" s="3" t="s">
        <v>4</v>
      </c>
    </row>
    <row r="8375" spans="1:3" ht="13.5" thickBot="1" x14ac:dyDescent="0.25">
      <c r="A8375" s="3">
        <v>7619</v>
      </c>
      <c r="B8375" s="28"/>
      <c r="C8375" s="3" t="s">
        <v>6</v>
      </c>
    </row>
    <row r="8376" spans="1:3" ht="13.5" thickBot="1" x14ac:dyDescent="0.25">
      <c r="A8376" s="3">
        <v>6359</v>
      </c>
      <c r="B8376" s="28"/>
      <c r="C8376" s="3" t="s">
        <v>3</v>
      </c>
    </row>
    <row r="8377" spans="1:3" ht="13.5" thickBot="1" x14ac:dyDescent="0.25">
      <c r="A8377" s="3">
        <v>4942</v>
      </c>
      <c r="B8377" s="28"/>
      <c r="C8377" s="3" t="s">
        <v>3</v>
      </c>
    </row>
    <row r="8378" spans="1:3" ht="13.5" thickBot="1" x14ac:dyDescent="0.25">
      <c r="A8378" s="3">
        <v>6424</v>
      </c>
      <c r="B8378" s="28"/>
      <c r="C8378" s="3" t="s">
        <v>7</v>
      </c>
    </row>
    <row r="8379" spans="1:3" ht="13.5" thickBot="1" x14ac:dyDescent="0.25">
      <c r="A8379" s="3">
        <v>7619</v>
      </c>
      <c r="B8379" s="28"/>
      <c r="C8379" s="3" t="s">
        <v>4</v>
      </c>
    </row>
    <row r="8380" spans="1:3" ht="13.5" thickBot="1" x14ac:dyDescent="0.25">
      <c r="A8380" s="3">
        <v>3193</v>
      </c>
      <c r="B8380" s="28"/>
      <c r="C8380" s="3" t="s">
        <v>3</v>
      </c>
    </row>
    <row r="8381" spans="1:3" ht="13.5" thickBot="1" x14ac:dyDescent="0.25">
      <c r="A8381" s="3">
        <v>6076</v>
      </c>
      <c r="B8381" s="28"/>
      <c r="C8381" s="3" t="s">
        <v>4</v>
      </c>
    </row>
    <row r="8382" spans="1:3" ht="13.5" thickBot="1" x14ac:dyDescent="0.25">
      <c r="A8382" s="3">
        <v>4646</v>
      </c>
      <c r="B8382" s="28"/>
      <c r="C8382" s="3" t="s">
        <v>6</v>
      </c>
    </row>
    <row r="8383" spans="1:3" ht="13.5" thickBot="1" x14ac:dyDescent="0.25">
      <c r="A8383" s="3">
        <v>7702</v>
      </c>
      <c r="B8383" s="28"/>
      <c r="C8383" s="3" t="s">
        <v>4</v>
      </c>
    </row>
    <row r="8384" spans="1:3" ht="13.5" thickBot="1" x14ac:dyDescent="0.25">
      <c r="A8384" s="3">
        <v>4713</v>
      </c>
      <c r="B8384" s="28"/>
      <c r="C8384" s="3" t="s">
        <v>3</v>
      </c>
    </row>
    <row r="8385" spans="1:3" ht="13.5" thickBot="1" x14ac:dyDescent="0.25">
      <c r="A8385" s="3">
        <v>1164</v>
      </c>
      <c r="B8385" s="28"/>
      <c r="C8385" s="3" t="s">
        <v>6</v>
      </c>
    </row>
    <row r="8386" spans="1:3" ht="13.5" thickBot="1" x14ac:dyDescent="0.25">
      <c r="A8386" s="3">
        <v>3448</v>
      </c>
      <c r="B8386" s="28"/>
      <c r="C8386" s="3" t="s">
        <v>3</v>
      </c>
    </row>
    <row r="8387" spans="1:3" ht="13.5" thickBot="1" x14ac:dyDescent="0.25">
      <c r="A8387" s="3">
        <v>2944</v>
      </c>
      <c r="B8387" s="28"/>
      <c r="C8387" s="3" t="s">
        <v>3</v>
      </c>
    </row>
    <row r="8388" spans="1:3" ht="13.5" thickBot="1" x14ac:dyDescent="0.25">
      <c r="A8388" s="3">
        <v>139</v>
      </c>
      <c r="B8388" s="28"/>
      <c r="C8388" s="3" t="s">
        <v>4</v>
      </c>
    </row>
    <row r="8389" spans="1:3" ht="13.5" thickBot="1" x14ac:dyDescent="0.25">
      <c r="A8389" s="3">
        <v>3613</v>
      </c>
      <c r="B8389" s="28"/>
      <c r="C8389" s="3" t="s">
        <v>3</v>
      </c>
    </row>
    <row r="8390" spans="1:3" ht="13.5" thickBot="1" x14ac:dyDescent="0.25">
      <c r="A8390" s="3">
        <v>2883</v>
      </c>
      <c r="B8390" s="28"/>
      <c r="C8390" s="3" t="s">
        <v>3</v>
      </c>
    </row>
    <row r="8391" spans="1:3" ht="13.5" thickBot="1" x14ac:dyDescent="0.25">
      <c r="A8391" s="3">
        <v>6804</v>
      </c>
      <c r="B8391" s="28"/>
      <c r="C8391" s="3" t="s">
        <v>4</v>
      </c>
    </row>
    <row r="8392" spans="1:3" ht="13.5" thickBot="1" x14ac:dyDescent="0.25">
      <c r="A8392" s="3">
        <v>6246</v>
      </c>
      <c r="B8392" s="28"/>
      <c r="C8392" s="3" t="s">
        <v>3</v>
      </c>
    </row>
    <row r="8393" spans="1:3" ht="13.5" thickBot="1" x14ac:dyDescent="0.25">
      <c r="A8393" s="3">
        <v>2535</v>
      </c>
      <c r="B8393" s="28"/>
      <c r="C8393" s="3" t="s">
        <v>6</v>
      </c>
    </row>
    <row r="8394" spans="1:3" ht="13.5" thickBot="1" x14ac:dyDescent="0.25">
      <c r="A8394" s="3">
        <v>544</v>
      </c>
      <c r="B8394" s="28"/>
      <c r="C8394" s="3" t="s">
        <v>3</v>
      </c>
    </row>
    <row r="8395" spans="1:3" ht="13.5" thickBot="1" x14ac:dyDescent="0.25">
      <c r="A8395" s="3">
        <v>4055</v>
      </c>
      <c r="B8395" s="28"/>
      <c r="C8395" s="3" t="s">
        <v>7</v>
      </c>
    </row>
    <row r="8396" spans="1:3" ht="13.5" thickBot="1" x14ac:dyDescent="0.25">
      <c r="A8396" s="3">
        <v>4005</v>
      </c>
      <c r="B8396" s="28"/>
      <c r="C8396" s="3" t="s">
        <v>6</v>
      </c>
    </row>
    <row r="8397" spans="1:3" ht="13.5" thickBot="1" x14ac:dyDescent="0.25">
      <c r="A8397" s="3">
        <v>3797</v>
      </c>
      <c r="B8397" s="28"/>
      <c r="C8397" s="3" t="s">
        <v>3</v>
      </c>
    </row>
    <row r="8398" spans="1:3" ht="13.5" thickBot="1" x14ac:dyDescent="0.25">
      <c r="A8398" s="3">
        <v>3448</v>
      </c>
      <c r="B8398" s="28"/>
      <c r="C8398" s="3" t="s">
        <v>4</v>
      </c>
    </row>
    <row r="8399" spans="1:3" ht="13.5" thickBot="1" x14ac:dyDescent="0.25">
      <c r="A8399" s="3">
        <v>1489</v>
      </c>
      <c r="B8399" s="28"/>
      <c r="C8399" s="3" t="s">
        <v>5</v>
      </c>
    </row>
    <row r="8400" spans="1:3" ht="13.5" thickBot="1" x14ac:dyDescent="0.25">
      <c r="A8400" s="3">
        <v>3272</v>
      </c>
      <c r="B8400" s="28"/>
      <c r="C8400" s="3" t="s">
        <v>3</v>
      </c>
    </row>
    <row r="8401" spans="1:3" ht="13.5" thickBot="1" x14ac:dyDescent="0.25">
      <c r="A8401" s="3">
        <v>1189</v>
      </c>
      <c r="B8401" s="28"/>
      <c r="C8401" s="3" t="s">
        <v>7</v>
      </c>
    </row>
    <row r="8402" spans="1:3" ht="13.5" thickBot="1" x14ac:dyDescent="0.25">
      <c r="A8402" s="3">
        <v>6387</v>
      </c>
      <c r="B8402" s="28"/>
      <c r="C8402" s="3" t="s">
        <v>7</v>
      </c>
    </row>
    <row r="8403" spans="1:3" ht="13.5" thickBot="1" x14ac:dyDescent="0.25">
      <c r="A8403" s="3">
        <v>1895</v>
      </c>
      <c r="B8403" s="28"/>
      <c r="C8403" s="3" t="s">
        <v>5</v>
      </c>
    </row>
    <row r="8404" spans="1:3" ht="13.5" thickBot="1" x14ac:dyDescent="0.25">
      <c r="A8404" s="3">
        <v>2119</v>
      </c>
      <c r="B8404" s="28"/>
      <c r="C8404" s="3" t="s">
        <v>7</v>
      </c>
    </row>
    <row r="8405" spans="1:3" ht="13.5" thickBot="1" x14ac:dyDescent="0.25">
      <c r="A8405" s="3">
        <v>7780</v>
      </c>
      <c r="B8405" s="28"/>
      <c r="C8405" s="3" t="s">
        <v>3</v>
      </c>
    </row>
    <row r="8406" spans="1:3" ht="13.5" thickBot="1" x14ac:dyDescent="0.25">
      <c r="A8406" s="3">
        <v>4055</v>
      </c>
      <c r="B8406" s="28"/>
      <c r="C8406" s="3" t="s">
        <v>4</v>
      </c>
    </row>
    <row r="8407" spans="1:3" ht="13.5" thickBot="1" x14ac:dyDescent="0.25">
      <c r="A8407" s="3">
        <v>7444</v>
      </c>
      <c r="B8407" s="28"/>
      <c r="C8407" s="3" t="s">
        <v>4</v>
      </c>
    </row>
    <row r="8408" spans="1:3" ht="13.5" thickBot="1" x14ac:dyDescent="0.25">
      <c r="A8408" s="3">
        <v>4687</v>
      </c>
      <c r="B8408" s="28"/>
      <c r="C8408" s="3" t="s">
        <v>4</v>
      </c>
    </row>
    <row r="8409" spans="1:3" ht="13.5" thickBot="1" x14ac:dyDescent="0.25">
      <c r="A8409" s="3">
        <v>6061</v>
      </c>
      <c r="B8409" s="28"/>
      <c r="C8409" s="3" t="s">
        <v>3</v>
      </c>
    </row>
    <row r="8410" spans="1:3" ht="13.5" thickBot="1" x14ac:dyDescent="0.25">
      <c r="A8410" s="3">
        <v>5964</v>
      </c>
      <c r="B8410" s="28"/>
      <c r="C8410" s="3" t="s">
        <v>4</v>
      </c>
    </row>
    <row r="8411" spans="1:3" ht="13.5" thickBot="1" x14ac:dyDescent="0.25">
      <c r="A8411" s="3">
        <v>5636</v>
      </c>
      <c r="B8411" s="28"/>
      <c r="C8411" s="3" t="s">
        <v>3</v>
      </c>
    </row>
    <row r="8412" spans="1:3" ht="13.5" thickBot="1" x14ac:dyDescent="0.25">
      <c r="A8412" s="3">
        <v>3704</v>
      </c>
      <c r="B8412" s="28"/>
      <c r="C8412" s="3" t="s">
        <v>4</v>
      </c>
    </row>
    <row r="8413" spans="1:3" ht="13.5" thickBot="1" x14ac:dyDescent="0.25">
      <c r="A8413" s="3">
        <v>5448</v>
      </c>
      <c r="B8413" s="28"/>
      <c r="C8413" s="3" t="s">
        <v>6</v>
      </c>
    </row>
    <row r="8414" spans="1:3" ht="13.5" thickBot="1" x14ac:dyDescent="0.25">
      <c r="A8414" s="3">
        <v>268</v>
      </c>
      <c r="B8414" s="28"/>
      <c r="C8414" s="3" t="s">
        <v>6</v>
      </c>
    </row>
    <row r="8415" spans="1:3" ht="13.5" thickBot="1" x14ac:dyDescent="0.25">
      <c r="A8415" s="3">
        <v>4711</v>
      </c>
      <c r="B8415" s="28"/>
      <c r="C8415" s="3" t="s">
        <v>6</v>
      </c>
    </row>
    <row r="8416" spans="1:3" ht="13.5" thickBot="1" x14ac:dyDescent="0.25">
      <c r="A8416" s="3">
        <v>3611</v>
      </c>
      <c r="B8416" s="28"/>
      <c r="C8416" s="3" t="s">
        <v>3</v>
      </c>
    </row>
    <row r="8417" spans="1:3" ht="13.5" thickBot="1" x14ac:dyDescent="0.25">
      <c r="A8417" s="3">
        <v>469</v>
      </c>
      <c r="B8417" s="28"/>
      <c r="C8417" s="3" t="s">
        <v>4</v>
      </c>
    </row>
    <row r="8418" spans="1:3" ht="13.5" thickBot="1" x14ac:dyDescent="0.25">
      <c r="A8418" s="3">
        <v>2624</v>
      </c>
      <c r="B8418" s="28"/>
      <c r="C8418" s="3" t="s">
        <v>3</v>
      </c>
    </row>
    <row r="8419" spans="1:3" ht="13.5" thickBot="1" x14ac:dyDescent="0.25">
      <c r="A8419" s="3">
        <v>5138</v>
      </c>
      <c r="B8419" s="28"/>
      <c r="C8419" s="3" t="s">
        <v>7</v>
      </c>
    </row>
    <row r="8420" spans="1:3" ht="13.5" thickBot="1" x14ac:dyDescent="0.25">
      <c r="A8420" s="3">
        <v>7444</v>
      </c>
      <c r="B8420" s="28"/>
      <c r="C8420" s="3" t="s">
        <v>7</v>
      </c>
    </row>
    <row r="8421" spans="1:3" ht="13.5" thickBot="1" x14ac:dyDescent="0.25">
      <c r="A8421" s="3">
        <v>4822</v>
      </c>
      <c r="B8421" s="28"/>
      <c r="C8421" s="3" t="s">
        <v>3</v>
      </c>
    </row>
    <row r="8422" spans="1:3" ht="13.5" thickBot="1" x14ac:dyDescent="0.25">
      <c r="A8422" s="3">
        <v>6102</v>
      </c>
      <c r="B8422" s="28"/>
      <c r="C8422" s="3" t="s">
        <v>4</v>
      </c>
    </row>
    <row r="8423" spans="1:3" ht="13.5" thickBot="1" x14ac:dyDescent="0.25">
      <c r="A8423" s="3">
        <v>5317</v>
      </c>
      <c r="B8423" s="28"/>
      <c r="C8423" s="3" t="s">
        <v>5</v>
      </c>
    </row>
    <row r="8424" spans="1:3" ht="13.5" thickBot="1" x14ac:dyDescent="0.25">
      <c r="A8424" s="3">
        <v>6090</v>
      </c>
      <c r="B8424" s="28"/>
      <c r="C8424" s="3" t="s">
        <v>3</v>
      </c>
    </row>
    <row r="8425" spans="1:3" ht="13.5" thickBot="1" x14ac:dyDescent="0.25">
      <c r="A8425" s="3">
        <v>1866</v>
      </c>
      <c r="B8425" s="28"/>
      <c r="C8425" s="3" t="s">
        <v>3</v>
      </c>
    </row>
    <row r="8426" spans="1:3" ht="13.5" thickBot="1" x14ac:dyDescent="0.25">
      <c r="A8426" s="3">
        <v>5188</v>
      </c>
      <c r="B8426" s="28"/>
      <c r="C8426" s="3" t="s">
        <v>4</v>
      </c>
    </row>
    <row r="8427" spans="1:3" ht="13.5" thickBot="1" x14ac:dyDescent="0.25">
      <c r="A8427" s="3">
        <v>6804</v>
      </c>
      <c r="B8427" s="28"/>
      <c r="C8427" s="3" t="s">
        <v>7</v>
      </c>
    </row>
    <row r="8428" spans="1:3" ht="13.5" thickBot="1" x14ac:dyDescent="0.25">
      <c r="A8428" s="3">
        <v>1216</v>
      </c>
      <c r="B8428" s="28"/>
      <c r="C8428" s="3" t="s">
        <v>4</v>
      </c>
    </row>
    <row r="8429" spans="1:3" ht="13.5" thickBot="1" x14ac:dyDescent="0.25">
      <c r="A8429" s="3">
        <v>6440</v>
      </c>
      <c r="B8429" s="28"/>
      <c r="C8429" s="3" t="s">
        <v>3</v>
      </c>
    </row>
    <row r="8430" spans="1:3" ht="13.5" thickBot="1" x14ac:dyDescent="0.25">
      <c r="A8430" s="3">
        <v>5930</v>
      </c>
      <c r="B8430" s="28"/>
      <c r="C8430" s="3" t="s">
        <v>6</v>
      </c>
    </row>
    <row r="8431" spans="1:3" ht="13.5" thickBot="1" x14ac:dyDescent="0.25">
      <c r="A8431" s="3">
        <v>3613</v>
      </c>
      <c r="B8431" s="28"/>
      <c r="C8431" s="3" t="s">
        <v>7</v>
      </c>
    </row>
    <row r="8432" spans="1:3" ht="13.5" thickBot="1" x14ac:dyDescent="0.25">
      <c r="A8432" s="3">
        <v>1887</v>
      </c>
      <c r="B8432" s="28"/>
      <c r="C8432" s="3" t="s">
        <v>6</v>
      </c>
    </row>
    <row r="8433" spans="1:3" ht="13.5" thickBot="1" x14ac:dyDescent="0.25">
      <c r="A8433" s="3">
        <v>27</v>
      </c>
      <c r="B8433" s="28"/>
      <c r="C8433" s="3" t="s">
        <v>7</v>
      </c>
    </row>
    <row r="8434" spans="1:3" ht="13.5" thickBot="1" x14ac:dyDescent="0.25">
      <c r="A8434" s="3">
        <v>2878</v>
      </c>
      <c r="B8434" s="28"/>
      <c r="C8434" s="3" t="s">
        <v>3</v>
      </c>
    </row>
    <row r="8435" spans="1:3" ht="13.5" thickBot="1" x14ac:dyDescent="0.25">
      <c r="A8435" s="3">
        <v>1489</v>
      </c>
      <c r="B8435" s="28"/>
      <c r="C8435" s="3" t="s">
        <v>4</v>
      </c>
    </row>
    <row r="8436" spans="1:3" ht="13.5" thickBot="1" x14ac:dyDescent="0.25">
      <c r="A8436" s="3">
        <v>2878</v>
      </c>
      <c r="B8436" s="28"/>
      <c r="C8436" s="3" t="s">
        <v>4</v>
      </c>
    </row>
    <row r="8437" spans="1:3" ht="13.5" thickBot="1" x14ac:dyDescent="0.25">
      <c r="A8437" s="3">
        <v>713</v>
      </c>
      <c r="B8437" s="28"/>
      <c r="C8437" s="3" t="s">
        <v>7</v>
      </c>
    </row>
    <row r="8438" spans="1:3" ht="13.5" thickBot="1" x14ac:dyDescent="0.25">
      <c r="A8438" s="3">
        <v>5152</v>
      </c>
      <c r="B8438" s="28"/>
      <c r="C8438" s="3" t="s">
        <v>3</v>
      </c>
    </row>
    <row r="8439" spans="1:3" ht="13.5" thickBot="1" x14ac:dyDescent="0.25">
      <c r="A8439" s="3">
        <v>3797</v>
      </c>
      <c r="B8439" s="28"/>
      <c r="C8439" s="3" t="s">
        <v>4</v>
      </c>
    </row>
    <row r="8440" spans="1:3" ht="13.5" thickBot="1" x14ac:dyDescent="0.25">
      <c r="A8440" s="3">
        <v>5978</v>
      </c>
      <c r="B8440" s="28"/>
      <c r="C8440" s="3" t="s">
        <v>3</v>
      </c>
    </row>
    <row r="8441" spans="1:3" ht="13.5" thickBot="1" x14ac:dyDescent="0.25">
      <c r="A8441" s="3">
        <v>5530</v>
      </c>
      <c r="B8441" s="28"/>
      <c r="C8441" s="3" t="s">
        <v>3</v>
      </c>
    </row>
    <row r="8442" spans="1:3" ht="13.5" thickBot="1" x14ac:dyDescent="0.25">
      <c r="A8442" s="3">
        <v>5636</v>
      </c>
      <c r="B8442" s="28"/>
      <c r="C8442" s="3" t="s">
        <v>4</v>
      </c>
    </row>
    <row r="8443" spans="1:3" ht="13.5" thickBot="1" x14ac:dyDescent="0.25">
      <c r="A8443" s="3">
        <v>4751</v>
      </c>
      <c r="B8443" s="28"/>
      <c r="C8443" s="3" t="s">
        <v>3</v>
      </c>
    </row>
    <row r="8444" spans="1:3" ht="13.5" thickBot="1" x14ac:dyDescent="0.25">
      <c r="A8444" s="3">
        <v>1913</v>
      </c>
      <c r="B8444" s="28"/>
      <c r="C8444" s="3" t="s">
        <v>6</v>
      </c>
    </row>
    <row r="8445" spans="1:3" ht="13.5" thickBot="1" x14ac:dyDescent="0.25">
      <c r="A8445" s="3">
        <v>3529</v>
      </c>
      <c r="B8445" s="28"/>
      <c r="C8445" s="3" t="s">
        <v>5</v>
      </c>
    </row>
    <row r="8446" spans="1:3" ht="13.5" thickBot="1" x14ac:dyDescent="0.25">
      <c r="A8446" s="3">
        <v>2657</v>
      </c>
      <c r="B8446" s="28"/>
      <c r="C8446" s="3" t="s">
        <v>6</v>
      </c>
    </row>
    <row r="8447" spans="1:3" ht="13.5" thickBot="1" x14ac:dyDescent="0.25">
      <c r="A8447" s="3">
        <v>1916</v>
      </c>
      <c r="B8447" s="28"/>
      <c r="C8447" s="3" t="s">
        <v>7</v>
      </c>
    </row>
    <row r="8448" spans="1:3" ht="13.5" thickBot="1" x14ac:dyDescent="0.25">
      <c r="A8448" s="3">
        <v>3704</v>
      </c>
      <c r="B8448" s="28"/>
      <c r="C8448" s="3" t="s">
        <v>3</v>
      </c>
    </row>
    <row r="8449" spans="1:3" ht="13.5" thickBot="1" x14ac:dyDescent="0.25">
      <c r="A8449" s="3">
        <v>5552</v>
      </c>
      <c r="B8449" s="28"/>
      <c r="C8449" s="3" t="s">
        <v>5</v>
      </c>
    </row>
    <row r="8450" spans="1:3" ht="13.5" thickBot="1" x14ac:dyDescent="0.25">
      <c r="A8450" s="3">
        <v>2319</v>
      </c>
      <c r="B8450" s="28"/>
      <c r="C8450" s="3" t="s">
        <v>4</v>
      </c>
    </row>
    <row r="8451" spans="1:3" ht="13.5" thickBot="1" x14ac:dyDescent="0.25">
      <c r="A8451" s="3">
        <v>4790</v>
      </c>
      <c r="B8451" s="28"/>
      <c r="C8451" s="3" t="s">
        <v>3</v>
      </c>
    </row>
    <row r="8452" spans="1:3" ht="13.5" thickBot="1" x14ac:dyDescent="0.25">
      <c r="A8452" s="3">
        <v>6014</v>
      </c>
      <c r="B8452" s="28"/>
      <c r="C8452" s="3" t="s">
        <v>4</v>
      </c>
    </row>
    <row r="8453" spans="1:3" ht="13.5" thickBot="1" x14ac:dyDescent="0.25">
      <c r="A8453" s="3">
        <v>1123</v>
      </c>
      <c r="B8453" s="28"/>
      <c r="C8453" s="3" t="s">
        <v>4</v>
      </c>
    </row>
    <row r="8454" spans="1:3" ht="13.5" thickBot="1" x14ac:dyDescent="0.25">
      <c r="A8454" s="3">
        <v>4646</v>
      </c>
      <c r="B8454" s="28"/>
      <c r="C8454" s="3" t="s">
        <v>4</v>
      </c>
    </row>
    <row r="8455" spans="1:3" ht="13.5" thickBot="1" x14ac:dyDescent="0.25">
      <c r="A8455" s="3">
        <v>3501</v>
      </c>
      <c r="B8455" s="28"/>
      <c r="C8455" s="3" t="s">
        <v>3</v>
      </c>
    </row>
    <row r="8456" spans="1:3" ht="13.5" thickBot="1" x14ac:dyDescent="0.25">
      <c r="A8456" s="3">
        <v>4845</v>
      </c>
      <c r="B8456" s="28"/>
      <c r="C8456" s="3" t="s">
        <v>3</v>
      </c>
    </row>
    <row r="8457" spans="1:3" ht="13.5" thickBot="1" x14ac:dyDescent="0.25">
      <c r="A8457" s="3">
        <v>6761</v>
      </c>
      <c r="B8457" s="28"/>
      <c r="C8457" s="3" t="s">
        <v>3</v>
      </c>
    </row>
    <row r="8458" spans="1:3" ht="13.5" thickBot="1" x14ac:dyDescent="0.25">
      <c r="A8458" s="3">
        <v>374</v>
      </c>
      <c r="B8458" s="28"/>
      <c r="C8458" s="3" t="s">
        <v>3</v>
      </c>
    </row>
    <row r="8459" spans="1:3" ht="13.5" thickBot="1" x14ac:dyDescent="0.25">
      <c r="A8459" s="3">
        <v>1558</v>
      </c>
      <c r="B8459" s="28"/>
      <c r="C8459" s="3" t="s">
        <v>4</v>
      </c>
    </row>
    <row r="8460" spans="1:3" ht="13.5" thickBot="1" x14ac:dyDescent="0.25">
      <c r="A8460" s="3">
        <v>2108</v>
      </c>
      <c r="B8460" s="28"/>
      <c r="C8460" s="3" t="s">
        <v>4</v>
      </c>
    </row>
    <row r="8461" spans="1:3" ht="13.5" thickBot="1" x14ac:dyDescent="0.25">
      <c r="A8461" s="3">
        <v>5138</v>
      </c>
      <c r="B8461" s="28"/>
      <c r="C8461" s="3" t="s">
        <v>5</v>
      </c>
    </row>
    <row r="8462" spans="1:3" ht="13.5" thickBot="1" x14ac:dyDescent="0.25">
      <c r="A8462" s="3">
        <v>6965</v>
      </c>
      <c r="B8462" s="28"/>
      <c r="C8462" s="3" t="s">
        <v>3</v>
      </c>
    </row>
    <row r="8463" spans="1:3" ht="13.5" thickBot="1" x14ac:dyDescent="0.25">
      <c r="A8463" s="3">
        <v>1515</v>
      </c>
      <c r="B8463" s="28"/>
      <c r="C8463" s="3" t="s">
        <v>7</v>
      </c>
    </row>
    <row r="8464" spans="1:3" ht="13.5" thickBot="1" x14ac:dyDescent="0.25">
      <c r="A8464" s="3">
        <v>3792</v>
      </c>
      <c r="B8464" s="28"/>
      <c r="C8464" s="3" t="s">
        <v>3</v>
      </c>
    </row>
    <row r="8465" spans="1:3" ht="13.5" thickBot="1" x14ac:dyDescent="0.25">
      <c r="A8465" s="3">
        <v>6014</v>
      </c>
      <c r="B8465" s="28"/>
      <c r="C8465" s="3" t="s">
        <v>3</v>
      </c>
    </row>
    <row r="8466" spans="1:3" ht="13.5" thickBot="1" x14ac:dyDescent="0.25">
      <c r="A8466" s="3">
        <v>2319</v>
      </c>
      <c r="B8466" s="28"/>
      <c r="C8466" s="3" t="s">
        <v>3</v>
      </c>
    </row>
    <row r="8467" spans="1:3" ht="13.5" thickBot="1" x14ac:dyDescent="0.25">
      <c r="A8467" s="3">
        <v>347</v>
      </c>
      <c r="B8467" s="28"/>
      <c r="C8467" s="3" t="s">
        <v>6</v>
      </c>
    </row>
    <row r="8468" spans="1:3" ht="13.5" thickBot="1" x14ac:dyDescent="0.25">
      <c r="A8468" s="3">
        <v>1025</v>
      </c>
      <c r="B8468" s="28"/>
      <c r="C8468" s="3" t="s">
        <v>3</v>
      </c>
    </row>
    <row r="8469" spans="1:3" ht="13.5" thickBot="1" x14ac:dyDescent="0.25">
      <c r="A8469" s="3">
        <v>1216</v>
      </c>
      <c r="B8469" s="28"/>
      <c r="C8469" s="3" t="s">
        <v>3</v>
      </c>
    </row>
    <row r="8470" spans="1:3" ht="13.5" thickBot="1" x14ac:dyDescent="0.25">
      <c r="A8470" s="3">
        <v>2108</v>
      </c>
      <c r="B8470" s="28"/>
      <c r="C8470" s="3" t="s">
        <v>3</v>
      </c>
    </row>
    <row r="8471" spans="1:3" ht="13.5" thickBot="1" x14ac:dyDescent="0.25">
      <c r="A8471" s="3">
        <v>763</v>
      </c>
      <c r="B8471" s="28"/>
      <c r="C8471" s="3" t="s">
        <v>3</v>
      </c>
    </row>
    <row r="8472" spans="1:3" ht="13.5" thickBot="1" x14ac:dyDescent="0.25">
      <c r="A8472" s="3">
        <v>2715</v>
      </c>
      <c r="B8472" s="28"/>
      <c r="C8472" s="3" t="s">
        <v>3</v>
      </c>
    </row>
    <row r="8473" spans="1:3" ht="13.5" thickBot="1" x14ac:dyDescent="0.25">
      <c r="A8473" s="3">
        <v>6359</v>
      </c>
      <c r="B8473" s="28"/>
      <c r="C8473" s="3" t="s">
        <v>4</v>
      </c>
    </row>
    <row r="8474" spans="1:3" ht="13.5" thickBot="1" x14ac:dyDescent="0.25">
      <c r="A8474" s="3">
        <v>6761</v>
      </c>
      <c r="B8474" s="28"/>
      <c r="C8474" s="3" t="s">
        <v>4</v>
      </c>
    </row>
    <row r="8475" spans="1:3" ht="13.5" thickBot="1" x14ac:dyDescent="0.25">
      <c r="A8475" s="3">
        <v>544</v>
      </c>
      <c r="B8475" s="28"/>
      <c r="C8475" s="3" t="s">
        <v>4</v>
      </c>
    </row>
    <row r="8476" spans="1:3" ht="13.5" thickBot="1" x14ac:dyDescent="0.25">
      <c r="A8476" s="3">
        <v>5317</v>
      </c>
      <c r="B8476" s="28"/>
      <c r="C8476" s="3" t="s">
        <v>6</v>
      </c>
    </row>
    <row r="8477" spans="1:3" ht="13.5" thickBot="1" x14ac:dyDescent="0.25">
      <c r="A8477" s="3">
        <v>6246</v>
      </c>
      <c r="B8477" s="28"/>
      <c r="C8477" s="3" t="s">
        <v>4</v>
      </c>
    </row>
    <row r="8478" spans="1:3" ht="13.5" thickBot="1" x14ac:dyDescent="0.25">
      <c r="A8478" s="3">
        <v>6246</v>
      </c>
      <c r="B8478" s="28"/>
      <c r="C8478" s="3" t="s">
        <v>6</v>
      </c>
    </row>
    <row r="8479" spans="1:3" ht="13.5" thickBot="1" x14ac:dyDescent="0.25">
      <c r="A8479" s="3">
        <v>2482</v>
      </c>
      <c r="B8479" s="28"/>
      <c r="C8479" s="3" t="s">
        <v>3</v>
      </c>
    </row>
    <row r="8480" spans="1:3" ht="13.5" thickBot="1" x14ac:dyDescent="0.25">
      <c r="A8480" s="3">
        <v>4288</v>
      </c>
      <c r="B8480" s="28"/>
      <c r="C8480" s="3" t="s">
        <v>3</v>
      </c>
    </row>
    <row r="8481" spans="1:3" ht="13.5" thickBot="1" x14ac:dyDescent="0.25">
      <c r="A8481" s="3">
        <v>2561</v>
      </c>
      <c r="B8481" s="28"/>
      <c r="C8481" s="3" t="s">
        <v>3</v>
      </c>
    </row>
    <row r="8482" spans="1:3" ht="13.5" thickBot="1" x14ac:dyDescent="0.25">
      <c r="A8482" s="3">
        <v>3602</v>
      </c>
      <c r="B8482" s="28"/>
      <c r="C8482" s="3" t="s">
        <v>3</v>
      </c>
    </row>
    <row r="8483" spans="1:3" ht="13.5" thickBot="1" x14ac:dyDescent="0.25">
      <c r="A8483" s="3">
        <v>6947</v>
      </c>
      <c r="B8483" s="28"/>
      <c r="C8483" s="3" t="s">
        <v>3</v>
      </c>
    </row>
    <row r="8484" spans="1:3" ht="13.5" thickBot="1" x14ac:dyDescent="0.25">
      <c r="A8484" s="3">
        <v>3613</v>
      </c>
      <c r="B8484" s="28"/>
      <c r="C8484" s="3" t="s">
        <v>5</v>
      </c>
    </row>
    <row r="8485" spans="1:3" ht="13.5" thickBot="1" x14ac:dyDescent="0.25">
      <c r="A8485" s="3">
        <v>7780</v>
      </c>
      <c r="B8485" s="28"/>
      <c r="C8485" s="3" t="s">
        <v>5</v>
      </c>
    </row>
    <row r="8486" spans="1:3" ht="13.5" thickBot="1" x14ac:dyDescent="0.25">
      <c r="A8486" s="3">
        <v>5267</v>
      </c>
      <c r="B8486" s="28"/>
      <c r="C8486" s="3" t="s">
        <v>4</v>
      </c>
    </row>
    <row r="8487" spans="1:3" ht="13.5" thickBot="1" x14ac:dyDescent="0.25">
      <c r="A8487" s="3">
        <v>1376</v>
      </c>
      <c r="B8487" s="28"/>
      <c r="C8487" s="3" t="s">
        <v>3</v>
      </c>
    </row>
    <row r="8488" spans="1:3" ht="13.5" thickBot="1" x14ac:dyDescent="0.25">
      <c r="A8488" s="3">
        <v>2542</v>
      </c>
      <c r="B8488" s="28"/>
      <c r="C8488" s="3" t="s">
        <v>3</v>
      </c>
    </row>
    <row r="8489" spans="1:3" ht="13.5" thickBot="1" x14ac:dyDescent="0.25">
      <c r="A8489" s="3">
        <v>5081</v>
      </c>
      <c r="B8489" s="28"/>
      <c r="C8489" s="3" t="s">
        <v>6</v>
      </c>
    </row>
    <row r="8490" spans="1:3" ht="13.5" thickBot="1" x14ac:dyDescent="0.25">
      <c r="A8490" s="3">
        <v>6692</v>
      </c>
      <c r="B8490" s="28"/>
      <c r="C8490" s="3" t="s">
        <v>6</v>
      </c>
    </row>
    <row r="8491" spans="1:3" ht="13.5" thickBot="1" x14ac:dyDescent="0.25">
      <c r="A8491" s="3">
        <v>806</v>
      </c>
      <c r="B8491" s="28"/>
      <c r="C8491" s="3" t="s">
        <v>3</v>
      </c>
    </row>
    <row r="8492" spans="1:3" ht="13.5" thickBot="1" x14ac:dyDescent="0.25">
      <c r="A8492" s="3">
        <v>2753</v>
      </c>
      <c r="B8492" s="28"/>
      <c r="C8492" s="3" t="s">
        <v>3</v>
      </c>
    </row>
    <row r="8493" spans="1:3" ht="13.5" thickBot="1" x14ac:dyDescent="0.25">
      <c r="A8493" s="3">
        <v>1216</v>
      </c>
      <c r="B8493" s="28"/>
      <c r="C8493" s="3" t="s">
        <v>5</v>
      </c>
    </row>
    <row r="8494" spans="1:3" ht="13.5" thickBot="1" x14ac:dyDescent="0.25">
      <c r="A8494" s="3">
        <v>3321</v>
      </c>
      <c r="B8494" s="28"/>
      <c r="C8494" s="3" t="s">
        <v>3</v>
      </c>
    </row>
    <row r="8495" spans="1:3" ht="13.5" thickBot="1" x14ac:dyDescent="0.25">
      <c r="A8495" s="3">
        <v>2944</v>
      </c>
      <c r="B8495" s="28"/>
      <c r="C8495" s="3" t="s">
        <v>4</v>
      </c>
    </row>
    <row r="8496" spans="1:3" ht="13.5" thickBot="1" x14ac:dyDescent="0.25">
      <c r="A8496" s="3">
        <v>3572</v>
      </c>
      <c r="B8496" s="28"/>
      <c r="C8496" s="3" t="s">
        <v>3</v>
      </c>
    </row>
    <row r="8497" spans="1:3" ht="13.5" thickBot="1" x14ac:dyDescent="0.25">
      <c r="A8497" s="3">
        <v>7753</v>
      </c>
      <c r="B8497" s="28"/>
      <c r="C8497" s="3" t="s">
        <v>3</v>
      </c>
    </row>
    <row r="8498" spans="1:3" ht="13.5" thickBot="1" x14ac:dyDescent="0.25">
      <c r="A8498" s="3">
        <v>655</v>
      </c>
      <c r="B8498" s="28"/>
      <c r="C8498" s="3" t="s">
        <v>3</v>
      </c>
    </row>
    <row r="8499" spans="1:3" ht="13.5" thickBot="1" x14ac:dyDescent="0.25">
      <c r="A8499" s="3">
        <v>970</v>
      </c>
      <c r="B8499" s="28"/>
      <c r="C8499" s="3" t="s">
        <v>3</v>
      </c>
    </row>
    <row r="8500" spans="1:3" ht="13.5" thickBot="1" x14ac:dyDescent="0.25">
      <c r="A8500" s="3">
        <v>2013</v>
      </c>
      <c r="B8500" s="28"/>
      <c r="C8500" s="3" t="s">
        <v>3</v>
      </c>
    </row>
    <row r="8501" spans="1:3" ht="13.5" thickBot="1" x14ac:dyDescent="0.25">
      <c r="A8501" s="3">
        <v>3363</v>
      </c>
      <c r="B8501" s="28"/>
      <c r="C8501" s="3" t="s">
        <v>7</v>
      </c>
    </row>
    <row r="8502" spans="1:3" ht="13.5" thickBot="1" x14ac:dyDescent="0.25">
      <c r="A8502" s="3">
        <v>7391</v>
      </c>
      <c r="B8502" s="28"/>
      <c r="C8502" s="3" t="s">
        <v>3</v>
      </c>
    </row>
    <row r="8503" spans="1:3" ht="13.5" thickBot="1" x14ac:dyDescent="0.25">
      <c r="A8503" s="3">
        <v>4055</v>
      </c>
      <c r="B8503" s="28"/>
      <c r="C8503" s="3" t="s">
        <v>5</v>
      </c>
    </row>
    <row r="8504" spans="1:3" ht="13.5" thickBot="1" x14ac:dyDescent="0.25">
      <c r="A8504" s="3">
        <v>2482</v>
      </c>
      <c r="B8504" s="28"/>
      <c r="C8504" s="3" t="s">
        <v>5</v>
      </c>
    </row>
    <row r="8505" spans="1:3" ht="13.5" thickBot="1" x14ac:dyDescent="0.25">
      <c r="A8505" s="3">
        <v>27</v>
      </c>
      <c r="B8505" s="28"/>
      <c r="C8505" s="3" t="s">
        <v>5</v>
      </c>
    </row>
    <row r="8506" spans="1:3" ht="13.5" thickBot="1" x14ac:dyDescent="0.25">
      <c r="A8506" s="3">
        <v>6883</v>
      </c>
      <c r="B8506" s="28"/>
      <c r="C8506" s="3" t="s">
        <v>3</v>
      </c>
    </row>
    <row r="8507" spans="1:3" ht="13.5" thickBot="1" x14ac:dyDescent="0.25">
      <c r="A8507" s="3">
        <v>6196</v>
      </c>
      <c r="B8507" s="28"/>
      <c r="C8507" s="3" t="s">
        <v>3</v>
      </c>
    </row>
    <row r="8508" spans="1:3" ht="13.5" thickBot="1" x14ac:dyDescent="0.25">
      <c r="A8508" s="3">
        <v>1438</v>
      </c>
      <c r="B8508" s="28"/>
      <c r="C8508" s="3" t="s">
        <v>3</v>
      </c>
    </row>
    <row r="8509" spans="1:3" ht="13.5" thickBot="1" x14ac:dyDescent="0.25">
      <c r="A8509" s="3">
        <v>5061</v>
      </c>
      <c r="B8509" s="28"/>
      <c r="C8509" s="3" t="s">
        <v>6</v>
      </c>
    </row>
    <row r="8510" spans="1:3" ht="13.5" thickBot="1" x14ac:dyDescent="0.25">
      <c r="A8510" s="3">
        <v>4942</v>
      </c>
      <c r="B8510" s="28"/>
      <c r="C8510" s="3" t="s">
        <v>4</v>
      </c>
    </row>
    <row r="8511" spans="1:3" ht="13.5" thickBot="1" x14ac:dyDescent="0.25">
      <c r="A8511" s="3">
        <v>5319</v>
      </c>
      <c r="B8511" s="28"/>
      <c r="C8511" s="3" t="s">
        <v>5</v>
      </c>
    </row>
    <row r="8512" spans="1:3" ht="13.5" thickBot="1" x14ac:dyDescent="0.25">
      <c r="A8512" s="3">
        <v>3458</v>
      </c>
      <c r="B8512" s="28"/>
      <c r="C8512" s="3" t="s">
        <v>3</v>
      </c>
    </row>
    <row r="8513" spans="1:3" ht="13.5" thickBot="1" x14ac:dyDescent="0.25">
      <c r="A8513" s="3">
        <v>2511</v>
      </c>
      <c r="B8513" s="28"/>
      <c r="C8513" s="3" t="s">
        <v>3</v>
      </c>
    </row>
    <row r="8514" spans="1:3" ht="13.5" thickBot="1" x14ac:dyDescent="0.25">
      <c r="A8514" s="3">
        <v>6337</v>
      </c>
      <c r="B8514" s="28"/>
      <c r="C8514" s="3" t="s">
        <v>3</v>
      </c>
    </row>
    <row r="8515" spans="1:3" ht="13.5" thickBot="1" x14ac:dyDescent="0.25">
      <c r="A8515" s="3">
        <v>6947</v>
      </c>
      <c r="B8515" s="28"/>
      <c r="C8515" s="3" t="s">
        <v>5</v>
      </c>
    </row>
    <row r="8516" spans="1:3" ht="13.5" thickBot="1" x14ac:dyDescent="0.25">
      <c r="A8516" s="3">
        <v>5887</v>
      </c>
      <c r="B8516" s="28"/>
      <c r="C8516" s="3" t="s">
        <v>3</v>
      </c>
    </row>
    <row r="8517" spans="1:3" ht="13.5" thickBot="1" x14ac:dyDescent="0.25">
      <c r="A8517" s="3">
        <v>5437</v>
      </c>
      <c r="B8517" s="28"/>
      <c r="C8517" s="3" t="s">
        <v>6</v>
      </c>
    </row>
    <row r="8518" spans="1:3" ht="13.5" thickBot="1" x14ac:dyDescent="0.25">
      <c r="A8518" s="3">
        <v>2624</v>
      </c>
      <c r="B8518" s="28"/>
      <c r="C8518" s="3" t="s">
        <v>5</v>
      </c>
    </row>
    <row r="8519" spans="1:3" ht="13.5" thickBot="1" x14ac:dyDescent="0.25">
      <c r="A8519" s="3">
        <v>1503</v>
      </c>
      <c r="B8519" s="28"/>
      <c r="C8519" s="3" t="s">
        <v>3</v>
      </c>
    </row>
    <row r="8520" spans="1:3" ht="13.5" thickBot="1" x14ac:dyDescent="0.25">
      <c r="A8520" s="3">
        <v>6246</v>
      </c>
      <c r="B8520" s="28"/>
      <c r="C8520" s="3" t="s">
        <v>5</v>
      </c>
    </row>
    <row r="8521" spans="1:3" ht="13.5" thickBot="1" x14ac:dyDescent="0.25">
      <c r="A8521" s="3">
        <v>2512</v>
      </c>
      <c r="B8521" s="28"/>
      <c r="C8521" s="3" t="s">
        <v>3</v>
      </c>
    </row>
    <row r="8522" spans="1:3" ht="13.5" thickBot="1" x14ac:dyDescent="0.25">
      <c r="A8522" s="3">
        <v>4845</v>
      </c>
      <c r="B8522" s="28"/>
      <c r="C8522" s="3" t="s">
        <v>4</v>
      </c>
    </row>
    <row r="8523" spans="1:3" ht="13.5" thickBot="1" x14ac:dyDescent="0.25">
      <c r="A8523" s="3">
        <v>2482</v>
      </c>
      <c r="B8523" s="28"/>
      <c r="C8523" s="3" t="s">
        <v>4</v>
      </c>
    </row>
    <row r="8524" spans="1:3" ht="13.5" thickBot="1" x14ac:dyDescent="0.25">
      <c r="A8524" s="3">
        <v>4429</v>
      </c>
      <c r="B8524" s="28"/>
      <c r="C8524" s="3" t="s">
        <v>6</v>
      </c>
    </row>
    <row r="8525" spans="1:3" ht="13.5" thickBot="1" x14ac:dyDescent="0.25">
      <c r="A8525" s="3">
        <v>6565</v>
      </c>
      <c r="B8525" s="28"/>
      <c r="C8525" s="3" t="s">
        <v>4</v>
      </c>
    </row>
    <row r="8526" spans="1:3" ht="13.5" thickBot="1" x14ac:dyDescent="0.25">
      <c r="A8526" s="3">
        <v>1164</v>
      </c>
      <c r="B8526" s="28"/>
      <c r="C8526" s="3" t="s">
        <v>5</v>
      </c>
    </row>
    <row r="8527" spans="1:3" ht="13.5" thickBot="1" x14ac:dyDescent="0.25">
      <c r="A8527" s="3">
        <v>6679</v>
      </c>
      <c r="B8527" s="28"/>
      <c r="C8527" s="3" t="s">
        <v>7</v>
      </c>
    </row>
    <row r="8528" spans="1:3" ht="13.5" thickBot="1" x14ac:dyDescent="0.25">
      <c r="A8528" s="3">
        <v>4646</v>
      </c>
      <c r="B8528" s="28"/>
      <c r="C8528" s="3" t="s">
        <v>7</v>
      </c>
    </row>
    <row r="8529" spans="1:3" ht="13.5" thickBot="1" x14ac:dyDescent="0.25">
      <c r="A8529" s="3">
        <v>3841</v>
      </c>
      <c r="B8529" s="28"/>
      <c r="C8529" s="3" t="s">
        <v>3</v>
      </c>
    </row>
    <row r="8530" spans="1:3" ht="13.5" thickBot="1" x14ac:dyDescent="0.25">
      <c r="A8530" s="3">
        <v>7702</v>
      </c>
      <c r="B8530" s="28"/>
      <c r="C8530" s="3" t="s">
        <v>5</v>
      </c>
    </row>
    <row r="8531" spans="1:3" ht="13.5" thickBot="1" x14ac:dyDescent="0.25">
      <c r="A8531" s="3">
        <v>5391</v>
      </c>
      <c r="B8531" s="28"/>
      <c r="C8531" s="3" t="s">
        <v>3</v>
      </c>
    </row>
    <row r="8532" spans="1:3" ht="13.5" thickBot="1" x14ac:dyDescent="0.25">
      <c r="A8532" s="3">
        <v>5837</v>
      </c>
      <c r="B8532" s="28"/>
      <c r="C8532" s="3" t="s">
        <v>6</v>
      </c>
    </row>
    <row r="8533" spans="1:3" ht="13.5" thickBot="1" x14ac:dyDescent="0.25">
      <c r="A8533" s="3">
        <v>4635</v>
      </c>
      <c r="B8533" s="28"/>
      <c r="C8533" s="3" t="s">
        <v>3</v>
      </c>
    </row>
    <row r="8534" spans="1:3" ht="13.5" thickBot="1" x14ac:dyDescent="0.25">
      <c r="A8534" s="3">
        <v>5319</v>
      </c>
      <c r="B8534" s="28"/>
      <c r="C8534" s="3" t="s">
        <v>3</v>
      </c>
    </row>
    <row r="8535" spans="1:3" ht="13.5" thickBot="1" x14ac:dyDescent="0.25">
      <c r="A8535" s="3">
        <v>2883</v>
      </c>
      <c r="B8535" s="28"/>
      <c r="C8535" s="3" t="s">
        <v>5</v>
      </c>
    </row>
    <row r="8536" spans="1:3" ht="13.5" thickBot="1" x14ac:dyDescent="0.25">
      <c r="A8536" s="3">
        <v>4322</v>
      </c>
      <c r="B8536" s="28"/>
      <c r="C8536" s="3" t="s">
        <v>3</v>
      </c>
    </row>
    <row r="8537" spans="1:3" ht="13.5" thickBot="1" x14ac:dyDescent="0.25">
      <c r="A8537" s="3">
        <v>4038</v>
      </c>
      <c r="B8537" s="28"/>
      <c r="C8537" s="3" t="s">
        <v>3</v>
      </c>
    </row>
    <row r="8538" spans="1:3" ht="13.5" thickBot="1" x14ac:dyDescent="0.25">
      <c r="A8538" s="3">
        <v>4454</v>
      </c>
      <c r="B8538" s="28"/>
      <c r="C8538" s="3" t="s">
        <v>3</v>
      </c>
    </row>
    <row r="8539" spans="1:3" ht="13.5" thickBot="1" x14ac:dyDescent="0.25">
      <c r="A8539" s="3">
        <v>3993</v>
      </c>
      <c r="B8539" s="28"/>
      <c r="C8539" s="3" t="s">
        <v>3</v>
      </c>
    </row>
    <row r="8540" spans="1:3" ht="13.5" thickBot="1" x14ac:dyDescent="0.25">
      <c r="A8540" s="3">
        <v>5923</v>
      </c>
      <c r="B8540" s="28"/>
      <c r="C8540" s="3" t="s">
        <v>3</v>
      </c>
    </row>
    <row r="8541" spans="1:3" ht="13.5" thickBot="1" x14ac:dyDescent="0.25">
      <c r="A8541" s="3">
        <v>7619</v>
      </c>
      <c r="B8541" s="28"/>
      <c r="C8541" s="3" t="s">
        <v>5</v>
      </c>
    </row>
    <row r="8542" spans="1:3" ht="13.5" thickBot="1" x14ac:dyDescent="0.25">
      <c r="A8542" s="3">
        <v>4111</v>
      </c>
      <c r="B8542" s="28"/>
      <c r="C8542" s="3" t="s">
        <v>6</v>
      </c>
    </row>
    <row r="8543" spans="1:3" ht="13.5" thickBot="1" x14ac:dyDescent="0.25">
      <c r="A8543" s="3">
        <v>3701</v>
      </c>
      <c r="B8543" s="28"/>
      <c r="C8543" s="3" t="s">
        <v>3</v>
      </c>
    </row>
    <row r="8544" spans="1:3" ht="13.5" thickBot="1" x14ac:dyDescent="0.25">
      <c r="A8544" s="3">
        <v>1833</v>
      </c>
      <c r="B8544" s="28"/>
      <c r="C8544" s="3" t="s">
        <v>3</v>
      </c>
    </row>
    <row r="8545" spans="1:3" ht="13.5" thickBot="1" x14ac:dyDescent="0.25">
      <c r="A8545" s="3">
        <v>3086</v>
      </c>
      <c r="B8545" s="28"/>
      <c r="C8545" s="3" t="s">
        <v>3</v>
      </c>
    </row>
    <row r="8546" spans="1:3" ht="13.5" thickBot="1" x14ac:dyDescent="0.25">
      <c r="A8546" s="3">
        <v>5188</v>
      </c>
      <c r="B8546" s="28"/>
      <c r="C8546" s="3" t="s">
        <v>6</v>
      </c>
    </row>
    <row r="8547" spans="1:3" ht="13.5" thickBot="1" x14ac:dyDescent="0.25">
      <c r="A8547" s="3">
        <v>3856</v>
      </c>
      <c r="B8547" s="28"/>
      <c r="C8547" s="3" t="s">
        <v>6</v>
      </c>
    </row>
    <row r="8548" spans="1:3" ht="13.5" thickBot="1" x14ac:dyDescent="0.25">
      <c r="A8548" s="3">
        <v>4196</v>
      </c>
      <c r="B8548" s="28"/>
      <c r="C8548" s="3" t="s">
        <v>4</v>
      </c>
    </row>
    <row r="8549" spans="1:3" ht="13.5" thickBot="1" x14ac:dyDescent="0.25">
      <c r="A8549" s="3">
        <v>3344</v>
      </c>
      <c r="B8549" s="28"/>
      <c r="C8549" s="3" t="s">
        <v>3</v>
      </c>
    </row>
    <row r="8550" spans="1:3" ht="13.5" thickBot="1" x14ac:dyDescent="0.25">
      <c r="A8550" s="3">
        <v>5267</v>
      </c>
      <c r="B8550" s="28"/>
      <c r="C8550" s="3" t="s">
        <v>3</v>
      </c>
    </row>
    <row r="8551" spans="1:3" ht="13.5" thickBot="1" x14ac:dyDescent="0.25">
      <c r="A8551" s="3">
        <v>683</v>
      </c>
      <c r="B8551" s="28"/>
      <c r="C8551" s="3" t="s">
        <v>3</v>
      </c>
    </row>
    <row r="8552" spans="1:3" ht="13.5" thickBot="1" x14ac:dyDescent="0.25">
      <c r="A8552" s="3">
        <v>3964</v>
      </c>
      <c r="B8552" s="28"/>
      <c r="C8552" s="3" t="s">
        <v>3</v>
      </c>
    </row>
    <row r="8553" spans="1:3" ht="13.5" thickBot="1" x14ac:dyDescent="0.25">
      <c r="A8553" s="3">
        <v>7908</v>
      </c>
      <c r="B8553" s="28"/>
      <c r="C8553" s="3" t="s">
        <v>3</v>
      </c>
    </row>
    <row r="8554" spans="1:3" ht="13.5" thickBot="1" x14ac:dyDescent="0.25">
      <c r="A8554" s="3">
        <v>4196</v>
      </c>
      <c r="B8554" s="28"/>
      <c r="C8554" s="3" t="s">
        <v>3</v>
      </c>
    </row>
    <row r="8555" spans="1:3" ht="13.5" thickBot="1" x14ac:dyDescent="0.25">
      <c r="A8555" s="3">
        <v>5923</v>
      </c>
      <c r="B8555" s="28"/>
      <c r="C8555" s="3" t="s">
        <v>5</v>
      </c>
    </row>
    <row r="8556" spans="1:3" ht="13.5" thickBot="1" x14ac:dyDescent="0.25">
      <c r="A8556" s="3">
        <v>3572</v>
      </c>
      <c r="B8556" s="28"/>
      <c r="C8556" s="3" t="s">
        <v>7</v>
      </c>
    </row>
    <row r="8557" spans="1:3" ht="13.5" thickBot="1" x14ac:dyDescent="0.25">
      <c r="A8557" s="3">
        <v>6823</v>
      </c>
      <c r="B8557" s="28"/>
      <c r="C8557" s="3" t="s">
        <v>3</v>
      </c>
    </row>
    <row r="8558" spans="1:3" ht="13.5" thickBot="1" x14ac:dyDescent="0.25">
      <c r="A8558" s="3">
        <v>5138</v>
      </c>
      <c r="B8558" s="28"/>
      <c r="C8558" s="3" t="s">
        <v>6</v>
      </c>
    </row>
    <row r="8559" spans="1:3" ht="13.5" thickBot="1" x14ac:dyDescent="0.25">
      <c r="A8559" s="3">
        <v>6947</v>
      </c>
      <c r="B8559" s="28"/>
      <c r="C8559" s="3" t="s">
        <v>4</v>
      </c>
    </row>
    <row r="8560" spans="1:3" ht="13.5" thickBot="1" x14ac:dyDescent="0.25">
      <c r="A8560" s="3">
        <v>2680</v>
      </c>
      <c r="B8560" s="28"/>
      <c r="C8560" s="3" t="s">
        <v>3</v>
      </c>
    </row>
    <row r="8561" spans="1:3" ht="13.5" thickBot="1" x14ac:dyDescent="0.25">
      <c r="A8561" s="3">
        <v>6624</v>
      </c>
      <c r="B8561" s="28"/>
      <c r="C8561" s="3" t="s">
        <v>3</v>
      </c>
    </row>
    <row r="8562" spans="1:3" ht="13.5" thickBot="1" x14ac:dyDescent="0.25">
      <c r="A8562" s="3">
        <v>3358</v>
      </c>
      <c r="B8562" s="28"/>
      <c r="C8562" s="3" t="s">
        <v>3</v>
      </c>
    </row>
    <row r="8563" spans="1:3" ht="13.5" thickBot="1" x14ac:dyDescent="0.25">
      <c r="A8563" s="3">
        <v>3344</v>
      </c>
      <c r="B8563" s="28"/>
      <c r="C8563" s="3" t="s">
        <v>4</v>
      </c>
    </row>
    <row r="8564" spans="1:3" ht="13.5" thickBot="1" x14ac:dyDescent="0.25">
      <c r="A8564" s="3">
        <v>782</v>
      </c>
      <c r="B8564" s="28"/>
      <c r="C8564" s="3" t="s">
        <v>3</v>
      </c>
    </row>
    <row r="8565" spans="1:3" ht="13.5" thickBot="1" x14ac:dyDescent="0.25">
      <c r="A8565" s="3">
        <v>2944</v>
      </c>
      <c r="B8565" s="28"/>
      <c r="C8565" s="3" t="s">
        <v>6</v>
      </c>
    </row>
    <row r="8566" spans="1:3" ht="13.5" thickBot="1" x14ac:dyDescent="0.25">
      <c r="A8566" s="3">
        <v>1510</v>
      </c>
      <c r="B8566" s="28"/>
      <c r="C8566" s="3" t="s">
        <v>6</v>
      </c>
    </row>
    <row r="8567" spans="1:3" ht="13.5" thickBot="1" x14ac:dyDescent="0.25">
      <c r="A8567" s="3">
        <v>469</v>
      </c>
      <c r="B8567" s="28"/>
      <c r="C8567" s="3" t="s">
        <v>6</v>
      </c>
    </row>
    <row r="8568" spans="1:3" ht="13.5" thickBot="1" x14ac:dyDescent="0.25">
      <c r="A8568" s="3">
        <v>544</v>
      </c>
      <c r="B8568" s="28"/>
      <c r="C8568" s="3" t="s">
        <v>6</v>
      </c>
    </row>
    <row r="8569" spans="1:3" ht="13.5" thickBot="1" x14ac:dyDescent="0.25">
      <c r="A8569" s="3">
        <v>4336</v>
      </c>
      <c r="B8569" s="28"/>
      <c r="C8569" s="3" t="s">
        <v>3</v>
      </c>
    </row>
    <row r="8570" spans="1:3" ht="13.5" thickBot="1" x14ac:dyDescent="0.25">
      <c r="A8570" s="3">
        <v>6440</v>
      </c>
      <c r="B8570" s="28"/>
      <c r="C8570" s="3" t="s">
        <v>4</v>
      </c>
    </row>
    <row r="8571" spans="1:3" ht="13.5" thickBot="1" x14ac:dyDescent="0.25">
      <c r="A8571" s="3">
        <v>7052</v>
      </c>
      <c r="B8571" s="28"/>
      <c r="C8571" s="3" t="s">
        <v>3</v>
      </c>
    </row>
    <row r="8572" spans="1:3" ht="13.5" thickBot="1" x14ac:dyDescent="0.25">
      <c r="A8572" s="3">
        <v>5394</v>
      </c>
      <c r="B8572" s="28"/>
      <c r="C8572" s="3" t="s">
        <v>3</v>
      </c>
    </row>
    <row r="8573" spans="1:3" ht="13.5" thickBot="1" x14ac:dyDescent="0.25">
      <c r="A8573" s="3">
        <v>1579</v>
      </c>
      <c r="B8573" s="28"/>
      <c r="C8573" s="3" t="s">
        <v>3</v>
      </c>
    </row>
    <row r="8574" spans="1:3" ht="13.5" thickBot="1" x14ac:dyDescent="0.25">
      <c r="A8574" s="3">
        <v>3993</v>
      </c>
      <c r="B8574" s="28"/>
      <c r="C8574" s="3" t="s">
        <v>6</v>
      </c>
    </row>
    <row r="8575" spans="1:3" ht="13.5" thickBot="1" x14ac:dyDescent="0.25">
      <c r="A8575" s="3">
        <v>5711</v>
      </c>
      <c r="B8575" s="28"/>
      <c r="C8575" s="3" t="s">
        <v>4</v>
      </c>
    </row>
    <row r="8576" spans="1:3" ht="13.5" thickBot="1" x14ac:dyDescent="0.25">
      <c r="A8576" s="3">
        <v>3323</v>
      </c>
      <c r="B8576" s="28"/>
      <c r="C8576" s="3" t="s">
        <v>6</v>
      </c>
    </row>
    <row r="8577" spans="1:3" ht="13.5" thickBot="1" x14ac:dyDescent="0.25">
      <c r="A8577" s="3">
        <v>4711</v>
      </c>
      <c r="B8577" s="28"/>
      <c r="C8577" s="3" t="s">
        <v>5</v>
      </c>
    </row>
    <row r="8578" spans="1:3" ht="13.5" thickBot="1" x14ac:dyDescent="0.25">
      <c r="A8578" s="3">
        <v>5721</v>
      </c>
      <c r="B8578" s="28"/>
      <c r="C8578" s="3" t="s">
        <v>3</v>
      </c>
    </row>
    <row r="8579" spans="1:3" ht="13.5" thickBot="1" x14ac:dyDescent="0.25">
      <c r="A8579" s="3">
        <v>6061</v>
      </c>
      <c r="B8579" s="28"/>
      <c r="C8579" s="3" t="s">
        <v>5</v>
      </c>
    </row>
    <row r="8580" spans="1:3" ht="13.5" thickBot="1" x14ac:dyDescent="0.25">
      <c r="A8580" s="3">
        <v>374</v>
      </c>
      <c r="B8580" s="28"/>
      <c r="C8580" s="3" t="s">
        <v>4</v>
      </c>
    </row>
    <row r="8581" spans="1:3" ht="13.5" thickBot="1" x14ac:dyDescent="0.25">
      <c r="A8581" s="3">
        <v>7052</v>
      </c>
      <c r="B8581" s="28"/>
      <c r="C8581" s="3" t="s">
        <v>4</v>
      </c>
    </row>
    <row r="8582" spans="1:3" ht="13.5" thickBot="1" x14ac:dyDescent="0.25">
      <c r="A8582" s="3">
        <v>7873</v>
      </c>
      <c r="B8582" s="28"/>
      <c r="C8582" s="3" t="s">
        <v>3</v>
      </c>
    </row>
    <row r="8583" spans="1:3" ht="13.5" thickBot="1" x14ac:dyDescent="0.25">
      <c r="A8583" s="3">
        <v>1833</v>
      </c>
      <c r="B8583" s="28"/>
      <c r="C8583" s="3" t="s">
        <v>4</v>
      </c>
    </row>
    <row r="8584" spans="1:3" ht="13.5" thickBot="1" x14ac:dyDescent="0.25">
      <c r="A8584" s="3">
        <v>3572</v>
      </c>
      <c r="B8584" s="28"/>
      <c r="C8584" s="3" t="s">
        <v>5</v>
      </c>
    </row>
    <row r="8585" spans="1:3" ht="13.5" thickBot="1" x14ac:dyDescent="0.25">
      <c r="A8585" s="3">
        <v>1800</v>
      </c>
      <c r="B8585" s="28"/>
      <c r="C8585" s="3" t="s">
        <v>3</v>
      </c>
    </row>
    <row r="8586" spans="1:3" ht="13.5" thickBot="1" x14ac:dyDescent="0.25">
      <c r="A8586" s="3">
        <v>6534</v>
      </c>
      <c r="B8586" s="28"/>
      <c r="C8586" s="3" t="s">
        <v>3</v>
      </c>
    </row>
    <row r="8587" spans="1:3" ht="13.5" thickBot="1" x14ac:dyDescent="0.25">
      <c r="A8587" s="3">
        <v>2272</v>
      </c>
      <c r="B8587" s="28"/>
      <c r="C8587" s="3" t="s">
        <v>3</v>
      </c>
    </row>
    <row r="8588" spans="1:3" ht="13.5" thickBot="1" x14ac:dyDescent="0.25">
      <c r="A8588" s="3">
        <v>6426</v>
      </c>
      <c r="B8588" s="28"/>
      <c r="C8588" s="3" t="s">
        <v>4</v>
      </c>
    </row>
    <row r="8589" spans="1:3" ht="13.5" thickBot="1" x14ac:dyDescent="0.25">
      <c r="A8589" s="3">
        <v>4790</v>
      </c>
      <c r="B8589" s="28"/>
      <c r="C8589" s="3" t="s">
        <v>5</v>
      </c>
    </row>
    <row r="8590" spans="1:3" ht="13.5" thickBot="1" x14ac:dyDescent="0.25">
      <c r="A8590" s="3">
        <v>6687</v>
      </c>
      <c r="B8590" s="28"/>
      <c r="C8590" s="3" t="s">
        <v>4</v>
      </c>
    </row>
    <row r="8591" spans="1:3" ht="13.5" thickBot="1" x14ac:dyDescent="0.25">
      <c r="A8591" s="3">
        <v>7780</v>
      </c>
      <c r="B8591" s="28"/>
      <c r="C8591" s="3" t="s">
        <v>6</v>
      </c>
    </row>
    <row r="8592" spans="1:3" ht="13.5" thickBot="1" x14ac:dyDescent="0.25">
      <c r="A8592" s="3">
        <v>4005</v>
      </c>
      <c r="B8592" s="28"/>
      <c r="C8592" s="3" t="s">
        <v>5</v>
      </c>
    </row>
    <row r="8593" spans="1:3" ht="13.5" thickBot="1" x14ac:dyDescent="0.25">
      <c r="A8593" s="3">
        <v>1503</v>
      </c>
      <c r="B8593" s="28"/>
      <c r="C8593" s="3" t="s">
        <v>5</v>
      </c>
    </row>
    <row r="8594" spans="1:3" ht="13.5" thickBot="1" x14ac:dyDescent="0.25">
      <c r="A8594" s="3">
        <v>4790</v>
      </c>
      <c r="B8594" s="28"/>
      <c r="C8594" s="3" t="s">
        <v>4</v>
      </c>
    </row>
    <row r="8595" spans="1:3" ht="13.5" thickBot="1" x14ac:dyDescent="0.25">
      <c r="A8595" s="3">
        <v>3572</v>
      </c>
      <c r="B8595" s="28"/>
      <c r="C8595" s="3" t="s">
        <v>4</v>
      </c>
    </row>
    <row r="8596" spans="1:3" ht="13.5" thickBot="1" x14ac:dyDescent="0.25">
      <c r="A8596" s="3">
        <v>3993</v>
      </c>
      <c r="B8596" s="28"/>
      <c r="C8596" s="3" t="s">
        <v>4</v>
      </c>
    </row>
    <row r="8597" spans="1:3" ht="13.5" thickBot="1" x14ac:dyDescent="0.25">
      <c r="A8597" s="3">
        <v>5930</v>
      </c>
      <c r="B8597" s="28"/>
      <c r="C8597" s="3" t="s">
        <v>7</v>
      </c>
    </row>
    <row r="8598" spans="1:3" ht="13.5" thickBot="1" x14ac:dyDescent="0.25">
      <c r="A8598" s="3">
        <v>5118</v>
      </c>
      <c r="B8598" s="28"/>
      <c r="C8598" s="3" t="s">
        <v>6</v>
      </c>
    </row>
    <row r="8599" spans="1:3" ht="13.5" thickBot="1" x14ac:dyDescent="0.25">
      <c r="A8599" s="3">
        <v>683</v>
      </c>
      <c r="B8599" s="28"/>
      <c r="C8599" s="3" t="s">
        <v>4</v>
      </c>
    </row>
    <row r="8600" spans="1:3" ht="13.5" thickBot="1" x14ac:dyDescent="0.25">
      <c r="A8600" s="3">
        <v>2944</v>
      </c>
      <c r="B8600" s="28"/>
      <c r="C8600" s="3" t="s">
        <v>5</v>
      </c>
    </row>
    <row r="8601" spans="1:3" ht="13.5" thickBot="1" x14ac:dyDescent="0.25">
      <c r="A8601" s="3">
        <v>6675</v>
      </c>
      <c r="B8601" s="28"/>
      <c r="C8601" s="3" t="s">
        <v>3</v>
      </c>
    </row>
    <row r="8602" spans="1:3" ht="13.5" thickBot="1" x14ac:dyDescent="0.25">
      <c r="A8602" s="3">
        <v>5319</v>
      </c>
      <c r="B8602" s="28"/>
      <c r="C8602" s="3" t="s">
        <v>4</v>
      </c>
    </row>
    <row r="8603" spans="1:3" ht="13.5" thickBot="1" x14ac:dyDescent="0.25">
      <c r="A8603" s="3">
        <v>2624</v>
      </c>
      <c r="B8603" s="28"/>
      <c r="C8603" s="3" t="s">
        <v>4</v>
      </c>
    </row>
    <row r="8604" spans="1:3" ht="13.5" thickBot="1" x14ac:dyDescent="0.25">
      <c r="A8604" s="3">
        <v>4751</v>
      </c>
      <c r="B8604" s="28"/>
      <c r="C8604" s="3" t="s">
        <v>7</v>
      </c>
    </row>
    <row r="8605" spans="1:3" ht="13.5" thickBot="1" x14ac:dyDescent="0.25">
      <c r="A8605" s="3">
        <v>3321</v>
      </c>
      <c r="B8605" s="28"/>
      <c r="C8605" s="3" t="s">
        <v>5</v>
      </c>
    </row>
    <row r="8606" spans="1:3" ht="13.5" thickBot="1" x14ac:dyDescent="0.25">
      <c r="A8606" s="3">
        <v>2108</v>
      </c>
      <c r="B8606" s="28"/>
      <c r="C8606" s="3" t="s">
        <v>6</v>
      </c>
    </row>
    <row r="8607" spans="1:3" ht="13.5" thickBot="1" x14ac:dyDescent="0.25">
      <c r="A8607" s="3">
        <v>1376</v>
      </c>
      <c r="B8607" s="28"/>
      <c r="C8607" s="3" t="s">
        <v>4</v>
      </c>
    </row>
    <row r="8608" spans="1:3" ht="13.5" thickBot="1" x14ac:dyDescent="0.25">
      <c r="A8608" s="3">
        <v>4113</v>
      </c>
      <c r="B8608" s="28"/>
      <c r="C8608" s="3" t="s">
        <v>3</v>
      </c>
    </row>
    <row r="8609" spans="1:3" ht="13.5" thickBot="1" x14ac:dyDescent="0.25">
      <c r="A8609" s="3">
        <v>1025</v>
      </c>
      <c r="B8609" s="28"/>
      <c r="C8609" s="3" t="s">
        <v>4</v>
      </c>
    </row>
    <row r="8610" spans="1:3" ht="13.5" thickBot="1" x14ac:dyDescent="0.25">
      <c r="A8610" s="3">
        <v>2768</v>
      </c>
      <c r="B8610" s="28"/>
      <c r="C8610" s="3" t="s">
        <v>3</v>
      </c>
    </row>
    <row r="8611" spans="1:3" ht="13.5" thickBot="1" x14ac:dyDescent="0.25">
      <c r="A8611" s="3">
        <v>5825</v>
      </c>
      <c r="B8611" s="28"/>
      <c r="C8611" s="3" t="s">
        <v>3</v>
      </c>
    </row>
    <row r="8612" spans="1:3" ht="13.5" thickBot="1" x14ac:dyDescent="0.25">
      <c r="A8612" s="3">
        <v>7508</v>
      </c>
      <c r="B8612" s="28"/>
      <c r="C8612" s="3" t="s">
        <v>3</v>
      </c>
    </row>
    <row r="8613" spans="1:3" ht="13.5" thickBot="1" x14ac:dyDescent="0.25">
      <c r="A8613" s="3">
        <v>7755</v>
      </c>
      <c r="B8613" s="28"/>
      <c r="C8613" s="3" t="s">
        <v>3</v>
      </c>
    </row>
    <row r="8614" spans="1:3" ht="13.5" thickBot="1" x14ac:dyDescent="0.25">
      <c r="A8614" s="3">
        <v>5264</v>
      </c>
      <c r="B8614" s="28"/>
      <c r="C8614" s="3" t="s">
        <v>3</v>
      </c>
    </row>
    <row r="8615" spans="1:3" ht="13.5" thickBot="1" x14ac:dyDescent="0.25">
      <c r="A8615" s="3">
        <v>5825</v>
      </c>
      <c r="B8615" s="28"/>
      <c r="C8615" s="3" t="s">
        <v>4</v>
      </c>
    </row>
    <row r="8616" spans="1:3" ht="13.5" thickBot="1" x14ac:dyDescent="0.25">
      <c r="A8616" s="3">
        <v>5837</v>
      </c>
      <c r="B8616" s="28"/>
      <c r="C8616" s="3" t="s">
        <v>5</v>
      </c>
    </row>
    <row r="8617" spans="1:3" ht="13.5" thickBot="1" x14ac:dyDescent="0.25">
      <c r="A8617" s="3">
        <v>1458</v>
      </c>
      <c r="B8617" s="28"/>
      <c r="C8617" s="3" t="s">
        <v>3</v>
      </c>
    </row>
    <row r="8618" spans="1:3" ht="13.5" thickBot="1" x14ac:dyDescent="0.25">
      <c r="A8618" s="3">
        <v>6823</v>
      </c>
      <c r="B8618" s="28"/>
      <c r="C8618" s="3" t="s">
        <v>5</v>
      </c>
    </row>
    <row r="8619" spans="1:3" ht="13.5" thickBot="1" x14ac:dyDescent="0.25">
      <c r="A8619" s="3">
        <v>6852</v>
      </c>
      <c r="B8619" s="28"/>
      <c r="C8619" s="3" t="s">
        <v>3</v>
      </c>
    </row>
    <row r="8620" spans="1:3" ht="13.5" thickBot="1" x14ac:dyDescent="0.25">
      <c r="A8620" s="3">
        <v>4377</v>
      </c>
      <c r="B8620" s="28"/>
      <c r="C8620" s="3" t="s">
        <v>3</v>
      </c>
    </row>
    <row r="8621" spans="1:3" ht="13.5" thickBot="1" x14ac:dyDescent="0.25">
      <c r="A8621" s="3">
        <v>4687</v>
      </c>
      <c r="B8621" s="28"/>
      <c r="C8621" s="3" t="s">
        <v>7</v>
      </c>
    </row>
    <row r="8622" spans="1:3" ht="13.5" thickBot="1" x14ac:dyDescent="0.25">
      <c r="A8622" s="3">
        <v>1392</v>
      </c>
      <c r="B8622" s="28"/>
      <c r="C8622" s="3" t="s">
        <v>3</v>
      </c>
    </row>
    <row r="8623" spans="1:3" ht="13.5" thickBot="1" x14ac:dyDescent="0.25">
      <c r="A8623" s="3">
        <v>6426</v>
      </c>
      <c r="B8623" s="28"/>
      <c r="C8623" s="3" t="s">
        <v>3</v>
      </c>
    </row>
    <row r="8624" spans="1:3" ht="13.5" thickBot="1" x14ac:dyDescent="0.25">
      <c r="A8624" s="3">
        <v>955</v>
      </c>
      <c r="B8624" s="28"/>
      <c r="C8624" s="3" t="s">
        <v>3</v>
      </c>
    </row>
    <row r="8625" spans="1:3" ht="13.5" thickBot="1" x14ac:dyDescent="0.25">
      <c r="A8625" s="3">
        <v>5711</v>
      </c>
      <c r="B8625" s="28"/>
      <c r="C8625" s="3" t="s">
        <v>3</v>
      </c>
    </row>
    <row r="8626" spans="1:3" ht="13.5" thickBot="1" x14ac:dyDescent="0.25">
      <c r="A8626" s="3">
        <v>1515</v>
      </c>
      <c r="B8626" s="28"/>
      <c r="C8626" s="3" t="s">
        <v>6</v>
      </c>
    </row>
    <row r="8627" spans="1:3" ht="13.5" thickBot="1" x14ac:dyDescent="0.25">
      <c r="A8627" s="3">
        <v>1025</v>
      </c>
      <c r="B8627" s="28"/>
      <c r="C8627" s="3" t="s">
        <v>6</v>
      </c>
    </row>
    <row r="8628" spans="1:3" ht="13.5" thickBot="1" x14ac:dyDescent="0.25">
      <c r="A8628" s="3">
        <v>1873</v>
      </c>
      <c r="B8628" s="28"/>
      <c r="C8628" s="3" t="s">
        <v>7</v>
      </c>
    </row>
    <row r="8629" spans="1:3" ht="13.5" thickBot="1" x14ac:dyDescent="0.25">
      <c r="A8629" s="3">
        <v>2406</v>
      </c>
      <c r="B8629" s="28"/>
      <c r="C8629" s="3" t="s">
        <v>6</v>
      </c>
    </row>
    <row r="8630" spans="1:3" ht="13.5" thickBot="1" x14ac:dyDescent="0.25">
      <c r="A8630" s="3">
        <v>5760</v>
      </c>
      <c r="B8630" s="28"/>
      <c r="C8630" s="3" t="s">
        <v>4</v>
      </c>
    </row>
    <row r="8631" spans="1:3" ht="13.5" thickBot="1" x14ac:dyDescent="0.25">
      <c r="A8631" s="3">
        <v>2511</v>
      </c>
      <c r="B8631" s="28"/>
      <c r="C8631" s="3" t="s">
        <v>4</v>
      </c>
    </row>
    <row r="8632" spans="1:3" ht="13.5" thickBot="1" x14ac:dyDescent="0.25">
      <c r="A8632" s="3">
        <v>2883</v>
      </c>
      <c r="B8632" s="28"/>
      <c r="C8632" s="3" t="s">
        <v>7</v>
      </c>
    </row>
    <row r="8633" spans="1:3" ht="13.5" thickBot="1" x14ac:dyDescent="0.25">
      <c r="A8633" s="3">
        <v>1916</v>
      </c>
      <c r="B8633" s="28"/>
      <c r="C8633" s="3" t="s">
        <v>6</v>
      </c>
    </row>
    <row r="8634" spans="1:3" ht="13.5" thickBot="1" x14ac:dyDescent="0.25">
      <c r="A8634" s="3">
        <v>1080</v>
      </c>
      <c r="B8634" s="28"/>
      <c r="C8634" s="3" t="s">
        <v>6</v>
      </c>
    </row>
    <row r="8635" spans="1:3" ht="13.5" thickBot="1" x14ac:dyDescent="0.25">
      <c r="A8635" s="3">
        <v>3358</v>
      </c>
      <c r="B8635" s="28"/>
      <c r="C8635" s="3" t="s">
        <v>4</v>
      </c>
    </row>
    <row r="8636" spans="1:3" ht="13.5" thickBot="1" x14ac:dyDescent="0.25">
      <c r="A8636" s="3">
        <v>5295</v>
      </c>
      <c r="B8636" s="28"/>
      <c r="C8636" s="3" t="s">
        <v>3</v>
      </c>
    </row>
    <row r="8637" spans="1:3" ht="13.5" thickBot="1" x14ac:dyDescent="0.25">
      <c r="A8637" s="3">
        <v>7222</v>
      </c>
      <c r="B8637" s="28"/>
      <c r="C8637" s="3" t="s">
        <v>3</v>
      </c>
    </row>
    <row r="8638" spans="1:3" ht="13.5" thickBot="1" x14ac:dyDescent="0.25">
      <c r="A8638" s="3">
        <v>727</v>
      </c>
      <c r="B8638" s="28"/>
      <c r="C8638" s="3" t="s">
        <v>3</v>
      </c>
    </row>
    <row r="8639" spans="1:3" ht="13.5" thickBot="1" x14ac:dyDescent="0.25">
      <c r="A8639" s="3">
        <v>3716</v>
      </c>
      <c r="B8639" s="28"/>
      <c r="C8639" s="3" t="s">
        <v>3</v>
      </c>
    </row>
    <row r="8640" spans="1:3" ht="13.5" thickBot="1" x14ac:dyDescent="0.25">
      <c r="A8640" s="3">
        <v>2273</v>
      </c>
      <c r="B8640" s="28"/>
      <c r="C8640" s="3" t="s">
        <v>3</v>
      </c>
    </row>
    <row r="8641" spans="1:3" ht="13.5" thickBot="1" x14ac:dyDescent="0.25">
      <c r="A8641" s="3">
        <v>4113</v>
      </c>
      <c r="B8641" s="28"/>
      <c r="C8641" s="3" t="s">
        <v>4</v>
      </c>
    </row>
    <row r="8642" spans="1:3" ht="13.5" thickBot="1" x14ac:dyDescent="0.25">
      <c r="A8642" s="3">
        <v>1895</v>
      </c>
      <c r="B8642" s="28"/>
      <c r="C8642" s="3" t="s">
        <v>6</v>
      </c>
    </row>
    <row r="8643" spans="1:3" ht="13.5" thickBot="1" x14ac:dyDescent="0.25">
      <c r="A8643" s="3">
        <v>7716</v>
      </c>
      <c r="B8643" s="28"/>
      <c r="C8643" s="3" t="s">
        <v>3</v>
      </c>
    </row>
    <row r="8644" spans="1:3" ht="13.5" thickBot="1" x14ac:dyDescent="0.25">
      <c r="A8644" s="3">
        <v>5765</v>
      </c>
      <c r="B8644" s="28"/>
      <c r="C8644" s="3" t="s">
        <v>3</v>
      </c>
    </row>
    <row r="8645" spans="1:3" ht="13.5" thickBot="1" x14ac:dyDescent="0.25">
      <c r="A8645" s="3">
        <v>5560</v>
      </c>
      <c r="B8645" s="28"/>
      <c r="C8645" s="3" t="s">
        <v>3</v>
      </c>
    </row>
    <row r="8646" spans="1:3" ht="13.5" thickBot="1" x14ac:dyDescent="0.25">
      <c r="A8646" s="3">
        <v>5283</v>
      </c>
      <c r="B8646" s="28"/>
      <c r="C8646" s="3" t="s">
        <v>3</v>
      </c>
    </row>
    <row r="8647" spans="1:3" ht="13.5" thickBot="1" x14ac:dyDescent="0.25">
      <c r="A8647" s="3">
        <v>469</v>
      </c>
      <c r="B8647" s="28"/>
      <c r="C8647" s="3" t="s">
        <v>5</v>
      </c>
    </row>
    <row r="8648" spans="1:3" ht="13.5" thickBot="1" x14ac:dyDescent="0.25">
      <c r="A8648" s="3">
        <v>6679</v>
      </c>
      <c r="B8648" s="28"/>
      <c r="C8648" s="3" t="s">
        <v>6</v>
      </c>
    </row>
    <row r="8649" spans="1:3" ht="13.5" thickBot="1" x14ac:dyDescent="0.25">
      <c r="A8649" s="3">
        <v>1168</v>
      </c>
      <c r="B8649" s="28"/>
      <c r="C8649" s="3" t="s">
        <v>3</v>
      </c>
    </row>
    <row r="8650" spans="1:3" ht="13.5" thickBot="1" x14ac:dyDescent="0.25">
      <c r="A8650" s="3">
        <v>1619</v>
      </c>
      <c r="B8650" s="28"/>
      <c r="C8650" s="3" t="s">
        <v>3</v>
      </c>
    </row>
    <row r="8651" spans="1:3" ht="13.5" thickBot="1" x14ac:dyDescent="0.25">
      <c r="A8651" s="3">
        <v>1218</v>
      </c>
      <c r="B8651" s="28"/>
      <c r="C8651" s="3" t="s">
        <v>3</v>
      </c>
    </row>
    <row r="8652" spans="1:3" ht="13.5" thickBot="1" x14ac:dyDescent="0.25">
      <c r="A8652" s="3">
        <v>1025</v>
      </c>
      <c r="B8652" s="28"/>
      <c r="C8652" s="3" t="s">
        <v>5</v>
      </c>
    </row>
    <row r="8653" spans="1:3" ht="13.5" thickBot="1" x14ac:dyDescent="0.25">
      <c r="A8653" s="3">
        <v>4751</v>
      </c>
      <c r="B8653" s="28"/>
      <c r="C8653" s="3" t="s">
        <v>6</v>
      </c>
    </row>
    <row r="8654" spans="1:3" ht="13.5" thickBot="1" x14ac:dyDescent="0.25">
      <c r="A8654" s="3">
        <v>6852</v>
      </c>
      <c r="B8654" s="28"/>
      <c r="C8654" s="3" t="s">
        <v>4</v>
      </c>
    </row>
    <row r="8655" spans="1:3" ht="13.5" thickBot="1" x14ac:dyDescent="0.25">
      <c r="A8655" s="3">
        <v>2563</v>
      </c>
      <c r="B8655" s="28"/>
      <c r="C8655" s="3" t="s">
        <v>3</v>
      </c>
    </row>
    <row r="8656" spans="1:3" ht="13.5" thickBot="1" x14ac:dyDescent="0.25">
      <c r="A8656" s="3">
        <v>2275</v>
      </c>
      <c r="B8656" s="28"/>
      <c r="C8656" s="3" t="s">
        <v>3</v>
      </c>
    </row>
    <row r="8657" spans="1:3" ht="13.5" thickBot="1" x14ac:dyDescent="0.25">
      <c r="A8657" s="3">
        <v>1565</v>
      </c>
      <c r="B8657" s="28"/>
      <c r="C8657" s="3" t="s">
        <v>3</v>
      </c>
    </row>
    <row r="8658" spans="1:3" ht="13.5" thickBot="1" x14ac:dyDescent="0.25">
      <c r="A8658" s="3">
        <v>5923</v>
      </c>
      <c r="B8658" s="28"/>
      <c r="C8658" s="3" t="s">
        <v>4</v>
      </c>
    </row>
    <row r="8659" spans="1:3" ht="13.5" thickBot="1" x14ac:dyDescent="0.25">
      <c r="A8659" s="3">
        <v>1579</v>
      </c>
      <c r="B8659" s="28"/>
      <c r="C8659" s="3" t="s">
        <v>4</v>
      </c>
    </row>
    <row r="8660" spans="1:3" ht="13.5" thickBot="1" x14ac:dyDescent="0.25">
      <c r="A8660" s="3">
        <v>5079</v>
      </c>
      <c r="B8660" s="28"/>
      <c r="C8660" s="3" t="s">
        <v>3</v>
      </c>
    </row>
    <row r="8661" spans="1:3" ht="13.5" thickBot="1" x14ac:dyDescent="0.25">
      <c r="A8661" s="3">
        <v>2273</v>
      </c>
      <c r="B8661" s="28"/>
      <c r="C8661" s="3" t="s">
        <v>5</v>
      </c>
    </row>
    <row r="8662" spans="1:3" ht="13.5" thickBot="1" x14ac:dyDescent="0.25">
      <c r="A8662" s="3">
        <v>153</v>
      </c>
      <c r="B8662" s="28"/>
      <c r="C8662" s="3" t="s">
        <v>3</v>
      </c>
    </row>
    <row r="8663" spans="1:3" ht="13.5" thickBot="1" x14ac:dyDescent="0.25">
      <c r="A8663" s="3">
        <v>5972</v>
      </c>
      <c r="B8663" s="28"/>
      <c r="C8663" s="3" t="s">
        <v>4</v>
      </c>
    </row>
    <row r="8664" spans="1:3" ht="13.5" thickBot="1" x14ac:dyDescent="0.25">
      <c r="A8664" s="3">
        <v>5552</v>
      </c>
      <c r="B8664" s="28"/>
      <c r="C8664" s="3" t="s">
        <v>7</v>
      </c>
    </row>
    <row r="8665" spans="1:3" ht="13.5" thickBot="1" x14ac:dyDescent="0.25">
      <c r="A8665" s="3">
        <v>3174</v>
      </c>
      <c r="B8665" s="28"/>
      <c r="C8665" s="3" t="s">
        <v>4</v>
      </c>
    </row>
    <row r="8666" spans="1:3" ht="13.5" thickBot="1" x14ac:dyDescent="0.25">
      <c r="A8666" s="3">
        <v>355</v>
      </c>
      <c r="B8666" s="28"/>
      <c r="C8666" s="3" t="s">
        <v>6</v>
      </c>
    </row>
    <row r="8667" spans="1:3" ht="13.5" thickBot="1" x14ac:dyDescent="0.25">
      <c r="A8667" s="3">
        <v>5188</v>
      </c>
      <c r="B8667" s="28"/>
      <c r="C8667" s="3" t="s">
        <v>7</v>
      </c>
    </row>
    <row r="8668" spans="1:3" ht="13.5" thickBot="1" x14ac:dyDescent="0.25">
      <c r="A8668" s="3">
        <v>544</v>
      </c>
      <c r="B8668" s="28"/>
      <c r="C8668" s="3" t="s">
        <v>5</v>
      </c>
    </row>
    <row r="8669" spans="1:3" ht="13.5" thickBot="1" x14ac:dyDescent="0.25">
      <c r="A8669" s="3">
        <v>1098</v>
      </c>
      <c r="B8669" s="28"/>
      <c r="C8669" s="3" t="s">
        <v>3</v>
      </c>
    </row>
    <row r="8670" spans="1:3" ht="13.5" thickBot="1" x14ac:dyDescent="0.25">
      <c r="A8670" s="3">
        <v>1657</v>
      </c>
      <c r="B8670" s="28"/>
      <c r="C8670" s="3" t="s">
        <v>6</v>
      </c>
    </row>
    <row r="8671" spans="1:3" ht="13.5" thickBot="1" x14ac:dyDescent="0.25">
      <c r="A8671" s="3">
        <v>5636</v>
      </c>
      <c r="B8671" s="28"/>
      <c r="C8671" s="3" t="s">
        <v>6</v>
      </c>
    </row>
    <row r="8672" spans="1:3" ht="13.5" thickBot="1" x14ac:dyDescent="0.25">
      <c r="A8672" s="3">
        <v>2259</v>
      </c>
      <c r="B8672" s="28"/>
      <c r="C8672" s="3" t="s">
        <v>3</v>
      </c>
    </row>
    <row r="8673" spans="1:3" ht="13.5" thickBot="1" x14ac:dyDescent="0.25">
      <c r="A8673" s="3">
        <v>6823</v>
      </c>
      <c r="B8673" s="28"/>
      <c r="C8673" s="3" t="s">
        <v>7</v>
      </c>
    </row>
    <row r="8674" spans="1:3" ht="13.5" thickBot="1" x14ac:dyDescent="0.25">
      <c r="A8674" s="3">
        <v>5395</v>
      </c>
      <c r="B8674" s="28"/>
      <c r="C8674" s="3" t="s">
        <v>3</v>
      </c>
    </row>
    <row r="8675" spans="1:3" ht="13.5" thickBot="1" x14ac:dyDescent="0.25">
      <c r="A8675" s="3">
        <v>647</v>
      </c>
      <c r="B8675" s="28"/>
      <c r="C8675" s="3" t="s">
        <v>3</v>
      </c>
    </row>
    <row r="8676" spans="1:3" ht="13.5" thickBot="1" x14ac:dyDescent="0.25">
      <c r="A8676" s="3">
        <v>6648</v>
      </c>
      <c r="B8676" s="28"/>
      <c r="C8676" s="3" t="s">
        <v>3</v>
      </c>
    </row>
    <row r="8677" spans="1:3" ht="13.5" thickBot="1" x14ac:dyDescent="0.25">
      <c r="A8677" s="3">
        <v>4249</v>
      </c>
      <c r="B8677" s="28"/>
      <c r="C8677" s="3" t="s">
        <v>3</v>
      </c>
    </row>
    <row r="8678" spans="1:3" ht="13.5" thickBot="1" x14ac:dyDescent="0.25">
      <c r="A8678" s="3">
        <v>4133</v>
      </c>
      <c r="B8678" s="28"/>
      <c r="C8678" s="3" t="s">
        <v>3</v>
      </c>
    </row>
    <row r="8679" spans="1:3" ht="13.5" thickBot="1" x14ac:dyDescent="0.25">
      <c r="A8679" s="3">
        <v>3</v>
      </c>
      <c r="B8679" s="28"/>
      <c r="C8679" s="3" t="s">
        <v>3</v>
      </c>
    </row>
    <row r="8680" spans="1:3" ht="13.5" thickBot="1" x14ac:dyDescent="0.25">
      <c r="A8680" s="3">
        <v>1833</v>
      </c>
      <c r="B8680" s="28"/>
      <c r="C8680" s="3" t="s">
        <v>7</v>
      </c>
    </row>
    <row r="8681" spans="1:3" ht="13.5" thickBot="1" x14ac:dyDescent="0.25">
      <c r="A8681" s="3">
        <v>374</v>
      </c>
      <c r="B8681" s="28"/>
      <c r="C8681" s="3" t="s">
        <v>7</v>
      </c>
    </row>
    <row r="8682" spans="1:3" ht="13.5" thickBot="1" x14ac:dyDescent="0.25">
      <c r="A8682" s="3">
        <v>6906</v>
      </c>
      <c r="B8682" s="28"/>
      <c r="C8682" s="3" t="s">
        <v>3</v>
      </c>
    </row>
    <row r="8683" spans="1:3" ht="13.5" thickBot="1" x14ac:dyDescent="0.25">
      <c r="A8683" s="3">
        <v>5837</v>
      </c>
      <c r="B8683" s="28"/>
      <c r="C8683" s="3" t="s">
        <v>7</v>
      </c>
    </row>
    <row r="8684" spans="1:3" ht="13.5" thickBot="1" x14ac:dyDescent="0.25">
      <c r="A8684" s="3">
        <v>5295</v>
      </c>
      <c r="B8684" s="28"/>
      <c r="C8684" s="3" t="s">
        <v>4</v>
      </c>
    </row>
    <row r="8685" spans="1:3" ht="13.5" thickBot="1" x14ac:dyDescent="0.25">
      <c r="A8685" s="3">
        <v>4196</v>
      </c>
      <c r="B8685" s="28"/>
      <c r="C8685" s="3" t="s">
        <v>7</v>
      </c>
    </row>
    <row r="8686" spans="1:3" ht="13.5" thickBot="1" x14ac:dyDescent="0.25">
      <c r="A8686" s="3">
        <v>1596</v>
      </c>
      <c r="B8686" s="28"/>
      <c r="C8686" s="3" t="s">
        <v>6</v>
      </c>
    </row>
    <row r="8687" spans="1:3" ht="13.5" thickBot="1" x14ac:dyDescent="0.25">
      <c r="A8687" s="3">
        <v>4676</v>
      </c>
      <c r="B8687" s="28"/>
      <c r="C8687" s="3" t="s">
        <v>3</v>
      </c>
    </row>
    <row r="8688" spans="1:3" ht="13.5" thickBot="1" x14ac:dyDescent="0.25">
      <c r="A8688" s="3">
        <v>3396</v>
      </c>
      <c r="B8688" s="28"/>
      <c r="C8688" s="3" t="s">
        <v>3</v>
      </c>
    </row>
    <row r="8689" spans="1:3" ht="13.5" thickBot="1" x14ac:dyDescent="0.25">
      <c r="A8689" s="3">
        <v>2296</v>
      </c>
      <c r="B8689" s="28"/>
      <c r="C8689" s="3" t="s">
        <v>3</v>
      </c>
    </row>
    <row r="8690" spans="1:3" ht="13.5" thickBot="1" x14ac:dyDescent="0.25">
      <c r="A8690" s="3">
        <v>4944</v>
      </c>
      <c r="B8690" s="28"/>
      <c r="C8690" s="3" t="s">
        <v>3</v>
      </c>
    </row>
    <row r="8691" spans="1:3" ht="13.5" thickBot="1" x14ac:dyDescent="0.25">
      <c r="A8691" s="3">
        <v>1891</v>
      </c>
      <c r="B8691" s="28"/>
      <c r="C8691" s="3" t="s">
        <v>3</v>
      </c>
    </row>
    <row r="8692" spans="1:3" ht="13.5" thickBot="1" x14ac:dyDescent="0.25">
      <c r="A8692" s="3">
        <v>7908</v>
      </c>
      <c r="B8692" s="28"/>
      <c r="C8692" s="3" t="s">
        <v>4</v>
      </c>
    </row>
    <row r="8693" spans="1:3" ht="13.5" thickBot="1" x14ac:dyDescent="0.25">
      <c r="A8693" s="3">
        <v>250</v>
      </c>
      <c r="B8693" s="28"/>
      <c r="C8693" s="3" t="s">
        <v>3</v>
      </c>
    </row>
    <row r="8694" spans="1:3" ht="13.5" thickBot="1" x14ac:dyDescent="0.25">
      <c r="A8694" s="3">
        <v>4113</v>
      </c>
      <c r="B8694" s="28"/>
      <c r="C8694" s="3" t="s">
        <v>6</v>
      </c>
    </row>
    <row r="8695" spans="1:3" ht="13.5" thickBot="1" x14ac:dyDescent="0.25">
      <c r="A8695" s="3">
        <v>4845</v>
      </c>
      <c r="B8695" s="28"/>
      <c r="C8695" s="3" t="s">
        <v>7</v>
      </c>
    </row>
    <row r="8696" spans="1:3" ht="13.5" thickBot="1" x14ac:dyDescent="0.25">
      <c r="A8696" s="3">
        <v>4055</v>
      </c>
      <c r="B8696" s="28"/>
      <c r="C8696" s="3" t="s">
        <v>6</v>
      </c>
    </row>
    <row r="8697" spans="1:3" ht="13.5" thickBot="1" x14ac:dyDescent="0.25">
      <c r="A8697" s="3">
        <v>6852</v>
      </c>
      <c r="B8697" s="28"/>
      <c r="C8697" s="3" t="s">
        <v>5</v>
      </c>
    </row>
    <row r="8698" spans="1:3" ht="13.5" thickBot="1" x14ac:dyDescent="0.25">
      <c r="A8698" s="3">
        <v>3363</v>
      </c>
      <c r="B8698" s="28"/>
      <c r="C8698" s="3" t="s">
        <v>6</v>
      </c>
    </row>
    <row r="8699" spans="1:3" ht="13.5" thickBot="1" x14ac:dyDescent="0.25">
      <c r="A8699" s="3">
        <v>5972</v>
      </c>
      <c r="B8699" s="28"/>
      <c r="C8699" s="3" t="s">
        <v>3</v>
      </c>
    </row>
    <row r="8700" spans="1:3" ht="13.5" thickBot="1" x14ac:dyDescent="0.25">
      <c r="A8700" s="3">
        <v>4713</v>
      </c>
      <c r="B8700" s="28"/>
      <c r="C8700" s="3" t="s">
        <v>4</v>
      </c>
    </row>
    <row r="8701" spans="1:3" ht="13.5" thickBot="1" x14ac:dyDescent="0.25">
      <c r="A8701" s="3">
        <v>7702</v>
      </c>
      <c r="B8701" s="28"/>
      <c r="C8701" s="3" t="s">
        <v>6</v>
      </c>
    </row>
    <row r="8702" spans="1:3" ht="13.5" thickBot="1" x14ac:dyDescent="0.25">
      <c r="A8702" s="3">
        <v>6246</v>
      </c>
      <c r="B8702" s="28"/>
      <c r="C8702" s="3" t="s">
        <v>7</v>
      </c>
    </row>
    <row r="8703" spans="1:3" ht="13.5" thickBot="1" x14ac:dyDescent="0.25">
      <c r="A8703" s="3">
        <v>713</v>
      </c>
      <c r="B8703" s="28"/>
      <c r="C8703" s="3" t="s">
        <v>6</v>
      </c>
    </row>
    <row r="8704" spans="1:3" ht="13.5" thickBot="1" x14ac:dyDescent="0.25">
      <c r="A8704" s="3">
        <v>1175</v>
      </c>
      <c r="B8704" s="28"/>
      <c r="C8704" s="3" t="s">
        <v>7</v>
      </c>
    </row>
    <row r="8705" spans="1:3" ht="13.5" thickBot="1" x14ac:dyDescent="0.25">
      <c r="A8705" s="3">
        <v>683</v>
      </c>
      <c r="B8705" s="28"/>
      <c r="C8705" s="3" t="s">
        <v>5</v>
      </c>
    </row>
    <row r="8706" spans="1:3" ht="13.5" thickBot="1" x14ac:dyDescent="0.25">
      <c r="A8706" s="3">
        <v>1617</v>
      </c>
      <c r="B8706" s="28"/>
      <c r="C8706" s="3" t="s">
        <v>3</v>
      </c>
    </row>
    <row r="8707" spans="1:3" ht="13.5" thickBot="1" x14ac:dyDescent="0.25">
      <c r="A8707" s="3">
        <v>1175</v>
      </c>
      <c r="B8707" s="28"/>
      <c r="C8707" s="3" t="s">
        <v>6</v>
      </c>
    </row>
    <row r="8708" spans="1:3" ht="13.5" thickBot="1" x14ac:dyDescent="0.25">
      <c r="A8708" s="3">
        <v>7908</v>
      </c>
      <c r="B8708" s="28"/>
      <c r="C8708" s="3" t="s">
        <v>5</v>
      </c>
    </row>
    <row r="8709" spans="1:3" ht="13.5" thickBot="1" x14ac:dyDescent="0.25">
      <c r="A8709" s="3">
        <v>4084</v>
      </c>
      <c r="B8709" s="28"/>
      <c r="C8709" s="3" t="s">
        <v>3</v>
      </c>
    </row>
    <row r="8710" spans="1:3" ht="13.5" thickBot="1" x14ac:dyDescent="0.25">
      <c r="A8710" s="3">
        <v>4133</v>
      </c>
      <c r="B8710" s="28"/>
      <c r="C8710" s="3" t="s">
        <v>4</v>
      </c>
    </row>
    <row r="8711" spans="1:3" ht="13.5" thickBot="1" x14ac:dyDescent="0.25">
      <c r="A8711" s="3">
        <v>7128</v>
      </c>
      <c r="B8711" s="28"/>
      <c r="C8711" s="3" t="s">
        <v>3</v>
      </c>
    </row>
    <row r="8712" spans="1:3" ht="13.5" thickBot="1" x14ac:dyDescent="0.25">
      <c r="A8712" s="3">
        <v>782</v>
      </c>
      <c r="B8712" s="28"/>
      <c r="C8712" s="3" t="s">
        <v>4</v>
      </c>
    </row>
    <row r="8713" spans="1:3" ht="13.5" thickBot="1" x14ac:dyDescent="0.25">
      <c r="A8713" s="3">
        <v>2511</v>
      </c>
      <c r="B8713" s="28"/>
      <c r="C8713" s="3" t="s">
        <v>5</v>
      </c>
    </row>
    <row r="8714" spans="1:3" ht="13.5" thickBot="1" x14ac:dyDescent="0.25">
      <c r="A8714" s="3">
        <v>2667</v>
      </c>
      <c r="B8714" s="28"/>
      <c r="C8714" s="3" t="s">
        <v>3</v>
      </c>
    </row>
    <row r="8715" spans="1:3" ht="13.5" thickBot="1" x14ac:dyDescent="0.25">
      <c r="A8715" s="3">
        <v>3714</v>
      </c>
      <c r="B8715" s="28"/>
      <c r="C8715" s="3" t="s">
        <v>3</v>
      </c>
    </row>
    <row r="8716" spans="1:3" ht="13.5" thickBot="1" x14ac:dyDescent="0.25">
      <c r="A8716" s="3">
        <v>1098</v>
      </c>
      <c r="B8716" s="28"/>
      <c r="C8716" s="3" t="s">
        <v>6</v>
      </c>
    </row>
    <row r="8717" spans="1:3" ht="13.5" thickBot="1" x14ac:dyDescent="0.25">
      <c r="A8717" s="3">
        <v>7900</v>
      </c>
      <c r="B8717" s="28"/>
      <c r="C8717" s="3" t="s">
        <v>3</v>
      </c>
    </row>
    <row r="8718" spans="1:3" ht="13.5" thickBot="1" x14ac:dyDescent="0.25">
      <c r="A8718" s="3">
        <v>1767</v>
      </c>
      <c r="B8718" s="28"/>
      <c r="C8718" s="3" t="s">
        <v>3</v>
      </c>
    </row>
    <row r="8719" spans="1:3" ht="13.5" thickBot="1" x14ac:dyDescent="0.25">
      <c r="A8719" s="3">
        <v>806</v>
      </c>
      <c r="B8719" s="28"/>
      <c r="C8719" s="3" t="s">
        <v>7</v>
      </c>
    </row>
    <row r="8720" spans="1:3" ht="13.5" thickBot="1" x14ac:dyDescent="0.25">
      <c r="A8720" s="3">
        <v>2275</v>
      </c>
      <c r="B8720" s="28"/>
      <c r="C8720" s="3" t="s">
        <v>4</v>
      </c>
    </row>
    <row r="8721" spans="1:3" ht="13.5" thickBot="1" x14ac:dyDescent="0.25">
      <c r="A8721" s="3">
        <v>2944</v>
      </c>
      <c r="B8721" s="28"/>
      <c r="C8721" s="3" t="s">
        <v>7</v>
      </c>
    </row>
    <row r="8722" spans="1:3" ht="13.5" thickBot="1" x14ac:dyDescent="0.25">
      <c r="A8722" s="3">
        <v>374</v>
      </c>
      <c r="B8722" s="28"/>
      <c r="C8722" s="3" t="s">
        <v>5</v>
      </c>
    </row>
    <row r="8723" spans="1:3" ht="13.5" thickBot="1" x14ac:dyDescent="0.25">
      <c r="A8723" s="3">
        <v>6648</v>
      </c>
      <c r="B8723" s="28"/>
      <c r="C8723" s="3" t="s">
        <v>7</v>
      </c>
    </row>
    <row r="8724" spans="1:3" ht="13.5" thickBot="1" x14ac:dyDescent="0.25">
      <c r="A8724" s="3">
        <v>4676</v>
      </c>
      <c r="B8724" s="28"/>
      <c r="C8724" s="3" t="s">
        <v>4</v>
      </c>
    </row>
    <row r="8725" spans="1:3" ht="13.5" thickBot="1" x14ac:dyDescent="0.25">
      <c r="A8725" s="3">
        <v>3532</v>
      </c>
      <c r="B8725" s="28"/>
      <c r="C8725" s="3" t="s">
        <v>3</v>
      </c>
    </row>
    <row r="8726" spans="1:3" ht="13.5" thickBot="1" x14ac:dyDescent="0.25">
      <c r="A8726" s="3">
        <v>1046</v>
      </c>
      <c r="B8726" s="28"/>
      <c r="C8726" s="3" t="s">
        <v>3</v>
      </c>
    </row>
    <row r="8727" spans="1:3" ht="13.5" thickBot="1" x14ac:dyDescent="0.25">
      <c r="A8727" s="3">
        <v>1185</v>
      </c>
      <c r="B8727" s="28"/>
      <c r="C8727" s="3" t="s">
        <v>3</v>
      </c>
    </row>
    <row r="8728" spans="1:3" ht="13.5" thickBot="1" x14ac:dyDescent="0.25">
      <c r="A8728" s="3">
        <v>3799</v>
      </c>
      <c r="B8728" s="28"/>
      <c r="C8728" s="3" t="s">
        <v>3</v>
      </c>
    </row>
    <row r="8729" spans="1:3" ht="13.5" thickBot="1" x14ac:dyDescent="0.25">
      <c r="A8729" s="3">
        <v>2108</v>
      </c>
      <c r="B8729" s="28"/>
      <c r="C8729" s="3" t="s">
        <v>5</v>
      </c>
    </row>
    <row r="8730" spans="1:3" ht="13.5" thickBot="1" x14ac:dyDescent="0.25">
      <c r="A8730" s="3">
        <v>5395</v>
      </c>
      <c r="B8730" s="28"/>
      <c r="C8730" s="3" t="s">
        <v>5</v>
      </c>
    </row>
    <row r="8731" spans="1:3" ht="13.5" thickBot="1" x14ac:dyDescent="0.25">
      <c r="A8731" s="3">
        <v>6653</v>
      </c>
      <c r="B8731" s="28"/>
      <c r="C8731" s="3" t="s">
        <v>3</v>
      </c>
    </row>
    <row r="8732" spans="1:3" ht="13.5" thickBot="1" x14ac:dyDescent="0.25">
      <c r="A8732" s="3">
        <v>6852</v>
      </c>
      <c r="B8732" s="28"/>
      <c r="C8732" s="3" t="s">
        <v>6</v>
      </c>
    </row>
    <row r="8733" spans="1:3" ht="13.5" thickBot="1" x14ac:dyDescent="0.25">
      <c r="A8733" s="3">
        <v>4377</v>
      </c>
      <c r="B8733" s="28"/>
      <c r="C8733" s="3" t="s">
        <v>4</v>
      </c>
    </row>
    <row r="8734" spans="1:3" ht="13.5" thickBot="1" x14ac:dyDescent="0.25">
      <c r="A8734" s="3">
        <v>4845</v>
      </c>
      <c r="B8734" s="28"/>
      <c r="C8734" s="3" t="s">
        <v>5</v>
      </c>
    </row>
    <row r="8735" spans="1:3" ht="13.5" thickBot="1" x14ac:dyDescent="0.25">
      <c r="A8735" s="3">
        <v>4625</v>
      </c>
      <c r="B8735" s="28"/>
      <c r="C8735" s="3" t="s">
        <v>3</v>
      </c>
    </row>
    <row r="8736" spans="1:3" ht="13.5" thickBot="1" x14ac:dyDescent="0.25">
      <c r="A8736" s="3">
        <v>4288</v>
      </c>
      <c r="B8736" s="28"/>
      <c r="C8736" s="3" t="s">
        <v>4</v>
      </c>
    </row>
    <row r="8737" spans="1:3" ht="13.5" thickBot="1" x14ac:dyDescent="0.25">
      <c r="A8737" s="3">
        <v>4687</v>
      </c>
      <c r="B8737" s="28"/>
      <c r="C8737" s="3" t="s">
        <v>6</v>
      </c>
    </row>
    <row r="8738" spans="1:3" ht="13.5" thickBot="1" x14ac:dyDescent="0.25">
      <c r="A8738" s="3">
        <v>647</v>
      </c>
      <c r="B8738" s="28"/>
      <c r="C8738" s="3" t="s">
        <v>4</v>
      </c>
    </row>
    <row r="8739" spans="1:3" ht="13.5" thickBot="1" x14ac:dyDescent="0.25">
      <c r="A8739" s="3">
        <v>7900</v>
      </c>
      <c r="B8739" s="28"/>
      <c r="C8739" s="3" t="s">
        <v>5</v>
      </c>
    </row>
    <row r="8740" spans="1:3" ht="13.5" thickBot="1" x14ac:dyDescent="0.25">
      <c r="A8740" s="3">
        <v>6852</v>
      </c>
      <c r="B8740" s="28"/>
      <c r="C8740" s="3" t="s">
        <v>7</v>
      </c>
    </row>
    <row r="8741" spans="1:3" ht="13.5" thickBot="1" x14ac:dyDescent="0.25">
      <c r="A8741" s="3">
        <v>1489</v>
      </c>
      <c r="B8741" s="28"/>
      <c r="C8741" s="3" t="s">
        <v>6</v>
      </c>
    </row>
    <row r="8742" spans="1:3" ht="13.5" thickBot="1" x14ac:dyDescent="0.25">
      <c r="A8742" s="3">
        <v>4395</v>
      </c>
      <c r="B8742" s="28"/>
      <c r="C8742" s="3" t="s">
        <v>3</v>
      </c>
    </row>
    <row r="8743" spans="1:3" ht="13.5" thickBot="1" x14ac:dyDescent="0.25">
      <c r="A8743" s="3">
        <v>5049</v>
      </c>
      <c r="B8743" s="28"/>
      <c r="C8743" s="3" t="s">
        <v>3</v>
      </c>
    </row>
    <row r="8744" spans="1:3" ht="13.5" thickBot="1" x14ac:dyDescent="0.25">
      <c r="A8744" s="3">
        <v>5530</v>
      </c>
      <c r="B8744" s="28"/>
      <c r="C8744" s="3" t="s">
        <v>4</v>
      </c>
    </row>
    <row r="8745" spans="1:3" ht="13.5" thickBot="1" x14ac:dyDescent="0.25">
      <c r="A8745" s="3">
        <v>1503</v>
      </c>
      <c r="B8745" s="28"/>
      <c r="C8745" s="3" t="s">
        <v>7</v>
      </c>
    </row>
    <row r="8746" spans="1:3" ht="13.5" thickBot="1" x14ac:dyDescent="0.25">
      <c r="A8746" s="3">
        <v>7900</v>
      </c>
      <c r="B8746" s="28"/>
      <c r="C8746" s="3" t="s">
        <v>4</v>
      </c>
    </row>
    <row r="8747" spans="1:3" ht="13.5" thickBot="1" x14ac:dyDescent="0.25">
      <c r="A8747" s="3">
        <v>5319</v>
      </c>
      <c r="B8747" s="28"/>
      <c r="C8747" s="3" t="s">
        <v>6</v>
      </c>
    </row>
    <row r="8748" spans="1:3" ht="13.5" thickBot="1" x14ac:dyDescent="0.25">
      <c r="A8748" s="3">
        <v>4336</v>
      </c>
      <c r="B8748" s="28"/>
      <c r="C8748" s="3" t="s">
        <v>4</v>
      </c>
    </row>
    <row r="8749" spans="1:3" ht="13.5" thickBot="1" x14ac:dyDescent="0.25">
      <c r="A8749" s="3">
        <v>1833</v>
      </c>
      <c r="B8749" s="28"/>
      <c r="C8749" s="3" t="s">
        <v>5</v>
      </c>
    </row>
    <row r="8750" spans="1:3" ht="13.5" thickBot="1" x14ac:dyDescent="0.25">
      <c r="A8750" s="3">
        <v>598</v>
      </c>
      <c r="B8750" s="28"/>
      <c r="C8750" s="3" t="s">
        <v>3</v>
      </c>
    </row>
    <row r="8751" spans="1:3" ht="13.5" thickBot="1" x14ac:dyDescent="0.25">
      <c r="A8751" s="3">
        <v>6426</v>
      </c>
      <c r="B8751" s="28"/>
      <c r="C8751" s="3" t="s">
        <v>5</v>
      </c>
    </row>
    <row r="8752" spans="1:3" ht="13.5" thickBot="1" x14ac:dyDescent="0.25">
      <c r="A8752" s="3">
        <v>1025</v>
      </c>
      <c r="B8752" s="28"/>
      <c r="C8752" s="3" t="s">
        <v>7</v>
      </c>
    </row>
    <row r="8753" spans="1:3" ht="13.5" thickBot="1" x14ac:dyDescent="0.25">
      <c r="A8753" s="3">
        <v>2228</v>
      </c>
      <c r="B8753" s="28"/>
      <c r="C8753" s="3" t="s">
        <v>6</v>
      </c>
    </row>
    <row r="8754" spans="1:3" ht="13.5" thickBot="1" x14ac:dyDescent="0.25">
      <c r="A8754" s="3">
        <v>6913</v>
      </c>
      <c r="B8754" s="28"/>
      <c r="C8754" s="3" t="s">
        <v>3</v>
      </c>
    </row>
    <row r="8755" spans="1:3" ht="13.5" thickBot="1" x14ac:dyDescent="0.25">
      <c r="A8755" s="3">
        <v>4377</v>
      </c>
      <c r="B8755" s="28"/>
      <c r="C8755" s="3" t="s">
        <v>7</v>
      </c>
    </row>
    <row r="8756" spans="1:3" ht="13.5" thickBot="1" x14ac:dyDescent="0.25">
      <c r="A8756" s="3">
        <v>806</v>
      </c>
      <c r="B8756" s="28"/>
      <c r="C8756" s="3" t="s">
        <v>5</v>
      </c>
    </row>
    <row r="8757" spans="1:3" ht="13.5" thickBot="1" x14ac:dyDescent="0.25">
      <c r="A8757" s="3">
        <v>6253</v>
      </c>
      <c r="B8757" s="28"/>
      <c r="C8757" s="3" t="s">
        <v>3</v>
      </c>
    </row>
    <row r="8758" spans="1:3" ht="13.5" thickBot="1" x14ac:dyDescent="0.25">
      <c r="A8758" s="3">
        <v>6010</v>
      </c>
      <c r="B8758" s="28"/>
      <c r="C8758" s="3" t="s">
        <v>3</v>
      </c>
    </row>
    <row r="8759" spans="1:3" ht="13.5" thickBot="1" x14ac:dyDescent="0.25">
      <c r="A8759" s="3">
        <v>437</v>
      </c>
      <c r="B8759" s="28"/>
      <c r="C8759" s="3" t="s">
        <v>3</v>
      </c>
    </row>
    <row r="8760" spans="1:3" ht="13.5" thickBot="1" x14ac:dyDescent="0.25">
      <c r="A8760" s="3">
        <v>7519</v>
      </c>
      <c r="B8760" s="28"/>
      <c r="C8760" s="3" t="s">
        <v>4</v>
      </c>
    </row>
    <row r="8761" spans="1:3" ht="13.5" thickBot="1" x14ac:dyDescent="0.25">
      <c r="A8761" s="3">
        <v>6675</v>
      </c>
      <c r="B8761" s="28"/>
      <c r="C8761" s="3" t="s">
        <v>4</v>
      </c>
    </row>
    <row r="8762" spans="1:3" ht="13.5" thickBot="1" x14ac:dyDescent="0.25">
      <c r="A8762" s="3">
        <v>7519</v>
      </c>
      <c r="B8762" s="28"/>
      <c r="C8762" s="3" t="s">
        <v>3</v>
      </c>
    </row>
    <row r="8763" spans="1:3" ht="13.5" thickBot="1" x14ac:dyDescent="0.25">
      <c r="A8763" s="3">
        <v>1617</v>
      </c>
      <c r="B8763" s="28"/>
      <c r="C8763" s="3" t="s">
        <v>5</v>
      </c>
    </row>
    <row r="8764" spans="1:3" ht="13.5" thickBot="1" x14ac:dyDescent="0.25">
      <c r="A8764" s="3">
        <v>1833</v>
      </c>
      <c r="B8764" s="28"/>
      <c r="C8764" s="3" t="s">
        <v>6</v>
      </c>
    </row>
    <row r="8765" spans="1:3" ht="13.5" thickBot="1" x14ac:dyDescent="0.25">
      <c r="A8765" s="3">
        <v>2517</v>
      </c>
      <c r="B8765" s="28"/>
      <c r="C8765" s="3" t="s">
        <v>6</v>
      </c>
    </row>
    <row r="8766" spans="1:3" ht="13.5" thickBot="1" x14ac:dyDescent="0.25">
      <c r="A8766" s="3">
        <v>6343</v>
      </c>
      <c r="B8766" s="28"/>
      <c r="C8766" s="3" t="s">
        <v>4</v>
      </c>
    </row>
    <row r="8767" spans="1:3" ht="13.5" thickBot="1" x14ac:dyDescent="0.25">
      <c r="A8767" s="3">
        <v>438</v>
      </c>
      <c r="B8767" s="28"/>
      <c r="C8767" s="3" t="s">
        <v>3</v>
      </c>
    </row>
    <row r="8768" spans="1:3" ht="13.5" thickBot="1" x14ac:dyDescent="0.25">
      <c r="A8768" s="3">
        <v>1892</v>
      </c>
      <c r="B8768" s="28"/>
      <c r="C8768" s="3" t="s">
        <v>3</v>
      </c>
    </row>
    <row r="8769" spans="1:3" ht="13.5" thickBot="1" x14ac:dyDescent="0.25">
      <c r="A8769" s="3">
        <v>6614</v>
      </c>
      <c r="B8769" s="28"/>
      <c r="C8769" s="3" t="s">
        <v>3</v>
      </c>
    </row>
    <row r="8770" spans="1:3" ht="13.5" thickBot="1" x14ac:dyDescent="0.25">
      <c r="A8770" s="3">
        <v>2834</v>
      </c>
      <c r="B8770" s="28"/>
      <c r="C8770" s="3" t="s">
        <v>3</v>
      </c>
    </row>
    <row r="8771" spans="1:3" ht="13.5" thickBot="1" x14ac:dyDescent="0.25">
      <c r="A8771" s="3">
        <v>2878</v>
      </c>
      <c r="B8771" s="28"/>
      <c r="C8771" s="3" t="s">
        <v>6</v>
      </c>
    </row>
    <row r="8772" spans="1:3" ht="13.5" thickBot="1" x14ac:dyDescent="0.25">
      <c r="A8772" s="3">
        <v>3026</v>
      </c>
      <c r="B8772" s="28"/>
      <c r="C8772" s="3" t="s">
        <v>4</v>
      </c>
    </row>
    <row r="8773" spans="1:3" ht="13.5" thickBot="1" x14ac:dyDescent="0.25">
      <c r="A8773" s="3">
        <v>1098</v>
      </c>
      <c r="B8773" s="28"/>
      <c r="C8773" s="3" t="s">
        <v>4</v>
      </c>
    </row>
    <row r="8774" spans="1:3" ht="13.5" thickBot="1" x14ac:dyDescent="0.25">
      <c r="A8774" s="3">
        <v>4196</v>
      </c>
      <c r="B8774" s="28"/>
      <c r="C8774" s="3" t="s">
        <v>5</v>
      </c>
    </row>
    <row r="8775" spans="1:3" ht="13.5" thickBot="1" x14ac:dyDescent="0.25">
      <c r="A8775" s="3">
        <v>7222</v>
      </c>
      <c r="B8775" s="28"/>
      <c r="C8775" s="3" t="s">
        <v>4</v>
      </c>
    </row>
    <row r="8776" spans="1:3" ht="13.5" thickBot="1" x14ac:dyDescent="0.25">
      <c r="A8776" s="3">
        <v>3026</v>
      </c>
      <c r="B8776" s="28"/>
      <c r="C8776" s="3" t="s">
        <v>3</v>
      </c>
    </row>
    <row r="8777" spans="1:3" ht="13.5" thickBot="1" x14ac:dyDescent="0.25">
      <c r="A8777" s="3">
        <v>1574</v>
      </c>
      <c r="B8777" s="28"/>
      <c r="C8777" s="3" t="s">
        <v>3</v>
      </c>
    </row>
    <row r="8778" spans="1:3" ht="13.5" thickBot="1" x14ac:dyDescent="0.25">
      <c r="A8778" s="3">
        <v>438</v>
      </c>
      <c r="B8778" s="28"/>
      <c r="C8778" s="3" t="s">
        <v>4</v>
      </c>
    </row>
    <row r="8779" spans="1:3" ht="13.5" thickBot="1" x14ac:dyDescent="0.25">
      <c r="A8779" s="3">
        <v>5319</v>
      </c>
      <c r="B8779" s="28"/>
      <c r="C8779" s="3" t="s">
        <v>7</v>
      </c>
    </row>
    <row r="8780" spans="1:3" ht="13.5" thickBot="1" x14ac:dyDescent="0.25">
      <c r="A8780" s="3">
        <v>1800</v>
      </c>
      <c r="B8780" s="28"/>
      <c r="C8780" s="3" t="s">
        <v>4</v>
      </c>
    </row>
    <row r="8781" spans="1:3" ht="13.5" thickBot="1" x14ac:dyDescent="0.25">
      <c r="A8781" s="3">
        <v>6343</v>
      </c>
      <c r="B8781" s="28"/>
      <c r="C8781" s="3" t="s">
        <v>5</v>
      </c>
    </row>
    <row r="8782" spans="1:3" ht="13.5" thickBot="1" x14ac:dyDescent="0.25">
      <c r="A8782" s="3">
        <v>4377</v>
      </c>
      <c r="B8782" s="28"/>
      <c r="C8782" s="3" t="s">
        <v>5</v>
      </c>
    </row>
    <row r="8783" spans="1:3" ht="13.5" thickBot="1" x14ac:dyDescent="0.25">
      <c r="A8783" s="3">
        <v>4303</v>
      </c>
      <c r="B8783" s="28"/>
      <c r="C8783" s="3" t="s">
        <v>3</v>
      </c>
    </row>
    <row r="8784" spans="1:3" ht="13.5" thickBot="1" x14ac:dyDescent="0.25">
      <c r="A8784" s="3">
        <v>2883</v>
      </c>
      <c r="B8784" s="28"/>
      <c r="C8784" s="3" t="s">
        <v>6</v>
      </c>
    </row>
    <row r="8785" spans="1:3" ht="13.5" thickBot="1" x14ac:dyDescent="0.25">
      <c r="A8785" s="3">
        <v>7873</v>
      </c>
      <c r="B8785" s="28"/>
      <c r="C8785" s="3" t="s">
        <v>4</v>
      </c>
    </row>
    <row r="8786" spans="1:3" ht="13.5" thickBot="1" x14ac:dyDescent="0.25">
      <c r="A8786" s="3">
        <v>5391</v>
      </c>
      <c r="B8786" s="28"/>
      <c r="C8786" s="3" t="s">
        <v>4</v>
      </c>
    </row>
    <row r="8787" spans="1:3" ht="13.5" thickBot="1" x14ac:dyDescent="0.25">
      <c r="A8787" s="3">
        <v>2682</v>
      </c>
      <c r="B8787" s="28"/>
      <c r="C8787" s="3" t="s">
        <v>3</v>
      </c>
    </row>
    <row r="8788" spans="1:3" ht="13.5" thickBot="1" x14ac:dyDescent="0.25">
      <c r="A8788" s="3">
        <v>940</v>
      </c>
      <c r="B8788" s="28"/>
      <c r="C8788" s="3" t="s">
        <v>3</v>
      </c>
    </row>
    <row r="8789" spans="1:3" ht="13.5" thickBot="1" x14ac:dyDescent="0.25">
      <c r="A8789" s="3">
        <v>2273</v>
      </c>
      <c r="B8789" s="28"/>
      <c r="C8789" s="3" t="s">
        <v>4</v>
      </c>
    </row>
    <row r="8790" spans="1:3" ht="13.5" thickBot="1" x14ac:dyDescent="0.25">
      <c r="A8790" s="3">
        <v>683</v>
      </c>
      <c r="B8790" s="28"/>
      <c r="C8790" s="3" t="s">
        <v>7</v>
      </c>
    </row>
    <row r="8791" spans="1:3" ht="13.5" thickBot="1" x14ac:dyDescent="0.25">
      <c r="A8791" s="3">
        <v>1558</v>
      </c>
      <c r="B8791" s="28"/>
      <c r="C8791" s="3" t="s">
        <v>7</v>
      </c>
    </row>
    <row r="8792" spans="1:3" ht="13.5" thickBot="1" x14ac:dyDescent="0.25">
      <c r="A8792" s="3">
        <v>4249</v>
      </c>
      <c r="B8792" s="28"/>
      <c r="C8792" s="3" t="s">
        <v>4</v>
      </c>
    </row>
    <row r="8793" spans="1:3" ht="13.5" thickBot="1" x14ac:dyDescent="0.25">
      <c r="A8793" s="3">
        <v>5395</v>
      </c>
      <c r="B8793" s="28"/>
      <c r="C8793" s="3" t="s">
        <v>4</v>
      </c>
    </row>
    <row r="8794" spans="1:3" ht="13.5" thickBot="1" x14ac:dyDescent="0.25">
      <c r="A8794" s="3">
        <v>7225</v>
      </c>
      <c r="B8794" s="28"/>
      <c r="C8794" s="3" t="s">
        <v>3</v>
      </c>
    </row>
    <row r="8795" spans="1:3" ht="13.5" thickBot="1" x14ac:dyDescent="0.25">
      <c r="A8795" s="3">
        <v>6648</v>
      </c>
      <c r="B8795" s="28"/>
      <c r="C8795" s="3" t="s">
        <v>5</v>
      </c>
    </row>
    <row r="8796" spans="1:3" ht="13.5" thickBot="1" x14ac:dyDescent="0.25">
      <c r="A8796" s="3">
        <v>5552</v>
      </c>
      <c r="B8796" s="28"/>
      <c r="C8796" s="3" t="s">
        <v>6</v>
      </c>
    </row>
    <row r="8797" spans="1:3" ht="13.5" thickBot="1" x14ac:dyDescent="0.25">
      <c r="A8797" s="3">
        <v>5817</v>
      </c>
      <c r="B8797" s="28"/>
      <c r="C8797" s="3" t="s">
        <v>3</v>
      </c>
    </row>
    <row r="8798" spans="1:3" ht="13.5" thickBot="1" x14ac:dyDescent="0.25">
      <c r="A8798" s="3">
        <v>3245</v>
      </c>
      <c r="B8798" s="28"/>
      <c r="C8798" s="3" t="s">
        <v>3</v>
      </c>
    </row>
    <row r="8799" spans="1:3" ht="13.5" thickBot="1" x14ac:dyDescent="0.25">
      <c r="A8799" s="3">
        <v>130</v>
      </c>
      <c r="B8799" s="28"/>
      <c r="C8799" s="3" t="s">
        <v>3</v>
      </c>
    </row>
    <row r="8800" spans="1:3" ht="13.5" thickBot="1" x14ac:dyDescent="0.25">
      <c r="A8800" s="3">
        <v>7888</v>
      </c>
      <c r="B8800" s="28"/>
      <c r="C8800" s="3" t="s">
        <v>3</v>
      </c>
    </row>
    <row r="8801" spans="1:3" ht="13.5" thickBot="1" x14ac:dyDescent="0.25">
      <c r="A8801" s="3">
        <v>3358</v>
      </c>
      <c r="B8801" s="28"/>
      <c r="C8801" s="3" t="s">
        <v>7</v>
      </c>
    </row>
    <row r="8802" spans="1:3" ht="13.5" thickBot="1" x14ac:dyDescent="0.25">
      <c r="A8802" s="3">
        <v>4377</v>
      </c>
      <c r="B8802" s="28"/>
      <c r="C8802" s="3" t="s">
        <v>6</v>
      </c>
    </row>
    <row r="8803" spans="1:3" ht="13.5" thickBot="1" x14ac:dyDescent="0.25">
      <c r="A8803" s="3">
        <v>2511</v>
      </c>
      <c r="B8803" s="28"/>
      <c r="C8803" s="3" t="s">
        <v>6</v>
      </c>
    </row>
    <row r="8804" spans="1:3" ht="13.5" thickBot="1" x14ac:dyDescent="0.25">
      <c r="A8804" s="3">
        <v>7052</v>
      </c>
      <c r="B8804" s="28"/>
      <c r="C8804" s="3" t="s">
        <v>7</v>
      </c>
    </row>
    <row r="8805" spans="1:3" ht="13.5" thickBot="1" x14ac:dyDescent="0.25">
      <c r="A8805" s="3">
        <v>4395</v>
      </c>
      <c r="B8805" s="28"/>
      <c r="C8805" s="3" t="s">
        <v>4</v>
      </c>
    </row>
    <row r="8806" spans="1:3" ht="13.5" thickBot="1" x14ac:dyDescent="0.25">
      <c r="A8806" s="3">
        <v>1216</v>
      </c>
      <c r="B8806" s="28"/>
      <c r="C8806" s="3" t="s">
        <v>7</v>
      </c>
    </row>
    <row r="8807" spans="1:3" ht="13.5" thickBot="1" x14ac:dyDescent="0.25">
      <c r="A8807" s="3">
        <v>6343</v>
      </c>
      <c r="B8807" s="28"/>
      <c r="C8807" s="3" t="s">
        <v>3</v>
      </c>
    </row>
    <row r="8808" spans="1:3" ht="13.5" thickBot="1" x14ac:dyDescent="0.25">
      <c r="A8808" s="3">
        <v>6253</v>
      </c>
      <c r="B8808" s="28"/>
      <c r="C8808" s="3" t="s">
        <v>4</v>
      </c>
    </row>
    <row r="8809" spans="1:3" ht="13.5" thickBot="1" x14ac:dyDescent="0.25">
      <c r="A8809" s="3">
        <v>6653</v>
      </c>
      <c r="B8809" s="28"/>
      <c r="C8809" s="3" t="s">
        <v>4</v>
      </c>
    </row>
    <row r="8810" spans="1:3" ht="13.5" thickBot="1" x14ac:dyDescent="0.25">
      <c r="A8810" s="3">
        <v>3245</v>
      </c>
      <c r="B8810" s="28"/>
      <c r="C8810" s="3" t="s">
        <v>5</v>
      </c>
    </row>
    <row r="8811" spans="1:3" ht="13.5" thickBot="1" x14ac:dyDescent="0.25">
      <c r="A8811" s="3">
        <v>5765</v>
      </c>
      <c r="B8811" s="28"/>
      <c r="C8811" s="3" t="s">
        <v>4</v>
      </c>
    </row>
    <row r="8812" spans="1:3" ht="13.5" thickBot="1" x14ac:dyDescent="0.25">
      <c r="A8812" s="3">
        <v>1521</v>
      </c>
      <c r="B8812" s="28"/>
      <c r="C8812" s="3" t="s">
        <v>3</v>
      </c>
    </row>
    <row r="8813" spans="1:3" ht="13.5" thickBot="1" x14ac:dyDescent="0.25">
      <c r="A8813" s="3">
        <v>7908</v>
      </c>
      <c r="B8813" s="28"/>
      <c r="C8813" s="3" t="s">
        <v>7</v>
      </c>
    </row>
    <row r="8814" spans="1:3" ht="13.5" thickBot="1" x14ac:dyDescent="0.25">
      <c r="A8814" s="3">
        <v>6648</v>
      </c>
      <c r="B8814" s="28"/>
      <c r="C8814" s="3" t="s">
        <v>4</v>
      </c>
    </row>
    <row r="8815" spans="1:3" ht="13.5" thickBot="1" x14ac:dyDescent="0.25">
      <c r="A8815" s="3">
        <v>5730</v>
      </c>
      <c r="B8815" s="28"/>
      <c r="C8815" s="3" t="s">
        <v>3</v>
      </c>
    </row>
    <row r="8816" spans="1:3" ht="13.5" thickBot="1" x14ac:dyDescent="0.25">
      <c r="A8816" s="3">
        <v>6061</v>
      </c>
      <c r="B8816" s="28"/>
      <c r="C8816" s="3" t="s">
        <v>7</v>
      </c>
    </row>
    <row r="8817" spans="1:3" ht="13.5" thickBot="1" x14ac:dyDescent="0.25">
      <c r="A8817" s="3">
        <v>6076</v>
      </c>
      <c r="B8817" s="28"/>
      <c r="C8817" s="3" t="s">
        <v>6</v>
      </c>
    </row>
    <row r="8818" spans="1:3" ht="13.5" thickBot="1" x14ac:dyDescent="0.25">
      <c r="A8818" s="3">
        <v>3928</v>
      </c>
      <c r="B8818" s="28"/>
      <c r="C8818" s="3" t="s">
        <v>3</v>
      </c>
    </row>
    <row r="8819" spans="1:3" ht="13.5" thickBot="1" x14ac:dyDescent="0.25">
      <c r="A8819" s="3">
        <v>2068</v>
      </c>
      <c r="B8819" s="28"/>
      <c r="C8819" s="3" t="s">
        <v>4</v>
      </c>
    </row>
    <row r="8820" spans="1:3" ht="13.5" thickBot="1" x14ac:dyDescent="0.25">
      <c r="A8820" s="3">
        <v>1579</v>
      </c>
      <c r="B8820" s="28"/>
      <c r="C8820" s="3" t="s">
        <v>5</v>
      </c>
    </row>
    <row r="8821" spans="1:3" ht="13.5" thickBot="1" x14ac:dyDescent="0.25">
      <c r="A8821" s="3">
        <v>4303</v>
      </c>
      <c r="B8821" s="28"/>
      <c r="C8821" s="3" t="s">
        <v>7</v>
      </c>
    </row>
    <row r="8822" spans="1:3" ht="13.5" thickBot="1" x14ac:dyDescent="0.25">
      <c r="A8822" s="3">
        <v>7554</v>
      </c>
      <c r="B8822" s="28"/>
      <c r="C8822" s="3" t="s">
        <v>3</v>
      </c>
    </row>
    <row r="8823" spans="1:3" ht="13.5" thickBot="1" x14ac:dyDescent="0.25">
      <c r="A8823" s="3">
        <v>1539</v>
      </c>
      <c r="B8823" s="28"/>
      <c r="C8823" s="3" t="s">
        <v>3</v>
      </c>
    </row>
    <row r="8824" spans="1:3" ht="13.5" thickBot="1" x14ac:dyDescent="0.25">
      <c r="A8824" s="3">
        <v>7222</v>
      </c>
      <c r="B8824" s="28"/>
      <c r="C8824" s="3" t="s">
        <v>5</v>
      </c>
    </row>
    <row r="8825" spans="1:3" ht="13.5" thickBot="1" x14ac:dyDescent="0.25">
      <c r="A8825" s="3">
        <v>128</v>
      </c>
      <c r="B8825" s="28"/>
      <c r="C8825" s="3" t="s">
        <v>3</v>
      </c>
    </row>
    <row r="8826" spans="1:3" ht="13.5" thickBot="1" x14ac:dyDescent="0.25">
      <c r="A8826" s="3">
        <v>4614</v>
      </c>
      <c r="B8826" s="28"/>
      <c r="C8826" s="3" t="s">
        <v>3</v>
      </c>
    </row>
    <row r="8827" spans="1:3" ht="13.5" thickBot="1" x14ac:dyDescent="0.25">
      <c r="A8827" s="3">
        <v>4113</v>
      </c>
      <c r="B8827" s="28"/>
      <c r="C8827" s="3" t="s">
        <v>5</v>
      </c>
    </row>
    <row r="8828" spans="1:3" ht="13.5" thickBot="1" x14ac:dyDescent="0.25">
      <c r="A8828" s="3">
        <v>3529</v>
      </c>
      <c r="B8828" s="28"/>
      <c r="C8828" s="3" t="s">
        <v>6</v>
      </c>
    </row>
    <row r="8829" spans="1:3" ht="13.5" thickBot="1" x14ac:dyDescent="0.25">
      <c r="A8829" s="3">
        <v>3391</v>
      </c>
      <c r="B8829" s="28"/>
      <c r="C8829" s="3" t="s">
        <v>3</v>
      </c>
    </row>
    <row r="8830" spans="1:3" ht="13.5" thickBot="1" x14ac:dyDescent="0.25">
      <c r="A8830" s="3">
        <v>7688</v>
      </c>
      <c r="B8830" s="28"/>
      <c r="C8830" s="3" t="s">
        <v>3</v>
      </c>
    </row>
    <row r="8831" spans="1:3" ht="13.5" thickBot="1" x14ac:dyDescent="0.25">
      <c r="A8831" s="3">
        <v>5476</v>
      </c>
      <c r="B8831" s="28"/>
      <c r="C8831" s="3" t="s">
        <v>3</v>
      </c>
    </row>
    <row r="8832" spans="1:3" ht="13.5" thickBot="1" x14ac:dyDescent="0.25">
      <c r="A8832" s="3">
        <v>6343</v>
      </c>
      <c r="B8832" s="28"/>
      <c r="C8832" s="3" t="s">
        <v>7</v>
      </c>
    </row>
    <row r="8833" spans="1:3" ht="13.5" thickBot="1" x14ac:dyDescent="0.25">
      <c r="A8833" s="3">
        <v>2319</v>
      </c>
      <c r="B8833" s="28"/>
      <c r="C8833" s="3" t="s">
        <v>6</v>
      </c>
    </row>
    <row r="8834" spans="1:3" ht="13.5" thickBot="1" x14ac:dyDescent="0.25">
      <c r="A8834" s="3">
        <v>4491</v>
      </c>
      <c r="B8834" s="28"/>
      <c r="C8834" s="3" t="s">
        <v>3</v>
      </c>
    </row>
    <row r="8835" spans="1:3" ht="13.5" thickBot="1" x14ac:dyDescent="0.25">
      <c r="A8835" s="3">
        <v>5784</v>
      </c>
      <c r="B8835" s="28"/>
      <c r="C8835" s="3" t="s">
        <v>3</v>
      </c>
    </row>
    <row r="8836" spans="1:3" ht="13.5" thickBot="1" x14ac:dyDescent="0.25">
      <c r="A8836" s="3">
        <v>4537</v>
      </c>
      <c r="B8836" s="28"/>
      <c r="C8836" s="3" t="s">
        <v>3</v>
      </c>
    </row>
    <row r="8837" spans="1:3" ht="13.5" thickBot="1" x14ac:dyDescent="0.25">
      <c r="A8837" s="3">
        <v>2645</v>
      </c>
      <c r="B8837" s="28"/>
      <c r="C8837" s="3" t="s">
        <v>3</v>
      </c>
    </row>
    <row r="8838" spans="1:3" ht="13.5" thickBot="1" x14ac:dyDescent="0.25">
      <c r="A8838" s="3">
        <v>4790</v>
      </c>
      <c r="B8838" s="28"/>
      <c r="C8838" s="3" t="s">
        <v>6</v>
      </c>
    </row>
    <row r="8839" spans="1:3" ht="13.5" thickBot="1" x14ac:dyDescent="0.25">
      <c r="A8839" s="3">
        <v>3108</v>
      </c>
      <c r="B8839" s="28"/>
      <c r="C8839" s="3" t="s">
        <v>3</v>
      </c>
    </row>
    <row r="8840" spans="1:3" ht="13.5" thickBot="1" x14ac:dyDescent="0.25">
      <c r="A8840" s="3">
        <v>2339</v>
      </c>
      <c r="B8840" s="28"/>
      <c r="C8840" s="3" t="s">
        <v>3</v>
      </c>
    </row>
    <row r="8841" spans="1:3" ht="13.5" thickBot="1" x14ac:dyDescent="0.25">
      <c r="A8841" s="3">
        <v>6624</v>
      </c>
      <c r="B8841" s="28"/>
      <c r="C8841" s="3" t="s">
        <v>4</v>
      </c>
    </row>
    <row r="8842" spans="1:3" ht="13.5" thickBot="1" x14ac:dyDescent="0.25">
      <c r="A8842" s="3">
        <v>2682</v>
      </c>
      <c r="B8842" s="28"/>
      <c r="C8842" s="3" t="s">
        <v>4</v>
      </c>
    </row>
    <row r="8843" spans="1:3" ht="13.5" thickBot="1" x14ac:dyDescent="0.25">
      <c r="A8843" s="3">
        <v>7899</v>
      </c>
      <c r="B8843" s="28"/>
      <c r="C8843" s="3" t="s">
        <v>4</v>
      </c>
    </row>
    <row r="8844" spans="1:3" ht="13.5" thickBot="1" x14ac:dyDescent="0.25">
      <c r="A8844" s="3">
        <v>6308</v>
      </c>
      <c r="B8844" s="28"/>
      <c r="C8844" s="3" t="s">
        <v>3</v>
      </c>
    </row>
    <row r="8845" spans="1:3" ht="13.5" thickBot="1" x14ac:dyDescent="0.25">
      <c r="A8845" s="3">
        <v>7794</v>
      </c>
      <c r="B8845" s="28"/>
      <c r="C8845" s="3" t="s">
        <v>4</v>
      </c>
    </row>
    <row r="8846" spans="1:3" ht="13.5" thickBot="1" x14ac:dyDescent="0.25">
      <c r="A8846" s="3">
        <v>5101</v>
      </c>
      <c r="B8846" s="28"/>
      <c r="C8846" s="3" t="s">
        <v>4</v>
      </c>
    </row>
    <row r="8847" spans="1:3" ht="13.5" thickBot="1" x14ac:dyDescent="0.25">
      <c r="A8847" s="3">
        <v>5730</v>
      </c>
      <c r="B8847" s="28"/>
      <c r="C8847" s="3" t="s">
        <v>5</v>
      </c>
    </row>
    <row r="8848" spans="1:3" ht="13.5" thickBot="1" x14ac:dyDescent="0.25">
      <c r="A8848" s="3">
        <v>3396</v>
      </c>
      <c r="B8848" s="28"/>
      <c r="C8848" s="3" t="s">
        <v>4</v>
      </c>
    </row>
    <row r="8849" spans="1:3" ht="13.5" thickBot="1" x14ac:dyDescent="0.25">
      <c r="A8849" s="3">
        <v>7899</v>
      </c>
      <c r="B8849" s="28"/>
      <c r="C8849" s="3" t="s">
        <v>3</v>
      </c>
    </row>
    <row r="8850" spans="1:3" ht="13.5" thickBot="1" x14ac:dyDescent="0.25">
      <c r="A8850" s="3">
        <v>7716</v>
      </c>
      <c r="B8850" s="28"/>
      <c r="C8850" s="3" t="s">
        <v>4</v>
      </c>
    </row>
    <row r="8851" spans="1:3" ht="13.5" thickBot="1" x14ac:dyDescent="0.25">
      <c r="A8851" s="3">
        <v>7508</v>
      </c>
      <c r="B8851" s="28"/>
      <c r="C8851" s="3" t="s">
        <v>4</v>
      </c>
    </row>
    <row r="8852" spans="1:3" ht="13.5" thickBot="1" x14ac:dyDescent="0.25">
      <c r="A8852" s="3">
        <v>3358</v>
      </c>
      <c r="B8852" s="28"/>
      <c r="C8852" s="3" t="s">
        <v>5</v>
      </c>
    </row>
    <row r="8853" spans="1:3" ht="13.5" thickBot="1" x14ac:dyDescent="0.25">
      <c r="A8853" s="3">
        <v>4395</v>
      </c>
      <c r="B8853" s="28"/>
      <c r="C8853" s="3" t="s">
        <v>5</v>
      </c>
    </row>
    <row r="8854" spans="1:3" ht="13.5" thickBot="1" x14ac:dyDescent="0.25">
      <c r="A8854" s="3">
        <v>5180</v>
      </c>
      <c r="B8854" s="28"/>
      <c r="C8854" s="3" t="s">
        <v>3</v>
      </c>
    </row>
    <row r="8855" spans="1:3" ht="13.5" thickBot="1" x14ac:dyDescent="0.25">
      <c r="A8855" s="3">
        <v>2838</v>
      </c>
      <c r="B8855" s="28"/>
      <c r="C8855" s="3" t="s">
        <v>3</v>
      </c>
    </row>
    <row r="8856" spans="1:3" ht="13.5" thickBot="1" x14ac:dyDescent="0.25">
      <c r="A8856" s="3">
        <v>6947</v>
      </c>
      <c r="B8856" s="28"/>
      <c r="C8856" s="3" t="s">
        <v>6</v>
      </c>
    </row>
    <row r="8857" spans="1:3" ht="13.5" thickBot="1" x14ac:dyDescent="0.25">
      <c r="A8857" s="3">
        <v>3928</v>
      </c>
      <c r="B8857" s="28"/>
      <c r="C8857" s="3" t="s">
        <v>4</v>
      </c>
    </row>
    <row r="8858" spans="1:3" ht="13.5" thickBot="1" x14ac:dyDescent="0.25">
      <c r="A8858" s="3">
        <v>7329</v>
      </c>
      <c r="B8858" s="28"/>
      <c r="C8858" s="3" t="s">
        <v>6</v>
      </c>
    </row>
    <row r="8859" spans="1:3" ht="13.5" thickBot="1" x14ac:dyDescent="0.25">
      <c r="A8859" s="3">
        <v>5395</v>
      </c>
      <c r="B8859" s="28"/>
      <c r="C8859" s="3" t="s">
        <v>7</v>
      </c>
    </row>
    <row r="8860" spans="1:3" ht="13.5" thickBot="1" x14ac:dyDescent="0.25">
      <c r="A8860" s="3">
        <v>2645</v>
      </c>
      <c r="B8860" s="28"/>
      <c r="C8860" s="3" t="s">
        <v>4</v>
      </c>
    </row>
    <row r="8861" spans="1:3" ht="13.5" thickBot="1" x14ac:dyDescent="0.25">
      <c r="A8861" s="3">
        <v>2055</v>
      </c>
      <c r="B8861" s="28"/>
      <c r="C8861" s="3" t="s">
        <v>3</v>
      </c>
    </row>
    <row r="8862" spans="1:3" ht="13.5" thickBot="1" x14ac:dyDescent="0.25">
      <c r="A8862" s="3">
        <v>4965</v>
      </c>
      <c r="B8862" s="28"/>
      <c r="C8862" s="3" t="s">
        <v>3</v>
      </c>
    </row>
    <row r="8863" spans="1:3" ht="13.5" thickBot="1" x14ac:dyDescent="0.25">
      <c r="A8863" s="3">
        <v>2339</v>
      </c>
      <c r="B8863" s="28"/>
      <c r="C8863" s="3" t="s">
        <v>4</v>
      </c>
    </row>
    <row r="8864" spans="1:3" ht="13.5" thickBot="1" x14ac:dyDescent="0.25">
      <c r="A8864" s="3">
        <v>2068</v>
      </c>
      <c r="B8864" s="28"/>
      <c r="C8864" s="3" t="s">
        <v>3</v>
      </c>
    </row>
    <row r="8865" spans="1:3" ht="13.5" thickBot="1" x14ac:dyDescent="0.25">
      <c r="A8865" s="3">
        <v>3137</v>
      </c>
      <c r="B8865" s="28"/>
      <c r="C8865" s="3" t="s">
        <v>3</v>
      </c>
    </row>
    <row r="8866" spans="1:3" ht="13.5" thickBot="1" x14ac:dyDescent="0.25">
      <c r="A8866" s="3">
        <v>6947</v>
      </c>
      <c r="B8866" s="28"/>
      <c r="C8866" s="3" t="s">
        <v>7</v>
      </c>
    </row>
    <row r="8867" spans="1:3" ht="13.5" thickBot="1" x14ac:dyDescent="0.25">
      <c r="A8867" s="3">
        <v>727</v>
      </c>
      <c r="B8867" s="28"/>
      <c r="C8867" s="3" t="s">
        <v>4</v>
      </c>
    </row>
    <row r="8868" spans="1:3" ht="13.5" thickBot="1" x14ac:dyDescent="0.25">
      <c r="A8868" s="3">
        <v>5817</v>
      </c>
      <c r="B8868" s="28"/>
      <c r="C8868" s="3" t="s">
        <v>4</v>
      </c>
    </row>
    <row r="8869" spans="1:3" ht="13.5" thickBot="1" x14ac:dyDescent="0.25">
      <c r="A8869" s="3">
        <v>795</v>
      </c>
      <c r="B8869" s="28"/>
      <c r="C8869" s="3" t="s">
        <v>3</v>
      </c>
    </row>
    <row r="8870" spans="1:3" ht="13.5" thickBot="1" x14ac:dyDescent="0.25">
      <c r="A8870" s="3">
        <v>7688</v>
      </c>
      <c r="B8870" s="28"/>
      <c r="C8870" s="3" t="s">
        <v>4</v>
      </c>
    </row>
    <row r="8871" spans="1:3" ht="13.5" thickBot="1" x14ac:dyDescent="0.25">
      <c r="A8871" s="3">
        <v>6241</v>
      </c>
      <c r="B8871" s="28"/>
      <c r="C8871" s="3" t="s">
        <v>3</v>
      </c>
    </row>
    <row r="8872" spans="1:3" ht="13.5" thickBot="1" x14ac:dyDescent="0.25">
      <c r="A8872" s="3">
        <v>2273</v>
      </c>
      <c r="B8872" s="28"/>
      <c r="C8872" s="3" t="s">
        <v>7</v>
      </c>
    </row>
    <row r="8873" spans="1:3" ht="13.5" thickBot="1" x14ac:dyDescent="0.25">
      <c r="A8873" s="3">
        <v>6804</v>
      </c>
      <c r="B8873" s="28"/>
      <c r="C8873" s="3" t="s">
        <v>6</v>
      </c>
    </row>
    <row r="8874" spans="1:3" ht="13.5" thickBot="1" x14ac:dyDescent="0.25">
      <c r="A8874" s="3">
        <v>1609</v>
      </c>
      <c r="B8874" s="28"/>
      <c r="C8874" s="3" t="s">
        <v>3</v>
      </c>
    </row>
    <row r="8875" spans="1:3" ht="13.5" thickBot="1" x14ac:dyDescent="0.25">
      <c r="A8875" s="3">
        <v>7794</v>
      </c>
      <c r="B8875" s="28"/>
      <c r="C8875" s="3" t="s">
        <v>3</v>
      </c>
    </row>
    <row r="8876" spans="1:3" ht="13.5" thickBot="1" x14ac:dyDescent="0.25">
      <c r="A8876" s="3">
        <v>5572</v>
      </c>
      <c r="B8876" s="28"/>
      <c r="C8876" s="3" t="s">
        <v>3</v>
      </c>
    </row>
    <row r="8877" spans="1:3" ht="13.5" thickBot="1" x14ac:dyDescent="0.25">
      <c r="A8877" s="3">
        <v>5101</v>
      </c>
      <c r="B8877" s="28"/>
      <c r="C8877" s="3" t="s">
        <v>3</v>
      </c>
    </row>
    <row r="8878" spans="1:3" ht="13.5" thickBot="1" x14ac:dyDescent="0.25">
      <c r="A8878" s="3">
        <v>5022</v>
      </c>
      <c r="B8878" s="28"/>
      <c r="C8878" s="3" t="s">
        <v>3</v>
      </c>
    </row>
    <row r="8879" spans="1:3" ht="13.5" thickBot="1" x14ac:dyDescent="0.25">
      <c r="A8879" s="3">
        <v>4395</v>
      </c>
      <c r="B8879" s="28"/>
      <c r="C8879" s="3" t="s">
        <v>6</v>
      </c>
    </row>
    <row r="8880" spans="1:3" ht="13.5" thickBot="1" x14ac:dyDescent="0.25">
      <c r="A8880" s="3">
        <v>6823</v>
      </c>
      <c r="B8880" s="28"/>
      <c r="C8880" s="3" t="s">
        <v>6</v>
      </c>
    </row>
    <row r="8881" spans="1:3" ht="13.5" thickBot="1" x14ac:dyDescent="0.25">
      <c r="A8881" s="3">
        <v>1321</v>
      </c>
      <c r="B8881" s="28"/>
      <c r="C8881" s="3" t="s">
        <v>3</v>
      </c>
    </row>
    <row r="8882" spans="1:3" ht="13.5" thickBot="1" x14ac:dyDescent="0.25">
      <c r="A8882" s="3">
        <v>2103</v>
      </c>
      <c r="B8882" s="28"/>
      <c r="C8882" s="3" t="s">
        <v>3</v>
      </c>
    </row>
    <row r="8883" spans="1:3" ht="13.5" thickBot="1" x14ac:dyDescent="0.25">
      <c r="A8883" s="3">
        <v>4845</v>
      </c>
      <c r="B8883" s="28"/>
      <c r="C8883" s="3" t="s">
        <v>6</v>
      </c>
    </row>
    <row r="8884" spans="1:3" ht="13.5" thickBot="1" x14ac:dyDescent="0.25">
      <c r="A8884" s="3">
        <v>5796</v>
      </c>
      <c r="B8884" s="28"/>
      <c r="C8884" s="3" t="s">
        <v>3</v>
      </c>
    </row>
    <row r="8885" spans="1:3" ht="13.5" thickBot="1" x14ac:dyDescent="0.25">
      <c r="A8885" s="3">
        <v>1609</v>
      </c>
      <c r="B8885" s="28"/>
      <c r="C8885" s="3" t="s">
        <v>5</v>
      </c>
    </row>
    <row r="8886" spans="1:3" ht="13.5" thickBot="1" x14ac:dyDescent="0.25">
      <c r="A8886" s="3">
        <v>7583</v>
      </c>
      <c r="B8886" s="28"/>
      <c r="C8886" s="3" t="s">
        <v>5</v>
      </c>
    </row>
    <row r="8887" spans="1:3" ht="13.5" thickBot="1" x14ac:dyDescent="0.25">
      <c r="A8887" s="3">
        <v>7583</v>
      </c>
      <c r="B8887" s="28"/>
      <c r="C8887" s="3" t="s">
        <v>3</v>
      </c>
    </row>
    <row r="8888" spans="1:3" ht="13.5" thickBot="1" x14ac:dyDescent="0.25">
      <c r="A8888" s="3">
        <v>997</v>
      </c>
      <c r="B8888" s="28"/>
      <c r="C8888" s="3" t="s">
        <v>3</v>
      </c>
    </row>
    <row r="8889" spans="1:3" ht="13.5" thickBot="1" x14ac:dyDescent="0.25">
      <c r="A8889" s="3">
        <v>7444</v>
      </c>
      <c r="B8889" s="28"/>
      <c r="C8889" s="3" t="s">
        <v>6</v>
      </c>
    </row>
    <row r="8890" spans="1:3" ht="13.5" thickBot="1" x14ac:dyDescent="0.25">
      <c r="A8890" s="3">
        <v>5295</v>
      </c>
      <c r="B8890" s="28"/>
      <c r="C8890" s="3" t="s">
        <v>7</v>
      </c>
    </row>
    <row r="8891" spans="1:3" ht="13.5" thickBot="1" x14ac:dyDescent="0.25">
      <c r="A8891" s="3">
        <v>6253</v>
      </c>
      <c r="B8891" s="28"/>
      <c r="C8891" s="3" t="s">
        <v>5</v>
      </c>
    </row>
    <row r="8892" spans="1:3" ht="13.5" thickBot="1" x14ac:dyDescent="0.25">
      <c r="A8892" s="3">
        <v>7060</v>
      </c>
      <c r="B8892" s="28"/>
      <c r="C8892" s="3" t="s">
        <v>3</v>
      </c>
    </row>
    <row r="8893" spans="1:3" ht="13.5" thickBot="1" x14ac:dyDescent="0.25">
      <c r="A8893" s="3">
        <v>1503</v>
      </c>
      <c r="B8893" s="28"/>
      <c r="C8893" s="3" t="s">
        <v>6</v>
      </c>
    </row>
    <row r="8894" spans="1:3" ht="13.5" thickBot="1" x14ac:dyDescent="0.25">
      <c r="A8894" s="3">
        <v>3358</v>
      </c>
      <c r="B8894" s="28"/>
      <c r="C8894" s="3" t="s">
        <v>6</v>
      </c>
    </row>
    <row r="8895" spans="1:3" ht="13.5" thickBot="1" x14ac:dyDescent="0.25">
      <c r="A8895" s="3">
        <v>3321</v>
      </c>
      <c r="B8895" s="28"/>
      <c r="C8895" s="3" t="s">
        <v>6</v>
      </c>
    </row>
    <row r="8896" spans="1:3" ht="13.5" thickBot="1" x14ac:dyDescent="0.25">
      <c r="A8896" s="3">
        <v>5267</v>
      </c>
      <c r="B8896" s="28"/>
      <c r="C8896" s="3" t="s">
        <v>6</v>
      </c>
    </row>
    <row r="8897" spans="1:3" ht="13.5" thickBot="1" x14ac:dyDescent="0.25">
      <c r="A8897" s="3">
        <v>627</v>
      </c>
      <c r="B8897" s="28"/>
      <c r="C8897" s="3" t="s">
        <v>3</v>
      </c>
    </row>
    <row r="8898" spans="1:3" ht="13.5" thickBot="1" x14ac:dyDescent="0.25">
      <c r="A8898" s="3">
        <v>438</v>
      </c>
      <c r="B8898" s="28"/>
      <c r="C8898" s="3" t="s">
        <v>6</v>
      </c>
    </row>
    <row r="8899" spans="1:3" ht="13.5" thickBot="1" x14ac:dyDescent="0.25">
      <c r="A8899" s="3">
        <v>2048</v>
      </c>
      <c r="B8899" s="28"/>
      <c r="C8899" s="3" t="s">
        <v>3</v>
      </c>
    </row>
    <row r="8900" spans="1:3" ht="13.5" thickBot="1" x14ac:dyDescent="0.25">
      <c r="A8900" s="3">
        <v>6662</v>
      </c>
      <c r="B8900" s="28"/>
      <c r="C8900" s="3" t="s">
        <v>3</v>
      </c>
    </row>
    <row r="8901" spans="1:3" ht="13.5" thickBot="1" x14ac:dyDescent="0.25">
      <c r="A8901" s="3">
        <v>3274</v>
      </c>
      <c r="B8901" s="28"/>
      <c r="C8901" s="3" t="s">
        <v>3</v>
      </c>
    </row>
    <row r="8902" spans="1:3" ht="13.5" thickBot="1" x14ac:dyDescent="0.25">
      <c r="A8902" s="3">
        <v>3108</v>
      </c>
      <c r="B8902" s="28"/>
      <c r="C8902" s="3" t="s">
        <v>4</v>
      </c>
    </row>
    <row r="8903" spans="1:3" ht="13.5" thickBot="1" x14ac:dyDescent="0.25">
      <c r="A8903" s="3">
        <v>5629</v>
      </c>
      <c r="B8903" s="28"/>
      <c r="C8903" s="3" t="s">
        <v>3</v>
      </c>
    </row>
    <row r="8904" spans="1:3" ht="13.5" thickBot="1" x14ac:dyDescent="0.25">
      <c r="A8904" s="3">
        <v>5629</v>
      </c>
      <c r="B8904" s="28"/>
      <c r="C8904" s="3" t="s">
        <v>4</v>
      </c>
    </row>
    <row r="8905" spans="1:3" ht="13.5" thickBot="1" x14ac:dyDescent="0.25">
      <c r="A8905" s="3">
        <v>3264</v>
      </c>
      <c r="B8905" s="28"/>
      <c r="C8905" s="3" t="s">
        <v>3</v>
      </c>
    </row>
    <row r="8906" spans="1:3" ht="13.5" thickBot="1" x14ac:dyDescent="0.25">
      <c r="A8906" s="3">
        <v>6035</v>
      </c>
      <c r="B8906" s="28"/>
      <c r="C8906" s="3" t="s">
        <v>4</v>
      </c>
    </row>
    <row r="8907" spans="1:3" ht="13.5" thickBot="1" x14ac:dyDescent="0.25">
      <c r="A8907" s="3">
        <v>1619</v>
      </c>
      <c r="B8907" s="28"/>
      <c r="C8907" s="3" t="s">
        <v>5</v>
      </c>
    </row>
    <row r="8908" spans="1:3" ht="13.5" thickBot="1" x14ac:dyDescent="0.25">
      <c r="A8908" s="3">
        <v>4303</v>
      </c>
      <c r="B8908" s="28"/>
      <c r="C8908" s="3" t="s">
        <v>6</v>
      </c>
    </row>
    <row r="8909" spans="1:3" ht="13.5" thickBot="1" x14ac:dyDescent="0.25">
      <c r="A8909" s="3">
        <v>6215</v>
      </c>
      <c r="B8909" s="28"/>
      <c r="C8909" s="3" t="s">
        <v>3</v>
      </c>
    </row>
    <row r="8910" spans="1:3" ht="13.5" thickBot="1" x14ac:dyDescent="0.25">
      <c r="A8910" s="3">
        <v>356</v>
      </c>
      <c r="B8910" s="28"/>
      <c r="C8910" s="3" t="s">
        <v>3</v>
      </c>
    </row>
    <row r="8911" spans="1:3" ht="13.5" thickBot="1" x14ac:dyDescent="0.25">
      <c r="A8911" s="3">
        <v>6241</v>
      </c>
      <c r="B8911" s="28"/>
      <c r="C8911" s="3" t="s">
        <v>4</v>
      </c>
    </row>
    <row r="8912" spans="1:3" ht="13.5" thickBot="1" x14ac:dyDescent="0.25">
      <c r="A8912" s="3">
        <v>2449</v>
      </c>
      <c r="B8912" s="28"/>
      <c r="C8912" s="3" t="s">
        <v>3</v>
      </c>
    </row>
    <row r="8913" spans="1:3" ht="13.5" thickBot="1" x14ac:dyDescent="0.25">
      <c r="A8913" s="3">
        <v>7939</v>
      </c>
      <c r="B8913" s="28"/>
      <c r="C8913" s="3" t="s">
        <v>3</v>
      </c>
    </row>
    <row r="8914" spans="1:3" ht="13.5" thickBot="1" x14ac:dyDescent="0.25">
      <c r="A8914" s="3">
        <v>5784</v>
      </c>
      <c r="B8914" s="28"/>
      <c r="C8914" s="3" t="s">
        <v>5</v>
      </c>
    </row>
    <row r="8915" spans="1:3" ht="13.5" thickBot="1" x14ac:dyDescent="0.25">
      <c r="A8915" s="3">
        <v>3245</v>
      </c>
      <c r="B8915" s="28"/>
      <c r="C8915" s="3" t="s">
        <v>4</v>
      </c>
    </row>
    <row r="8916" spans="1:3" ht="13.5" thickBot="1" x14ac:dyDescent="0.25">
      <c r="A8916" s="3">
        <v>6253</v>
      </c>
      <c r="B8916" s="28"/>
      <c r="C8916" s="3" t="s">
        <v>7</v>
      </c>
    </row>
    <row r="8917" spans="1:3" ht="13.5" thickBot="1" x14ac:dyDescent="0.25">
      <c r="A8917" s="3">
        <v>1330</v>
      </c>
      <c r="B8917" s="28"/>
      <c r="C8917" s="3" t="s">
        <v>3</v>
      </c>
    </row>
    <row r="8918" spans="1:3" ht="13.5" thickBot="1" x14ac:dyDescent="0.25">
      <c r="A8918" s="3">
        <v>795</v>
      </c>
      <c r="B8918" s="28"/>
      <c r="C8918" s="3" t="s">
        <v>6</v>
      </c>
    </row>
    <row r="8919" spans="1:3" ht="13.5" thickBot="1" x14ac:dyDescent="0.25">
      <c r="A8919" s="3">
        <v>6663</v>
      </c>
      <c r="B8919" s="28"/>
      <c r="C8919" s="3" t="s">
        <v>3</v>
      </c>
    </row>
    <row r="8920" spans="1:3" ht="13.5" thickBot="1" x14ac:dyDescent="0.25">
      <c r="A8920" s="3">
        <v>6035</v>
      </c>
      <c r="B8920" s="28"/>
      <c r="C8920" s="3" t="s">
        <v>3</v>
      </c>
    </row>
    <row r="8921" spans="1:3" ht="13.5" thickBot="1" x14ac:dyDescent="0.25">
      <c r="A8921" s="3">
        <v>5492</v>
      </c>
      <c r="B8921" s="28"/>
      <c r="C8921" s="3" t="s">
        <v>4</v>
      </c>
    </row>
    <row r="8922" spans="1:3" ht="13.5" thickBot="1" x14ac:dyDescent="0.25">
      <c r="A8922" s="3">
        <v>2339</v>
      </c>
      <c r="B8922" s="28"/>
      <c r="C8922" s="3" t="s">
        <v>5</v>
      </c>
    </row>
    <row r="8923" spans="1:3" ht="13.5" thickBot="1" x14ac:dyDescent="0.25">
      <c r="A8923" s="3">
        <v>2624</v>
      </c>
      <c r="B8923" s="28"/>
      <c r="C8923" s="3" t="s">
        <v>6</v>
      </c>
    </row>
    <row r="8924" spans="1:3" ht="13.5" thickBot="1" x14ac:dyDescent="0.25">
      <c r="A8924" s="3">
        <v>7900</v>
      </c>
      <c r="B8924" s="28"/>
      <c r="C8924" s="3" t="s">
        <v>6</v>
      </c>
    </row>
    <row r="8925" spans="1:3" ht="13.5" thickBot="1" x14ac:dyDescent="0.25">
      <c r="A8925" s="3">
        <v>5153</v>
      </c>
      <c r="B8925" s="28"/>
      <c r="C8925" s="3" t="s">
        <v>3</v>
      </c>
    </row>
    <row r="8926" spans="1:3" ht="13.5" thickBot="1" x14ac:dyDescent="0.25">
      <c r="A8926" s="3">
        <v>5923</v>
      </c>
      <c r="B8926" s="28"/>
      <c r="C8926" s="3" t="s">
        <v>6</v>
      </c>
    </row>
    <row r="8927" spans="1:3" ht="13.5" thickBot="1" x14ac:dyDescent="0.25">
      <c r="A8927" s="3">
        <v>5784</v>
      </c>
      <c r="B8927" s="28"/>
      <c r="C8927" s="3" t="s">
        <v>7</v>
      </c>
    </row>
    <row r="8928" spans="1:3" ht="13.5" thickBot="1" x14ac:dyDescent="0.25">
      <c r="A8928" s="3">
        <v>6294</v>
      </c>
      <c r="B8928" s="28"/>
      <c r="C8928" s="3" t="s">
        <v>3</v>
      </c>
    </row>
    <row r="8929" spans="1:3" ht="13.5" thickBot="1" x14ac:dyDescent="0.25">
      <c r="A8929" s="3">
        <v>1744</v>
      </c>
      <c r="B8929" s="28"/>
      <c r="C8929" s="3" t="s">
        <v>3</v>
      </c>
    </row>
    <row r="8930" spans="1:3" ht="13.5" thickBot="1" x14ac:dyDescent="0.25">
      <c r="A8930" s="3">
        <v>1321</v>
      </c>
      <c r="B8930" s="28"/>
      <c r="C8930" s="3" t="s">
        <v>4</v>
      </c>
    </row>
    <row r="8931" spans="1:3" ht="13.5" thickBot="1" x14ac:dyDescent="0.25">
      <c r="A8931" s="3">
        <v>1580</v>
      </c>
      <c r="B8931" s="28"/>
      <c r="C8931" s="3" t="s">
        <v>3</v>
      </c>
    </row>
    <row r="8932" spans="1:3" ht="13.5" thickBot="1" x14ac:dyDescent="0.25">
      <c r="A8932" s="3">
        <v>2482</v>
      </c>
      <c r="B8932" s="28"/>
      <c r="C8932" s="3" t="s">
        <v>6</v>
      </c>
    </row>
    <row r="8933" spans="1:3" ht="13.5" thickBot="1" x14ac:dyDescent="0.25">
      <c r="A8933" s="3">
        <v>3613</v>
      </c>
      <c r="B8933" s="28"/>
      <c r="C8933" s="3" t="s">
        <v>6</v>
      </c>
    </row>
    <row r="8934" spans="1:3" ht="13.5" thickBot="1" x14ac:dyDescent="0.25">
      <c r="A8934" s="3">
        <v>5153</v>
      </c>
      <c r="B8934" s="28"/>
      <c r="C8934" s="3" t="s">
        <v>4</v>
      </c>
    </row>
    <row r="8935" spans="1:3" ht="13.5" thickBot="1" x14ac:dyDescent="0.25">
      <c r="A8935" s="3">
        <v>4196</v>
      </c>
      <c r="B8935" s="28"/>
      <c r="C8935" s="3" t="s">
        <v>6</v>
      </c>
    </row>
    <row r="8936" spans="1:3" ht="13.5" thickBot="1" x14ac:dyDescent="0.25">
      <c r="A8936" s="3">
        <v>7052</v>
      </c>
      <c r="B8936" s="28"/>
      <c r="C8936" s="3" t="s">
        <v>6</v>
      </c>
    </row>
    <row r="8937" spans="1:3" ht="13.5" thickBot="1" x14ac:dyDescent="0.25">
      <c r="A8937" s="3">
        <v>5492</v>
      </c>
      <c r="B8937" s="28"/>
      <c r="C8937" s="3" t="s">
        <v>3</v>
      </c>
    </row>
    <row r="8938" spans="1:3" ht="13.5" thickBot="1" x14ac:dyDescent="0.25">
      <c r="A8938" s="3">
        <v>6061</v>
      </c>
      <c r="B8938" s="28"/>
      <c r="C8938" s="3" t="s">
        <v>6</v>
      </c>
    </row>
    <row r="8939" spans="1:3" ht="13.5" thickBot="1" x14ac:dyDescent="0.25">
      <c r="A8939" s="3">
        <v>7900</v>
      </c>
      <c r="B8939" s="28"/>
      <c r="C8939" s="3" t="s">
        <v>7</v>
      </c>
    </row>
    <row r="8940" spans="1:3" ht="13.5" thickBot="1" x14ac:dyDescent="0.25">
      <c r="A8940" s="3">
        <v>4113</v>
      </c>
      <c r="B8940" s="28"/>
      <c r="C8940" s="3" t="s">
        <v>7</v>
      </c>
    </row>
    <row r="8941" spans="1:3" ht="13.5" thickBot="1" x14ac:dyDescent="0.25">
      <c r="A8941" s="3">
        <v>5825</v>
      </c>
      <c r="B8941" s="28"/>
      <c r="C8941" s="3" t="s">
        <v>7</v>
      </c>
    </row>
    <row r="8942" spans="1:3" ht="13.5" thickBot="1" x14ac:dyDescent="0.25">
      <c r="A8942" s="3">
        <v>7695</v>
      </c>
      <c r="B8942" s="28"/>
      <c r="C8942" s="3" t="s">
        <v>3</v>
      </c>
    </row>
    <row r="8943" spans="1:3" ht="13.5" thickBot="1" x14ac:dyDescent="0.25">
      <c r="A8943" s="3">
        <v>2087</v>
      </c>
      <c r="B8943" s="28"/>
      <c r="C8943" s="3" t="s">
        <v>3</v>
      </c>
    </row>
    <row r="8944" spans="1:3" ht="13.5" thickBot="1" x14ac:dyDescent="0.25">
      <c r="A8944" s="3">
        <v>2667</v>
      </c>
      <c r="B8944" s="28"/>
      <c r="C8944" s="3" t="s">
        <v>4</v>
      </c>
    </row>
    <row r="8945" spans="1:3" ht="13.5" thickBot="1" x14ac:dyDescent="0.25">
      <c r="A8945" s="3">
        <v>5629</v>
      </c>
      <c r="B8945" s="28"/>
      <c r="C8945" s="3" t="s">
        <v>5</v>
      </c>
    </row>
    <row r="8946" spans="1:3" ht="13.5" thickBot="1" x14ac:dyDescent="0.25">
      <c r="A8946" s="3">
        <v>430</v>
      </c>
      <c r="B8946" s="28"/>
      <c r="C8946" s="3" t="s">
        <v>4</v>
      </c>
    </row>
    <row r="8947" spans="1:3" ht="13.5" thickBot="1" x14ac:dyDescent="0.25">
      <c r="A8947" s="3">
        <v>6182</v>
      </c>
      <c r="B8947" s="28"/>
      <c r="C8947" s="3" t="s">
        <v>3</v>
      </c>
    </row>
    <row r="8948" spans="1:3" ht="13.5" thickBot="1" x14ac:dyDescent="0.25">
      <c r="A8948" s="3">
        <v>7794</v>
      </c>
      <c r="B8948" s="28"/>
      <c r="C8948" s="3" t="s">
        <v>6</v>
      </c>
    </row>
    <row r="8949" spans="1:3" ht="13.5" thickBot="1" x14ac:dyDescent="0.25">
      <c r="A8949" s="3">
        <v>7583</v>
      </c>
      <c r="B8949" s="28"/>
      <c r="C8949" s="3" t="s">
        <v>4</v>
      </c>
    </row>
    <row r="8950" spans="1:3" ht="13.5" thickBot="1" x14ac:dyDescent="0.25">
      <c r="A8950" s="3">
        <v>78</v>
      </c>
      <c r="B8950" s="28"/>
      <c r="C8950" s="3" t="s">
        <v>3</v>
      </c>
    </row>
    <row r="8951" spans="1:3" ht="13.5" thickBot="1" x14ac:dyDescent="0.25">
      <c r="A8951" s="3">
        <v>3108</v>
      </c>
      <c r="B8951" s="28"/>
      <c r="C8951" s="3" t="s">
        <v>6</v>
      </c>
    </row>
    <row r="8952" spans="1:3" ht="13.5" thickBot="1" x14ac:dyDescent="0.25">
      <c r="A8952" s="3">
        <v>2645</v>
      </c>
      <c r="B8952" s="28"/>
      <c r="C8952" s="3" t="s">
        <v>5</v>
      </c>
    </row>
    <row r="8953" spans="1:3" ht="13.5" thickBot="1" x14ac:dyDescent="0.25">
      <c r="A8953" s="3">
        <v>7908</v>
      </c>
      <c r="B8953" s="28"/>
      <c r="C8953" s="3" t="s">
        <v>6</v>
      </c>
    </row>
    <row r="8954" spans="1:3" ht="13.5" thickBot="1" x14ac:dyDescent="0.25">
      <c r="A8954" s="3">
        <v>6662</v>
      </c>
      <c r="B8954" s="28"/>
      <c r="C8954" s="3" t="s">
        <v>4</v>
      </c>
    </row>
    <row r="8955" spans="1:3" ht="13.5" thickBot="1" x14ac:dyDescent="0.25">
      <c r="A8955" s="3">
        <v>1264</v>
      </c>
      <c r="B8955" s="28"/>
      <c r="C8955" s="3" t="s">
        <v>3</v>
      </c>
    </row>
    <row r="8956" spans="1:3" ht="13.5" thickBot="1" x14ac:dyDescent="0.25">
      <c r="A8956" s="3">
        <v>6904</v>
      </c>
      <c r="B8956" s="28"/>
      <c r="C8956" s="3" t="s">
        <v>3</v>
      </c>
    </row>
    <row r="8957" spans="1:3" ht="13.5" thickBot="1" x14ac:dyDescent="0.25">
      <c r="A8957" s="3">
        <v>5189</v>
      </c>
      <c r="B8957" s="28"/>
      <c r="C8957" s="3" t="s">
        <v>3</v>
      </c>
    </row>
    <row r="8958" spans="1:3" ht="13.5" thickBot="1" x14ac:dyDescent="0.25">
      <c r="A8958" s="3">
        <v>4920</v>
      </c>
      <c r="B8958" s="28"/>
      <c r="C8958" s="3" t="s">
        <v>3</v>
      </c>
    </row>
    <row r="8959" spans="1:3" ht="13.5" thickBot="1" x14ac:dyDescent="0.25">
      <c r="A8959" s="3">
        <v>3379</v>
      </c>
      <c r="B8959" s="28"/>
      <c r="C8959" s="3" t="s">
        <v>3</v>
      </c>
    </row>
    <row r="8960" spans="1:3" ht="13.5" thickBot="1" x14ac:dyDescent="0.25">
      <c r="A8960" s="3">
        <v>1558</v>
      </c>
      <c r="B8960" s="28"/>
      <c r="C8960" s="3" t="s">
        <v>6</v>
      </c>
    </row>
    <row r="8961" spans="1:3" ht="13.5" thickBot="1" x14ac:dyDescent="0.25">
      <c r="A8961" s="3">
        <v>5180</v>
      </c>
      <c r="B8961" s="28"/>
      <c r="C8961" s="3" t="s">
        <v>4</v>
      </c>
    </row>
    <row r="8962" spans="1:3" ht="13.5" thickBot="1" x14ac:dyDescent="0.25">
      <c r="A8962" s="3">
        <v>430</v>
      </c>
      <c r="B8962" s="28"/>
      <c r="C8962" s="3" t="s">
        <v>3</v>
      </c>
    </row>
    <row r="8963" spans="1:3" ht="13.5" thickBot="1" x14ac:dyDescent="0.25">
      <c r="A8963" s="3">
        <v>7222</v>
      </c>
      <c r="B8963" s="28"/>
      <c r="C8963" s="3" t="s">
        <v>6</v>
      </c>
    </row>
    <row r="8964" spans="1:3" ht="13.5" thickBot="1" x14ac:dyDescent="0.25">
      <c r="A8964" s="3">
        <v>7734</v>
      </c>
      <c r="B8964" s="28"/>
      <c r="C8964" s="3" t="s">
        <v>3</v>
      </c>
    </row>
    <row r="8965" spans="1:3" ht="13.5" thickBot="1" x14ac:dyDescent="0.25">
      <c r="A8965" s="3">
        <v>4249</v>
      </c>
      <c r="B8965" s="28"/>
      <c r="C8965" s="3" t="s">
        <v>6</v>
      </c>
    </row>
    <row r="8966" spans="1:3" ht="13.5" thickBot="1" x14ac:dyDescent="0.25">
      <c r="A8966" s="3">
        <v>3200</v>
      </c>
      <c r="B8966" s="28"/>
      <c r="C8966" s="3" t="s">
        <v>5</v>
      </c>
    </row>
    <row r="8967" spans="1:3" ht="13.5" thickBot="1" x14ac:dyDescent="0.25">
      <c r="A8967" s="3">
        <v>5977</v>
      </c>
      <c r="B8967" s="28"/>
      <c r="C8967" s="3" t="s">
        <v>3</v>
      </c>
    </row>
    <row r="8968" spans="1:3" ht="13.5" thickBot="1" x14ac:dyDescent="0.25">
      <c r="A8968" s="3">
        <v>4355</v>
      </c>
      <c r="B8968" s="28"/>
      <c r="C8968" s="3" t="s">
        <v>3</v>
      </c>
    </row>
    <row r="8969" spans="1:3" ht="13.5" thickBot="1" x14ac:dyDescent="0.25">
      <c r="A8969" s="3">
        <v>5784</v>
      </c>
      <c r="B8969" s="28"/>
      <c r="C8969" s="3" t="s">
        <v>4</v>
      </c>
    </row>
    <row r="8970" spans="1:3" ht="13.5" thickBot="1" x14ac:dyDescent="0.25">
      <c r="A8970" s="3">
        <v>1609</v>
      </c>
      <c r="B8970" s="28"/>
      <c r="C8970" s="3" t="s">
        <v>4</v>
      </c>
    </row>
    <row r="8971" spans="1:3" ht="13.5" thickBot="1" x14ac:dyDescent="0.25">
      <c r="A8971" s="3">
        <v>1376</v>
      </c>
      <c r="B8971" s="28"/>
      <c r="C8971" s="3" t="s">
        <v>6</v>
      </c>
    </row>
    <row r="8972" spans="1:3" ht="13.5" thickBot="1" x14ac:dyDescent="0.25">
      <c r="A8972" s="3">
        <v>5825</v>
      </c>
      <c r="B8972" s="28"/>
      <c r="C8972" s="3" t="s">
        <v>6</v>
      </c>
    </row>
    <row r="8973" spans="1:3" ht="13.5" thickBot="1" x14ac:dyDescent="0.25">
      <c r="A8973" s="3">
        <v>3200</v>
      </c>
      <c r="B8973" s="28"/>
      <c r="C8973" s="3" t="s">
        <v>3</v>
      </c>
    </row>
    <row r="8974" spans="1:3" ht="13.5" thickBot="1" x14ac:dyDescent="0.25">
      <c r="A8974" s="3">
        <v>795</v>
      </c>
      <c r="B8974" s="28"/>
      <c r="C8974" s="3" t="s">
        <v>7</v>
      </c>
    </row>
    <row r="8975" spans="1:3" ht="13.5" thickBot="1" x14ac:dyDescent="0.25">
      <c r="A8975" s="3">
        <v>3579</v>
      </c>
      <c r="B8975" s="28"/>
      <c r="C8975" s="3" t="s">
        <v>3</v>
      </c>
    </row>
    <row r="8976" spans="1:3" ht="13.5" thickBot="1" x14ac:dyDescent="0.25">
      <c r="A8976" s="3">
        <v>4395</v>
      </c>
      <c r="B8976" s="28"/>
      <c r="C8976" s="3" t="s">
        <v>7</v>
      </c>
    </row>
    <row r="8977" spans="1:3" ht="13.5" thickBot="1" x14ac:dyDescent="0.25">
      <c r="A8977" s="3">
        <v>6308</v>
      </c>
      <c r="B8977" s="28"/>
      <c r="C8977" s="3" t="s">
        <v>4</v>
      </c>
    </row>
    <row r="8978" spans="1:3" ht="13.5" thickBot="1" x14ac:dyDescent="0.25">
      <c r="A8978" s="3">
        <v>5101</v>
      </c>
      <c r="B8978" s="28"/>
      <c r="C8978" s="3" t="s">
        <v>5</v>
      </c>
    </row>
    <row r="8979" spans="1:3" ht="13.5" thickBot="1" x14ac:dyDescent="0.25">
      <c r="A8979" s="3">
        <v>6913</v>
      </c>
      <c r="B8979" s="28"/>
      <c r="C8979" s="3" t="s">
        <v>4</v>
      </c>
    </row>
    <row r="8980" spans="1:3" ht="13.5" thickBot="1" x14ac:dyDescent="0.25">
      <c r="A8980" s="3">
        <v>5865</v>
      </c>
      <c r="B8980" s="28"/>
      <c r="C8980" s="3" t="s">
        <v>3</v>
      </c>
    </row>
    <row r="8981" spans="1:3" ht="13.5" thickBot="1" x14ac:dyDescent="0.25">
      <c r="A8981" s="3">
        <v>5817</v>
      </c>
      <c r="B8981" s="28"/>
      <c r="C8981" s="3" t="s">
        <v>6</v>
      </c>
    </row>
    <row r="8982" spans="1:3" ht="13.5" thickBot="1" x14ac:dyDescent="0.25">
      <c r="A8982" s="3">
        <v>2645</v>
      </c>
      <c r="B8982" s="28"/>
      <c r="C8982" s="3" t="s">
        <v>6</v>
      </c>
    </row>
    <row r="8983" spans="1:3" ht="13.5" thickBot="1" x14ac:dyDescent="0.25">
      <c r="A8983" s="3">
        <v>3026</v>
      </c>
      <c r="B8983" s="28"/>
      <c r="C8983" s="3" t="s">
        <v>7</v>
      </c>
    </row>
    <row r="8984" spans="1:3" ht="13.5" thickBot="1" x14ac:dyDescent="0.25">
      <c r="A8984" s="3">
        <v>4511</v>
      </c>
      <c r="B8984" s="28"/>
      <c r="C8984" s="3" t="s">
        <v>3</v>
      </c>
    </row>
    <row r="8985" spans="1:3" ht="13.5" thickBot="1" x14ac:dyDescent="0.25">
      <c r="A8985" s="3">
        <v>5429</v>
      </c>
      <c r="B8985" s="28"/>
      <c r="C8985" s="3" t="s">
        <v>3</v>
      </c>
    </row>
    <row r="8986" spans="1:3" ht="13.5" thickBot="1" x14ac:dyDescent="0.25">
      <c r="A8986" s="3">
        <v>7795</v>
      </c>
      <c r="B8986" s="28"/>
      <c r="C8986" s="3" t="s">
        <v>3</v>
      </c>
    </row>
    <row r="8987" spans="1:3" ht="13.5" thickBot="1" x14ac:dyDescent="0.25">
      <c r="A8987" s="3">
        <v>2273</v>
      </c>
      <c r="B8987" s="28"/>
      <c r="C8987" s="3" t="s">
        <v>6</v>
      </c>
    </row>
    <row r="8988" spans="1:3" ht="13.5" thickBot="1" x14ac:dyDescent="0.25">
      <c r="A8988" s="3">
        <v>2048</v>
      </c>
      <c r="B8988" s="28"/>
      <c r="C8988" s="3" t="s">
        <v>4</v>
      </c>
    </row>
    <row r="8989" spans="1:3" ht="13.5" thickBot="1" x14ac:dyDescent="0.25">
      <c r="A8989" s="3">
        <v>997</v>
      </c>
      <c r="B8989" s="28"/>
      <c r="C8989" s="3" t="s">
        <v>4</v>
      </c>
    </row>
    <row r="8990" spans="1:3" ht="13.5" thickBot="1" x14ac:dyDescent="0.25">
      <c r="A8990" s="3">
        <v>5492</v>
      </c>
      <c r="B8990" s="28"/>
      <c r="C8990" s="3" t="s">
        <v>7</v>
      </c>
    </row>
    <row r="8991" spans="1:3" ht="13.5" thickBot="1" x14ac:dyDescent="0.25">
      <c r="A8991" s="3">
        <v>1579</v>
      </c>
      <c r="B8991" s="28"/>
      <c r="C8991" s="3" t="s">
        <v>7</v>
      </c>
    </row>
    <row r="8992" spans="1:3" ht="13.5" thickBot="1" x14ac:dyDescent="0.25">
      <c r="A8992" s="3">
        <v>5881</v>
      </c>
      <c r="B8992" s="28"/>
      <c r="C8992" s="3" t="s">
        <v>3</v>
      </c>
    </row>
    <row r="8993" spans="1:3" ht="13.5" thickBot="1" x14ac:dyDescent="0.25">
      <c r="A8993" s="3">
        <v>1098</v>
      </c>
      <c r="B8993" s="28"/>
      <c r="C8993" s="3" t="s">
        <v>7</v>
      </c>
    </row>
    <row r="8994" spans="1:3" ht="13.5" thickBot="1" x14ac:dyDescent="0.25">
      <c r="A8994" s="3">
        <v>7688</v>
      </c>
      <c r="B8994" s="28"/>
      <c r="C8994" s="3" t="s">
        <v>5</v>
      </c>
    </row>
    <row r="8995" spans="1:3" ht="13.5" thickBot="1" x14ac:dyDescent="0.25">
      <c r="A8995" s="3">
        <v>795</v>
      </c>
      <c r="B8995" s="28"/>
      <c r="C8995" s="3" t="s">
        <v>4</v>
      </c>
    </row>
    <row r="8996" spans="1:3" ht="13.5" thickBot="1" x14ac:dyDescent="0.25">
      <c r="A8996" s="3">
        <v>7688</v>
      </c>
      <c r="B8996" s="28"/>
      <c r="C8996" s="3" t="s">
        <v>6</v>
      </c>
    </row>
    <row r="8997" spans="1:3" ht="13.5" thickBot="1" x14ac:dyDescent="0.25">
      <c r="A8997" s="3">
        <v>6648</v>
      </c>
      <c r="B8997" s="28"/>
      <c r="C8997" s="3" t="s">
        <v>6</v>
      </c>
    </row>
    <row r="8998" spans="1:3" ht="13.5" thickBot="1" x14ac:dyDescent="0.25">
      <c r="A8998" s="3">
        <v>2645</v>
      </c>
      <c r="B8998" s="28"/>
      <c r="C8998" s="3" t="s">
        <v>7</v>
      </c>
    </row>
    <row r="8999" spans="1:3" ht="13.5" thickBot="1" x14ac:dyDescent="0.25">
      <c r="A8999" s="3">
        <v>4625</v>
      </c>
      <c r="B8999" s="28"/>
      <c r="C8999" s="3" t="s">
        <v>4</v>
      </c>
    </row>
    <row r="9000" spans="1:3" ht="13.5" thickBot="1" x14ac:dyDescent="0.25">
      <c r="A9000" s="3">
        <v>605</v>
      </c>
      <c r="B9000" s="28"/>
      <c r="C9000" s="3" t="s">
        <v>3</v>
      </c>
    </row>
    <row r="9001" spans="1:3" ht="13.5" thickBot="1" x14ac:dyDescent="0.25">
      <c r="A9001" s="3">
        <v>3274</v>
      </c>
      <c r="B9001" s="28"/>
      <c r="C9001" s="3" t="s">
        <v>4</v>
      </c>
    </row>
    <row r="9002" spans="1:3" ht="13.5" thickBot="1" x14ac:dyDescent="0.25">
      <c r="A9002" s="3">
        <v>2402</v>
      </c>
      <c r="B9002" s="28"/>
      <c r="C9002" s="3" t="s">
        <v>3</v>
      </c>
    </row>
    <row r="9003" spans="1:3" ht="13.5" thickBot="1" x14ac:dyDescent="0.25">
      <c r="A9003" s="3">
        <v>6310</v>
      </c>
      <c r="B9003" s="28"/>
      <c r="C9003" s="3" t="s">
        <v>5</v>
      </c>
    </row>
    <row r="9004" spans="1:3" ht="13.5" thickBot="1" x14ac:dyDescent="0.25">
      <c r="A9004" s="3">
        <v>3069</v>
      </c>
      <c r="B9004" s="28"/>
      <c r="C9004" s="3" t="s">
        <v>3</v>
      </c>
    </row>
    <row r="9005" spans="1:3" ht="13.5" thickBot="1" x14ac:dyDescent="0.25">
      <c r="A9005" s="3">
        <v>1580</v>
      </c>
      <c r="B9005" s="28"/>
      <c r="C9005" s="3" t="s">
        <v>4</v>
      </c>
    </row>
    <row r="9006" spans="1:3" ht="13.5" thickBot="1" x14ac:dyDescent="0.25">
      <c r="A9006" s="3">
        <v>806</v>
      </c>
      <c r="B9006" s="28"/>
      <c r="C9006" s="3" t="s">
        <v>6</v>
      </c>
    </row>
    <row r="9007" spans="1:3" ht="13.5" thickBot="1" x14ac:dyDescent="0.25">
      <c r="A9007" s="3">
        <v>4249</v>
      </c>
      <c r="B9007" s="28"/>
      <c r="C9007" s="3" t="s">
        <v>7</v>
      </c>
    </row>
    <row r="9008" spans="1:3" ht="13.5" thickBot="1" x14ac:dyDescent="0.25">
      <c r="A9008" s="3">
        <v>3704</v>
      </c>
      <c r="B9008" s="28"/>
      <c r="C9008" s="3" t="s">
        <v>6</v>
      </c>
    </row>
    <row r="9009" spans="1:3" ht="13.5" thickBot="1" x14ac:dyDescent="0.25">
      <c r="A9009" s="3">
        <v>5637</v>
      </c>
      <c r="B9009" s="28"/>
      <c r="C9009" s="3" t="s">
        <v>3</v>
      </c>
    </row>
    <row r="9010" spans="1:3" ht="13.5" thickBot="1" x14ac:dyDescent="0.25">
      <c r="A9010" s="3">
        <v>6394</v>
      </c>
      <c r="B9010" s="28"/>
      <c r="C9010" s="3" t="s">
        <v>3</v>
      </c>
    </row>
    <row r="9011" spans="1:3" ht="13.5" thickBot="1" x14ac:dyDescent="0.25">
      <c r="A9011" s="3">
        <v>6310</v>
      </c>
      <c r="B9011" s="28"/>
      <c r="C9011" s="3" t="s">
        <v>3</v>
      </c>
    </row>
    <row r="9012" spans="1:3" ht="13.5" thickBot="1" x14ac:dyDescent="0.25">
      <c r="A9012" s="3">
        <v>5982</v>
      </c>
      <c r="B9012" s="28"/>
      <c r="C9012" s="3" t="s">
        <v>3</v>
      </c>
    </row>
    <row r="9013" spans="1:3" ht="13.5" thickBot="1" x14ac:dyDescent="0.25">
      <c r="A9013" s="3">
        <v>529</v>
      </c>
      <c r="B9013" s="28"/>
      <c r="C9013" s="3" t="s">
        <v>3</v>
      </c>
    </row>
    <row r="9014" spans="1:3" ht="13.5" thickBot="1" x14ac:dyDescent="0.25">
      <c r="A9014" s="3">
        <v>1332</v>
      </c>
      <c r="B9014" s="28"/>
      <c r="C9014" s="3" t="s">
        <v>3</v>
      </c>
    </row>
    <row r="9015" spans="1:3" ht="13.5" thickBot="1" x14ac:dyDescent="0.25">
      <c r="A9015" s="3">
        <v>6426</v>
      </c>
      <c r="B9015" s="28"/>
      <c r="C9015" s="3" t="s">
        <v>6</v>
      </c>
    </row>
    <row r="9016" spans="1:3" ht="13.5" thickBot="1" x14ac:dyDescent="0.25">
      <c r="A9016" s="3">
        <v>3026</v>
      </c>
      <c r="B9016" s="28"/>
      <c r="C9016" s="3" t="s">
        <v>5</v>
      </c>
    </row>
    <row r="9017" spans="1:3" ht="13.5" thickBot="1" x14ac:dyDescent="0.25">
      <c r="A9017" s="3">
        <v>2435</v>
      </c>
      <c r="B9017" s="28"/>
      <c r="C9017" s="3" t="s">
        <v>3</v>
      </c>
    </row>
    <row r="9018" spans="1:3" ht="13.5" thickBot="1" x14ac:dyDescent="0.25">
      <c r="A9018" s="3">
        <v>1216</v>
      </c>
      <c r="B9018" s="28"/>
      <c r="C9018" s="3" t="s">
        <v>6</v>
      </c>
    </row>
    <row r="9019" spans="1:3" ht="13.5" thickBot="1" x14ac:dyDescent="0.25">
      <c r="A9019" s="3">
        <v>5492</v>
      </c>
      <c r="B9019" s="28"/>
      <c r="C9019" s="3" t="s">
        <v>6</v>
      </c>
    </row>
    <row r="9020" spans="1:3" ht="13.5" thickBot="1" x14ac:dyDescent="0.25">
      <c r="A9020" s="3">
        <v>3928</v>
      </c>
      <c r="B9020" s="28"/>
      <c r="C9020" s="3" t="s">
        <v>5</v>
      </c>
    </row>
    <row r="9021" spans="1:3" ht="13.5" thickBot="1" x14ac:dyDescent="0.25">
      <c r="A9021" s="3">
        <v>529</v>
      </c>
      <c r="B9021" s="28"/>
      <c r="C9021" s="3" t="s">
        <v>4</v>
      </c>
    </row>
    <row r="9022" spans="1:3" ht="13.5" thickBot="1" x14ac:dyDescent="0.25">
      <c r="A9022" s="3">
        <v>3200</v>
      </c>
      <c r="B9022" s="28"/>
      <c r="C9022" s="3" t="s">
        <v>7</v>
      </c>
    </row>
    <row r="9023" spans="1:3" ht="13.5" thickBot="1" x14ac:dyDescent="0.25">
      <c r="A9023" s="3">
        <v>997</v>
      </c>
      <c r="B9023" s="28"/>
      <c r="C9023" s="3" t="s">
        <v>5</v>
      </c>
    </row>
    <row r="9024" spans="1:3" ht="13.5" thickBot="1" x14ac:dyDescent="0.25">
      <c r="A9024" s="3">
        <v>605</v>
      </c>
      <c r="B9024" s="28"/>
      <c r="C9024" s="3" t="s">
        <v>4</v>
      </c>
    </row>
    <row r="9025" spans="1:3" ht="13.5" thickBot="1" x14ac:dyDescent="0.25">
      <c r="A9025" s="3">
        <v>3264</v>
      </c>
      <c r="B9025" s="28"/>
      <c r="C9025" s="3" t="s">
        <v>4</v>
      </c>
    </row>
    <row r="9026" spans="1:3" ht="13.5" thickBot="1" x14ac:dyDescent="0.25">
      <c r="A9026" s="3">
        <v>4788</v>
      </c>
      <c r="B9026" s="28"/>
      <c r="C9026" s="3" t="s">
        <v>3</v>
      </c>
    </row>
    <row r="9027" spans="1:3" ht="13.5" thickBot="1" x14ac:dyDescent="0.25">
      <c r="A9027" s="3">
        <v>5234</v>
      </c>
      <c r="B9027" s="28"/>
      <c r="C9027" s="3" t="s">
        <v>3</v>
      </c>
    </row>
    <row r="9028" spans="1:3" ht="13.5" thickBot="1" x14ac:dyDescent="0.25">
      <c r="A9028" s="3">
        <v>6182</v>
      </c>
      <c r="B9028" s="28"/>
      <c r="C9028" s="3" t="s">
        <v>4</v>
      </c>
    </row>
    <row r="9029" spans="1:3" ht="13.5" thickBot="1" x14ac:dyDescent="0.25">
      <c r="A9029" s="3">
        <v>6094</v>
      </c>
      <c r="B9029" s="28"/>
      <c r="C9029" s="3" t="s">
        <v>3</v>
      </c>
    </row>
    <row r="9030" spans="1:3" ht="13.5" thickBot="1" x14ac:dyDescent="0.25">
      <c r="A9030" s="3">
        <v>38</v>
      </c>
      <c r="B9030" s="28"/>
      <c r="C9030" s="3" t="s">
        <v>3</v>
      </c>
    </row>
    <row r="9031" spans="1:3" ht="13.5" thickBot="1" x14ac:dyDescent="0.25">
      <c r="A9031" s="3">
        <v>2514</v>
      </c>
      <c r="B9031" s="28"/>
      <c r="C9031" s="3" t="s">
        <v>3</v>
      </c>
    </row>
    <row r="9032" spans="1:3" ht="13.5" thickBot="1" x14ac:dyDescent="0.25">
      <c r="A9032" s="3">
        <v>3245</v>
      </c>
      <c r="B9032" s="28"/>
      <c r="C9032" s="3" t="s">
        <v>6</v>
      </c>
    </row>
    <row r="9033" spans="1:3" ht="13.5" thickBot="1" x14ac:dyDescent="0.25">
      <c r="A9033" s="3">
        <v>6614</v>
      </c>
      <c r="B9033" s="28"/>
      <c r="C9033" s="3" t="s">
        <v>7</v>
      </c>
    </row>
    <row r="9034" spans="1:3" ht="13.5" thickBot="1" x14ac:dyDescent="0.25">
      <c r="A9034" s="3">
        <v>6614</v>
      </c>
      <c r="B9034" s="28"/>
      <c r="C9034" s="3" t="s">
        <v>5</v>
      </c>
    </row>
    <row r="9035" spans="1:3" ht="13.5" thickBot="1" x14ac:dyDescent="0.25">
      <c r="A9035" s="3">
        <v>5153</v>
      </c>
      <c r="B9035" s="28"/>
      <c r="C9035" s="3" t="s">
        <v>7</v>
      </c>
    </row>
    <row r="9036" spans="1:3" ht="13.5" thickBot="1" x14ac:dyDescent="0.25">
      <c r="A9036" s="3">
        <v>1227</v>
      </c>
      <c r="B9036" s="28"/>
      <c r="C9036" s="3" t="s">
        <v>3</v>
      </c>
    </row>
    <row r="9037" spans="1:3" ht="13.5" thickBot="1" x14ac:dyDescent="0.25">
      <c r="A9037" s="3">
        <v>356</v>
      </c>
      <c r="B9037" s="28"/>
      <c r="C9037" s="3" t="s">
        <v>4</v>
      </c>
    </row>
    <row r="9038" spans="1:3" ht="13.5" thickBot="1" x14ac:dyDescent="0.25">
      <c r="A9038" s="3">
        <v>3200</v>
      </c>
      <c r="B9038" s="28"/>
      <c r="C9038" s="3" t="s">
        <v>4</v>
      </c>
    </row>
    <row r="9039" spans="1:3" ht="13.5" thickBot="1" x14ac:dyDescent="0.25">
      <c r="A9039" s="3">
        <v>6821</v>
      </c>
      <c r="B9039" s="28"/>
      <c r="C9039" s="3" t="s">
        <v>3</v>
      </c>
    </row>
    <row r="9040" spans="1:3" ht="13.5" thickBot="1" x14ac:dyDescent="0.25">
      <c r="A9040" s="3">
        <v>438</v>
      </c>
      <c r="B9040" s="28"/>
      <c r="C9040" s="3" t="s">
        <v>7</v>
      </c>
    </row>
    <row r="9041" spans="1:3" ht="13.5" thickBot="1" x14ac:dyDescent="0.25">
      <c r="A9041" s="3">
        <v>374</v>
      </c>
      <c r="B9041" s="28"/>
      <c r="C9041" s="3" t="s">
        <v>6</v>
      </c>
    </row>
    <row r="9042" spans="1:3" ht="13.5" thickBot="1" x14ac:dyDescent="0.25">
      <c r="A9042" s="3">
        <v>1676</v>
      </c>
      <c r="B9042" s="28"/>
      <c r="C9042" s="3" t="s">
        <v>3</v>
      </c>
    </row>
    <row r="9043" spans="1:3" ht="13.5" thickBot="1" x14ac:dyDescent="0.25">
      <c r="A9043" s="3">
        <v>3576</v>
      </c>
      <c r="B9043" s="28"/>
      <c r="C9043" s="3" t="s">
        <v>3</v>
      </c>
    </row>
    <row r="9044" spans="1:3" ht="13.5" thickBot="1" x14ac:dyDescent="0.25">
      <c r="A9044" s="3">
        <v>5881</v>
      </c>
      <c r="B9044" s="28"/>
      <c r="C9044" s="3" t="s">
        <v>7</v>
      </c>
    </row>
    <row r="9045" spans="1:3" ht="13.5" thickBot="1" x14ac:dyDescent="0.25">
      <c r="A9045" s="3">
        <v>1423</v>
      </c>
      <c r="B9045" s="28"/>
      <c r="C9045" s="3" t="s">
        <v>3</v>
      </c>
    </row>
    <row r="9046" spans="1:3" ht="13.5" thickBot="1" x14ac:dyDescent="0.25">
      <c r="A9046" s="3">
        <v>4590</v>
      </c>
      <c r="B9046" s="28"/>
      <c r="C9046" s="3" t="s">
        <v>3</v>
      </c>
    </row>
    <row r="9047" spans="1:3" ht="13.5" thickBot="1" x14ac:dyDescent="0.25">
      <c r="A9047" s="3">
        <v>7399</v>
      </c>
      <c r="B9047" s="28"/>
      <c r="C9047" s="3" t="s">
        <v>3</v>
      </c>
    </row>
    <row r="9048" spans="1:3" ht="13.5" thickBot="1" x14ac:dyDescent="0.25">
      <c r="A9048" s="3">
        <v>4988</v>
      </c>
      <c r="B9048" s="28"/>
      <c r="C9048" s="3" t="s">
        <v>3</v>
      </c>
    </row>
    <row r="9049" spans="1:3" ht="13.5" thickBot="1" x14ac:dyDescent="0.25">
      <c r="A9049" s="3">
        <v>3359</v>
      </c>
      <c r="B9049" s="28"/>
      <c r="C9049" s="3" t="s">
        <v>4</v>
      </c>
    </row>
    <row r="9050" spans="1:3" ht="13.5" thickBot="1" x14ac:dyDescent="0.25">
      <c r="A9050" s="3">
        <v>2571</v>
      </c>
      <c r="B9050" s="28"/>
      <c r="C9050" s="3" t="s">
        <v>3</v>
      </c>
    </row>
    <row r="9051" spans="1:3" ht="13.5" thickBot="1" x14ac:dyDescent="0.25">
      <c r="A9051" s="3">
        <v>6032</v>
      </c>
      <c r="B9051" s="28"/>
      <c r="C9051" s="3" t="s">
        <v>3</v>
      </c>
    </row>
    <row r="9052" spans="1:3" ht="13.5" thickBot="1" x14ac:dyDescent="0.25">
      <c r="A9052" s="3">
        <v>4788</v>
      </c>
      <c r="B9052" s="28"/>
      <c r="C9052" s="3" t="s">
        <v>4</v>
      </c>
    </row>
    <row r="9053" spans="1:3" ht="13.5" thickBot="1" x14ac:dyDescent="0.25">
      <c r="A9053" s="3">
        <v>748</v>
      </c>
      <c r="B9053" s="28"/>
      <c r="C9053" s="3" t="s">
        <v>3</v>
      </c>
    </row>
    <row r="9054" spans="1:3" ht="13.5" thickBot="1" x14ac:dyDescent="0.25">
      <c r="A9054" s="3">
        <v>5101</v>
      </c>
      <c r="B9054" s="28"/>
      <c r="C9054" s="3" t="s">
        <v>6</v>
      </c>
    </row>
    <row r="9055" spans="1:3" ht="13.5" thickBot="1" x14ac:dyDescent="0.25">
      <c r="A9055" s="3">
        <v>1555</v>
      </c>
      <c r="B9055" s="28"/>
      <c r="C9055" s="3" t="s">
        <v>3</v>
      </c>
    </row>
    <row r="9056" spans="1:3" ht="13.5" thickBot="1" x14ac:dyDescent="0.25">
      <c r="A9056" s="3">
        <v>6675</v>
      </c>
      <c r="B9056" s="28"/>
      <c r="C9056" s="3" t="s">
        <v>6</v>
      </c>
    </row>
    <row r="9057" spans="1:3" ht="13.5" thickBot="1" x14ac:dyDescent="0.25">
      <c r="A9057" s="3">
        <v>4601</v>
      </c>
      <c r="B9057" s="28"/>
      <c r="C9057" s="3" t="s">
        <v>3</v>
      </c>
    </row>
    <row r="9058" spans="1:3" ht="13.5" thickBot="1" x14ac:dyDescent="0.25">
      <c r="A9058" s="3">
        <v>7215</v>
      </c>
      <c r="B9058" s="28"/>
      <c r="C9058" s="3" t="s">
        <v>3</v>
      </c>
    </row>
    <row r="9059" spans="1:3" ht="13.5" thickBot="1" x14ac:dyDescent="0.25">
      <c r="A9059" s="3">
        <v>4012</v>
      </c>
      <c r="B9059" s="28"/>
      <c r="C9059" s="3" t="s">
        <v>3</v>
      </c>
    </row>
    <row r="9060" spans="1:3" ht="13.5" thickBot="1" x14ac:dyDescent="0.25">
      <c r="A9060" s="3">
        <v>1227</v>
      </c>
      <c r="B9060" s="28"/>
      <c r="C9060" s="3" t="s">
        <v>4</v>
      </c>
    </row>
    <row r="9061" spans="1:3" ht="13.5" thickBot="1" x14ac:dyDescent="0.25">
      <c r="A9061" s="3">
        <v>3359</v>
      </c>
      <c r="B9061" s="28"/>
      <c r="C9061" s="3" t="s">
        <v>5</v>
      </c>
    </row>
    <row r="9062" spans="1:3" ht="13.5" thickBot="1" x14ac:dyDescent="0.25">
      <c r="A9062" s="3">
        <v>1047</v>
      </c>
      <c r="B9062" s="28"/>
      <c r="C9062" s="3" t="s">
        <v>3</v>
      </c>
    </row>
    <row r="9063" spans="1:3" ht="13.5" thickBot="1" x14ac:dyDescent="0.25">
      <c r="A9063" s="3">
        <v>5597</v>
      </c>
      <c r="B9063" s="28"/>
      <c r="C9063" s="3" t="s">
        <v>3</v>
      </c>
    </row>
    <row r="9064" spans="1:3" ht="13.5" thickBot="1" x14ac:dyDescent="0.25">
      <c r="A9064" s="3">
        <v>2514</v>
      </c>
      <c r="B9064" s="28"/>
      <c r="C9064" s="3" t="s">
        <v>4</v>
      </c>
    </row>
    <row r="9065" spans="1:3" ht="13.5" thickBot="1" x14ac:dyDescent="0.25">
      <c r="A9065" s="3">
        <v>7695</v>
      </c>
      <c r="B9065" s="28"/>
      <c r="C9065" s="3" t="s">
        <v>4</v>
      </c>
    </row>
    <row r="9066" spans="1:3" ht="13.5" thickBot="1" x14ac:dyDescent="0.25">
      <c r="A9066" s="3">
        <v>605</v>
      </c>
      <c r="B9066" s="28"/>
      <c r="C9066" s="3" t="s">
        <v>5</v>
      </c>
    </row>
    <row r="9067" spans="1:3" ht="13.5" thickBot="1" x14ac:dyDescent="0.25">
      <c r="A9067" s="3">
        <v>1423</v>
      </c>
      <c r="B9067" s="28"/>
      <c r="C9067" s="3" t="s">
        <v>4</v>
      </c>
    </row>
    <row r="9068" spans="1:3" ht="13.5" thickBot="1" x14ac:dyDescent="0.25">
      <c r="A9068" s="3">
        <v>7399</v>
      </c>
      <c r="B9068" s="28"/>
      <c r="C9068" s="3" t="s">
        <v>5</v>
      </c>
    </row>
    <row r="9069" spans="1:3" ht="13.5" thickBot="1" x14ac:dyDescent="0.25">
      <c r="A9069" s="3">
        <v>1609</v>
      </c>
      <c r="B9069" s="28"/>
      <c r="C9069" s="3" t="s">
        <v>6</v>
      </c>
    </row>
    <row r="9070" spans="1:3" ht="13.5" thickBot="1" x14ac:dyDescent="0.25">
      <c r="A9070" s="3">
        <v>430</v>
      </c>
      <c r="B9070" s="28"/>
      <c r="C9070" s="3" t="s">
        <v>5</v>
      </c>
    </row>
    <row r="9071" spans="1:3" ht="13.5" thickBot="1" x14ac:dyDescent="0.25">
      <c r="A9071" s="3">
        <v>38</v>
      </c>
      <c r="B9071" s="28"/>
      <c r="C9071" s="3" t="s">
        <v>4</v>
      </c>
    </row>
    <row r="9072" spans="1:3" ht="13.5" thickBot="1" x14ac:dyDescent="0.25">
      <c r="A9072" s="3">
        <v>7899</v>
      </c>
      <c r="B9072" s="28"/>
      <c r="C9072" s="3" t="s">
        <v>5</v>
      </c>
    </row>
    <row r="9073" spans="1:3" ht="13.5" thickBot="1" x14ac:dyDescent="0.25">
      <c r="A9073" s="3">
        <v>2536</v>
      </c>
      <c r="B9073" s="28"/>
      <c r="C9073" s="3" t="s">
        <v>3</v>
      </c>
    </row>
    <row r="9074" spans="1:3" ht="13.5" thickBot="1" x14ac:dyDescent="0.25">
      <c r="A9074" s="3">
        <v>2951</v>
      </c>
      <c r="B9074" s="28"/>
      <c r="C9074" s="3" t="s">
        <v>3</v>
      </c>
    </row>
    <row r="9075" spans="1:3" ht="13.5" thickBot="1" x14ac:dyDescent="0.25">
      <c r="A9075" s="3">
        <v>4305</v>
      </c>
      <c r="B9075" s="28"/>
      <c r="C9075" s="3" t="s">
        <v>3</v>
      </c>
    </row>
    <row r="9076" spans="1:3" ht="13.5" thickBot="1" x14ac:dyDescent="0.25">
      <c r="A9076" s="3">
        <v>6367</v>
      </c>
      <c r="B9076" s="28"/>
      <c r="C9076" s="3" t="s">
        <v>3</v>
      </c>
    </row>
    <row r="9077" spans="1:3" ht="13.5" thickBot="1" x14ac:dyDescent="0.25">
      <c r="A9077" s="3">
        <v>2864</v>
      </c>
      <c r="B9077" s="28"/>
      <c r="C9077" s="3" t="s">
        <v>3</v>
      </c>
    </row>
    <row r="9078" spans="1:3" ht="13.5" thickBot="1" x14ac:dyDescent="0.25">
      <c r="A9078" s="3">
        <v>4562</v>
      </c>
      <c r="B9078" s="28"/>
      <c r="C9078" s="3" t="s">
        <v>3</v>
      </c>
    </row>
    <row r="9079" spans="1:3" ht="13.5" thickBot="1" x14ac:dyDescent="0.25">
      <c r="A9079" s="3">
        <v>5294</v>
      </c>
      <c r="B9079" s="28"/>
      <c r="C9079" s="3" t="s">
        <v>3</v>
      </c>
    </row>
    <row r="9080" spans="1:3" ht="13.5" thickBot="1" x14ac:dyDescent="0.25">
      <c r="A9080" s="3">
        <v>5788</v>
      </c>
      <c r="B9080" s="28"/>
      <c r="C9080" s="3" t="s">
        <v>3</v>
      </c>
    </row>
    <row r="9081" spans="1:3" ht="13.5" thickBot="1" x14ac:dyDescent="0.25">
      <c r="A9081" s="3">
        <v>7519</v>
      </c>
      <c r="B9081" s="28"/>
      <c r="C9081" s="3" t="s">
        <v>6</v>
      </c>
    </row>
    <row r="9082" spans="1:3" ht="13.5" thickBot="1" x14ac:dyDescent="0.25">
      <c r="A9082" s="3">
        <v>1961</v>
      </c>
      <c r="B9082" s="28"/>
      <c r="C9082" s="3" t="s">
        <v>3</v>
      </c>
    </row>
    <row r="9083" spans="1:3" ht="13.5" thickBot="1" x14ac:dyDescent="0.25">
      <c r="A9083" s="3">
        <v>3379</v>
      </c>
      <c r="B9083" s="28"/>
      <c r="C9083" s="3" t="s">
        <v>4</v>
      </c>
    </row>
    <row r="9084" spans="1:3" ht="13.5" thickBot="1" x14ac:dyDescent="0.25">
      <c r="A9084" s="3">
        <v>6615</v>
      </c>
      <c r="B9084" s="28"/>
      <c r="C9084" s="3" t="s">
        <v>3</v>
      </c>
    </row>
    <row r="9085" spans="1:3" ht="13.5" thickBot="1" x14ac:dyDescent="0.25">
      <c r="A9085" s="3">
        <v>6627</v>
      </c>
      <c r="B9085" s="28"/>
      <c r="C9085" s="3" t="s">
        <v>3</v>
      </c>
    </row>
    <row r="9086" spans="1:3" ht="13.5" thickBot="1" x14ac:dyDescent="0.25">
      <c r="A9086" s="3">
        <v>7794</v>
      </c>
      <c r="B9086" s="28"/>
      <c r="C9086" s="3" t="s">
        <v>7</v>
      </c>
    </row>
    <row r="9087" spans="1:3" ht="13.5" thickBot="1" x14ac:dyDescent="0.25">
      <c r="A9087" s="3">
        <v>6615</v>
      </c>
      <c r="B9087" s="28"/>
      <c r="C9087" s="3" t="s">
        <v>4</v>
      </c>
    </row>
    <row r="9088" spans="1:3" ht="13.5" thickBot="1" x14ac:dyDescent="0.25">
      <c r="A9088" s="3">
        <v>7942</v>
      </c>
      <c r="B9088" s="28"/>
      <c r="C9088" s="3" t="s">
        <v>3</v>
      </c>
    </row>
    <row r="9089" spans="1:3" ht="13.5" thickBot="1" x14ac:dyDescent="0.25">
      <c r="A9089" s="3">
        <v>6662</v>
      </c>
      <c r="B9089" s="28"/>
      <c r="C9089" s="3" t="s">
        <v>5</v>
      </c>
    </row>
    <row r="9090" spans="1:3" ht="13.5" thickBot="1" x14ac:dyDescent="0.25">
      <c r="A9090" s="3">
        <v>7399</v>
      </c>
      <c r="B9090" s="28"/>
      <c r="C9090" s="3" t="s">
        <v>4</v>
      </c>
    </row>
    <row r="9091" spans="1:3" ht="13.5" thickBot="1" x14ac:dyDescent="0.25">
      <c r="A9091" s="3">
        <v>3359</v>
      </c>
      <c r="B9091" s="28"/>
      <c r="C9091" s="3" t="s">
        <v>3</v>
      </c>
    </row>
    <row r="9092" spans="1:3" ht="13.5" thickBot="1" x14ac:dyDescent="0.25">
      <c r="A9092" s="3">
        <v>7942</v>
      </c>
      <c r="B9092" s="28"/>
      <c r="C9092" s="3" t="s">
        <v>4</v>
      </c>
    </row>
    <row r="9093" spans="1:3" ht="13.5" thickBot="1" x14ac:dyDescent="0.25">
      <c r="A9093" s="3">
        <v>748</v>
      </c>
      <c r="B9093" s="28"/>
      <c r="C9093" s="3" t="s">
        <v>5</v>
      </c>
    </row>
    <row r="9094" spans="1:3" ht="13.5" thickBot="1" x14ac:dyDescent="0.25">
      <c r="A9094" s="3">
        <v>5852</v>
      </c>
      <c r="B9094" s="28"/>
      <c r="C9094" s="3" t="s">
        <v>3</v>
      </c>
    </row>
    <row r="9095" spans="1:3" ht="13.5" thickBot="1" x14ac:dyDescent="0.25">
      <c r="A9095" s="3">
        <v>683</v>
      </c>
      <c r="B9095" s="28"/>
      <c r="C9095" s="3" t="s">
        <v>6</v>
      </c>
    </row>
    <row r="9096" spans="1:3" ht="13.5" thickBot="1" x14ac:dyDescent="0.25">
      <c r="A9096" s="3">
        <v>1474</v>
      </c>
      <c r="B9096" s="28"/>
      <c r="C9096" s="3" t="s">
        <v>3</v>
      </c>
    </row>
    <row r="9097" spans="1:3" ht="13.5" thickBot="1" x14ac:dyDescent="0.25">
      <c r="A9097" s="3">
        <v>3197</v>
      </c>
      <c r="B9097" s="28"/>
      <c r="C9097" s="3" t="s">
        <v>3</v>
      </c>
    </row>
    <row r="9098" spans="1:3" ht="13.5" thickBot="1" x14ac:dyDescent="0.25">
      <c r="A9098" s="3">
        <v>6667</v>
      </c>
      <c r="B9098" s="28"/>
      <c r="C9098" s="3" t="s">
        <v>3</v>
      </c>
    </row>
    <row r="9099" spans="1:3" ht="13.5" thickBot="1" x14ac:dyDescent="0.25">
      <c r="A9099" s="3">
        <v>1555</v>
      </c>
      <c r="B9099" s="28"/>
      <c r="C9099" s="3" t="s">
        <v>4</v>
      </c>
    </row>
    <row r="9100" spans="1:3" ht="13.5" thickBot="1" x14ac:dyDescent="0.25">
      <c r="A9100" s="3">
        <v>6310</v>
      </c>
      <c r="B9100" s="28"/>
      <c r="C9100" s="3" t="s">
        <v>4</v>
      </c>
    </row>
    <row r="9101" spans="1:3" ht="13.5" thickBot="1" x14ac:dyDescent="0.25">
      <c r="A9101" s="3">
        <v>128</v>
      </c>
      <c r="B9101" s="28"/>
      <c r="C9101" s="3" t="s">
        <v>4</v>
      </c>
    </row>
    <row r="9102" spans="1:3" ht="13.5" thickBot="1" x14ac:dyDescent="0.25">
      <c r="A9102" s="3">
        <v>3572</v>
      </c>
      <c r="B9102" s="28"/>
      <c r="C9102" s="3" t="s">
        <v>6</v>
      </c>
    </row>
    <row r="9103" spans="1:3" ht="13.5" thickBot="1" x14ac:dyDescent="0.25">
      <c r="A9103" s="3">
        <v>154</v>
      </c>
      <c r="B9103" s="28"/>
      <c r="C9103" s="3" t="s">
        <v>3</v>
      </c>
    </row>
    <row r="9104" spans="1:3" ht="13.5" thickBot="1" x14ac:dyDescent="0.25">
      <c r="A9104" s="3">
        <v>5429</v>
      </c>
      <c r="B9104" s="28"/>
      <c r="C9104" s="3" t="s">
        <v>4</v>
      </c>
    </row>
    <row r="9105" spans="1:3" ht="13.5" thickBot="1" x14ac:dyDescent="0.25">
      <c r="A9105" s="3">
        <v>2435</v>
      </c>
      <c r="B9105" s="28"/>
      <c r="C9105" s="3" t="s">
        <v>4</v>
      </c>
    </row>
    <row r="9106" spans="1:3" ht="13.5" thickBot="1" x14ac:dyDescent="0.25">
      <c r="A9106" s="3">
        <v>1950</v>
      </c>
      <c r="B9106" s="28"/>
      <c r="C9106" s="3" t="s">
        <v>3</v>
      </c>
    </row>
    <row r="9107" spans="1:3" ht="13.5" thickBot="1" x14ac:dyDescent="0.25">
      <c r="A9107" s="3">
        <v>1540</v>
      </c>
      <c r="B9107" s="28"/>
      <c r="C9107" s="3" t="s">
        <v>3</v>
      </c>
    </row>
    <row r="9108" spans="1:3" ht="13.5" thickBot="1" x14ac:dyDescent="0.25">
      <c r="A9108" s="3">
        <v>6002</v>
      </c>
      <c r="B9108" s="28"/>
      <c r="C9108" s="3" t="s">
        <v>3</v>
      </c>
    </row>
    <row r="9109" spans="1:3" ht="13.5" thickBot="1" x14ac:dyDescent="0.25">
      <c r="A9109" s="3">
        <v>627</v>
      </c>
      <c r="B9109" s="28"/>
      <c r="C9109" s="3" t="s">
        <v>6</v>
      </c>
    </row>
    <row r="9110" spans="1:3" ht="13.5" thickBot="1" x14ac:dyDescent="0.25">
      <c r="A9110" s="3">
        <v>6035</v>
      </c>
      <c r="B9110" s="28"/>
      <c r="C9110" s="3" t="s">
        <v>6</v>
      </c>
    </row>
    <row r="9111" spans="1:3" ht="13.5" thickBot="1" x14ac:dyDescent="0.25">
      <c r="A9111" s="3">
        <v>2653</v>
      </c>
      <c r="B9111" s="28"/>
      <c r="C9111" s="3" t="s">
        <v>3</v>
      </c>
    </row>
    <row r="9112" spans="1:3" ht="13.5" thickBot="1" x14ac:dyDescent="0.25">
      <c r="A9112" s="3">
        <v>166</v>
      </c>
      <c r="B9112" s="28"/>
      <c r="C9112" s="3" t="s">
        <v>3</v>
      </c>
    </row>
    <row r="9113" spans="1:3" ht="13.5" thickBot="1" x14ac:dyDescent="0.25">
      <c r="A9113" s="3">
        <v>3459</v>
      </c>
      <c r="B9113" s="28"/>
      <c r="C9113" s="3" t="s">
        <v>3</v>
      </c>
    </row>
    <row r="9114" spans="1:3" ht="13.5" thickBot="1" x14ac:dyDescent="0.25">
      <c r="A9114" s="3">
        <v>6821</v>
      </c>
      <c r="B9114" s="28"/>
      <c r="C9114" s="3" t="s">
        <v>5</v>
      </c>
    </row>
    <row r="9115" spans="1:3" ht="13.5" thickBot="1" x14ac:dyDescent="0.25">
      <c r="A9115" s="3">
        <v>7420</v>
      </c>
      <c r="B9115" s="28"/>
      <c r="C9115" s="3" t="s">
        <v>3</v>
      </c>
    </row>
    <row r="9116" spans="1:3" ht="13.5" thickBot="1" x14ac:dyDescent="0.25">
      <c r="A9116" s="3">
        <v>1617</v>
      </c>
      <c r="B9116" s="28"/>
      <c r="C9116" s="3" t="s">
        <v>6</v>
      </c>
    </row>
    <row r="9117" spans="1:3" ht="13.5" thickBot="1" x14ac:dyDescent="0.25">
      <c r="A9117" s="3">
        <v>7688</v>
      </c>
      <c r="B9117" s="28"/>
      <c r="C9117" s="3" t="s">
        <v>7</v>
      </c>
    </row>
    <row r="9118" spans="1:3" ht="13.5" thickBot="1" x14ac:dyDescent="0.25">
      <c r="A9118" s="3">
        <v>3379</v>
      </c>
      <c r="B9118" s="28"/>
      <c r="C9118" s="3" t="s">
        <v>6</v>
      </c>
    </row>
    <row r="9119" spans="1:3" ht="13.5" thickBot="1" x14ac:dyDescent="0.25">
      <c r="A9119" s="3">
        <v>997</v>
      </c>
      <c r="B9119" s="28"/>
      <c r="C9119" s="3" t="s">
        <v>7</v>
      </c>
    </row>
    <row r="9120" spans="1:3" ht="13.5" thickBot="1" x14ac:dyDescent="0.25">
      <c r="A9120" s="3">
        <v>6367</v>
      </c>
      <c r="B9120" s="28"/>
      <c r="C9120" s="3" t="s">
        <v>4</v>
      </c>
    </row>
    <row r="9121" spans="1:3" ht="13.5" thickBot="1" x14ac:dyDescent="0.25">
      <c r="A9121" s="3">
        <v>6964</v>
      </c>
      <c r="B9121" s="28"/>
      <c r="C9121" s="3" t="s">
        <v>3</v>
      </c>
    </row>
    <row r="9122" spans="1:3" ht="13.5" thickBot="1" x14ac:dyDescent="0.25">
      <c r="A9122" s="3">
        <v>5738</v>
      </c>
      <c r="B9122" s="28"/>
      <c r="C9122" s="3" t="s">
        <v>3</v>
      </c>
    </row>
    <row r="9123" spans="1:3" ht="13.5" thickBot="1" x14ac:dyDescent="0.25">
      <c r="A9123" s="3">
        <v>7663</v>
      </c>
      <c r="B9123" s="28"/>
      <c r="C9123" s="3" t="s">
        <v>3</v>
      </c>
    </row>
    <row r="9124" spans="1:3" ht="13.5" thickBot="1" x14ac:dyDescent="0.25">
      <c r="A9124" s="3">
        <v>2664</v>
      </c>
      <c r="B9124" s="28"/>
      <c r="C9124" s="3" t="s">
        <v>3</v>
      </c>
    </row>
    <row r="9125" spans="1:3" ht="13.5" thickBot="1" x14ac:dyDescent="0.25">
      <c r="A9125" s="3">
        <v>3946</v>
      </c>
      <c r="B9125" s="28"/>
      <c r="C9125" s="3" t="s">
        <v>3</v>
      </c>
    </row>
    <row r="9126" spans="1:3" ht="13.5" thickBot="1" x14ac:dyDescent="0.25">
      <c r="A9126" s="3">
        <v>6367</v>
      </c>
      <c r="B9126" s="28"/>
      <c r="C9126" s="3" t="s">
        <v>5</v>
      </c>
    </row>
    <row r="9127" spans="1:3" ht="13.5" thickBot="1" x14ac:dyDescent="0.25">
      <c r="A9127" s="3">
        <v>802</v>
      </c>
      <c r="B9127" s="28"/>
      <c r="C9127" s="3" t="s">
        <v>3</v>
      </c>
    </row>
    <row r="9128" spans="1:3" ht="13.5" thickBot="1" x14ac:dyDescent="0.25">
      <c r="A9128" s="3">
        <v>4403</v>
      </c>
      <c r="B9128" s="28"/>
      <c r="C9128" s="3" t="s">
        <v>3</v>
      </c>
    </row>
    <row r="9129" spans="1:3" ht="13.5" thickBot="1" x14ac:dyDescent="0.25">
      <c r="A9129" s="3">
        <v>4167</v>
      </c>
      <c r="B9129" s="28"/>
      <c r="C9129" s="3" t="s">
        <v>3</v>
      </c>
    </row>
    <row r="9130" spans="1:3" ht="13.5" thickBot="1" x14ac:dyDescent="0.25">
      <c r="A9130" s="3">
        <v>7813</v>
      </c>
      <c r="B9130" s="28"/>
      <c r="C9130" s="3" t="s">
        <v>3</v>
      </c>
    </row>
    <row r="9131" spans="1:3" ht="13.5" thickBot="1" x14ac:dyDescent="0.25">
      <c r="A9131" s="3">
        <v>6094</v>
      </c>
      <c r="B9131" s="28"/>
      <c r="C9131" s="3" t="s">
        <v>5</v>
      </c>
    </row>
    <row r="9132" spans="1:3" ht="13.5" thickBot="1" x14ac:dyDescent="0.25">
      <c r="A9132" s="3">
        <v>3245</v>
      </c>
      <c r="B9132" s="28"/>
      <c r="C9132" s="3" t="s">
        <v>7</v>
      </c>
    </row>
    <row r="9133" spans="1:3" ht="13.5" thickBot="1" x14ac:dyDescent="0.25">
      <c r="A9133" s="3">
        <v>3240</v>
      </c>
      <c r="B9133" s="28"/>
      <c r="C9133" s="3" t="s">
        <v>3</v>
      </c>
    </row>
    <row r="9134" spans="1:3" ht="13.5" thickBot="1" x14ac:dyDescent="0.25">
      <c r="A9134" s="3">
        <v>3264</v>
      </c>
      <c r="B9134" s="28"/>
      <c r="C9134" s="3" t="s">
        <v>5</v>
      </c>
    </row>
    <row r="9135" spans="1:3" ht="13.5" thickBot="1" x14ac:dyDescent="0.25">
      <c r="A9135" s="3">
        <v>6367</v>
      </c>
      <c r="B9135" s="28"/>
      <c r="C9135" s="3" t="s">
        <v>6</v>
      </c>
    </row>
    <row r="9136" spans="1:3" ht="13.5" thickBot="1" x14ac:dyDescent="0.25">
      <c r="A9136" s="3">
        <v>1332</v>
      </c>
      <c r="B9136" s="28"/>
      <c r="C9136" s="3" t="s">
        <v>4</v>
      </c>
    </row>
    <row r="9137" spans="1:3" ht="13.5" thickBot="1" x14ac:dyDescent="0.25">
      <c r="A9137" s="3">
        <v>38</v>
      </c>
      <c r="B9137" s="28"/>
      <c r="C9137" s="3" t="s">
        <v>5</v>
      </c>
    </row>
    <row r="9138" spans="1:3" ht="13.5" thickBot="1" x14ac:dyDescent="0.25">
      <c r="A9138" s="3">
        <v>4060</v>
      </c>
      <c r="B9138" s="28"/>
      <c r="C9138" s="3" t="s">
        <v>3</v>
      </c>
    </row>
    <row r="9139" spans="1:3" ht="13.5" thickBot="1" x14ac:dyDescent="0.25">
      <c r="A9139" s="3">
        <v>6343</v>
      </c>
      <c r="B9139" s="28"/>
      <c r="C9139" s="3" t="s">
        <v>6</v>
      </c>
    </row>
    <row r="9140" spans="1:3" ht="13.5" thickBot="1" x14ac:dyDescent="0.25">
      <c r="A9140" s="3">
        <v>1264</v>
      </c>
      <c r="B9140" s="28"/>
      <c r="C9140" s="3" t="s">
        <v>5</v>
      </c>
    </row>
    <row r="9141" spans="1:3" ht="13.5" thickBot="1" x14ac:dyDescent="0.25">
      <c r="A9141" s="3">
        <v>7942</v>
      </c>
      <c r="B9141" s="28"/>
      <c r="C9141" s="3" t="s">
        <v>5</v>
      </c>
    </row>
    <row r="9142" spans="1:3" ht="13.5" thickBot="1" x14ac:dyDescent="0.25">
      <c r="A9142" s="3">
        <v>1579</v>
      </c>
      <c r="B9142" s="28"/>
      <c r="C9142" s="3" t="s">
        <v>6</v>
      </c>
    </row>
    <row r="9143" spans="1:3" ht="13.5" thickBot="1" x14ac:dyDescent="0.25">
      <c r="A9143" s="3">
        <v>4844</v>
      </c>
      <c r="B9143" s="28"/>
      <c r="C9143" s="3" t="s">
        <v>3</v>
      </c>
    </row>
    <row r="9144" spans="1:3" ht="13.5" thickBot="1" x14ac:dyDescent="0.25">
      <c r="A9144" s="3">
        <v>2664</v>
      </c>
      <c r="B9144" s="28"/>
      <c r="C9144" s="3" t="s">
        <v>5</v>
      </c>
    </row>
    <row r="9145" spans="1:3" ht="13.5" thickBot="1" x14ac:dyDescent="0.25">
      <c r="A9145" s="3">
        <v>4268</v>
      </c>
      <c r="B9145" s="28"/>
      <c r="C9145" s="3" t="s">
        <v>3</v>
      </c>
    </row>
    <row r="9146" spans="1:3" ht="13.5" thickBot="1" x14ac:dyDescent="0.25">
      <c r="A9146" s="3">
        <v>5295</v>
      </c>
      <c r="B9146" s="28"/>
      <c r="C9146" s="3" t="s">
        <v>6</v>
      </c>
    </row>
    <row r="9147" spans="1:3" ht="13.5" thickBot="1" x14ac:dyDescent="0.25">
      <c r="A9147" s="3">
        <v>6241</v>
      </c>
      <c r="B9147" s="28"/>
      <c r="C9147" s="3" t="s">
        <v>7</v>
      </c>
    </row>
    <row r="9148" spans="1:3" ht="13.5" thickBot="1" x14ac:dyDescent="0.25">
      <c r="A9148" s="3">
        <v>7776</v>
      </c>
      <c r="B9148" s="28"/>
      <c r="C9148" s="3" t="s">
        <v>3</v>
      </c>
    </row>
    <row r="9149" spans="1:3" ht="13.5" thickBot="1" x14ac:dyDescent="0.25">
      <c r="A9149" s="3">
        <v>5730</v>
      </c>
      <c r="B9149" s="28"/>
      <c r="C9149" s="3" t="s">
        <v>7</v>
      </c>
    </row>
    <row r="9150" spans="1:3" ht="13.5" thickBot="1" x14ac:dyDescent="0.25">
      <c r="A9150" s="3">
        <v>3487</v>
      </c>
      <c r="B9150" s="28"/>
      <c r="C9150" s="3" t="s">
        <v>3</v>
      </c>
    </row>
    <row r="9151" spans="1:3" ht="13.5" thickBot="1" x14ac:dyDescent="0.25">
      <c r="A9151" s="3">
        <v>4513</v>
      </c>
      <c r="B9151" s="28"/>
      <c r="C9151" s="3" t="s">
        <v>3</v>
      </c>
    </row>
    <row r="9152" spans="1:3" ht="13.5" thickBot="1" x14ac:dyDescent="0.25">
      <c r="A9152" s="3">
        <v>1540</v>
      </c>
      <c r="B9152" s="28"/>
      <c r="C9152" s="3" t="s">
        <v>4</v>
      </c>
    </row>
    <row r="9153" spans="1:3" ht="13.5" thickBot="1" x14ac:dyDescent="0.25">
      <c r="A9153" s="3">
        <v>5861</v>
      </c>
      <c r="B9153" s="28"/>
      <c r="C9153" s="3" t="s">
        <v>3</v>
      </c>
    </row>
    <row r="9154" spans="1:3" ht="13.5" thickBot="1" x14ac:dyDescent="0.25">
      <c r="A9154" s="3">
        <v>4268</v>
      </c>
      <c r="B9154" s="28"/>
      <c r="C9154" s="3" t="s">
        <v>4</v>
      </c>
    </row>
    <row r="9155" spans="1:3" ht="13.5" thickBot="1" x14ac:dyDescent="0.25">
      <c r="A9155" s="3">
        <v>6094</v>
      </c>
      <c r="B9155" s="28"/>
      <c r="C9155" s="3" t="s">
        <v>4</v>
      </c>
    </row>
    <row r="9156" spans="1:3" ht="13.5" thickBot="1" x14ac:dyDescent="0.25">
      <c r="A9156" s="3">
        <v>627</v>
      </c>
      <c r="B9156" s="28"/>
      <c r="C9156" s="3" t="s">
        <v>5</v>
      </c>
    </row>
    <row r="9157" spans="1:3" ht="13.5" thickBot="1" x14ac:dyDescent="0.25">
      <c r="A9157" s="3">
        <v>7939</v>
      </c>
      <c r="B9157" s="28"/>
      <c r="C9157" s="3" t="s">
        <v>4</v>
      </c>
    </row>
    <row r="9158" spans="1:3" ht="13.5" thickBot="1" x14ac:dyDescent="0.25">
      <c r="A9158" s="3">
        <v>6912</v>
      </c>
      <c r="B9158" s="28"/>
      <c r="C9158" s="3" t="s">
        <v>3</v>
      </c>
    </row>
    <row r="9159" spans="1:3" ht="13.5" thickBot="1" x14ac:dyDescent="0.25">
      <c r="A9159" s="3">
        <v>7929</v>
      </c>
      <c r="B9159" s="28"/>
      <c r="C9159" s="3" t="s">
        <v>3</v>
      </c>
    </row>
    <row r="9160" spans="1:3" ht="13.5" thickBot="1" x14ac:dyDescent="0.25">
      <c r="A9160" s="3">
        <v>2585</v>
      </c>
      <c r="B9160" s="28"/>
      <c r="C9160" s="3" t="s">
        <v>3</v>
      </c>
    </row>
    <row r="9161" spans="1:3" ht="13.5" thickBot="1" x14ac:dyDescent="0.25">
      <c r="A9161" s="3">
        <v>2458</v>
      </c>
      <c r="B9161" s="28"/>
      <c r="C9161" s="3" t="s">
        <v>4</v>
      </c>
    </row>
    <row r="9162" spans="1:3" ht="13.5" thickBot="1" x14ac:dyDescent="0.25">
      <c r="A9162" s="3">
        <v>2075</v>
      </c>
      <c r="B9162" s="28"/>
      <c r="C9162" s="3" t="s">
        <v>3</v>
      </c>
    </row>
    <row r="9163" spans="1:3" ht="13.5" thickBot="1" x14ac:dyDescent="0.25">
      <c r="A9163" s="3">
        <v>38</v>
      </c>
      <c r="B9163" s="28"/>
      <c r="C9163" s="3" t="s">
        <v>7</v>
      </c>
    </row>
    <row r="9164" spans="1:3" ht="13.5" thickBot="1" x14ac:dyDescent="0.25">
      <c r="A9164" s="3">
        <v>7899</v>
      </c>
      <c r="B9164" s="28"/>
      <c r="C9164" s="3" t="s">
        <v>7</v>
      </c>
    </row>
    <row r="9165" spans="1:3" ht="13.5" thickBot="1" x14ac:dyDescent="0.25">
      <c r="A9165" s="3">
        <v>4562</v>
      </c>
      <c r="B9165" s="28"/>
      <c r="C9165" s="3" t="s">
        <v>7</v>
      </c>
    </row>
    <row r="9166" spans="1:3" ht="13.5" thickBot="1" x14ac:dyDescent="0.25">
      <c r="A9166" s="3">
        <v>1394</v>
      </c>
      <c r="B9166" s="28"/>
      <c r="C9166" s="3" t="s">
        <v>3</v>
      </c>
    </row>
    <row r="9167" spans="1:3" ht="13.5" thickBot="1" x14ac:dyDescent="0.25">
      <c r="A9167" s="3">
        <v>5637</v>
      </c>
      <c r="B9167" s="28"/>
      <c r="C9167" s="3" t="s">
        <v>5</v>
      </c>
    </row>
    <row r="9168" spans="1:3" ht="13.5" thickBot="1" x14ac:dyDescent="0.25">
      <c r="A9168" s="3">
        <v>1759</v>
      </c>
      <c r="B9168" s="28"/>
      <c r="C9168" s="3" t="s">
        <v>3</v>
      </c>
    </row>
    <row r="9169" spans="1:3" ht="13.5" thickBot="1" x14ac:dyDescent="0.25">
      <c r="A9169" s="3">
        <v>2186</v>
      </c>
      <c r="B9169" s="28"/>
      <c r="C9169" s="3" t="s">
        <v>3</v>
      </c>
    </row>
    <row r="9170" spans="1:3" ht="13.5" thickBot="1" x14ac:dyDescent="0.25">
      <c r="A9170" s="3">
        <v>6400</v>
      </c>
      <c r="B9170" s="28"/>
      <c r="C9170" s="3" t="s">
        <v>3</v>
      </c>
    </row>
    <row r="9171" spans="1:3" ht="13.5" thickBot="1" x14ac:dyDescent="0.25">
      <c r="A9171" s="3">
        <v>1028</v>
      </c>
      <c r="B9171" s="28"/>
      <c r="C9171" s="3" t="s">
        <v>3</v>
      </c>
    </row>
    <row r="9172" spans="1:3" ht="13.5" thickBot="1" x14ac:dyDescent="0.25">
      <c r="A9172" s="3">
        <v>4703</v>
      </c>
      <c r="B9172" s="28"/>
      <c r="C9172" s="3" t="s">
        <v>3</v>
      </c>
    </row>
    <row r="9173" spans="1:3" ht="13.5" thickBot="1" x14ac:dyDescent="0.25">
      <c r="A9173" s="3">
        <v>4268</v>
      </c>
      <c r="B9173" s="28"/>
      <c r="C9173" s="3" t="s">
        <v>6</v>
      </c>
    </row>
    <row r="9174" spans="1:3" ht="13.5" thickBot="1" x14ac:dyDescent="0.25">
      <c r="A9174" s="3">
        <v>4015</v>
      </c>
      <c r="B9174" s="28"/>
      <c r="C9174" s="3" t="s">
        <v>3</v>
      </c>
    </row>
    <row r="9175" spans="1:3" ht="13.5" thickBot="1" x14ac:dyDescent="0.25">
      <c r="A9175" s="3">
        <v>1540</v>
      </c>
      <c r="B9175" s="28"/>
      <c r="C9175" s="3" t="s">
        <v>7</v>
      </c>
    </row>
    <row r="9176" spans="1:3" ht="13.5" thickBot="1" x14ac:dyDescent="0.25">
      <c r="A9176" s="3">
        <v>7240</v>
      </c>
      <c r="B9176" s="28"/>
      <c r="C9176" s="3" t="s">
        <v>3</v>
      </c>
    </row>
    <row r="9177" spans="1:3" ht="13.5" thickBot="1" x14ac:dyDescent="0.25">
      <c r="A9177" s="3">
        <v>2870</v>
      </c>
      <c r="B9177" s="28"/>
      <c r="C9177" s="3" t="s">
        <v>3</v>
      </c>
    </row>
    <row r="9178" spans="1:3" ht="13.5" thickBot="1" x14ac:dyDescent="0.25">
      <c r="A9178" s="3">
        <v>2458</v>
      </c>
      <c r="B9178" s="28"/>
      <c r="C9178" s="3" t="s">
        <v>3</v>
      </c>
    </row>
    <row r="9179" spans="1:3" ht="13.5" thickBot="1" x14ac:dyDescent="0.25">
      <c r="A9179" s="3">
        <v>6002</v>
      </c>
      <c r="B9179" s="28"/>
      <c r="C9179" s="3" t="s">
        <v>6</v>
      </c>
    </row>
    <row r="9180" spans="1:3" ht="13.5" thickBot="1" x14ac:dyDescent="0.25">
      <c r="A9180" s="3">
        <v>1227</v>
      </c>
      <c r="B9180" s="28"/>
      <c r="C9180" s="3" t="s">
        <v>5</v>
      </c>
    </row>
    <row r="9181" spans="1:3" ht="13.5" thickBot="1" x14ac:dyDescent="0.25">
      <c r="A9181" s="3">
        <v>5629</v>
      </c>
      <c r="B9181" s="28"/>
      <c r="C9181" s="3" t="s">
        <v>6</v>
      </c>
    </row>
    <row r="9182" spans="1:3" ht="13.5" thickBot="1" x14ac:dyDescent="0.25">
      <c r="A9182" s="3">
        <v>6241</v>
      </c>
      <c r="B9182" s="28"/>
      <c r="C9182" s="3" t="s">
        <v>6</v>
      </c>
    </row>
    <row r="9183" spans="1:3" ht="13.5" thickBot="1" x14ac:dyDescent="0.25">
      <c r="A9183" s="3">
        <v>1394</v>
      </c>
      <c r="B9183" s="28"/>
      <c r="C9183" s="3" t="s">
        <v>5</v>
      </c>
    </row>
    <row r="9184" spans="1:3" ht="13.5" thickBot="1" x14ac:dyDescent="0.25">
      <c r="A9184" s="3">
        <v>2571</v>
      </c>
      <c r="B9184" s="28"/>
      <c r="C9184" s="3" t="s">
        <v>4</v>
      </c>
    </row>
    <row r="9185" spans="1:3" ht="13.5" thickBot="1" x14ac:dyDescent="0.25">
      <c r="A9185" s="3">
        <v>748</v>
      </c>
      <c r="B9185" s="28"/>
      <c r="C9185" s="3" t="s">
        <v>7</v>
      </c>
    </row>
    <row r="9186" spans="1:3" ht="13.5" thickBot="1" x14ac:dyDescent="0.25">
      <c r="A9186" s="3">
        <v>7715</v>
      </c>
      <c r="B9186" s="28"/>
      <c r="C9186" s="3" t="s">
        <v>3</v>
      </c>
    </row>
    <row r="9187" spans="1:3" ht="13.5" thickBot="1" x14ac:dyDescent="0.25">
      <c r="A9187" s="3">
        <v>1227</v>
      </c>
      <c r="B9187" s="28"/>
      <c r="C9187" s="3" t="s">
        <v>6</v>
      </c>
    </row>
    <row r="9188" spans="1:3" ht="13.5" thickBot="1" x14ac:dyDescent="0.25">
      <c r="A9188" s="3">
        <v>2664</v>
      </c>
      <c r="B9188" s="28"/>
      <c r="C9188" s="3" t="s">
        <v>4</v>
      </c>
    </row>
    <row r="9189" spans="1:3" ht="13.5" thickBot="1" x14ac:dyDescent="0.25">
      <c r="A9189" s="3">
        <v>5361</v>
      </c>
      <c r="B9189" s="28"/>
      <c r="C9189" s="3" t="s">
        <v>3</v>
      </c>
    </row>
    <row r="9190" spans="1:3" ht="13.5" thickBot="1" x14ac:dyDescent="0.25">
      <c r="A9190" s="3">
        <v>6400</v>
      </c>
      <c r="B9190" s="28"/>
      <c r="C9190" s="3" t="s">
        <v>4</v>
      </c>
    </row>
    <row r="9191" spans="1:3" ht="13.5" thickBot="1" x14ac:dyDescent="0.25">
      <c r="A9191" s="3">
        <v>5861</v>
      </c>
      <c r="B9191" s="28"/>
      <c r="C9191" s="3" t="s">
        <v>4</v>
      </c>
    </row>
    <row r="9192" spans="1:3" ht="13.5" thickBot="1" x14ac:dyDescent="0.25">
      <c r="A9192" s="3">
        <v>7112</v>
      </c>
      <c r="B9192" s="28"/>
      <c r="C9192" s="3" t="s">
        <v>3</v>
      </c>
    </row>
    <row r="9193" spans="1:3" ht="13.5" thickBot="1" x14ac:dyDescent="0.25">
      <c r="A9193" s="3">
        <v>5429</v>
      </c>
      <c r="B9193" s="28"/>
      <c r="C9193" s="3" t="s">
        <v>7</v>
      </c>
    </row>
    <row r="9194" spans="1:3" ht="13.5" thickBot="1" x14ac:dyDescent="0.25">
      <c r="A9194" s="3">
        <v>3928</v>
      </c>
      <c r="B9194" s="28"/>
      <c r="C9194" s="3" t="s">
        <v>6</v>
      </c>
    </row>
    <row r="9195" spans="1:3" ht="13.5" thickBot="1" x14ac:dyDescent="0.25">
      <c r="A9195" s="3">
        <v>1537</v>
      </c>
      <c r="B9195" s="28"/>
      <c r="C9195" s="3" t="s">
        <v>4</v>
      </c>
    </row>
    <row r="9196" spans="1:3" ht="13.5" thickBot="1" x14ac:dyDescent="0.25">
      <c r="A9196" s="3">
        <v>7471</v>
      </c>
      <c r="B9196" s="28"/>
      <c r="C9196" s="3" t="s">
        <v>3</v>
      </c>
    </row>
    <row r="9197" spans="1:3" ht="13.5" thickBot="1" x14ac:dyDescent="0.25">
      <c r="A9197" s="3">
        <v>2458</v>
      </c>
      <c r="B9197" s="28"/>
      <c r="C9197" s="3" t="s">
        <v>5</v>
      </c>
    </row>
    <row r="9198" spans="1:3" ht="13.5" thickBot="1" x14ac:dyDescent="0.25">
      <c r="A9198" s="3">
        <v>427</v>
      </c>
      <c r="B9198" s="28"/>
      <c r="C9198" s="3" t="s">
        <v>3</v>
      </c>
    </row>
    <row r="9199" spans="1:3" ht="13.5" thickBot="1" x14ac:dyDescent="0.25">
      <c r="A9199" s="3">
        <v>2514</v>
      </c>
      <c r="B9199" s="28"/>
      <c r="C9199" s="3" t="s">
        <v>7</v>
      </c>
    </row>
    <row r="9200" spans="1:3" ht="13.5" thickBot="1" x14ac:dyDescent="0.25">
      <c r="A9200" s="3">
        <v>4060</v>
      </c>
      <c r="B9200" s="28"/>
      <c r="C9200" s="3" t="s">
        <v>5</v>
      </c>
    </row>
    <row r="9201" spans="1:3" ht="13.5" thickBot="1" x14ac:dyDescent="0.25">
      <c r="A9201" s="3">
        <v>4268</v>
      </c>
      <c r="B9201" s="28"/>
      <c r="C9201" s="3" t="s">
        <v>7</v>
      </c>
    </row>
    <row r="9202" spans="1:3" ht="13.5" thickBot="1" x14ac:dyDescent="0.25">
      <c r="A9202" s="3">
        <v>4918</v>
      </c>
      <c r="B9202" s="28"/>
      <c r="C9202" s="3" t="s">
        <v>3</v>
      </c>
    </row>
    <row r="9203" spans="1:3" ht="13.5" thickBot="1" x14ac:dyDescent="0.25">
      <c r="A9203" s="3">
        <v>4192</v>
      </c>
      <c r="B9203" s="28"/>
      <c r="C9203" s="3" t="s">
        <v>3</v>
      </c>
    </row>
    <row r="9204" spans="1:3" ht="13.5" thickBot="1" x14ac:dyDescent="0.25">
      <c r="A9204" s="3">
        <v>1972</v>
      </c>
      <c r="B9204" s="28"/>
      <c r="C9204" s="3" t="s">
        <v>3</v>
      </c>
    </row>
    <row r="9205" spans="1:3" ht="13.5" thickBot="1" x14ac:dyDescent="0.25">
      <c r="A9205" s="3">
        <v>5861</v>
      </c>
      <c r="B9205" s="28"/>
      <c r="C9205" s="3" t="s">
        <v>6</v>
      </c>
    </row>
    <row r="9206" spans="1:3" ht="13.5" thickBot="1" x14ac:dyDescent="0.25">
      <c r="A9206" s="3">
        <v>4221</v>
      </c>
      <c r="B9206" s="28"/>
      <c r="C9206" s="3" t="s">
        <v>3</v>
      </c>
    </row>
    <row r="9207" spans="1:3" ht="13.5" thickBot="1" x14ac:dyDescent="0.25">
      <c r="A9207" s="3">
        <v>5438</v>
      </c>
      <c r="B9207" s="28"/>
      <c r="C9207" s="3" t="s">
        <v>3</v>
      </c>
    </row>
    <row r="9208" spans="1:3" ht="13.5" thickBot="1" x14ac:dyDescent="0.25">
      <c r="A9208" s="3">
        <v>4651</v>
      </c>
      <c r="B9208" s="28"/>
      <c r="C9208" s="3" t="s">
        <v>3</v>
      </c>
    </row>
    <row r="9209" spans="1:3" ht="13.5" thickBot="1" x14ac:dyDescent="0.25">
      <c r="A9209" s="3">
        <v>2767</v>
      </c>
      <c r="B9209" s="28"/>
      <c r="C9209" s="3" t="s">
        <v>3</v>
      </c>
    </row>
    <row r="9210" spans="1:3" ht="13.5" thickBot="1" x14ac:dyDescent="0.25">
      <c r="A9210" s="3">
        <v>1410</v>
      </c>
      <c r="B9210" s="28"/>
      <c r="C9210" s="3" t="s">
        <v>3</v>
      </c>
    </row>
    <row r="9211" spans="1:3" ht="13.5" thickBot="1" x14ac:dyDescent="0.25">
      <c r="A9211" s="3">
        <v>2339</v>
      </c>
      <c r="B9211" s="28"/>
      <c r="C9211" s="3" t="s">
        <v>6</v>
      </c>
    </row>
    <row r="9212" spans="1:3" ht="13.5" thickBot="1" x14ac:dyDescent="0.25">
      <c r="A9212" s="3">
        <v>5881</v>
      </c>
      <c r="B9212" s="28"/>
      <c r="C9212" s="3" t="s">
        <v>5</v>
      </c>
    </row>
    <row r="9213" spans="1:3" ht="13.5" thickBot="1" x14ac:dyDescent="0.25">
      <c r="A9213" s="3">
        <v>5861</v>
      </c>
      <c r="B9213" s="28"/>
      <c r="C9213" s="3" t="s">
        <v>5</v>
      </c>
    </row>
    <row r="9214" spans="1:3" ht="13.5" thickBot="1" x14ac:dyDescent="0.25">
      <c r="A9214" s="3">
        <v>1619</v>
      </c>
      <c r="B9214" s="28"/>
      <c r="C9214" s="3" t="s">
        <v>6</v>
      </c>
    </row>
    <row r="9215" spans="1:3" ht="13.5" thickBot="1" x14ac:dyDescent="0.25">
      <c r="A9215" s="3">
        <v>3417</v>
      </c>
      <c r="B9215" s="28"/>
      <c r="C9215" s="3" t="s">
        <v>3</v>
      </c>
    </row>
    <row r="9216" spans="1:3" ht="13.5" thickBot="1" x14ac:dyDescent="0.25">
      <c r="A9216" s="3">
        <v>6002</v>
      </c>
      <c r="B9216" s="28"/>
      <c r="C9216" s="3" t="s">
        <v>4</v>
      </c>
    </row>
    <row r="9217" spans="1:3" ht="13.5" thickBot="1" x14ac:dyDescent="0.25">
      <c r="A9217" s="3">
        <v>4221</v>
      </c>
      <c r="B9217" s="28"/>
      <c r="C9217" s="3" t="s">
        <v>4</v>
      </c>
    </row>
    <row r="9218" spans="1:3" ht="13.5" thickBot="1" x14ac:dyDescent="0.25">
      <c r="A9218" s="3">
        <v>2987</v>
      </c>
      <c r="B9218" s="28"/>
      <c r="C9218" s="3" t="s">
        <v>3</v>
      </c>
    </row>
    <row r="9219" spans="1:3" ht="13.5" thickBot="1" x14ac:dyDescent="0.25">
      <c r="A9219" s="3">
        <v>4562</v>
      </c>
      <c r="B9219" s="28"/>
      <c r="C9219" s="3" t="s">
        <v>4</v>
      </c>
    </row>
    <row r="9220" spans="1:3" ht="13.5" thickBot="1" x14ac:dyDescent="0.25">
      <c r="A9220" s="3">
        <v>5395</v>
      </c>
      <c r="B9220" s="28"/>
      <c r="C9220" s="3" t="s">
        <v>6</v>
      </c>
    </row>
    <row r="9221" spans="1:3" ht="13.5" thickBot="1" x14ac:dyDescent="0.25">
      <c r="A9221" s="3">
        <v>7332</v>
      </c>
      <c r="B9221" s="28"/>
      <c r="C9221" s="3" t="s">
        <v>3</v>
      </c>
    </row>
    <row r="9222" spans="1:3" ht="13.5" thickBot="1" x14ac:dyDescent="0.25">
      <c r="A9222" s="3">
        <v>5813</v>
      </c>
      <c r="B9222" s="28"/>
      <c r="C9222" s="3" t="s">
        <v>3</v>
      </c>
    </row>
    <row r="9223" spans="1:3" ht="13.5" thickBot="1" x14ac:dyDescent="0.25">
      <c r="A9223" s="3">
        <v>5763</v>
      </c>
      <c r="B9223" s="28"/>
      <c r="C9223" s="3" t="s">
        <v>3</v>
      </c>
    </row>
    <row r="9224" spans="1:3" ht="13.5" thickBot="1" x14ac:dyDescent="0.25">
      <c r="A9224" s="3">
        <v>1868</v>
      </c>
      <c r="B9224" s="28"/>
      <c r="C9224" s="3" t="s">
        <v>3</v>
      </c>
    </row>
    <row r="9225" spans="1:3" ht="13.5" thickBot="1" x14ac:dyDescent="0.25">
      <c r="A9225" s="3">
        <v>2972</v>
      </c>
      <c r="B9225" s="28"/>
      <c r="C9225" s="3" t="s">
        <v>3</v>
      </c>
    </row>
    <row r="9226" spans="1:3" ht="13.5" thickBot="1" x14ac:dyDescent="0.25">
      <c r="A9226" s="3">
        <v>1537</v>
      </c>
      <c r="B9226" s="28"/>
      <c r="C9226" s="3" t="s">
        <v>3</v>
      </c>
    </row>
    <row r="9227" spans="1:3" ht="13.5" thickBot="1" x14ac:dyDescent="0.25">
      <c r="A9227" s="3">
        <v>7297</v>
      </c>
      <c r="B9227" s="28"/>
      <c r="C9227" s="3" t="s">
        <v>3</v>
      </c>
    </row>
    <row r="9228" spans="1:3" ht="13.5" thickBot="1" x14ac:dyDescent="0.25">
      <c r="A9228" s="3">
        <v>5122</v>
      </c>
      <c r="B9228" s="28"/>
      <c r="C9228" s="3" t="s">
        <v>3</v>
      </c>
    </row>
    <row r="9229" spans="1:3" ht="13.5" thickBot="1" x14ac:dyDescent="0.25">
      <c r="A9229" s="3">
        <v>5191</v>
      </c>
      <c r="B9229" s="28"/>
      <c r="C9229" s="3" t="s">
        <v>3</v>
      </c>
    </row>
    <row r="9230" spans="1:3" ht="13.5" thickBot="1" x14ac:dyDescent="0.25">
      <c r="A9230" s="3">
        <v>5637</v>
      </c>
      <c r="B9230" s="28"/>
      <c r="C9230" s="3" t="s">
        <v>6</v>
      </c>
    </row>
    <row r="9231" spans="1:3" ht="13.5" thickBot="1" x14ac:dyDescent="0.25">
      <c r="A9231" s="3">
        <v>2974</v>
      </c>
      <c r="B9231" s="28"/>
      <c r="C9231" s="3" t="s">
        <v>4</v>
      </c>
    </row>
    <row r="9232" spans="1:3" ht="13.5" thickBot="1" x14ac:dyDescent="0.25">
      <c r="A9232" s="3">
        <v>2767</v>
      </c>
      <c r="B9232" s="28"/>
      <c r="C9232" s="3" t="s">
        <v>4</v>
      </c>
    </row>
    <row r="9233" spans="1:3" ht="13.5" thickBot="1" x14ac:dyDescent="0.25">
      <c r="A9233" s="3">
        <v>4226</v>
      </c>
      <c r="B9233" s="28"/>
      <c r="C9233" s="3" t="s">
        <v>4</v>
      </c>
    </row>
    <row r="9234" spans="1:3" ht="13.5" thickBot="1" x14ac:dyDescent="0.25">
      <c r="A9234" s="3">
        <v>627</v>
      </c>
      <c r="B9234" s="28"/>
      <c r="C9234" s="3" t="s">
        <v>7</v>
      </c>
    </row>
    <row r="9235" spans="1:3" ht="13.5" thickBot="1" x14ac:dyDescent="0.25">
      <c r="A9235" s="3">
        <v>788</v>
      </c>
      <c r="B9235" s="28"/>
      <c r="C9235" s="3" t="s">
        <v>4</v>
      </c>
    </row>
    <row r="9236" spans="1:3" ht="13.5" thickBot="1" x14ac:dyDescent="0.25">
      <c r="A9236" s="3">
        <v>3945</v>
      </c>
      <c r="B9236" s="28"/>
      <c r="C9236" s="3" t="s">
        <v>3</v>
      </c>
    </row>
    <row r="9237" spans="1:3" ht="13.5" thickBot="1" x14ac:dyDescent="0.25">
      <c r="A9237" s="3">
        <v>7941</v>
      </c>
      <c r="B9237" s="28"/>
      <c r="C9237" s="3" t="s">
        <v>3</v>
      </c>
    </row>
    <row r="9238" spans="1:3" ht="13.5" thickBot="1" x14ac:dyDescent="0.25">
      <c r="A9238" s="3">
        <v>1109</v>
      </c>
      <c r="B9238" s="28"/>
      <c r="C9238" s="3" t="s">
        <v>3</v>
      </c>
    </row>
    <row r="9239" spans="1:3" ht="13.5" thickBot="1" x14ac:dyDescent="0.25">
      <c r="A9239" s="3">
        <v>6032</v>
      </c>
      <c r="B9239" s="28"/>
      <c r="C9239" s="3" t="s">
        <v>4</v>
      </c>
    </row>
    <row r="9240" spans="1:3" ht="13.5" thickBot="1" x14ac:dyDescent="0.25">
      <c r="A9240" s="3">
        <v>6651</v>
      </c>
      <c r="B9240" s="28"/>
      <c r="C9240" s="3" t="s">
        <v>3</v>
      </c>
    </row>
    <row r="9241" spans="1:3" ht="13.5" thickBot="1" x14ac:dyDescent="0.25">
      <c r="A9241" s="3">
        <v>1047</v>
      </c>
      <c r="B9241" s="28"/>
      <c r="C9241" s="3" t="s">
        <v>5</v>
      </c>
    </row>
    <row r="9242" spans="1:3" ht="13.5" thickBot="1" x14ac:dyDescent="0.25">
      <c r="A9242" s="3">
        <v>5175</v>
      </c>
      <c r="B9242" s="28"/>
      <c r="C9242" s="3" t="s">
        <v>3</v>
      </c>
    </row>
    <row r="9243" spans="1:3" ht="13.5" thickBot="1" x14ac:dyDescent="0.25">
      <c r="A9243" s="3">
        <v>1759</v>
      </c>
      <c r="B9243" s="28"/>
      <c r="C9243" s="3" t="s">
        <v>7</v>
      </c>
    </row>
    <row r="9244" spans="1:3" ht="13.5" thickBot="1" x14ac:dyDescent="0.25">
      <c r="A9244" s="3">
        <v>6930</v>
      </c>
      <c r="B9244" s="28"/>
      <c r="C9244" s="3" t="s">
        <v>3</v>
      </c>
    </row>
    <row r="9245" spans="1:3" ht="13.5" thickBot="1" x14ac:dyDescent="0.25">
      <c r="A9245" s="3">
        <v>1555</v>
      </c>
      <c r="B9245" s="28"/>
      <c r="C9245" s="3" t="s">
        <v>5</v>
      </c>
    </row>
    <row r="9246" spans="1:3" ht="13.5" thickBot="1" x14ac:dyDescent="0.25">
      <c r="A9246" s="3">
        <v>4060</v>
      </c>
      <c r="B9246" s="28"/>
      <c r="C9246" s="3" t="s">
        <v>4</v>
      </c>
    </row>
    <row r="9247" spans="1:3" ht="13.5" thickBot="1" x14ac:dyDescent="0.25">
      <c r="A9247" s="3">
        <v>3200</v>
      </c>
      <c r="B9247" s="28"/>
      <c r="C9247" s="3" t="s">
        <v>6</v>
      </c>
    </row>
    <row r="9248" spans="1:3" ht="13.5" thickBot="1" x14ac:dyDescent="0.25">
      <c r="A9248" s="3">
        <v>6253</v>
      </c>
      <c r="B9248" s="28"/>
      <c r="C9248" s="3" t="s">
        <v>6</v>
      </c>
    </row>
    <row r="9249" spans="1:3" ht="13.5" thickBot="1" x14ac:dyDescent="0.25">
      <c r="A9249" s="3">
        <v>7776</v>
      </c>
      <c r="B9249" s="28"/>
      <c r="C9249" s="3" t="s">
        <v>5</v>
      </c>
    </row>
    <row r="9250" spans="1:3" ht="13.5" thickBot="1" x14ac:dyDescent="0.25">
      <c r="A9250" s="3">
        <v>6824</v>
      </c>
      <c r="B9250" s="28"/>
      <c r="C9250" s="3" t="s">
        <v>3</v>
      </c>
    </row>
    <row r="9251" spans="1:3" ht="13.5" thickBot="1" x14ac:dyDescent="0.25">
      <c r="A9251" s="3">
        <v>3459</v>
      </c>
      <c r="B9251" s="28"/>
      <c r="C9251" s="3" t="s">
        <v>5</v>
      </c>
    </row>
    <row r="9252" spans="1:3" ht="13.5" thickBot="1" x14ac:dyDescent="0.25">
      <c r="A9252" s="3">
        <v>1394</v>
      </c>
      <c r="B9252" s="28"/>
      <c r="C9252" s="3" t="s">
        <v>7</v>
      </c>
    </row>
    <row r="9253" spans="1:3" ht="13.5" thickBot="1" x14ac:dyDescent="0.25">
      <c r="A9253" s="3">
        <v>2974</v>
      </c>
      <c r="B9253" s="28"/>
      <c r="C9253" s="3" t="s">
        <v>3</v>
      </c>
    </row>
    <row r="9254" spans="1:3" ht="13.5" thickBot="1" x14ac:dyDescent="0.25">
      <c r="A9254" s="3">
        <v>3579</v>
      </c>
      <c r="B9254" s="28"/>
      <c r="C9254" s="3" t="s">
        <v>7</v>
      </c>
    </row>
    <row r="9255" spans="1:3" ht="13.5" thickBot="1" x14ac:dyDescent="0.25">
      <c r="A9255" s="3">
        <v>3579</v>
      </c>
      <c r="B9255" s="28"/>
      <c r="C9255" s="3" t="s">
        <v>6</v>
      </c>
    </row>
    <row r="9256" spans="1:3" ht="13.5" thickBot="1" x14ac:dyDescent="0.25">
      <c r="A9256" s="3">
        <v>5871</v>
      </c>
      <c r="B9256" s="28"/>
      <c r="C9256" s="3" t="s">
        <v>3</v>
      </c>
    </row>
    <row r="9257" spans="1:3" ht="13.5" thickBot="1" x14ac:dyDescent="0.25">
      <c r="A9257" s="3">
        <v>4562</v>
      </c>
      <c r="B9257" s="28"/>
      <c r="C9257" s="3" t="s">
        <v>5</v>
      </c>
    </row>
    <row r="9258" spans="1:3" ht="13.5" thickBot="1" x14ac:dyDescent="0.25">
      <c r="A9258" s="3">
        <v>1969</v>
      </c>
      <c r="B9258" s="28"/>
      <c r="C9258" s="3" t="s">
        <v>3</v>
      </c>
    </row>
    <row r="9259" spans="1:3" ht="13.5" thickBot="1" x14ac:dyDescent="0.25">
      <c r="A9259" s="3">
        <v>5881</v>
      </c>
      <c r="B9259" s="28"/>
      <c r="C9259" s="3" t="s">
        <v>6</v>
      </c>
    </row>
    <row r="9260" spans="1:3" ht="13.5" thickBot="1" x14ac:dyDescent="0.25">
      <c r="A9260" s="3">
        <v>62</v>
      </c>
      <c r="B9260" s="28"/>
      <c r="C9260" s="3" t="s">
        <v>3</v>
      </c>
    </row>
    <row r="9261" spans="1:3" ht="13.5" thickBot="1" x14ac:dyDescent="0.25">
      <c r="A9261" s="3">
        <v>2514</v>
      </c>
      <c r="B9261" s="28"/>
      <c r="C9261" s="3" t="s">
        <v>5</v>
      </c>
    </row>
    <row r="9262" spans="1:3" ht="13.5" thickBot="1" x14ac:dyDescent="0.25">
      <c r="A9262" s="3">
        <v>1950</v>
      </c>
      <c r="B9262" s="28"/>
      <c r="C9262" s="3" t="s">
        <v>4</v>
      </c>
    </row>
    <row r="9263" spans="1:3" ht="13.5" thickBot="1" x14ac:dyDescent="0.25">
      <c r="A9263" s="3">
        <v>427</v>
      </c>
      <c r="B9263" s="28"/>
      <c r="C9263" s="3" t="s">
        <v>4</v>
      </c>
    </row>
    <row r="9264" spans="1:3" ht="13.5" thickBot="1" x14ac:dyDescent="0.25">
      <c r="A9264" s="3">
        <v>6627</v>
      </c>
      <c r="B9264" s="28"/>
      <c r="C9264" s="3" t="s">
        <v>5</v>
      </c>
    </row>
    <row r="9265" spans="1:3" ht="13.5" thickBot="1" x14ac:dyDescent="0.25">
      <c r="A9265" s="3">
        <v>4221</v>
      </c>
      <c r="B9265" s="28"/>
      <c r="C9265" s="3" t="s">
        <v>5</v>
      </c>
    </row>
    <row r="9266" spans="1:3" ht="13.5" thickBot="1" x14ac:dyDescent="0.25">
      <c r="A9266" s="3">
        <v>2653</v>
      </c>
      <c r="B9266" s="28"/>
      <c r="C9266" s="3" t="s">
        <v>4</v>
      </c>
    </row>
    <row r="9267" spans="1:3" ht="13.5" thickBot="1" x14ac:dyDescent="0.25">
      <c r="A9267" s="3">
        <v>2428</v>
      </c>
      <c r="B9267" s="28"/>
      <c r="C9267" s="3" t="s">
        <v>3</v>
      </c>
    </row>
    <row r="9268" spans="1:3" ht="13.5" thickBot="1" x14ac:dyDescent="0.25">
      <c r="A9268" s="3">
        <v>1868</v>
      </c>
      <c r="B9268" s="28"/>
      <c r="C9268" s="3" t="s">
        <v>7</v>
      </c>
    </row>
    <row r="9269" spans="1:3" ht="13.5" thickBot="1" x14ac:dyDescent="0.25">
      <c r="A9269" s="3">
        <v>1592</v>
      </c>
      <c r="B9269" s="28"/>
      <c r="C9269" s="3" t="s">
        <v>3</v>
      </c>
    </row>
    <row r="9270" spans="1:3" ht="13.5" thickBot="1" x14ac:dyDescent="0.25">
      <c r="A9270" s="3">
        <v>5438</v>
      </c>
      <c r="B9270" s="28"/>
      <c r="C9270" s="3" t="s">
        <v>4</v>
      </c>
    </row>
    <row r="9271" spans="1:3" ht="13.5" thickBot="1" x14ac:dyDescent="0.25">
      <c r="A9271" s="3">
        <v>3459</v>
      </c>
      <c r="B9271" s="28"/>
      <c r="C9271" s="3" t="s">
        <v>4</v>
      </c>
    </row>
    <row r="9272" spans="1:3" ht="13.5" thickBot="1" x14ac:dyDescent="0.25">
      <c r="A9272" s="3">
        <v>1871</v>
      </c>
      <c r="B9272" s="28"/>
      <c r="C9272" s="3" t="s">
        <v>3</v>
      </c>
    </row>
    <row r="9273" spans="1:3" ht="13.5" thickBot="1" x14ac:dyDescent="0.25">
      <c r="A9273" s="3">
        <v>6662</v>
      </c>
      <c r="B9273" s="28"/>
      <c r="C9273" s="3" t="s">
        <v>6</v>
      </c>
    </row>
    <row r="9274" spans="1:3" ht="13.5" thickBot="1" x14ac:dyDescent="0.25">
      <c r="A9274" s="3">
        <v>6251</v>
      </c>
      <c r="B9274" s="28"/>
      <c r="C9274" s="3" t="s">
        <v>3</v>
      </c>
    </row>
    <row r="9275" spans="1:3" ht="13.5" thickBot="1" x14ac:dyDescent="0.25">
      <c r="A9275" s="3">
        <v>6824</v>
      </c>
      <c r="B9275" s="28"/>
      <c r="C9275" s="3" t="s">
        <v>4</v>
      </c>
    </row>
    <row r="9276" spans="1:3" ht="13.5" thickBot="1" x14ac:dyDescent="0.25">
      <c r="A9276" s="3">
        <v>1555</v>
      </c>
      <c r="B9276" s="28"/>
      <c r="C9276" s="3" t="s">
        <v>6</v>
      </c>
    </row>
    <row r="9277" spans="1:3" ht="13.5" thickBot="1" x14ac:dyDescent="0.25">
      <c r="A9277" s="3">
        <v>3881</v>
      </c>
      <c r="B9277" s="28"/>
      <c r="C9277" s="3" t="s">
        <v>3</v>
      </c>
    </row>
    <row r="9278" spans="1:3" ht="13.5" thickBot="1" x14ac:dyDescent="0.25">
      <c r="A9278" s="3">
        <v>5784</v>
      </c>
      <c r="B9278" s="28"/>
      <c r="C9278" s="3" t="s">
        <v>6</v>
      </c>
    </row>
    <row r="9279" spans="1:3" ht="13.5" thickBot="1" x14ac:dyDescent="0.25">
      <c r="A9279" s="3">
        <v>1872</v>
      </c>
      <c r="B9279" s="28"/>
      <c r="C9279" s="3" t="s">
        <v>3</v>
      </c>
    </row>
    <row r="9280" spans="1:3" ht="13.5" thickBot="1" x14ac:dyDescent="0.25">
      <c r="A9280" s="3">
        <v>7776</v>
      </c>
      <c r="B9280" s="28"/>
      <c r="C9280" s="3" t="s">
        <v>4</v>
      </c>
    </row>
    <row r="9281" spans="1:3" ht="13.5" thickBot="1" x14ac:dyDescent="0.25">
      <c r="A9281" s="3">
        <v>1140</v>
      </c>
      <c r="B9281" s="28"/>
      <c r="C9281" s="3" t="s">
        <v>3</v>
      </c>
    </row>
    <row r="9282" spans="1:3" ht="13.5" thickBot="1" x14ac:dyDescent="0.25">
      <c r="A9282" s="3">
        <v>2428</v>
      </c>
      <c r="B9282" s="28"/>
      <c r="C9282" s="3" t="s">
        <v>4</v>
      </c>
    </row>
    <row r="9283" spans="1:3" ht="13.5" thickBot="1" x14ac:dyDescent="0.25">
      <c r="A9283" s="3">
        <v>473</v>
      </c>
      <c r="B9283" s="28"/>
      <c r="C9283" s="3" t="s">
        <v>3</v>
      </c>
    </row>
    <row r="9284" spans="1:3" ht="13.5" thickBot="1" x14ac:dyDescent="0.25">
      <c r="A9284" s="3">
        <v>2723</v>
      </c>
      <c r="B9284" s="28"/>
      <c r="C9284" s="3" t="s">
        <v>3</v>
      </c>
    </row>
    <row r="9285" spans="1:3" ht="13.5" thickBot="1" x14ac:dyDescent="0.25">
      <c r="A9285" s="3">
        <v>1871</v>
      </c>
      <c r="B9285" s="28"/>
      <c r="C9285" s="3" t="s">
        <v>4</v>
      </c>
    </row>
    <row r="9286" spans="1:3" ht="13.5" thickBot="1" x14ac:dyDescent="0.25">
      <c r="A9286" s="3">
        <v>2458</v>
      </c>
      <c r="B9286" s="28"/>
      <c r="C9286" s="3" t="s">
        <v>6</v>
      </c>
    </row>
    <row r="9287" spans="1:3" ht="13.5" thickBot="1" x14ac:dyDescent="0.25">
      <c r="A9287" s="3">
        <v>7112</v>
      </c>
      <c r="B9287" s="28"/>
      <c r="C9287" s="3" t="s">
        <v>7</v>
      </c>
    </row>
    <row r="9288" spans="1:3" ht="13.5" thickBot="1" x14ac:dyDescent="0.25">
      <c r="A9288" s="3">
        <v>1028</v>
      </c>
      <c r="B9288" s="28"/>
      <c r="C9288" s="3" t="s">
        <v>6</v>
      </c>
    </row>
    <row r="9289" spans="1:3" ht="13.5" thickBot="1" x14ac:dyDescent="0.25">
      <c r="A9289" s="3">
        <v>227</v>
      </c>
      <c r="B9289" s="28"/>
      <c r="C9289" s="3" t="s">
        <v>3</v>
      </c>
    </row>
    <row r="9290" spans="1:3" ht="13.5" thickBot="1" x14ac:dyDescent="0.25">
      <c r="A9290" s="3">
        <v>6824</v>
      </c>
      <c r="B9290" s="28"/>
      <c r="C9290" s="3" t="s">
        <v>5</v>
      </c>
    </row>
    <row r="9291" spans="1:3" ht="13.5" thickBot="1" x14ac:dyDescent="0.25">
      <c r="A9291" s="3">
        <v>4226</v>
      </c>
      <c r="B9291" s="28"/>
      <c r="C9291" s="3" t="s">
        <v>3</v>
      </c>
    </row>
    <row r="9292" spans="1:3" ht="13.5" thickBot="1" x14ac:dyDescent="0.25">
      <c r="A9292" s="3">
        <v>38</v>
      </c>
      <c r="B9292" s="28"/>
      <c r="C9292" s="3" t="s">
        <v>6</v>
      </c>
    </row>
    <row r="9293" spans="1:3" ht="13.5" thickBot="1" x14ac:dyDescent="0.25">
      <c r="A9293" s="3">
        <v>5788</v>
      </c>
      <c r="B9293" s="28"/>
      <c r="C9293" s="3" t="s">
        <v>4</v>
      </c>
    </row>
    <row r="9294" spans="1:3" ht="13.5" thickBot="1" x14ac:dyDescent="0.25">
      <c r="A9294" s="3">
        <v>3411</v>
      </c>
      <c r="B9294" s="28"/>
      <c r="C9294" s="3" t="s">
        <v>3</v>
      </c>
    </row>
    <row r="9295" spans="1:3" ht="13.5" thickBot="1" x14ac:dyDescent="0.25">
      <c r="A9295" s="3">
        <v>1868</v>
      </c>
      <c r="B9295" s="28"/>
      <c r="C9295" s="3" t="s">
        <v>6</v>
      </c>
    </row>
    <row r="9296" spans="1:3" ht="13.5" thickBot="1" x14ac:dyDescent="0.25">
      <c r="A9296" s="3">
        <v>1444</v>
      </c>
      <c r="B9296" s="28"/>
      <c r="C9296" s="3" t="s">
        <v>4</v>
      </c>
    </row>
    <row r="9297" spans="1:3" ht="13.5" thickBot="1" x14ac:dyDescent="0.25">
      <c r="A9297" s="3">
        <v>1444</v>
      </c>
      <c r="B9297" s="28"/>
      <c r="C9297" s="3" t="s">
        <v>3</v>
      </c>
    </row>
    <row r="9298" spans="1:3" ht="13.5" thickBot="1" x14ac:dyDescent="0.25">
      <c r="A9298" s="3">
        <v>748</v>
      </c>
      <c r="B9298" s="28"/>
      <c r="C9298" s="3" t="s">
        <v>6</v>
      </c>
    </row>
    <row r="9299" spans="1:3" ht="13.5" thickBot="1" x14ac:dyDescent="0.25">
      <c r="A9299" s="3">
        <v>1972</v>
      </c>
      <c r="B9299" s="28"/>
      <c r="C9299" s="3" t="s">
        <v>4</v>
      </c>
    </row>
    <row r="9300" spans="1:3" ht="13.5" thickBot="1" x14ac:dyDescent="0.25">
      <c r="A9300" s="3">
        <v>788</v>
      </c>
      <c r="B9300" s="28"/>
      <c r="C9300" s="3" t="s">
        <v>3</v>
      </c>
    </row>
    <row r="9301" spans="1:3" ht="13.5" thickBot="1" x14ac:dyDescent="0.25">
      <c r="A9301" s="3">
        <v>5178</v>
      </c>
      <c r="B9301" s="28"/>
      <c r="C9301" s="3" t="s">
        <v>3</v>
      </c>
    </row>
    <row r="9302" spans="1:3" ht="13.5" thickBot="1" x14ac:dyDescent="0.25">
      <c r="A9302" s="3">
        <v>303</v>
      </c>
      <c r="B9302" s="28"/>
      <c r="C9302" s="3" t="s">
        <v>3</v>
      </c>
    </row>
    <row r="9303" spans="1:3" ht="13.5" thickBot="1" x14ac:dyDescent="0.25">
      <c r="A9303" s="3">
        <v>473</v>
      </c>
      <c r="B9303" s="28"/>
      <c r="C9303" s="3" t="s">
        <v>4</v>
      </c>
    </row>
    <row r="9304" spans="1:3" ht="13.5" thickBot="1" x14ac:dyDescent="0.25">
      <c r="A9304" s="3">
        <v>4014</v>
      </c>
      <c r="B9304" s="28"/>
      <c r="C9304" s="3" t="s">
        <v>3</v>
      </c>
    </row>
    <row r="9305" spans="1:3" ht="13.5" thickBot="1" x14ac:dyDescent="0.25">
      <c r="A9305" s="3">
        <v>4197</v>
      </c>
      <c r="B9305" s="28"/>
      <c r="C9305" s="3" t="s">
        <v>3</v>
      </c>
    </row>
    <row r="9306" spans="1:3" ht="13.5" thickBot="1" x14ac:dyDescent="0.25">
      <c r="A9306" s="3">
        <v>1147</v>
      </c>
      <c r="B9306" s="28"/>
      <c r="C9306" s="3" t="s">
        <v>5</v>
      </c>
    </row>
    <row r="9307" spans="1:3" ht="13.5" thickBot="1" x14ac:dyDescent="0.25">
      <c r="A9307" s="3">
        <v>6614</v>
      </c>
      <c r="B9307" s="28"/>
      <c r="C9307" s="3" t="s">
        <v>6</v>
      </c>
    </row>
    <row r="9308" spans="1:3" ht="13.5" thickBot="1" x14ac:dyDescent="0.25">
      <c r="A9308" s="3">
        <v>4412</v>
      </c>
      <c r="B9308" s="28"/>
      <c r="C9308" s="3" t="s">
        <v>3</v>
      </c>
    </row>
    <row r="9309" spans="1:3" ht="13.5" thickBot="1" x14ac:dyDescent="0.25">
      <c r="A9309" s="3">
        <v>7694</v>
      </c>
      <c r="B9309" s="28"/>
      <c r="C9309" s="3" t="s">
        <v>3</v>
      </c>
    </row>
    <row r="9310" spans="1:3" ht="13.5" thickBot="1" x14ac:dyDescent="0.25">
      <c r="A9310" s="3">
        <v>1028</v>
      </c>
      <c r="B9310" s="28"/>
      <c r="C9310" s="3" t="s">
        <v>4</v>
      </c>
    </row>
    <row r="9311" spans="1:3" ht="13.5" thickBot="1" x14ac:dyDescent="0.25">
      <c r="A9311" s="3">
        <v>2974</v>
      </c>
      <c r="B9311" s="28"/>
      <c r="C9311" s="3" t="s">
        <v>5</v>
      </c>
    </row>
    <row r="9312" spans="1:3" ht="13.5" thickBot="1" x14ac:dyDescent="0.25">
      <c r="A9312" s="3">
        <v>5191</v>
      </c>
      <c r="B9312" s="28"/>
      <c r="C9312" s="3" t="s">
        <v>4</v>
      </c>
    </row>
    <row r="9313" spans="1:3" ht="13.5" thickBot="1" x14ac:dyDescent="0.25">
      <c r="A9313" s="3">
        <v>1759</v>
      </c>
      <c r="B9313" s="28"/>
      <c r="C9313" s="3" t="s">
        <v>4</v>
      </c>
    </row>
    <row r="9314" spans="1:3" ht="13.5" thickBot="1" x14ac:dyDescent="0.25">
      <c r="A9314" s="3">
        <v>56</v>
      </c>
      <c r="B9314" s="28"/>
      <c r="C9314" s="3" t="s">
        <v>3</v>
      </c>
    </row>
    <row r="9315" spans="1:3" ht="13.5" thickBot="1" x14ac:dyDescent="0.25">
      <c r="A9315" s="3">
        <v>5122</v>
      </c>
      <c r="B9315" s="28"/>
      <c r="C9315" s="3" t="s">
        <v>4</v>
      </c>
    </row>
    <row r="9316" spans="1:3" ht="13.5" thickBot="1" x14ac:dyDescent="0.25">
      <c r="A9316" s="3">
        <v>4307</v>
      </c>
      <c r="B9316" s="28"/>
      <c r="C9316" s="3" t="s">
        <v>3</v>
      </c>
    </row>
    <row r="9317" spans="1:3" ht="13.5" thickBot="1" x14ac:dyDescent="0.25">
      <c r="A9317" s="3">
        <v>1394</v>
      </c>
      <c r="B9317" s="28"/>
      <c r="C9317" s="3" t="s">
        <v>4</v>
      </c>
    </row>
    <row r="9318" spans="1:3" ht="13.5" thickBot="1" x14ac:dyDescent="0.25">
      <c r="A9318" s="3">
        <v>7470</v>
      </c>
      <c r="B9318" s="28"/>
      <c r="C9318" s="3" t="s">
        <v>3</v>
      </c>
    </row>
    <row r="9319" spans="1:3" ht="13.5" thickBot="1" x14ac:dyDescent="0.25">
      <c r="A9319" s="3">
        <v>4529</v>
      </c>
      <c r="B9319" s="28"/>
      <c r="C9319" s="3" t="s">
        <v>3</v>
      </c>
    </row>
    <row r="9320" spans="1:3" ht="13.5" thickBot="1" x14ac:dyDescent="0.25">
      <c r="A9320" s="3">
        <v>7899</v>
      </c>
      <c r="B9320" s="28"/>
      <c r="C9320" s="3" t="s">
        <v>6</v>
      </c>
    </row>
    <row r="9321" spans="1:3" ht="13.5" thickBot="1" x14ac:dyDescent="0.25">
      <c r="A9321" s="3">
        <v>1147</v>
      </c>
      <c r="B9321" s="28"/>
      <c r="C9321" s="3" t="s">
        <v>3</v>
      </c>
    </row>
    <row r="9322" spans="1:3" ht="13.5" thickBot="1" x14ac:dyDescent="0.25">
      <c r="A9322" s="3">
        <v>3468</v>
      </c>
      <c r="B9322" s="28"/>
      <c r="C9322" s="3" t="s">
        <v>3</v>
      </c>
    </row>
    <row r="9323" spans="1:3" ht="13.5" thickBot="1" x14ac:dyDescent="0.25">
      <c r="A9323" s="3">
        <v>1606</v>
      </c>
      <c r="B9323" s="28"/>
      <c r="C9323" s="3" t="s">
        <v>3</v>
      </c>
    </row>
    <row r="9324" spans="1:3" ht="13.5" thickBot="1" x14ac:dyDescent="0.25">
      <c r="A9324" s="3">
        <v>227</v>
      </c>
      <c r="B9324" s="28"/>
      <c r="C9324" s="3" t="s">
        <v>4</v>
      </c>
    </row>
    <row r="9325" spans="1:3" ht="13.5" thickBot="1" x14ac:dyDescent="0.25">
      <c r="A9325" s="3">
        <v>5346</v>
      </c>
      <c r="B9325" s="28"/>
      <c r="C9325" s="3" t="s">
        <v>3</v>
      </c>
    </row>
    <row r="9326" spans="1:3" ht="13.5" thickBot="1" x14ac:dyDescent="0.25">
      <c r="A9326" s="3">
        <v>7941</v>
      </c>
      <c r="B9326" s="28"/>
      <c r="C9326" s="3" t="s">
        <v>5</v>
      </c>
    </row>
    <row r="9327" spans="1:3" ht="13.5" thickBot="1" x14ac:dyDescent="0.25">
      <c r="A9327" s="3">
        <v>6657</v>
      </c>
      <c r="B9327" s="28"/>
      <c r="C9327" s="3" t="s">
        <v>3</v>
      </c>
    </row>
    <row r="9328" spans="1:3" ht="13.5" thickBot="1" x14ac:dyDescent="0.25">
      <c r="A9328" s="3">
        <v>4818</v>
      </c>
      <c r="B9328" s="28"/>
      <c r="C9328" s="3" t="s">
        <v>3</v>
      </c>
    </row>
    <row r="9329" spans="1:3" ht="13.5" thickBot="1" x14ac:dyDescent="0.25">
      <c r="A9329" s="3">
        <v>1872</v>
      </c>
      <c r="B9329" s="28"/>
      <c r="C9329" s="3" t="s">
        <v>4</v>
      </c>
    </row>
    <row r="9330" spans="1:3" ht="13.5" thickBot="1" x14ac:dyDescent="0.25">
      <c r="A9330" s="3">
        <v>1109</v>
      </c>
      <c r="B9330" s="28"/>
      <c r="C9330" s="3" t="s">
        <v>6</v>
      </c>
    </row>
    <row r="9331" spans="1:3" ht="13.5" thickBot="1" x14ac:dyDescent="0.25">
      <c r="A9331" s="3">
        <v>1872</v>
      </c>
      <c r="B9331" s="28"/>
      <c r="C9331" s="3" t="s">
        <v>6</v>
      </c>
    </row>
    <row r="9332" spans="1:3" ht="13.5" thickBot="1" x14ac:dyDescent="0.25">
      <c r="A9332" s="3">
        <v>3197</v>
      </c>
      <c r="B9332" s="28"/>
      <c r="C9332" s="3" t="s">
        <v>4</v>
      </c>
    </row>
    <row r="9333" spans="1:3" ht="13.5" thickBot="1" x14ac:dyDescent="0.25">
      <c r="A9333" s="3">
        <v>7414</v>
      </c>
      <c r="B9333" s="28"/>
      <c r="C9333" s="3" t="s">
        <v>3</v>
      </c>
    </row>
    <row r="9334" spans="1:3" ht="13.5" thickBot="1" x14ac:dyDescent="0.25">
      <c r="A9334" s="3">
        <v>1047</v>
      </c>
      <c r="B9334" s="28"/>
      <c r="C9334" s="3" t="s">
        <v>7</v>
      </c>
    </row>
    <row r="9335" spans="1:3" ht="13.5" thickBot="1" x14ac:dyDescent="0.25">
      <c r="A9335" s="3">
        <v>3026</v>
      </c>
      <c r="B9335" s="28"/>
      <c r="C9335" s="3" t="s">
        <v>6</v>
      </c>
    </row>
    <row r="9336" spans="1:3" ht="13.5" thickBot="1" x14ac:dyDescent="0.25">
      <c r="A9336" s="3">
        <v>7112</v>
      </c>
      <c r="B9336" s="28"/>
      <c r="C9336" s="3" t="s">
        <v>4</v>
      </c>
    </row>
    <row r="9337" spans="1:3" ht="13.5" thickBot="1" x14ac:dyDescent="0.25">
      <c r="A9337" s="3">
        <v>2099</v>
      </c>
      <c r="B9337" s="28"/>
      <c r="C9337" s="3" t="s">
        <v>3</v>
      </c>
    </row>
    <row r="9338" spans="1:3" ht="13.5" thickBot="1" x14ac:dyDescent="0.25">
      <c r="A9338" s="3">
        <v>5178</v>
      </c>
      <c r="B9338" s="28"/>
      <c r="C9338" s="3" t="s">
        <v>4</v>
      </c>
    </row>
    <row r="9339" spans="1:3" ht="13.5" thickBot="1" x14ac:dyDescent="0.25">
      <c r="A9339" s="3">
        <v>1759</v>
      </c>
      <c r="B9339" s="28"/>
      <c r="C9339" s="3" t="s">
        <v>6</v>
      </c>
    </row>
    <row r="9340" spans="1:3" ht="13.5" thickBot="1" x14ac:dyDescent="0.25">
      <c r="A9340" s="3">
        <v>427</v>
      </c>
      <c r="B9340" s="28"/>
      <c r="C9340" s="3" t="s">
        <v>5</v>
      </c>
    </row>
    <row r="9341" spans="1:3" ht="13.5" thickBot="1" x14ac:dyDescent="0.25">
      <c r="A9341" s="3">
        <v>1868</v>
      </c>
      <c r="B9341" s="28"/>
      <c r="C9341" s="3" t="s">
        <v>4</v>
      </c>
    </row>
    <row r="9342" spans="1:3" ht="13.5" thickBot="1" x14ac:dyDescent="0.25">
      <c r="A9342" s="3">
        <v>1264</v>
      </c>
      <c r="B9342" s="28"/>
      <c r="C9342" s="3" t="s">
        <v>6</v>
      </c>
    </row>
    <row r="9343" spans="1:3" ht="13.5" thickBot="1" x14ac:dyDescent="0.25">
      <c r="A9343" s="3">
        <v>2987</v>
      </c>
      <c r="B9343" s="28"/>
      <c r="C9343" s="3" t="s">
        <v>4</v>
      </c>
    </row>
    <row r="9344" spans="1:3" ht="13.5" thickBot="1" x14ac:dyDescent="0.25">
      <c r="A9344" s="3">
        <v>2951</v>
      </c>
      <c r="B9344" s="28"/>
      <c r="C9344" s="3" t="s">
        <v>4</v>
      </c>
    </row>
    <row r="9345" spans="1:3" ht="13.5" thickBot="1" x14ac:dyDescent="0.25">
      <c r="A9345" s="3">
        <v>2514</v>
      </c>
      <c r="B9345" s="28"/>
      <c r="C9345" s="3" t="s">
        <v>6</v>
      </c>
    </row>
    <row r="9346" spans="1:3" ht="13.5" thickBot="1" x14ac:dyDescent="0.25">
      <c r="A9346" s="3">
        <v>5175</v>
      </c>
      <c r="B9346" s="28"/>
      <c r="C9346" s="3" t="s">
        <v>4</v>
      </c>
    </row>
    <row r="9347" spans="1:3" ht="13.5" thickBot="1" x14ac:dyDescent="0.25">
      <c r="A9347" s="3">
        <v>421</v>
      </c>
      <c r="B9347" s="28"/>
      <c r="C9347" s="3" t="s">
        <v>3</v>
      </c>
    </row>
    <row r="9348" spans="1:3" ht="13.5" thickBot="1" x14ac:dyDescent="0.25">
      <c r="A9348" s="3">
        <v>3437</v>
      </c>
      <c r="B9348" s="28"/>
      <c r="C9348" s="3" t="s">
        <v>3</v>
      </c>
    </row>
    <row r="9349" spans="1:3" ht="13.5" thickBot="1" x14ac:dyDescent="0.25">
      <c r="A9349" s="3">
        <v>7470</v>
      </c>
      <c r="B9349" s="28"/>
      <c r="C9349" s="3" t="s">
        <v>4</v>
      </c>
    </row>
    <row r="9350" spans="1:3" ht="13.5" thickBot="1" x14ac:dyDescent="0.25">
      <c r="A9350" s="3">
        <v>1208</v>
      </c>
      <c r="B9350" s="28"/>
      <c r="C9350" s="3" t="s">
        <v>3</v>
      </c>
    </row>
    <row r="9351" spans="1:3" ht="13.5" thickBot="1" x14ac:dyDescent="0.25">
      <c r="A9351" s="3">
        <v>5730</v>
      </c>
      <c r="B9351" s="28"/>
      <c r="C9351" s="3" t="s">
        <v>6</v>
      </c>
    </row>
    <row r="9352" spans="1:3" ht="13.5" thickBot="1" x14ac:dyDescent="0.25">
      <c r="A9352" s="3">
        <v>7399</v>
      </c>
      <c r="B9352" s="28"/>
      <c r="C9352" s="3" t="s">
        <v>6</v>
      </c>
    </row>
    <row r="9353" spans="1:3" ht="13.5" thickBot="1" x14ac:dyDescent="0.25">
      <c r="A9353" s="3">
        <v>6657</v>
      </c>
      <c r="B9353" s="28"/>
      <c r="C9353" s="3" t="s">
        <v>4</v>
      </c>
    </row>
    <row r="9354" spans="1:3" ht="13.5" thickBot="1" x14ac:dyDescent="0.25">
      <c r="A9354" s="3">
        <v>7776</v>
      </c>
      <c r="B9354" s="28"/>
      <c r="C9354" s="3" t="s">
        <v>7</v>
      </c>
    </row>
    <row r="9355" spans="1:3" ht="13.5" thickBot="1" x14ac:dyDescent="0.25">
      <c r="A9355" s="3">
        <v>7583</v>
      </c>
      <c r="B9355" s="28"/>
      <c r="C9355" s="3" t="s">
        <v>6</v>
      </c>
    </row>
    <row r="9356" spans="1:3" ht="13.5" thickBot="1" x14ac:dyDescent="0.25">
      <c r="A9356" s="3">
        <v>4764</v>
      </c>
      <c r="B9356" s="28"/>
      <c r="C9356" s="3" t="s">
        <v>3</v>
      </c>
    </row>
    <row r="9357" spans="1:3" ht="13.5" thickBot="1" x14ac:dyDescent="0.25">
      <c r="A9357" s="3">
        <v>189</v>
      </c>
      <c r="B9357" s="28"/>
      <c r="C9357" s="3" t="s">
        <v>3</v>
      </c>
    </row>
    <row r="9358" spans="1:3" ht="13.5" thickBot="1" x14ac:dyDescent="0.25">
      <c r="A9358" s="3">
        <v>6514</v>
      </c>
      <c r="B9358" s="28"/>
      <c r="C9358" s="3" t="s">
        <v>3</v>
      </c>
    </row>
    <row r="9359" spans="1:3" ht="13.5" thickBot="1" x14ac:dyDescent="0.25">
      <c r="A9359" s="3">
        <v>3881</v>
      </c>
      <c r="B9359" s="28"/>
      <c r="C9359" s="3" t="s">
        <v>4</v>
      </c>
    </row>
    <row r="9360" spans="1:3" ht="13.5" thickBot="1" x14ac:dyDescent="0.25">
      <c r="A9360" s="3">
        <v>5429</v>
      </c>
      <c r="B9360" s="28"/>
      <c r="C9360" s="3" t="s">
        <v>6</v>
      </c>
    </row>
    <row r="9361" spans="1:3" ht="13.5" thickBot="1" x14ac:dyDescent="0.25">
      <c r="A9361" s="3">
        <v>4370</v>
      </c>
      <c r="B9361" s="28"/>
      <c r="C9361" s="3" t="s">
        <v>4</v>
      </c>
    </row>
    <row r="9362" spans="1:3" ht="13.5" thickBot="1" x14ac:dyDescent="0.25">
      <c r="A9362" s="3">
        <v>473</v>
      </c>
      <c r="B9362" s="28"/>
      <c r="C9362" s="3" t="s">
        <v>6</v>
      </c>
    </row>
    <row r="9363" spans="1:3" ht="13.5" thickBot="1" x14ac:dyDescent="0.25">
      <c r="A9363" s="3">
        <v>1321</v>
      </c>
      <c r="B9363" s="28"/>
      <c r="C9363" s="3" t="s">
        <v>6</v>
      </c>
    </row>
    <row r="9364" spans="1:3" ht="13.5" thickBot="1" x14ac:dyDescent="0.25">
      <c r="A9364" s="3">
        <v>6094</v>
      </c>
      <c r="B9364" s="28"/>
      <c r="C9364" s="3" t="s">
        <v>7</v>
      </c>
    </row>
    <row r="9365" spans="1:3" ht="13.5" thickBot="1" x14ac:dyDescent="0.25">
      <c r="A9365" s="3">
        <v>2723</v>
      </c>
      <c r="B9365" s="28"/>
      <c r="C9365" s="3" t="s">
        <v>4</v>
      </c>
    </row>
    <row r="9366" spans="1:3" ht="13.5" thickBot="1" x14ac:dyDescent="0.25">
      <c r="A9366" s="3">
        <v>7486</v>
      </c>
      <c r="B9366" s="28"/>
      <c r="C9366" s="3" t="s">
        <v>3</v>
      </c>
    </row>
    <row r="9367" spans="1:3" ht="13.5" thickBot="1" x14ac:dyDescent="0.25">
      <c r="A9367" s="3">
        <v>2812</v>
      </c>
      <c r="B9367" s="28"/>
      <c r="C9367" s="3" t="s">
        <v>3</v>
      </c>
    </row>
    <row r="9368" spans="1:3" ht="13.5" thickBot="1" x14ac:dyDescent="0.25">
      <c r="A9368" s="3">
        <v>2099</v>
      </c>
      <c r="B9368" s="28"/>
      <c r="C9368" s="3" t="s">
        <v>7</v>
      </c>
    </row>
    <row r="9369" spans="1:3" ht="13.5" thickBot="1" x14ac:dyDescent="0.25">
      <c r="A9369" s="3">
        <v>1868</v>
      </c>
      <c r="B9369" s="28"/>
      <c r="C9369" s="3" t="s">
        <v>5</v>
      </c>
    </row>
    <row r="9370" spans="1:3" ht="13.5" thickBot="1" x14ac:dyDescent="0.25">
      <c r="A9370" s="3">
        <v>6821</v>
      </c>
      <c r="B9370" s="28"/>
      <c r="C9370" s="3" t="s">
        <v>6</v>
      </c>
    </row>
    <row r="9371" spans="1:3" ht="13.5" thickBot="1" x14ac:dyDescent="0.25">
      <c r="A9371" s="3">
        <v>1028</v>
      </c>
      <c r="B9371" s="28"/>
      <c r="C9371" s="3" t="s">
        <v>5</v>
      </c>
    </row>
    <row r="9372" spans="1:3" ht="13.5" thickBot="1" x14ac:dyDescent="0.25">
      <c r="A9372" s="3">
        <v>5861</v>
      </c>
      <c r="B9372" s="28"/>
      <c r="C9372" s="3" t="s">
        <v>7</v>
      </c>
    </row>
    <row r="9373" spans="1:3" ht="13.5" thickBot="1" x14ac:dyDescent="0.25">
      <c r="A9373" s="3">
        <v>4810</v>
      </c>
      <c r="B9373" s="28"/>
      <c r="C9373" s="3" t="s">
        <v>3</v>
      </c>
    </row>
    <row r="9374" spans="1:3" ht="13.5" thickBot="1" x14ac:dyDescent="0.25">
      <c r="A9374" s="3">
        <v>582</v>
      </c>
      <c r="B9374" s="28"/>
      <c r="C9374" s="3" t="s">
        <v>3</v>
      </c>
    </row>
    <row r="9375" spans="1:3" ht="13.5" thickBot="1" x14ac:dyDescent="0.25">
      <c r="A9375" s="3">
        <v>5308</v>
      </c>
      <c r="B9375" s="28"/>
      <c r="C9375" s="3" t="s">
        <v>3</v>
      </c>
    </row>
    <row r="9376" spans="1:3" ht="13.5" thickBot="1" x14ac:dyDescent="0.25">
      <c r="A9376" s="3">
        <v>1034</v>
      </c>
      <c r="B9376" s="28"/>
      <c r="C9376" s="3" t="s">
        <v>3</v>
      </c>
    </row>
    <row r="9377" spans="1:3" ht="13.5" thickBot="1" x14ac:dyDescent="0.25">
      <c r="A9377" s="3">
        <v>1902</v>
      </c>
      <c r="B9377" s="28"/>
      <c r="C9377" s="3" t="s">
        <v>3</v>
      </c>
    </row>
    <row r="9378" spans="1:3" ht="13.5" thickBot="1" x14ac:dyDescent="0.25">
      <c r="A9378" s="3">
        <v>5308</v>
      </c>
      <c r="B9378" s="28"/>
      <c r="C9378" s="3" t="s">
        <v>5</v>
      </c>
    </row>
    <row r="9379" spans="1:3" ht="13.5" thickBot="1" x14ac:dyDescent="0.25">
      <c r="A9379" s="3">
        <v>1717</v>
      </c>
      <c r="B9379" s="28"/>
      <c r="C9379" s="3" t="s">
        <v>3</v>
      </c>
    </row>
    <row r="9380" spans="1:3" ht="13.5" thickBot="1" x14ac:dyDescent="0.25">
      <c r="A9380" s="3">
        <v>3695</v>
      </c>
      <c r="B9380" s="28"/>
      <c r="C9380" s="3" t="s">
        <v>3</v>
      </c>
    </row>
    <row r="9381" spans="1:3" ht="13.5" thickBot="1" x14ac:dyDescent="0.25">
      <c r="A9381" s="3">
        <v>1750</v>
      </c>
      <c r="B9381" s="28"/>
      <c r="C9381" s="3" t="s">
        <v>3</v>
      </c>
    </row>
    <row r="9382" spans="1:3" ht="13.5" thickBot="1" x14ac:dyDescent="0.25">
      <c r="A9382" s="3">
        <v>1537</v>
      </c>
      <c r="B9382" s="28"/>
      <c r="C9382" s="3" t="s">
        <v>5</v>
      </c>
    </row>
    <row r="9383" spans="1:3" ht="13.5" thickBot="1" x14ac:dyDescent="0.25">
      <c r="A9383" s="3">
        <v>1147</v>
      </c>
      <c r="B9383" s="28"/>
      <c r="C9383" s="3" t="s">
        <v>4</v>
      </c>
    </row>
    <row r="9384" spans="1:3" ht="13.5" thickBot="1" x14ac:dyDescent="0.25">
      <c r="A9384" s="3">
        <v>2099</v>
      </c>
      <c r="B9384" s="28"/>
      <c r="C9384" s="3" t="s">
        <v>4</v>
      </c>
    </row>
    <row r="9385" spans="1:3" ht="13.5" thickBot="1" x14ac:dyDescent="0.25">
      <c r="A9385" s="3">
        <v>6135</v>
      </c>
      <c r="B9385" s="28"/>
      <c r="C9385" s="3" t="s">
        <v>5</v>
      </c>
    </row>
    <row r="9386" spans="1:3" ht="13.5" thickBot="1" x14ac:dyDescent="0.25">
      <c r="A9386" s="3">
        <v>1034</v>
      </c>
      <c r="B9386" s="28"/>
      <c r="C9386" s="3" t="s">
        <v>4</v>
      </c>
    </row>
    <row r="9387" spans="1:3" ht="13.5" thickBot="1" x14ac:dyDescent="0.25">
      <c r="A9387" s="3">
        <v>5167</v>
      </c>
      <c r="B9387" s="28"/>
      <c r="C9387" s="3" t="s">
        <v>3</v>
      </c>
    </row>
    <row r="9388" spans="1:3" ht="13.5" thickBot="1" x14ac:dyDescent="0.25">
      <c r="A9388" s="3">
        <v>6958</v>
      </c>
      <c r="B9388" s="28"/>
      <c r="C9388" s="3" t="s">
        <v>3</v>
      </c>
    </row>
    <row r="9389" spans="1:3" ht="13.5" thickBot="1" x14ac:dyDescent="0.25">
      <c r="A9389" s="3">
        <v>7941</v>
      </c>
      <c r="B9389" s="28"/>
      <c r="C9389" s="3" t="s">
        <v>6</v>
      </c>
    </row>
    <row r="9390" spans="1:3" ht="13.5" thickBot="1" x14ac:dyDescent="0.25">
      <c r="A9390" s="3">
        <v>3207</v>
      </c>
      <c r="B9390" s="28"/>
      <c r="C9390" s="3" t="s">
        <v>3</v>
      </c>
    </row>
    <row r="9391" spans="1:3" ht="13.5" thickBot="1" x14ac:dyDescent="0.25">
      <c r="A9391" s="3">
        <v>3279</v>
      </c>
      <c r="B9391" s="28"/>
      <c r="C9391" s="3" t="s">
        <v>3</v>
      </c>
    </row>
    <row r="9392" spans="1:3" ht="13.5" thickBot="1" x14ac:dyDescent="0.25">
      <c r="A9392" s="3">
        <v>4010</v>
      </c>
      <c r="B9392" s="28"/>
      <c r="C9392" s="3" t="s">
        <v>3</v>
      </c>
    </row>
    <row r="9393" spans="1:3" ht="13.5" thickBot="1" x14ac:dyDescent="0.25">
      <c r="A9393" s="3">
        <v>427</v>
      </c>
      <c r="B9393" s="28"/>
      <c r="C9393" s="3" t="s">
        <v>6</v>
      </c>
    </row>
    <row r="9394" spans="1:3" ht="13.5" thickBot="1" x14ac:dyDescent="0.25">
      <c r="A9394" s="3">
        <v>4971</v>
      </c>
      <c r="B9394" s="28"/>
      <c r="C9394" s="3" t="s">
        <v>3</v>
      </c>
    </row>
    <row r="9395" spans="1:3" ht="13.5" thickBot="1" x14ac:dyDescent="0.25">
      <c r="A9395" s="3">
        <v>5393</v>
      </c>
      <c r="B9395" s="28"/>
      <c r="C9395" s="3" t="s">
        <v>3</v>
      </c>
    </row>
    <row r="9396" spans="1:3" ht="13.5" thickBot="1" x14ac:dyDescent="0.25">
      <c r="A9396" s="3">
        <v>4014</v>
      </c>
      <c r="B9396" s="28"/>
      <c r="C9396" s="3" t="s">
        <v>4</v>
      </c>
    </row>
    <row r="9397" spans="1:3" ht="13.5" thickBot="1" x14ac:dyDescent="0.25">
      <c r="A9397" s="3">
        <v>3855</v>
      </c>
      <c r="B9397" s="28"/>
      <c r="C9397" s="3" t="s">
        <v>3</v>
      </c>
    </row>
    <row r="9398" spans="1:3" ht="13.5" thickBot="1" x14ac:dyDescent="0.25">
      <c r="A9398" s="3">
        <v>4197</v>
      </c>
      <c r="B9398" s="28"/>
      <c r="C9398" s="3" t="s">
        <v>4</v>
      </c>
    </row>
    <row r="9399" spans="1:3" ht="13.5" thickBot="1" x14ac:dyDescent="0.25">
      <c r="A9399" s="3">
        <v>1442</v>
      </c>
      <c r="B9399" s="28"/>
      <c r="C9399" s="3" t="s">
        <v>3</v>
      </c>
    </row>
    <row r="9400" spans="1:3" ht="13.5" thickBot="1" x14ac:dyDescent="0.25">
      <c r="A9400" s="3">
        <v>5637</v>
      </c>
      <c r="B9400" s="28"/>
      <c r="C9400" s="3" t="s">
        <v>7</v>
      </c>
    </row>
    <row r="9401" spans="1:3" ht="13.5" thickBot="1" x14ac:dyDescent="0.25">
      <c r="A9401" s="3">
        <v>5998</v>
      </c>
      <c r="B9401" s="28"/>
      <c r="C9401" s="3" t="s">
        <v>3</v>
      </c>
    </row>
    <row r="9402" spans="1:3" ht="13.5" thickBot="1" x14ac:dyDescent="0.25">
      <c r="A9402" s="3">
        <v>5868</v>
      </c>
      <c r="B9402" s="28"/>
      <c r="C9402" s="3" t="s">
        <v>3</v>
      </c>
    </row>
    <row r="9403" spans="1:3" ht="13.5" thickBot="1" x14ac:dyDescent="0.25">
      <c r="A9403" s="3">
        <v>6094</v>
      </c>
      <c r="B9403" s="28"/>
      <c r="C9403" s="3" t="s">
        <v>6</v>
      </c>
    </row>
    <row r="9404" spans="1:3" ht="13.5" thickBot="1" x14ac:dyDescent="0.25">
      <c r="A9404" s="3">
        <v>6023</v>
      </c>
      <c r="B9404" s="28"/>
      <c r="C9404" s="3" t="s">
        <v>3</v>
      </c>
    </row>
    <row r="9405" spans="1:3" ht="13.5" thickBot="1" x14ac:dyDescent="0.25">
      <c r="A9405" s="3">
        <v>1133</v>
      </c>
      <c r="B9405" s="28"/>
      <c r="C9405" s="3" t="s">
        <v>3</v>
      </c>
    </row>
    <row r="9406" spans="1:3" ht="13.5" thickBot="1" x14ac:dyDescent="0.25">
      <c r="A9406" s="3">
        <v>2280</v>
      </c>
      <c r="B9406" s="28"/>
      <c r="C9406" s="3" t="s">
        <v>3</v>
      </c>
    </row>
    <row r="9407" spans="1:3" ht="13.5" thickBot="1" x14ac:dyDescent="0.25">
      <c r="A9407" s="3">
        <v>6135</v>
      </c>
      <c r="B9407" s="28"/>
      <c r="C9407" s="3" t="s">
        <v>3</v>
      </c>
    </row>
    <row r="9408" spans="1:3" ht="13.5" thickBot="1" x14ac:dyDescent="0.25">
      <c r="A9408" s="3">
        <v>3411</v>
      </c>
      <c r="B9408" s="28"/>
      <c r="C9408" s="3" t="s">
        <v>4</v>
      </c>
    </row>
    <row r="9409" spans="1:3" ht="13.5" thickBot="1" x14ac:dyDescent="0.25">
      <c r="A9409" s="3">
        <v>3264</v>
      </c>
      <c r="B9409" s="28"/>
      <c r="C9409" s="3" t="s">
        <v>6</v>
      </c>
    </row>
    <row r="9410" spans="1:3" ht="13.5" thickBot="1" x14ac:dyDescent="0.25">
      <c r="A9410" s="3">
        <v>2571</v>
      </c>
      <c r="B9410" s="28"/>
      <c r="C9410" s="3" t="s">
        <v>7</v>
      </c>
    </row>
    <row r="9411" spans="1:3" ht="13.5" thickBot="1" x14ac:dyDescent="0.25">
      <c r="A9411" s="3">
        <v>5361</v>
      </c>
      <c r="B9411" s="28"/>
      <c r="C9411" s="3" t="s">
        <v>4</v>
      </c>
    </row>
    <row r="9412" spans="1:3" ht="13.5" thickBot="1" x14ac:dyDescent="0.25">
      <c r="A9412" s="3">
        <v>4370</v>
      </c>
      <c r="B9412" s="28"/>
      <c r="C9412" s="3" t="s">
        <v>3</v>
      </c>
    </row>
    <row r="9413" spans="1:3" ht="13.5" thickBot="1" x14ac:dyDescent="0.25">
      <c r="A9413" s="3">
        <v>2567</v>
      </c>
      <c r="B9413" s="28"/>
      <c r="C9413" s="3" t="s">
        <v>3</v>
      </c>
    </row>
    <row r="9414" spans="1:3" ht="13.5" thickBot="1" x14ac:dyDescent="0.25">
      <c r="A9414" s="3">
        <v>3998</v>
      </c>
      <c r="B9414" s="28"/>
      <c r="C9414" s="3" t="s">
        <v>3</v>
      </c>
    </row>
    <row r="9415" spans="1:3" ht="13.5" thickBot="1" x14ac:dyDescent="0.25">
      <c r="A9415" s="3">
        <v>5066</v>
      </c>
      <c r="B9415" s="28"/>
      <c r="C9415" s="3" t="s">
        <v>3</v>
      </c>
    </row>
    <row r="9416" spans="1:3" ht="13.5" thickBot="1" x14ac:dyDescent="0.25">
      <c r="A9416" s="3">
        <v>6135</v>
      </c>
      <c r="B9416" s="28"/>
      <c r="C9416" s="3" t="s">
        <v>4</v>
      </c>
    </row>
    <row r="9417" spans="1:3" ht="13.5" thickBot="1" x14ac:dyDescent="0.25">
      <c r="A9417" s="3">
        <v>4010</v>
      </c>
      <c r="B9417" s="28"/>
      <c r="C9417" s="3" t="s">
        <v>4</v>
      </c>
    </row>
    <row r="9418" spans="1:3" ht="13.5" thickBot="1" x14ac:dyDescent="0.25">
      <c r="A9418" s="3">
        <v>2458</v>
      </c>
      <c r="B9418" s="28"/>
      <c r="C9418" s="3" t="s">
        <v>7</v>
      </c>
    </row>
    <row r="9419" spans="1:3" ht="13.5" thickBot="1" x14ac:dyDescent="0.25">
      <c r="A9419" s="3">
        <v>5479</v>
      </c>
      <c r="B9419" s="28"/>
      <c r="C9419" s="3" t="s">
        <v>3</v>
      </c>
    </row>
    <row r="9420" spans="1:3" ht="13.5" thickBot="1" x14ac:dyDescent="0.25">
      <c r="A9420" s="3">
        <v>1411</v>
      </c>
      <c r="B9420" s="28"/>
      <c r="C9420" s="3" t="s">
        <v>3</v>
      </c>
    </row>
    <row r="9421" spans="1:3" ht="13.5" thickBot="1" x14ac:dyDescent="0.25">
      <c r="A9421" s="3">
        <v>7203</v>
      </c>
      <c r="B9421" s="28"/>
      <c r="C9421" s="3" t="s">
        <v>3</v>
      </c>
    </row>
    <row r="9422" spans="1:3" ht="13.5" thickBot="1" x14ac:dyDescent="0.25">
      <c r="A9422" s="3">
        <v>7486</v>
      </c>
      <c r="B9422" s="28"/>
      <c r="C9422" s="3" t="s">
        <v>5</v>
      </c>
    </row>
    <row r="9423" spans="1:3" ht="13.5" thickBot="1" x14ac:dyDescent="0.25">
      <c r="A9423" s="3">
        <v>6023</v>
      </c>
      <c r="B9423" s="28"/>
      <c r="C9423" s="3" t="s">
        <v>5</v>
      </c>
    </row>
    <row r="9424" spans="1:3" ht="13.5" thickBot="1" x14ac:dyDescent="0.25">
      <c r="A9424" s="3">
        <v>5346</v>
      </c>
      <c r="B9424" s="28"/>
      <c r="C9424" s="3" t="s">
        <v>4</v>
      </c>
    </row>
    <row r="9425" spans="1:3" ht="13.5" thickBot="1" x14ac:dyDescent="0.25">
      <c r="A9425" s="3">
        <v>369</v>
      </c>
      <c r="B9425" s="28"/>
      <c r="C9425" s="3" t="s">
        <v>3</v>
      </c>
    </row>
    <row r="9426" spans="1:3" ht="13.5" thickBot="1" x14ac:dyDescent="0.25">
      <c r="A9426" s="3">
        <v>576</v>
      </c>
      <c r="B9426" s="28"/>
      <c r="C9426" s="3" t="s">
        <v>3</v>
      </c>
    </row>
    <row r="9427" spans="1:3" ht="13.5" thickBot="1" x14ac:dyDescent="0.25">
      <c r="A9427" s="3">
        <v>3092</v>
      </c>
      <c r="B9427" s="28"/>
      <c r="C9427" s="3" t="s">
        <v>3</v>
      </c>
    </row>
    <row r="9428" spans="1:3" ht="13.5" thickBot="1" x14ac:dyDescent="0.25">
      <c r="A9428" s="3">
        <v>7504</v>
      </c>
      <c r="B9428" s="28"/>
      <c r="C9428" s="3" t="s">
        <v>3</v>
      </c>
    </row>
    <row r="9429" spans="1:3" ht="13.5" thickBot="1" x14ac:dyDescent="0.25">
      <c r="A9429" s="3">
        <v>1872</v>
      </c>
      <c r="B9429" s="28"/>
      <c r="C9429" s="3" t="s">
        <v>7</v>
      </c>
    </row>
    <row r="9430" spans="1:3" ht="13.5" thickBot="1" x14ac:dyDescent="0.25">
      <c r="A9430" s="3">
        <v>2477</v>
      </c>
      <c r="B9430" s="28"/>
      <c r="C9430" s="3" t="s">
        <v>3</v>
      </c>
    </row>
    <row r="9431" spans="1:3" ht="13.5" thickBot="1" x14ac:dyDescent="0.25">
      <c r="A9431" s="3">
        <v>7941</v>
      </c>
      <c r="B9431" s="28"/>
      <c r="C9431" s="3" t="s">
        <v>7</v>
      </c>
    </row>
    <row r="9432" spans="1:3" ht="13.5" thickBot="1" x14ac:dyDescent="0.25">
      <c r="A9432" s="3">
        <v>1972</v>
      </c>
      <c r="B9432" s="28"/>
      <c r="C9432" s="3" t="s">
        <v>7</v>
      </c>
    </row>
    <row r="9433" spans="1:3" ht="13.5" thickBot="1" x14ac:dyDescent="0.25">
      <c r="A9433" s="3">
        <v>4123</v>
      </c>
      <c r="B9433" s="28"/>
      <c r="C9433" s="3" t="s">
        <v>3</v>
      </c>
    </row>
    <row r="9434" spans="1:3" ht="13.5" thickBot="1" x14ac:dyDescent="0.25">
      <c r="A9434" s="3">
        <v>3855</v>
      </c>
      <c r="B9434" s="28"/>
      <c r="C9434" s="3" t="s">
        <v>4</v>
      </c>
    </row>
    <row r="9435" spans="1:3" ht="13.5" thickBot="1" x14ac:dyDescent="0.25">
      <c r="A9435" s="3">
        <v>2772</v>
      </c>
      <c r="B9435" s="28"/>
      <c r="C9435" s="3" t="s">
        <v>3</v>
      </c>
    </row>
    <row r="9436" spans="1:3" ht="13.5" thickBot="1" x14ac:dyDescent="0.25">
      <c r="A9436" s="3">
        <v>5153</v>
      </c>
      <c r="B9436" s="28"/>
      <c r="C9436" s="3" t="s">
        <v>6</v>
      </c>
    </row>
    <row r="9437" spans="1:3" ht="13.5" thickBot="1" x14ac:dyDescent="0.25">
      <c r="A9437" s="3">
        <v>715</v>
      </c>
      <c r="B9437" s="28"/>
      <c r="C9437" s="3" t="s">
        <v>3</v>
      </c>
    </row>
    <row r="9438" spans="1:3" ht="13.5" thickBot="1" x14ac:dyDescent="0.25">
      <c r="A9438" s="3">
        <v>1870</v>
      </c>
      <c r="B9438" s="28"/>
      <c r="C9438" s="3" t="s">
        <v>3</v>
      </c>
    </row>
    <row r="9439" spans="1:3" ht="13.5" thickBot="1" x14ac:dyDescent="0.25">
      <c r="A9439" s="3">
        <v>1263</v>
      </c>
      <c r="B9439" s="28"/>
      <c r="C9439" s="3" t="s">
        <v>3</v>
      </c>
    </row>
    <row r="9440" spans="1:3" ht="13.5" thickBot="1" x14ac:dyDescent="0.25">
      <c r="A9440" s="3">
        <v>7414</v>
      </c>
      <c r="B9440" s="28"/>
      <c r="C9440" s="3" t="s">
        <v>4</v>
      </c>
    </row>
    <row r="9441" spans="1:3" ht="13.5" thickBot="1" x14ac:dyDescent="0.25">
      <c r="A9441" s="3">
        <v>5871</v>
      </c>
      <c r="B9441" s="28"/>
      <c r="C9441" s="3" t="s">
        <v>4</v>
      </c>
    </row>
    <row r="9442" spans="1:3" ht="13.5" thickBot="1" x14ac:dyDescent="0.25">
      <c r="A9442" s="3">
        <v>6109</v>
      </c>
      <c r="B9442" s="28"/>
      <c r="C9442" s="3" t="s">
        <v>3</v>
      </c>
    </row>
    <row r="9443" spans="1:3" ht="13.5" thickBot="1" x14ac:dyDescent="0.25">
      <c r="A9443" s="3">
        <v>997</v>
      </c>
      <c r="B9443" s="28"/>
      <c r="C9443" s="3" t="s">
        <v>6</v>
      </c>
    </row>
    <row r="9444" spans="1:3" ht="13.5" thickBot="1" x14ac:dyDescent="0.25">
      <c r="A9444" s="3">
        <v>6657</v>
      </c>
      <c r="B9444" s="28"/>
      <c r="C9444" s="3" t="s">
        <v>7</v>
      </c>
    </row>
    <row r="9445" spans="1:3" ht="13.5" thickBot="1" x14ac:dyDescent="0.25">
      <c r="A9445" s="3">
        <v>5308</v>
      </c>
      <c r="B9445" s="28"/>
      <c r="C9445" s="3" t="s">
        <v>4</v>
      </c>
    </row>
    <row r="9446" spans="1:3" ht="13.5" thickBot="1" x14ac:dyDescent="0.25">
      <c r="A9446" s="3">
        <v>421</v>
      </c>
      <c r="B9446" s="28"/>
      <c r="C9446" s="3" t="s">
        <v>4</v>
      </c>
    </row>
    <row r="9447" spans="1:3" ht="13.5" thickBot="1" x14ac:dyDescent="0.25">
      <c r="A9447" s="3">
        <v>2274</v>
      </c>
      <c r="B9447" s="28"/>
      <c r="C9447" s="3" t="s">
        <v>3</v>
      </c>
    </row>
    <row r="9448" spans="1:3" ht="13.5" thickBot="1" x14ac:dyDescent="0.25">
      <c r="A9448" s="3">
        <v>2186</v>
      </c>
      <c r="B9448" s="28"/>
      <c r="C9448" s="3" t="s">
        <v>4</v>
      </c>
    </row>
    <row r="9449" spans="1:3" ht="13.5" thickBot="1" x14ac:dyDescent="0.25">
      <c r="A9449" s="3">
        <v>3299</v>
      </c>
      <c r="B9449" s="28"/>
      <c r="C9449" s="3" t="s">
        <v>3</v>
      </c>
    </row>
    <row r="9450" spans="1:3" ht="13.5" thickBot="1" x14ac:dyDescent="0.25">
      <c r="A9450" s="3">
        <v>2274</v>
      </c>
      <c r="B9450" s="28"/>
      <c r="C9450" s="3" t="s">
        <v>5</v>
      </c>
    </row>
    <row r="9451" spans="1:3" ht="13.5" thickBot="1" x14ac:dyDescent="0.25">
      <c r="A9451" s="3">
        <v>3628</v>
      </c>
      <c r="B9451" s="28"/>
      <c r="C9451" s="3" t="s">
        <v>3</v>
      </c>
    </row>
    <row r="9452" spans="1:3" ht="13.5" thickBot="1" x14ac:dyDescent="0.25">
      <c r="A9452" s="3">
        <v>3998</v>
      </c>
      <c r="B9452" s="28"/>
      <c r="C9452" s="3" t="s">
        <v>4</v>
      </c>
    </row>
    <row r="9453" spans="1:3" ht="13.5" thickBot="1" x14ac:dyDescent="0.25">
      <c r="A9453" s="3">
        <v>6930</v>
      </c>
      <c r="B9453" s="28"/>
      <c r="C9453" s="3" t="s">
        <v>4</v>
      </c>
    </row>
    <row r="9454" spans="1:3" ht="13.5" thickBot="1" x14ac:dyDescent="0.25">
      <c r="A9454" s="3">
        <v>2671</v>
      </c>
      <c r="B9454" s="28"/>
      <c r="C9454" s="3" t="s">
        <v>3</v>
      </c>
    </row>
    <row r="9455" spans="1:3" ht="13.5" thickBot="1" x14ac:dyDescent="0.25">
      <c r="A9455" s="3">
        <v>4510</v>
      </c>
      <c r="B9455" s="28"/>
      <c r="C9455" s="3" t="s">
        <v>3</v>
      </c>
    </row>
    <row r="9456" spans="1:3" ht="13.5" thickBot="1" x14ac:dyDescent="0.25">
      <c r="A9456" s="3">
        <v>4060</v>
      </c>
      <c r="B9456" s="28"/>
      <c r="C9456" s="3" t="s">
        <v>6</v>
      </c>
    </row>
    <row r="9457" spans="1:3" ht="13.5" thickBot="1" x14ac:dyDescent="0.25">
      <c r="A9457" s="3">
        <v>3099</v>
      </c>
      <c r="B9457" s="28"/>
      <c r="C9457" s="3" t="s">
        <v>3</v>
      </c>
    </row>
    <row r="9458" spans="1:3" ht="13.5" thickBot="1" x14ac:dyDescent="0.25">
      <c r="A9458" s="3">
        <v>6627</v>
      </c>
      <c r="B9458" s="28"/>
      <c r="C9458" s="3" t="s">
        <v>6</v>
      </c>
    </row>
    <row r="9459" spans="1:3" ht="13.5" thickBot="1" x14ac:dyDescent="0.25">
      <c r="A9459" s="3">
        <v>6875</v>
      </c>
      <c r="B9459" s="28"/>
      <c r="C9459" s="3" t="s">
        <v>3</v>
      </c>
    </row>
    <row r="9460" spans="1:3" ht="13.5" thickBot="1" x14ac:dyDescent="0.25">
      <c r="A9460" s="3">
        <v>2841</v>
      </c>
      <c r="B9460" s="28"/>
      <c r="C9460" s="3" t="s">
        <v>3</v>
      </c>
    </row>
    <row r="9461" spans="1:3" ht="13.5" thickBot="1" x14ac:dyDescent="0.25">
      <c r="A9461" s="3">
        <v>1034</v>
      </c>
      <c r="B9461" s="28"/>
      <c r="C9461" s="3" t="s">
        <v>5</v>
      </c>
    </row>
    <row r="9462" spans="1:3" ht="13.5" thickBot="1" x14ac:dyDescent="0.25">
      <c r="A9462" s="3">
        <v>6023</v>
      </c>
      <c r="B9462" s="28"/>
      <c r="C9462" s="3" t="s">
        <v>4</v>
      </c>
    </row>
    <row r="9463" spans="1:3" ht="13.5" thickBot="1" x14ac:dyDescent="0.25">
      <c r="A9463" s="3">
        <v>1442</v>
      </c>
      <c r="B9463" s="28"/>
      <c r="C9463" s="3" t="s">
        <v>4</v>
      </c>
    </row>
    <row r="9464" spans="1:3" ht="13.5" thickBot="1" x14ac:dyDescent="0.25">
      <c r="A9464" s="3">
        <v>3194</v>
      </c>
      <c r="B9464" s="28"/>
      <c r="C9464" s="3" t="s">
        <v>4</v>
      </c>
    </row>
    <row r="9465" spans="1:3" ht="13.5" thickBot="1" x14ac:dyDescent="0.25">
      <c r="A9465" s="3">
        <v>2115</v>
      </c>
      <c r="B9465" s="28"/>
      <c r="C9465" s="3" t="s">
        <v>3</v>
      </c>
    </row>
    <row r="9466" spans="1:3" ht="13.5" thickBot="1" x14ac:dyDescent="0.25">
      <c r="A9466" s="3">
        <v>5308</v>
      </c>
      <c r="B9466" s="28"/>
      <c r="C9466" s="3" t="s">
        <v>7</v>
      </c>
    </row>
    <row r="9467" spans="1:3" ht="13.5" thickBot="1" x14ac:dyDescent="0.25">
      <c r="A9467" s="3">
        <v>1464</v>
      </c>
      <c r="B9467" s="28"/>
      <c r="C9467" s="3" t="s">
        <v>3</v>
      </c>
    </row>
    <row r="9468" spans="1:3" ht="13.5" thickBot="1" x14ac:dyDescent="0.25">
      <c r="A9468" s="3">
        <v>3208</v>
      </c>
      <c r="B9468" s="28"/>
      <c r="C9468" s="3" t="s">
        <v>3</v>
      </c>
    </row>
    <row r="9469" spans="1:3" ht="13.5" thickBot="1" x14ac:dyDescent="0.25">
      <c r="A9469" s="3">
        <v>4744</v>
      </c>
      <c r="B9469" s="28"/>
      <c r="C9469" s="3" t="s">
        <v>3</v>
      </c>
    </row>
    <row r="9470" spans="1:3" ht="13.5" thickBot="1" x14ac:dyDescent="0.25">
      <c r="A9470" s="3">
        <v>62</v>
      </c>
      <c r="B9470" s="28"/>
      <c r="C9470" s="3" t="s">
        <v>6</v>
      </c>
    </row>
    <row r="9471" spans="1:3" ht="13.5" thickBot="1" x14ac:dyDescent="0.25">
      <c r="A9471" s="3">
        <v>4307</v>
      </c>
      <c r="B9471" s="28"/>
      <c r="C9471" s="3" t="s">
        <v>5</v>
      </c>
    </row>
    <row r="9472" spans="1:3" ht="13.5" thickBot="1" x14ac:dyDescent="0.25">
      <c r="A9472" s="3">
        <v>2671</v>
      </c>
      <c r="B9472" s="28"/>
      <c r="C9472" s="3" t="s">
        <v>5</v>
      </c>
    </row>
    <row r="9473" spans="1:3" ht="13.5" thickBot="1" x14ac:dyDescent="0.25">
      <c r="A9473" s="3">
        <v>3299</v>
      </c>
      <c r="B9473" s="28"/>
      <c r="C9473" s="3" t="s">
        <v>4</v>
      </c>
    </row>
    <row r="9474" spans="1:3" ht="13.5" thickBot="1" x14ac:dyDescent="0.25">
      <c r="A9474" s="3">
        <v>5191</v>
      </c>
      <c r="B9474" s="28"/>
      <c r="C9474" s="3" t="s">
        <v>5</v>
      </c>
    </row>
    <row r="9475" spans="1:3" ht="13.5" thickBot="1" x14ac:dyDescent="0.25">
      <c r="A9475" s="3">
        <v>866</v>
      </c>
      <c r="B9475" s="28"/>
      <c r="C9475" s="3" t="s">
        <v>3</v>
      </c>
    </row>
    <row r="9476" spans="1:3" ht="13.5" thickBot="1" x14ac:dyDescent="0.25">
      <c r="A9476" s="3">
        <v>1972</v>
      </c>
      <c r="B9476" s="28"/>
      <c r="C9476" s="3" t="s">
        <v>5</v>
      </c>
    </row>
    <row r="9477" spans="1:3" ht="13.5" thickBot="1" x14ac:dyDescent="0.25">
      <c r="A9477" s="3">
        <v>5960</v>
      </c>
      <c r="B9477" s="28"/>
      <c r="C9477" s="3" t="s">
        <v>3</v>
      </c>
    </row>
    <row r="9478" spans="1:3" ht="13.5" thickBot="1" x14ac:dyDescent="0.25">
      <c r="A9478" s="3">
        <v>3468</v>
      </c>
      <c r="B9478" s="28"/>
      <c r="C9478" s="3" t="s">
        <v>4</v>
      </c>
    </row>
    <row r="9479" spans="1:3" ht="13.5" thickBot="1" x14ac:dyDescent="0.25">
      <c r="A9479" s="3">
        <v>7362</v>
      </c>
      <c r="B9479" s="28"/>
      <c r="C9479" s="3" t="s">
        <v>3</v>
      </c>
    </row>
    <row r="9480" spans="1:3" ht="13.5" thickBot="1" x14ac:dyDescent="0.25">
      <c r="A9480" s="3">
        <v>5479</v>
      </c>
      <c r="B9480" s="28"/>
      <c r="C9480" s="3" t="s">
        <v>4</v>
      </c>
    </row>
    <row r="9481" spans="1:3" ht="13.5" thickBot="1" x14ac:dyDescent="0.25">
      <c r="A9481" s="3">
        <v>3194</v>
      </c>
      <c r="B9481" s="28"/>
      <c r="C9481" s="3" t="s">
        <v>3</v>
      </c>
    </row>
    <row r="9482" spans="1:3" ht="13.5" thickBot="1" x14ac:dyDescent="0.25">
      <c r="A9482" s="3">
        <v>473</v>
      </c>
      <c r="B9482" s="28"/>
      <c r="C9482" s="3" t="s">
        <v>5</v>
      </c>
    </row>
    <row r="9483" spans="1:3" ht="13.5" thickBot="1" x14ac:dyDescent="0.25">
      <c r="A9483" s="3">
        <v>1263</v>
      </c>
      <c r="B9483" s="28"/>
      <c r="C9483" s="3" t="s">
        <v>4</v>
      </c>
    </row>
    <row r="9484" spans="1:3" ht="13.5" thickBot="1" x14ac:dyDescent="0.25">
      <c r="A9484" s="3">
        <v>1870</v>
      </c>
      <c r="B9484" s="28"/>
      <c r="C9484" s="3" t="s">
        <v>4</v>
      </c>
    </row>
    <row r="9485" spans="1:3" ht="13.5" thickBot="1" x14ac:dyDescent="0.25">
      <c r="A9485" s="3">
        <v>7241</v>
      </c>
      <c r="B9485" s="28"/>
      <c r="C9485" s="3" t="s">
        <v>3</v>
      </c>
    </row>
    <row r="9486" spans="1:3" ht="13.5" thickBot="1" x14ac:dyDescent="0.25">
      <c r="A9486" s="3">
        <v>1147</v>
      </c>
      <c r="B9486" s="28"/>
      <c r="C9486" s="3" t="s">
        <v>6</v>
      </c>
    </row>
    <row r="9487" spans="1:3" ht="13.5" thickBot="1" x14ac:dyDescent="0.25">
      <c r="A9487" s="3">
        <v>1464</v>
      </c>
      <c r="B9487" s="28"/>
      <c r="C9487" s="3" t="s">
        <v>4</v>
      </c>
    </row>
    <row r="9488" spans="1:3" ht="13.5" thickBot="1" x14ac:dyDescent="0.25">
      <c r="A9488" s="3">
        <v>4971</v>
      </c>
      <c r="B9488" s="28"/>
      <c r="C9488" s="3" t="s">
        <v>7</v>
      </c>
    </row>
    <row r="9489" spans="1:3" ht="13.5" thickBot="1" x14ac:dyDescent="0.25">
      <c r="A9489" s="3">
        <v>2723</v>
      </c>
      <c r="B9489" s="28"/>
      <c r="C9489" s="3" t="s">
        <v>6</v>
      </c>
    </row>
    <row r="9490" spans="1:3" ht="13.5" thickBot="1" x14ac:dyDescent="0.25">
      <c r="A9490" s="3">
        <v>430</v>
      </c>
      <c r="B9490" s="28"/>
      <c r="C9490" s="3" t="s">
        <v>6</v>
      </c>
    </row>
    <row r="9491" spans="1:3" ht="13.5" thickBot="1" x14ac:dyDescent="0.25">
      <c r="A9491" s="3">
        <v>4967</v>
      </c>
      <c r="B9491" s="28"/>
      <c r="C9491" s="3" t="s">
        <v>3</v>
      </c>
    </row>
    <row r="9492" spans="1:3" ht="13.5" thickBot="1" x14ac:dyDescent="0.25">
      <c r="A9492" s="3">
        <v>2222</v>
      </c>
      <c r="B9492" s="28"/>
      <c r="C9492" s="3" t="s">
        <v>3</v>
      </c>
    </row>
    <row r="9493" spans="1:3" ht="13.5" thickBot="1" x14ac:dyDescent="0.25">
      <c r="A9493" s="3">
        <v>2830</v>
      </c>
      <c r="B9493" s="28"/>
      <c r="C9493" s="3" t="s">
        <v>3</v>
      </c>
    </row>
    <row r="9494" spans="1:3" ht="13.5" thickBot="1" x14ac:dyDescent="0.25">
      <c r="A9494" s="3">
        <v>1871</v>
      </c>
      <c r="B9494" s="28"/>
      <c r="C9494" s="3" t="s">
        <v>5</v>
      </c>
    </row>
    <row r="9495" spans="1:3" ht="13.5" thickBot="1" x14ac:dyDescent="0.25">
      <c r="A9495" s="3">
        <v>3459</v>
      </c>
      <c r="B9495" s="28"/>
      <c r="C9495" s="3" t="s">
        <v>6</v>
      </c>
    </row>
    <row r="9496" spans="1:3" ht="13.5" thickBot="1" x14ac:dyDescent="0.25">
      <c r="A9496" s="3">
        <v>2222</v>
      </c>
      <c r="B9496" s="28"/>
      <c r="C9496" s="3" t="s">
        <v>4</v>
      </c>
    </row>
    <row r="9497" spans="1:3" ht="13.5" thickBot="1" x14ac:dyDescent="0.25">
      <c r="A9497" s="3">
        <v>2099</v>
      </c>
      <c r="B9497" s="28"/>
      <c r="C9497" s="3" t="s">
        <v>6</v>
      </c>
    </row>
    <row r="9498" spans="1:3" ht="13.5" thickBot="1" x14ac:dyDescent="0.25">
      <c r="A9498" s="3">
        <v>2841</v>
      </c>
      <c r="B9498" s="28"/>
      <c r="C9498" s="3" t="s">
        <v>5</v>
      </c>
    </row>
    <row r="9499" spans="1:3" ht="13.5" thickBot="1" x14ac:dyDescent="0.25">
      <c r="A9499" s="3">
        <v>2274</v>
      </c>
      <c r="B9499" s="28"/>
      <c r="C9499" s="3" t="s">
        <v>4</v>
      </c>
    </row>
    <row r="9500" spans="1:3" ht="13.5" thickBot="1" x14ac:dyDescent="0.25">
      <c r="A9500" s="3">
        <v>1091</v>
      </c>
      <c r="B9500" s="28"/>
      <c r="C9500" s="3" t="s">
        <v>5</v>
      </c>
    </row>
    <row r="9501" spans="1:3" ht="13.5" thickBot="1" x14ac:dyDescent="0.25">
      <c r="A9501" s="3">
        <v>4510</v>
      </c>
      <c r="B9501" s="28"/>
      <c r="C9501" s="3" t="s">
        <v>5</v>
      </c>
    </row>
    <row r="9502" spans="1:3" ht="13.5" thickBot="1" x14ac:dyDescent="0.25">
      <c r="A9502" s="3">
        <v>62</v>
      </c>
      <c r="B9502" s="28"/>
      <c r="C9502" s="3" t="s">
        <v>5</v>
      </c>
    </row>
    <row r="9503" spans="1:3" ht="13.5" thickBot="1" x14ac:dyDescent="0.25">
      <c r="A9503" s="3">
        <v>5759</v>
      </c>
      <c r="B9503" s="28"/>
      <c r="C9503" s="3" t="s">
        <v>3</v>
      </c>
    </row>
    <row r="9504" spans="1:3" ht="13.5" thickBot="1" x14ac:dyDescent="0.25">
      <c r="A9504" s="3">
        <v>7203</v>
      </c>
      <c r="B9504" s="28"/>
      <c r="C9504" s="3" t="s">
        <v>4</v>
      </c>
    </row>
    <row r="9505" spans="1:3" ht="13.5" thickBot="1" x14ac:dyDescent="0.25">
      <c r="A9505" s="3">
        <v>1460</v>
      </c>
      <c r="B9505" s="28"/>
      <c r="C9505" s="3" t="s">
        <v>3</v>
      </c>
    </row>
    <row r="9506" spans="1:3" ht="13.5" thickBot="1" x14ac:dyDescent="0.25">
      <c r="A9506" s="3">
        <v>4128</v>
      </c>
      <c r="B9506" s="28"/>
      <c r="C9506" s="3" t="s">
        <v>3</v>
      </c>
    </row>
    <row r="9507" spans="1:3" ht="13.5" thickBot="1" x14ac:dyDescent="0.25">
      <c r="A9507" s="3">
        <v>4307</v>
      </c>
      <c r="B9507" s="28"/>
      <c r="C9507" s="3" t="s">
        <v>7</v>
      </c>
    </row>
    <row r="9508" spans="1:3" ht="13.5" thickBot="1" x14ac:dyDescent="0.25">
      <c r="A9508" s="3">
        <v>2098</v>
      </c>
      <c r="B9508" s="28"/>
      <c r="C9508" s="3" t="s">
        <v>3</v>
      </c>
    </row>
    <row r="9509" spans="1:3" ht="13.5" thickBot="1" x14ac:dyDescent="0.25">
      <c r="A9509" s="3">
        <v>2841</v>
      </c>
      <c r="B9509" s="28"/>
      <c r="C9509" s="3" t="s">
        <v>4</v>
      </c>
    </row>
    <row r="9510" spans="1:3" ht="13.5" thickBot="1" x14ac:dyDescent="0.25">
      <c r="A9510" s="3">
        <v>6744</v>
      </c>
      <c r="B9510" s="28"/>
      <c r="C9510" s="3" t="s">
        <v>3</v>
      </c>
    </row>
    <row r="9511" spans="1:3" ht="13.5" thickBot="1" x14ac:dyDescent="0.25">
      <c r="A9511" s="3">
        <v>7857</v>
      </c>
      <c r="B9511" s="28"/>
      <c r="C9511" s="3" t="s">
        <v>3</v>
      </c>
    </row>
    <row r="9512" spans="1:3" ht="13.5" thickBot="1" x14ac:dyDescent="0.25">
      <c r="A9512" s="3">
        <v>2351</v>
      </c>
      <c r="B9512" s="28"/>
      <c r="C9512" s="3" t="s">
        <v>3</v>
      </c>
    </row>
    <row r="9513" spans="1:3" ht="13.5" thickBot="1" x14ac:dyDescent="0.25">
      <c r="A9513" s="3">
        <v>4197</v>
      </c>
      <c r="B9513" s="28"/>
      <c r="C9513" s="3" t="s">
        <v>5</v>
      </c>
    </row>
    <row r="9514" spans="1:3" ht="13.5" thickBot="1" x14ac:dyDescent="0.25">
      <c r="A9514" s="3">
        <v>2338</v>
      </c>
      <c r="B9514" s="28"/>
      <c r="C9514" s="3" t="s">
        <v>4</v>
      </c>
    </row>
    <row r="9515" spans="1:3" ht="13.5" thickBot="1" x14ac:dyDescent="0.25">
      <c r="A9515" s="3">
        <v>2830</v>
      </c>
      <c r="B9515" s="28"/>
      <c r="C9515" s="3" t="s">
        <v>4</v>
      </c>
    </row>
    <row r="9516" spans="1:3" ht="13.5" thickBot="1" x14ac:dyDescent="0.25">
      <c r="A9516" s="3">
        <v>3408</v>
      </c>
      <c r="B9516" s="28"/>
      <c r="C9516" s="3" t="s">
        <v>3</v>
      </c>
    </row>
    <row r="9517" spans="1:3" ht="13.5" thickBot="1" x14ac:dyDescent="0.25">
      <c r="A9517" s="3">
        <v>4569</v>
      </c>
      <c r="B9517" s="28"/>
      <c r="C9517" s="3" t="s">
        <v>3</v>
      </c>
    </row>
    <row r="9518" spans="1:3" ht="13.5" thickBot="1" x14ac:dyDescent="0.25">
      <c r="A9518" s="3">
        <v>2477</v>
      </c>
      <c r="B9518" s="28"/>
      <c r="C9518" s="3" t="s">
        <v>5</v>
      </c>
    </row>
    <row r="9519" spans="1:3" ht="13.5" thickBot="1" x14ac:dyDescent="0.25">
      <c r="A9519" s="3">
        <v>7504</v>
      </c>
      <c r="B9519" s="28"/>
      <c r="C9519" s="3" t="s">
        <v>4</v>
      </c>
    </row>
    <row r="9520" spans="1:3" ht="13.5" thickBot="1" x14ac:dyDescent="0.25">
      <c r="A9520" s="3">
        <v>1028</v>
      </c>
      <c r="B9520" s="28"/>
      <c r="C9520" s="3" t="s">
        <v>7</v>
      </c>
    </row>
    <row r="9521" spans="1:3" ht="13.5" thickBot="1" x14ac:dyDescent="0.25">
      <c r="A9521" s="3">
        <v>7415</v>
      </c>
      <c r="B9521" s="28"/>
      <c r="C9521" s="3" t="s">
        <v>3</v>
      </c>
    </row>
    <row r="9522" spans="1:3" ht="13.5" thickBot="1" x14ac:dyDescent="0.25">
      <c r="A9522" s="3">
        <v>1717</v>
      </c>
      <c r="B9522" s="28"/>
      <c r="C9522" s="3" t="s">
        <v>4</v>
      </c>
    </row>
    <row r="9523" spans="1:3" ht="13.5" thickBot="1" x14ac:dyDescent="0.25">
      <c r="A9523" s="3">
        <v>4510</v>
      </c>
      <c r="B9523" s="28"/>
      <c r="C9523" s="3" t="s">
        <v>4</v>
      </c>
    </row>
    <row r="9524" spans="1:3" ht="13.5" thickBot="1" x14ac:dyDescent="0.25">
      <c r="A9524" s="3">
        <v>1870</v>
      </c>
      <c r="B9524" s="28"/>
      <c r="C9524" s="3" t="s">
        <v>6</v>
      </c>
    </row>
    <row r="9525" spans="1:3" ht="13.5" thickBot="1" x14ac:dyDescent="0.25">
      <c r="A9525" s="3">
        <v>2115</v>
      </c>
      <c r="B9525" s="28"/>
      <c r="C9525" s="3" t="s">
        <v>6</v>
      </c>
    </row>
    <row r="9526" spans="1:3" ht="13.5" thickBot="1" x14ac:dyDescent="0.25">
      <c r="A9526" s="3">
        <v>3299</v>
      </c>
      <c r="B9526" s="28"/>
      <c r="C9526" s="3" t="s">
        <v>6</v>
      </c>
    </row>
    <row r="9527" spans="1:3" ht="13.5" thickBot="1" x14ac:dyDescent="0.25">
      <c r="A9527" s="3">
        <v>5868</v>
      </c>
      <c r="B9527" s="28"/>
      <c r="C9527" s="3" t="s">
        <v>7</v>
      </c>
    </row>
    <row r="9528" spans="1:3" ht="13.5" thickBot="1" x14ac:dyDescent="0.25">
      <c r="A9528" s="3">
        <v>6824</v>
      </c>
      <c r="B9528" s="28"/>
      <c r="C9528" s="3" t="s">
        <v>6</v>
      </c>
    </row>
    <row r="9529" spans="1:3" ht="13.5" thickBot="1" x14ac:dyDescent="0.25">
      <c r="A9529" s="3">
        <v>4062</v>
      </c>
      <c r="B9529" s="28"/>
      <c r="C9529" s="3" t="s">
        <v>3</v>
      </c>
    </row>
    <row r="9530" spans="1:3" ht="13.5" thickBot="1" x14ac:dyDescent="0.25">
      <c r="A9530" s="3">
        <v>3359</v>
      </c>
      <c r="B9530" s="28"/>
      <c r="C9530" s="3" t="s">
        <v>6</v>
      </c>
    </row>
    <row r="9531" spans="1:3" ht="13.5" thickBot="1" x14ac:dyDescent="0.25">
      <c r="A9531" s="3">
        <v>1731</v>
      </c>
      <c r="B9531" s="28"/>
      <c r="C9531" s="3" t="s">
        <v>4</v>
      </c>
    </row>
    <row r="9532" spans="1:3" ht="13.5" thickBot="1" x14ac:dyDescent="0.25">
      <c r="A9532" s="3">
        <v>1537</v>
      </c>
      <c r="B9532" s="28"/>
      <c r="C9532" s="3" t="s">
        <v>6</v>
      </c>
    </row>
    <row r="9533" spans="1:3" ht="13.5" thickBot="1" x14ac:dyDescent="0.25">
      <c r="A9533" s="3">
        <v>1091</v>
      </c>
      <c r="B9533" s="28"/>
      <c r="C9533" s="3" t="s">
        <v>3</v>
      </c>
    </row>
    <row r="9534" spans="1:3" ht="13.5" thickBot="1" x14ac:dyDescent="0.25">
      <c r="A9534" s="3">
        <v>5868</v>
      </c>
      <c r="B9534" s="28"/>
      <c r="C9534" s="3" t="s">
        <v>4</v>
      </c>
    </row>
    <row r="9535" spans="1:3" ht="13.5" thickBot="1" x14ac:dyDescent="0.25">
      <c r="A9535" s="3">
        <v>2115</v>
      </c>
      <c r="B9535" s="28"/>
      <c r="C9535" s="3" t="s">
        <v>5</v>
      </c>
    </row>
    <row r="9536" spans="1:3" ht="13.5" thickBot="1" x14ac:dyDescent="0.25">
      <c r="A9536" s="3">
        <v>2338</v>
      </c>
      <c r="B9536" s="28"/>
      <c r="C9536" s="3" t="s">
        <v>3</v>
      </c>
    </row>
    <row r="9537" spans="1:3" ht="13.5" thickBot="1" x14ac:dyDescent="0.25">
      <c r="A9537" s="3">
        <v>2841</v>
      </c>
      <c r="B9537" s="28"/>
      <c r="C9537" s="3" t="s">
        <v>7</v>
      </c>
    </row>
    <row r="9538" spans="1:3" ht="13.5" thickBot="1" x14ac:dyDescent="0.25">
      <c r="A9538" s="3">
        <v>3459</v>
      </c>
      <c r="B9538" s="28"/>
      <c r="C9538" s="3" t="s">
        <v>7</v>
      </c>
    </row>
    <row r="9539" spans="1:3" ht="13.5" thickBot="1" x14ac:dyDescent="0.25">
      <c r="A9539" s="3">
        <v>1731</v>
      </c>
      <c r="B9539" s="28"/>
      <c r="C9539" s="3" t="s">
        <v>3</v>
      </c>
    </row>
    <row r="9540" spans="1:3" ht="13.5" thickBot="1" x14ac:dyDescent="0.25">
      <c r="A9540" s="3">
        <v>6401</v>
      </c>
      <c r="B9540" s="28"/>
      <c r="C9540" s="3" t="s">
        <v>4</v>
      </c>
    </row>
    <row r="9541" spans="1:3" ht="13.5" thickBot="1" x14ac:dyDescent="0.25">
      <c r="A9541" s="3">
        <v>2987</v>
      </c>
      <c r="B9541" s="28"/>
      <c r="C9541" s="3" t="s">
        <v>6</v>
      </c>
    </row>
    <row r="9542" spans="1:3" ht="13.5" thickBot="1" x14ac:dyDescent="0.25">
      <c r="A9542" s="3">
        <v>7220</v>
      </c>
      <c r="B9542" s="28"/>
      <c r="C9542" s="3" t="s">
        <v>3</v>
      </c>
    </row>
    <row r="9543" spans="1:3" ht="13.5" thickBot="1" x14ac:dyDescent="0.25">
      <c r="A9543" s="3">
        <v>6401</v>
      </c>
      <c r="B9543" s="28"/>
      <c r="C9543" s="3" t="s">
        <v>3</v>
      </c>
    </row>
    <row r="9544" spans="1:3" ht="13.5" thickBot="1" x14ac:dyDescent="0.25">
      <c r="A9544" s="3">
        <v>4221</v>
      </c>
      <c r="B9544" s="28"/>
      <c r="C9544" s="3" t="s">
        <v>6</v>
      </c>
    </row>
    <row r="9545" spans="1:3" ht="13.5" thickBot="1" x14ac:dyDescent="0.25">
      <c r="A9545" s="3">
        <v>866</v>
      </c>
      <c r="B9545" s="28"/>
      <c r="C9545" s="3" t="s">
        <v>4</v>
      </c>
    </row>
    <row r="9546" spans="1:3" ht="13.5" thickBot="1" x14ac:dyDescent="0.25">
      <c r="A9546" s="3">
        <v>5122</v>
      </c>
      <c r="B9546" s="28"/>
      <c r="C9546" s="3" t="s">
        <v>7</v>
      </c>
    </row>
    <row r="9547" spans="1:3" ht="13.5" thickBot="1" x14ac:dyDescent="0.25">
      <c r="A9547" s="3">
        <v>4562</v>
      </c>
      <c r="B9547" s="28"/>
      <c r="C9547" s="3" t="s">
        <v>6</v>
      </c>
    </row>
    <row r="9548" spans="1:3" ht="13.5" thickBot="1" x14ac:dyDescent="0.25">
      <c r="A9548" s="3">
        <v>5868</v>
      </c>
      <c r="B9548" s="28"/>
      <c r="C9548" s="3" t="s">
        <v>5</v>
      </c>
    </row>
    <row r="9549" spans="1:3" ht="13.5" thickBot="1" x14ac:dyDescent="0.25">
      <c r="A9549" s="3">
        <v>7582</v>
      </c>
      <c r="B9549" s="28"/>
      <c r="C9549" s="3" t="s">
        <v>3</v>
      </c>
    </row>
    <row r="9550" spans="1:3" ht="13.5" thickBot="1" x14ac:dyDescent="0.25">
      <c r="A9550" s="3">
        <v>6514</v>
      </c>
      <c r="B9550" s="28"/>
      <c r="C9550" s="3" t="s">
        <v>4</v>
      </c>
    </row>
    <row r="9551" spans="1:3" ht="13.5" thickBot="1" x14ac:dyDescent="0.25">
      <c r="A9551" s="3">
        <v>3260</v>
      </c>
      <c r="B9551" s="28"/>
      <c r="C9551" s="3" t="s">
        <v>3</v>
      </c>
    </row>
    <row r="9552" spans="1:3" ht="13.5" thickBot="1" x14ac:dyDescent="0.25">
      <c r="A9552" s="3">
        <v>3207</v>
      </c>
      <c r="B9552" s="28"/>
      <c r="C9552" s="3" t="s">
        <v>4</v>
      </c>
    </row>
    <row r="9553" spans="1:3" ht="13.5" thickBot="1" x14ac:dyDescent="0.25">
      <c r="A9553" s="3">
        <v>2338</v>
      </c>
      <c r="B9553" s="28"/>
      <c r="C9553" s="3" t="s">
        <v>5</v>
      </c>
    </row>
    <row r="9554" spans="1:3" ht="13.5" thickBot="1" x14ac:dyDescent="0.25">
      <c r="A9554" s="3">
        <v>4971</v>
      </c>
      <c r="B9554" s="28"/>
      <c r="C9554" s="3" t="s">
        <v>5</v>
      </c>
    </row>
    <row r="9555" spans="1:3" ht="13.5" thickBot="1" x14ac:dyDescent="0.25">
      <c r="A9555" s="3">
        <v>7018</v>
      </c>
      <c r="B9555" s="28"/>
      <c r="C9555" s="3" t="s">
        <v>3</v>
      </c>
    </row>
    <row r="9556" spans="1:3" ht="13.5" thickBot="1" x14ac:dyDescent="0.25">
      <c r="A9556" s="3">
        <v>2115</v>
      </c>
      <c r="B9556" s="28"/>
      <c r="C9556" s="3" t="s">
        <v>4</v>
      </c>
    </row>
    <row r="9557" spans="1:3" ht="13.5" thickBot="1" x14ac:dyDescent="0.25">
      <c r="A9557" s="3">
        <v>189</v>
      </c>
      <c r="B9557" s="28"/>
      <c r="C9557" s="3" t="s">
        <v>5</v>
      </c>
    </row>
    <row r="9558" spans="1:3" ht="13.5" thickBot="1" x14ac:dyDescent="0.25">
      <c r="A9558" s="3">
        <v>1972</v>
      </c>
      <c r="B9558" s="28"/>
      <c r="C9558" s="3" t="s">
        <v>6</v>
      </c>
    </row>
    <row r="9559" spans="1:3" ht="13.5" thickBot="1" x14ac:dyDescent="0.25">
      <c r="A9559" s="3">
        <v>2759</v>
      </c>
      <c r="B9559" s="28"/>
      <c r="C9559" s="3" t="s">
        <v>4</v>
      </c>
    </row>
    <row r="9560" spans="1:3" ht="13.5" thickBot="1" x14ac:dyDescent="0.25">
      <c r="A9560" s="3">
        <v>7486</v>
      </c>
      <c r="B9560" s="28"/>
      <c r="C9560" s="3" t="s">
        <v>7</v>
      </c>
    </row>
    <row r="9561" spans="1:3" ht="13.5" thickBot="1" x14ac:dyDescent="0.25">
      <c r="A9561" s="3">
        <v>3564</v>
      </c>
      <c r="B9561" s="28"/>
      <c r="C9561" s="3" t="s">
        <v>3</v>
      </c>
    </row>
    <row r="9562" spans="1:3" ht="13.5" thickBot="1" x14ac:dyDescent="0.25">
      <c r="A9562" s="3">
        <v>371</v>
      </c>
      <c r="B9562" s="28"/>
      <c r="C9562" s="3" t="s">
        <v>3</v>
      </c>
    </row>
    <row r="9563" spans="1:3" ht="13.5" thickBot="1" x14ac:dyDescent="0.25">
      <c r="A9563" s="3">
        <v>2518</v>
      </c>
      <c r="B9563" s="28"/>
      <c r="C9563" s="3" t="s">
        <v>3</v>
      </c>
    </row>
    <row r="9564" spans="1:3" ht="13.5" thickBot="1" x14ac:dyDescent="0.25">
      <c r="A9564" s="3">
        <v>6959</v>
      </c>
      <c r="B9564" s="28"/>
      <c r="C9564" s="3" t="s">
        <v>3</v>
      </c>
    </row>
    <row r="9565" spans="1:3" ht="13.5" thickBot="1" x14ac:dyDescent="0.25">
      <c r="A9565" s="3">
        <v>81</v>
      </c>
      <c r="B9565" s="28"/>
      <c r="C9565" s="3" t="s">
        <v>4</v>
      </c>
    </row>
    <row r="9566" spans="1:3" ht="13.5" thickBot="1" x14ac:dyDescent="0.25">
      <c r="A9566" s="3">
        <v>7785</v>
      </c>
      <c r="B9566" s="28"/>
      <c r="C9566" s="3" t="s">
        <v>3</v>
      </c>
    </row>
    <row r="9567" spans="1:3" ht="13.5" thickBot="1" x14ac:dyDescent="0.25">
      <c r="A9567" s="3">
        <v>3092</v>
      </c>
      <c r="B9567" s="28"/>
      <c r="C9567" s="3" t="s">
        <v>4</v>
      </c>
    </row>
    <row r="9568" spans="1:3" ht="13.5" thickBot="1" x14ac:dyDescent="0.25">
      <c r="A9568" s="3">
        <v>6274</v>
      </c>
      <c r="B9568" s="28"/>
      <c r="C9568" s="3" t="s">
        <v>3</v>
      </c>
    </row>
    <row r="9569" spans="1:3" ht="13.5" thickBot="1" x14ac:dyDescent="0.25">
      <c r="A9569" s="3">
        <v>5735</v>
      </c>
      <c r="B9569" s="28"/>
      <c r="C9569" s="3" t="s">
        <v>3</v>
      </c>
    </row>
    <row r="9570" spans="1:3" ht="13.5" thickBot="1" x14ac:dyDescent="0.25">
      <c r="A9570" s="3">
        <v>1871</v>
      </c>
      <c r="B9570" s="28"/>
      <c r="C9570" s="3" t="s">
        <v>7</v>
      </c>
    </row>
    <row r="9571" spans="1:3" ht="13.5" thickBot="1" x14ac:dyDescent="0.25">
      <c r="A9571" s="3">
        <v>1500</v>
      </c>
      <c r="B9571" s="28"/>
      <c r="C9571" s="3" t="s">
        <v>4</v>
      </c>
    </row>
    <row r="9572" spans="1:3" ht="13.5" thickBot="1" x14ac:dyDescent="0.25">
      <c r="A9572" s="3">
        <v>407</v>
      </c>
      <c r="B9572" s="28"/>
      <c r="C9572" s="3" t="s">
        <v>3</v>
      </c>
    </row>
    <row r="9573" spans="1:3" ht="13.5" thickBot="1" x14ac:dyDescent="0.25">
      <c r="A9573" s="3">
        <v>605</v>
      </c>
      <c r="B9573" s="28"/>
      <c r="C9573" s="3" t="s">
        <v>6</v>
      </c>
    </row>
    <row r="9574" spans="1:3" ht="13.5" thickBot="1" x14ac:dyDescent="0.25">
      <c r="A9574" s="3">
        <v>6027</v>
      </c>
      <c r="B9574" s="28"/>
      <c r="C9574" s="3" t="s">
        <v>3</v>
      </c>
    </row>
    <row r="9575" spans="1:3" ht="13.5" thickBot="1" x14ac:dyDescent="0.25">
      <c r="A9575" s="3">
        <v>2759</v>
      </c>
      <c r="B9575" s="28"/>
      <c r="C9575" s="3" t="s">
        <v>3</v>
      </c>
    </row>
    <row r="9576" spans="1:3" ht="13.5" thickBot="1" x14ac:dyDescent="0.25">
      <c r="A9576" s="3">
        <v>6135</v>
      </c>
      <c r="B9576" s="28"/>
      <c r="C9576" s="3" t="s">
        <v>6</v>
      </c>
    </row>
    <row r="9577" spans="1:3" ht="13.5" thickBot="1" x14ac:dyDescent="0.25">
      <c r="A9577" s="3">
        <v>3313</v>
      </c>
      <c r="B9577" s="28"/>
      <c r="C9577" s="3" t="s">
        <v>3</v>
      </c>
    </row>
    <row r="9578" spans="1:3" ht="13.5" thickBot="1" x14ac:dyDescent="0.25">
      <c r="A9578" s="3">
        <v>4412</v>
      </c>
      <c r="B9578" s="28"/>
      <c r="C9578" s="3" t="s">
        <v>4</v>
      </c>
    </row>
    <row r="9579" spans="1:3" ht="13.5" thickBot="1" x14ac:dyDescent="0.25">
      <c r="A9579" s="3">
        <v>6850</v>
      </c>
      <c r="B9579" s="28"/>
      <c r="C9579" s="3" t="s">
        <v>5</v>
      </c>
    </row>
    <row r="9580" spans="1:3" ht="13.5" thickBot="1" x14ac:dyDescent="0.25">
      <c r="A9580" s="3">
        <v>263</v>
      </c>
      <c r="B9580" s="28"/>
      <c r="C9580" s="3" t="s">
        <v>3</v>
      </c>
    </row>
    <row r="9581" spans="1:3" ht="13.5" thickBot="1" x14ac:dyDescent="0.25">
      <c r="A9581" s="3">
        <v>2974</v>
      </c>
      <c r="B9581" s="28"/>
      <c r="C9581" s="3" t="s">
        <v>7</v>
      </c>
    </row>
    <row r="9582" spans="1:3" ht="13.5" thickBot="1" x14ac:dyDescent="0.25">
      <c r="A9582" s="3">
        <v>6401</v>
      </c>
      <c r="B9582" s="28"/>
      <c r="C9582" s="3" t="s">
        <v>6</v>
      </c>
    </row>
    <row r="9583" spans="1:3" ht="13.5" thickBot="1" x14ac:dyDescent="0.25">
      <c r="A9583" s="3">
        <v>6274</v>
      </c>
      <c r="B9583" s="28"/>
      <c r="C9583" s="3" t="s">
        <v>4</v>
      </c>
    </row>
    <row r="9584" spans="1:3" ht="13.5" thickBot="1" x14ac:dyDescent="0.25">
      <c r="A9584" s="3">
        <v>232</v>
      </c>
      <c r="B9584" s="28"/>
      <c r="C9584" s="3" t="s">
        <v>3</v>
      </c>
    </row>
    <row r="9585" spans="1:3" ht="13.5" thickBot="1" x14ac:dyDescent="0.25">
      <c r="A9585" s="3">
        <v>81</v>
      </c>
      <c r="B9585" s="28"/>
      <c r="C9585" s="3" t="s">
        <v>3</v>
      </c>
    </row>
    <row r="9586" spans="1:3" ht="13.5" thickBot="1" x14ac:dyDescent="0.25">
      <c r="A9586" s="3">
        <v>6180</v>
      </c>
      <c r="B9586" s="28"/>
      <c r="C9586" s="3" t="s">
        <v>3</v>
      </c>
    </row>
    <row r="9587" spans="1:3" ht="13.5" thickBot="1" x14ac:dyDescent="0.25">
      <c r="A9587" s="3">
        <v>7470</v>
      </c>
      <c r="B9587" s="28"/>
      <c r="C9587" s="3" t="s">
        <v>5</v>
      </c>
    </row>
    <row r="9588" spans="1:3" ht="13.5" thickBot="1" x14ac:dyDescent="0.25">
      <c r="A9588" s="3">
        <v>1583</v>
      </c>
      <c r="B9588" s="28"/>
      <c r="C9588" s="3" t="s">
        <v>3</v>
      </c>
    </row>
    <row r="9589" spans="1:3" ht="13.5" thickBot="1" x14ac:dyDescent="0.25">
      <c r="A9589" s="3">
        <v>1006</v>
      </c>
      <c r="B9589" s="28"/>
      <c r="C9589" s="3" t="s">
        <v>3</v>
      </c>
    </row>
    <row r="9590" spans="1:3" ht="13.5" thickBot="1" x14ac:dyDescent="0.25">
      <c r="A9590" s="3">
        <v>1929</v>
      </c>
      <c r="B9590" s="28"/>
      <c r="C9590" s="3" t="s">
        <v>4</v>
      </c>
    </row>
    <row r="9591" spans="1:3" ht="13.5" thickBot="1" x14ac:dyDescent="0.25">
      <c r="A9591" s="3">
        <v>607</v>
      </c>
      <c r="B9591" s="28"/>
      <c r="C9591" s="3" t="s">
        <v>3</v>
      </c>
    </row>
    <row r="9592" spans="1:3" ht="13.5" thickBot="1" x14ac:dyDescent="0.25">
      <c r="A9592" s="3">
        <v>4307</v>
      </c>
      <c r="B9592" s="28"/>
      <c r="C9592" s="3" t="s">
        <v>6</v>
      </c>
    </row>
    <row r="9593" spans="1:3" ht="13.5" thickBot="1" x14ac:dyDescent="0.25">
      <c r="A9593" s="3">
        <v>7776</v>
      </c>
      <c r="B9593" s="28"/>
      <c r="C9593" s="3" t="s">
        <v>6</v>
      </c>
    </row>
    <row r="9594" spans="1:3" ht="13.5" thickBot="1" x14ac:dyDescent="0.25">
      <c r="A9594" s="3">
        <v>6850</v>
      </c>
      <c r="B9594" s="28"/>
      <c r="C9594" s="3" t="s">
        <v>3</v>
      </c>
    </row>
    <row r="9595" spans="1:3" ht="13.5" thickBot="1" x14ac:dyDescent="0.25">
      <c r="A9595" s="3">
        <v>3092</v>
      </c>
      <c r="B9595" s="28"/>
      <c r="C9595" s="3" t="s">
        <v>7</v>
      </c>
    </row>
    <row r="9596" spans="1:3" ht="13.5" thickBot="1" x14ac:dyDescent="0.25">
      <c r="A9596" s="3">
        <v>5393</v>
      </c>
      <c r="B9596" s="28"/>
      <c r="C9596" s="3" t="s">
        <v>4</v>
      </c>
    </row>
    <row r="9597" spans="1:3" ht="13.5" thickBot="1" x14ac:dyDescent="0.25">
      <c r="A9597" s="3">
        <v>6262</v>
      </c>
      <c r="B9597" s="28"/>
      <c r="C9597" s="3" t="s">
        <v>3</v>
      </c>
    </row>
    <row r="9598" spans="1:3" ht="13.5" thickBot="1" x14ac:dyDescent="0.25">
      <c r="A9598" s="3">
        <v>7952</v>
      </c>
      <c r="B9598" s="28"/>
      <c r="C9598" s="3" t="s">
        <v>3</v>
      </c>
    </row>
    <row r="9599" spans="1:3" ht="13.5" thickBot="1" x14ac:dyDescent="0.25">
      <c r="A9599" s="3">
        <v>4048</v>
      </c>
      <c r="B9599" s="28"/>
      <c r="C9599" s="3" t="s">
        <v>3</v>
      </c>
    </row>
    <row r="9600" spans="1:3" ht="13.5" thickBot="1" x14ac:dyDescent="0.25">
      <c r="A9600" s="3">
        <v>1500</v>
      </c>
      <c r="B9600" s="28"/>
      <c r="C9600" s="3" t="s">
        <v>3</v>
      </c>
    </row>
    <row r="9601" spans="1:3" ht="13.5" thickBot="1" x14ac:dyDescent="0.25">
      <c r="A9601" s="3">
        <v>7582</v>
      </c>
      <c r="B9601" s="28"/>
      <c r="C9601" s="3" t="s">
        <v>4</v>
      </c>
    </row>
    <row r="9602" spans="1:3" ht="13.5" thickBot="1" x14ac:dyDescent="0.25">
      <c r="A9602" s="3">
        <v>6657</v>
      </c>
      <c r="B9602" s="28"/>
      <c r="C9602" s="3" t="s">
        <v>6</v>
      </c>
    </row>
    <row r="9603" spans="1:3" ht="13.5" thickBot="1" x14ac:dyDescent="0.25">
      <c r="A9603" s="3">
        <v>5308</v>
      </c>
      <c r="B9603" s="28"/>
      <c r="C9603" s="3" t="s">
        <v>6</v>
      </c>
    </row>
    <row r="9604" spans="1:3" ht="13.5" thickBot="1" x14ac:dyDescent="0.25">
      <c r="A9604" s="3">
        <v>1411</v>
      </c>
      <c r="B9604" s="28"/>
      <c r="C9604" s="3" t="s">
        <v>5</v>
      </c>
    </row>
    <row r="9605" spans="1:3" ht="13.5" thickBot="1" x14ac:dyDescent="0.25">
      <c r="A9605" s="3">
        <v>7882</v>
      </c>
      <c r="B9605" s="28"/>
      <c r="C9605" s="3" t="s">
        <v>3</v>
      </c>
    </row>
    <row r="9606" spans="1:3" ht="13.5" thickBot="1" x14ac:dyDescent="0.25">
      <c r="A9606" s="3">
        <v>6310</v>
      </c>
      <c r="B9606" s="28"/>
      <c r="C9606" s="3" t="s">
        <v>6</v>
      </c>
    </row>
    <row r="9607" spans="1:3" ht="13.5" thickBot="1" x14ac:dyDescent="0.25">
      <c r="A9607" s="3">
        <v>6332</v>
      </c>
      <c r="B9607" s="28"/>
      <c r="C9607" s="3" t="s">
        <v>3</v>
      </c>
    </row>
    <row r="9608" spans="1:3" ht="13.5" thickBot="1" x14ac:dyDescent="0.25">
      <c r="A9608" s="3">
        <v>7362</v>
      </c>
      <c r="B9608" s="28"/>
      <c r="C9608" s="3" t="s">
        <v>5</v>
      </c>
    </row>
    <row r="9609" spans="1:3" ht="13.5" thickBot="1" x14ac:dyDescent="0.25">
      <c r="A9609" s="3">
        <v>4744</v>
      </c>
      <c r="B9609" s="28"/>
      <c r="C9609" s="3" t="s">
        <v>4</v>
      </c>
    </row>
    <row r="9610" spans="1:3" ht="13.5" thickBot="1" x14ac:dyDescent="0.25">
      <c r="A9610" s="3">
        <v>3208</v>
      </c>
      <c r="B9610" s="28"/>
      <c r="C9610" s="3" t="s">
        <v>4</v>
      </c>
    </row>
    <row r="9611" spans="1:3" ht="13.5" thickBot="1" x14ac:dyDescent="0.25">
      <c r="A9611" s="3">
        <v>3752</v>
      </c>
      <c r="B9611" s="28"/>
      <c r="C9611" s="3" t="s">
        <v>3</v>
      </c>
    </row>
    <row r="9612" spans="1:3" ht="13.5" thickBot="1" x14ac:dyDescent="0.25">
      <c r="A9612" s="3">
        <v>1583</v>
      </c>
      <c r="B9612" s="28"/>
      <c r="C9612" s="3" t="s">
        <v>4</v>
      </c>
    </row>
    <row r="9613" spans="1:3" ht="13.5" thickBot="1" x14ac:dyDescent="0.25">
      <c r="A9613" s="3">
        <v>4802</v>
      </c>
      <c r="B9613" s="28"/>
      <c r="C9613" s="3" t="s">
        <v>3</v>
      </c>
    </row>
    <row r="9614" spans="1:3" ht="13.5" thickBot="1" x14ac:dyDescent="0.25">
      <c r="A9614" s="3">
        <v>3313</v>
      </c>
      <c r="B9614" s="28"/>
      <c r="C9614" s="3" t="s">
        <v>5</v>
      </c>
    </row>
    <row r="9615" spans="1:3" ht="13.5" thickBot="1" x14ac:dyDescent="0.25">
      <c r="A9615" s="3">
        <v>3819</v>
      </c>
      <c r="B9615" s="28"/>
      <c r="C9615" s="3" t="s">
        <v>3</v>
      </c>
    </row>
    <row r="9616" spans="1:3" ht="13.5" thickBot="1" x14ac:dyDescent="0.25">
      <c r="A9616" s="3">
        <v>1929</v>
      </c>
      <c r="B9616" s="28"/>
      <c r="C9616" s="3" t="s">
        <v>3</v>
      </c>
    </row>
    <row r="9617" spans="1:3" ht="13.5" thickBot="1" x14ac:dyDescent="0.25">
      <c r="A9617" s="3">
        <v>3628</v>
      </c>
      <c r="B9617" s="28"/>
      <c r="C9617" s="3" t="s">
        <v>4</v>
      </c>
    </row>
    <row r="9618" spans="1:3" ht="13.5" thickBot="1" x14ac:dyDescent="0.25">
      <c r="A9618" s="3">
        <v>2099</v>
      </c>
      <c r="B9618" s="28"/>
      <c r="C9618" s="3" t="s">
        <v>5</v>
      </c>
    </row>
    <row r="9619" spans="1:3" ht="13.5" thickBot="1" x14ac:dyDescent="0.25">
      <c r="A9619" s="3">
        <v>4246</v>
      </c>
      <c r="B9619" s="28"/>
      <c r="C9619" s="3" t="s">
        <v>3</v>
      </c>
    </row>
    <row r="9620" spans="1:3" ht="13.5" thickBot="1" x14ac:dyDescent="0.25">
      <c r="A9620" s="3">
        <v>1047</v>
      </c>
      <c r="B9620" s="28"/>
      <c r="C9620" s="3" t="s">
        <v>6</v>
      </c>
    </row>
    <row r="9621" spans="1:3" ht="13.5" thickBot="1" x14ac:dyDescent="0.25">
      <c r="A9621" s="3">
        <v>3279</v>
      </c>
      <c r="B9621" s="28"/>
      <c r="C9621" s="3" t="s">
        <v>4</v>
      </c>
    </row>
    <row r="9622" spans="1:3" ht="13.5" thickBot="1" x14ac:dyDescent="0.25">
      <c r="A9622" s="3">
        <v>7112</v>
      </c>
      <c r="B9622" s="28"/>
      <c r="C9622" s="3" t="s">
        <v>6</v>
      </c>
    </row>
    <row r="9623" spans="1:3" ht="13.5" thickBot="1" x14ac:dyDescent="0.25">
      <c r="A9623" s="3">
        <v>2772</v>
      </c>
      <c r="B9623" s="28"/>
      <c r="C9623" s="3" t="s">
        <v>7</v>
      </c>
    </row>
    <row r="9624" spans="1:3" ht="13.5" thickBot="1" x14ac:dyDescent="0.25">
      <c r="A9624" s="3">
        <v>1411</v>
      </c>
      <c r="B9624" s="28"/>
      <c r="C9624" s="3" t="s">
        <v>4</v>
      </c>
    </row>
    <row r="9625" spans="1:3" ht="13.5" thickBot="1" x14ac:dyDescent="0.25">
      <c r="A9625" s="3">
        <v>7786</v>
      </c>
      <c r="B9625" s="28"/>
      <c r="C9625" s="3" t="s">
        <v>3</v>
      </c>
    </row>
    <row r="9626" spans="1:3" ht="13.5" thickBot="1" x14ac:dyDescent="0.25">
      <c r="A9626" s="3">
        <v>4829</v>
      </c>
      <c r="B9626" s="28"/>
      <c r="C9626" s="3" t="s">
        <v>3</v>
      </c>
    </row>
    <row r="9627" spans="1:3" ht="13.5" thickBot="1" x14ac:dyDescent="0.25">
      <c r="A9627" s="3">
        <v>1881</v>
      </c>
      <c r="B9627" s="28"/>
      <c r="C9627" s="3" t="s">
        <v>3</v>
      </c>
    </row>
    <row r="9628" spans="1:3" ht="13.5" thickBot="1" x14ac:dyDescent="0.25">
      <c r="A9628" s="3">
        <v>5554</v>
      </c>
      <c r="B9628" s="28"/>
      <c r="C9628" s="3" t="s">
        <v>3</v>
      </c>
    </row>
    <row r="9629" spans="1:3" ht="13.5" thickBot="1" x14ac:dyDescent="0.25">
      <c r="A9629" s="3">
        <v>5346</v>
      </c>
      <c r="B9629" s="28"/>
      <c r="C9629" s="3" t="s">
        <v>6</v>
      </c>
    </row>
    <row r="9630" spans="1:3" ht="13.5" thickBot="1" x14ac:dyDescent="0.25">
      <c r="A9630" s="3">
        <v>2974</v>
      </c>
      <c r="B9630" s="28"/>
      <c r="C9630" s="3" t="s">
        <v>6</v>
      </c>
    </row>
    <row r="9631" spans="1:3" ht="13.5" thickBot="1" x14ac:dyDescent="0.25">
      <c r="A9631" s="3">
        <v>1249</v>
      </c>
      <c r="B9631" s="28"/>
      <c r="C9631" s="3" t="s">
        <v>3</v>
      </c>
    </row>
    <row r="9632" spans="1:3" ht="13.5" thickBot="1" x14ac:dyDescent="0.25">
      <c r="A9632" s="3">
        <v>3508</v>
      </c>
      <c r="B9632" s="28"/>
      <c r="C9632" s="3" t="s">
        <v>4</v>
      </c>
    </row>
    <row r="9633" spans="1:3" ht="13.5" thickBot="1" x14ac:dyDescent="0.25">
      <c r="A9633" s="3">
        <v>3207</v>
      </c>
      <c r="B9633" s="28"/>
      <c r="C9633" s="3" t="s">
        <v>7</v>
      </c>
    </row>
    <row r="9634" spans="1:3" ht="13.5" thickBot="1" x14ac:dyDescent="0.25">
      <c r="A9634" s="3">
        <v>6753</v>
      </c>
      <c r="B9634" s="28"/>
      <c r="C9634" s="3" t="s">
        <v>3</v>
      </c>
    </row>
    <row r="9635" spans="1:3" ht="13.5" thickBot="1" x14ac:dyDescent="0.25">
      <c r="A9635" s="3">
        <v>81</v>
      </c>
      <c r="B9635" s="28"/>
      <c r="C9635" s="3" t="s">
        <v>5</v>
      </c>
    </row>
    <row r="9636" spans="1:3" ht="13.5" thickBot="1" x14ac:dyDescent="0.25">
      <c r="A9636" s="3">
        <v>3022</v>
      </c>
      <c r="B9636" s="28"/>
      <c r="C9636" s="3" t="s">
        <v>3</v>
      </c>
    </row>
    <row r="9637" spans="1:3" ht="13.5" thickBot="1" x14ac:dyDescent="0.25">
      <c r="A9637" s="3">
        <v>4707</v>
      </c>
      <c r="B9637" s="28"/>
      <c r="C9637" s="3" t="s">
        <v>3</v>
      </c>
    </row>
    <row r="9638" spans="1:3" ht="13.5" thickBot="1" x14ac:dyDescent="0.25">
      <c r="A9638" s="3">
        <v>2664</v>
      </c>
      <c r="B9638" s="28"/>
      <c r="C9638" s="3" t="s">
        <v>6</v>
      </c>
    </row>
    <row r="9639" spans="1:3" ht="13.5" thickBot="1" x14ac:dyDescent="0.25">
      <c r="A9639" s="3">
        <v>3037</v>
      </c>
      <c r="B9639" s="28"/>
      <c r="C9639" s="3" t="s">
        <v>3</v>
      </c>
    </row>
    <row r="9640" spans="1:3" ht="13.5" thickBot="1" x14ac:dyDescent="0.25">
      <c r="A9640" s="3">
        <v>5867</v>
      </c>
      <c r="B9640" s="28"/>
      <c r="C9640" s="3" t="s">
        <v>3</v>
      </c>
    </row>
    <row r="9641" spans="1:3" ht="13.5" thickBot="1" x14ac:dyDescent="0.25">
      <c r="A9641" s="3">
        <v>7882</v>
      </c>
      <c r="B9641" s="28"/>
      <c r="C9641" s="3" t="s">
        <v>4</v>
      </c>
    </row>
    <row r="9642" spans="1:3" ht="13.5" thickBot="1" x14ac:dyDescent="0.25">
      <c r="A9642" s="3">
        <v>2698</v>
      </c>
      <c r="B9642" s="28"/>
      <c r="C9642" s="3" t="s">
        <v>5</v>
      </c>
    </row>
    <row r="9643" spans="1:3" ht="13.5" thickBot="1" x14ac:dyDescent="0.25">
      <c r="A9643" s="3">
        <v>2693</v>
      </c>
      <c r="B9643" s="28"/>
      <c r="C9643" s="3" t="s">
        <v>3</v>
      </c>
    </row>
    <row r="9644" spans="1:3" ht="13.5" thickBot="1" x14ac:dyDescent="0.25">
      <c r="A9644" s="3">
        <v>6959</v>
      </c>
      <c r="B9644" s="28"/>
      <c r="C9644" s="3" t="s">
        <v>4</v>
      </c>
    </row>
    <row r="9645" spans="1:3" ht="13.5" thickBot="1" x14ac:dyDescent="0.25">
      <c r="A9645" s="3">
        <v>2222</v>
      </c>
      <c r="B9645" s="28"/>
      <c r="C9645" s="3" t="s">
        <v>5</v>
      </c>
    </row>
    <row r="9646" spans="1:3" ht="13.5" thickBot="1" x14ac:dyDescent="0.25">
      <c r="A9646" s="3">
        <v>5261</v>
      </c>
      <c r="B9646" s="28"/>
      <c r="C9646" s="3" t="s">
        <v>3</v>
      </c>
    </row>
    <row r="9647" spans="1:3" ht="13.5" thickBot="1" x14ac:dyDescent="0.25">
      <c r="A9647" s="3">
        <v>7470</v>
      </c>
      <c r="B9647" s="28"/>
      <c r="C9647" s="3" t="s">
        <v>6</v>
      </c>
    </row>
    <row r="9648" spans="1:3" ht="13.5" thickBot="1" x14ac:dyDescent="0.25">
      <c r="A9648" s="3">
        <v>7018</v>
      </c>
      <c r="B9648" s="28"/>
      <c r="C9648" s="3" t="s">
        <v>7</v>
      </c>
    </row>
    <row r="9649" spans="1:3" ht="13.5" thickBot="1" x14ac:dyDescent="0.25">
      <c r="A9649" s="3">
        <v>5167</v>
      </c>
      <c r="B9649" s="28"/>
      <c r="C9649" s="3" t="s">
        <v>4</v>
      </c>
    </row>
    <row r="9650" spans="1:3" ht="13.5" thickBot="1" x14ac:dyDescent="0.25">
      <c r="A9650" s="3">
        <v>1006</v>
      </c>
      <c r="B9650" s="28"/>
      <c r="C9650" s="3" t="s">
        <v>6</v>
      </c>
    </row>
    <row r="9651" spans="1:3" ht="13.5" thickBot="1" x14ac:dyDescent="0.25">
      <c r="A9651" s="3">
        <v>1540</v>
      </c>
      <c r="B9651" s="28"/>
      <c r="C9651" s="3" t="s">
        <v>6</v>
      </c>
    </row>
    <row r="9652" spans="1:3" ht="13.5" thickBot="1" x14ac:dyDescent="0.25">
      <c r="A9652" s="3">
        <v>4967</v>
      </c>
      <c r="B9652" s="28"/>
      <c r="C9652" s="3" t="s">
        <v>4</v>
      </c>
    </row>
    <row r="9653" spans="1:3" ht="13.5" thickBot="1" x14ac:dyDescent="0.25">
      <c r="A9653" s="3">
        <v>1583</v>
      </c>
      <c r="B9653" s="28"/>
      <c r="C9653" s="3" t="s">
        <v>6</v>
      </c>
    </row>
    <row r="9654" spans="1:3" ht="13.5" thickBot="1" x14ac:dyDescent="0.25">
      <c r="A9654" s="3">
        <v>453</v>
      </c>
      <c r="B9654" s="28"/>
      <c r="C9654" s="3" t="s">
        <v>3</v>
      </c>
    </row>
    <row r="9655" spans="1:3" ht="13.5" thickBot="1" x14ac:dyDescent="0.25">
      <c r="A9655" s="3">
        <v>3508</v>
      </c>
      <c r="B9655" s="28"/>
      <c r="C9655" s="3" t="s">
        <v>3</v>
      </c>
    </row>
    <row r="9656" spans="1:3" ht="13.5" thickBot="1" x14ac:dyDescent="0.25">
      <c r="A9656" s="3">
        <v>1894</v>
      </c>
      <c r="B9656" s="28"/>
      <c r="C9656" s="3" t="s">
        <v>3</v>
      </c>
    </row>
    <row r="9657" spans="1:3" ht="13.5" thickBot="1" x14ac:dyDescent="0.25">
      <c r="A9657" s="3">
        <v>1411</v>
      </c>
      <c r="B9657" s="28"/>
      <c r="C9657" s="3" t="s">
        <v>7</v>
      </c>
    </row>
    <row r="9658" spans="1:3" ht="13.5" thickBot="1" x14ac:dyDescent="0.25">
      <c r="A9658" s="3">
        <v>2115</v>
      </c>
      <c r="B9658" s="28"/>
      <c r="C9658" s="3" t="s">
        <v>7</v>
      </c>
    </row>
    <row r="9659" spans="1:3" ht="13.5" thickBot="1" x14ac:dyDescent="0.25">
      <c r="A9659" s="3">
        <v>7771</v>
      </c>
      <c r="B9659" s="28"/>
      <c r="C9659" s="3" t="s">
        <v>3</v>
      </c>
    </row>
    <row r="9660" spans="1:3" ht="13.5" thickBot="1" x14ac:dyDescent="0.25">
      <c r="A9660" s="3">
        <v>1360</v>
      </c>
      <c r="B9660" s="28"/>
      <c r="C9660" s="3" t="s">
        <v>3</v>
      </c>
    </row>
    <row r="9661" spans="1:3" ht="13.5" thickBot="1" x14ac:dyDescent="0.25">
      <c r="A9661" s="3">
        <v>1006</v>
      </c>
      <c r="B9661" s="28"/>
      <c r="C9661" s="3" t="s">
        <v>4</v>
      </c>
    </row>
    <row r="9662" spans="1:3" ht="13.5" thickBot="1" x14ac:dyDescent="0.25">
      <c r="A9662" s="3">
        <v>7669</v>
      </c>
      <c r="B9662" s="28"/>
      <c r="C9662" s="3" t="s">
        <v>3</v>
      </c>
    </row>
    <row r="9663" spans="1:3" ht="13.5" thickBot="1" x14ac:dyDescent="0.25">
      <c r="A9663" s="3">
        <v>1583</v>
      </c>
      <c r="B9663" s="28"/>
      <c r="C9663" s="3" t="s">
        <v>7</v>
      </c>
    </row>
    <row r="9664" spans="1:3" ht="13.5" thickBot="1" x14ac:dyDescent="0.25">
      <c r="A9664" s="3">
        <v>7220</v>
      </c>
      <c r="B9664" s="28"/>
      <c r="C9664" s="3" t="s">
        <v>7</v>
      </c>
    </row>
    <row r="9665" spans="1:3" ht="13.5" thickBot="1" x14ac:dyDescent="0.25">
      <c r="A9665" s="3">
        <v>6436</v>
      </c>
      <c r="B9665" s="28"/>
      <c r="C9665" s="3" t="s">
        <v>3</v>
      </c>
    </row>
    <row r="9666" spans="1:3" ht="13.5" thickBot="1" x14ac:dyDescent="0.25">
      <c r="A9666" s="3">
        <v>2830</v>
      </c>
      <c r="B9666" s="28"/>
      <c r="C9666" s="3" t="s">
        <v>5</v>
      </c>
    </row>
    <row r="9667" spans="1:3" ht="13.5" thickBot="1" x14ac:dyDescent="0.25">
      <c r="A9667" s="3">
        <v>7806</v>
      </c>
      <c r="B9667" s="28"/>
      <c r="C9667" s="3" t="s">
        <v>3</v>
      </c>
    </row>
    <row r="9668" spans="1:3" ht="13.5" thickBot="1" x14ac:dyDescent="0.25">
      <c r="A9668" s="3">
        <v>2455</v>
      </c>
      <c r="B9668" s="28"/>
      <c r="C9668" s="3" t="s">
        <v>3</v>
      </c>
    </row>
    <row r="9669" spans="1:3" ht="13.5" thickBot="1" x14ac:dyDescent="0.25">
      <c r="A9669" s="3">
        <v>2477</v>
      </c>
      <c r="B9669" s="28"/>
      <c r="C9669" s="3" t="s">
        <v>6</v>
      </c>
    </row>
    <row r="9670" spans="1:3" ht="13.5" thickBot="1" x14ac:dyDescent="0.25">
      <c r="A9670" s="3">
        <v>7942</v>
      </c>
      <c r="B9670" s="28"/>
      <c r="C9670" s="3" t="s">
        <v>6</v>
      </c>
    </row>
    <row r="9671" spans="1:3" ht="13.5" thickBot="1" x14ac:dyDescent="0.25">
      <c r="A9671" s="3">
        <v>5185</v>
      </c>
      <c r="B9671" s="28"/>
      <c r="C9671" s="3" t="s">
        <v>3</v>
      </c>
    </row>
    <row r="9672" spans="1:3" ht="13.5" thickBot="1" x14ac:dyDescent="0.25">
      <c r="A9672" s="3">
        <v>1006</v>
      </c>
      <c r="B9672" s="28"/>
      <c r="C9672" s="3" t="s">
        <v>5</v>
      </c>
    </row>
    <row r="9673" spans="1:3" ht="13.5" thickBot="1" x14ac:dyDescent="0.25">
      <c r="A9673" s="3">
        <v>7220</v>
      </c>
      <c r="B9673" s="28"/>
      <c r="C9673" s="3" t="s">
        <v>5</v>
      </c>
    </row>
    <row r="9674" spans="1:3" ht="13.5" thickBot="1" x14ac:dyDescent="0.25">
      <c r="A9674" s="3">
        <v>7486</v>
      </c>
      <c r="B9674" s="28"/>
      <c r="C9674" s="3" t="s">
        <v>6</v>
      </c>
    </row>
    <row r="9675" spans="1:3" ht="13.5" thickBot="1" x14ac:dyDescent="0.25">
      <c r="A9675" s="3">
        <v>232</v>
      </c>
      <c r="B9675" s="28"/>
      <c r="C9675" s="3" t="s">
        <v>6</v>
      </c>
    </row>
    <row r="9676" spans="1:3" ht="13.5" thickBot="1" x14ac:dyDescent="0.25">
      <c r="A9676" s="3">
        <v>4197</v>
      </c>
      <c r="B9676" s="28"/>
      <c r="C9676" s="3" t="s">
        <v>6</v>
      </c>
    </row>
    <row r="9677" spans="1:3" ht="13.5" thickBot="1" x14ac:dyDescent="0.25">
      <c r="A9677" s="3">
        <v>7220</v>
      </c>
      <c r="B9677" s="28"/>
      <c r="C9677" s="3" t="s">
        <v>4</v>
      </c>
    </row>
    <row r="9678" spans="1:3" ht="13.5" thickBot="1" x14ac:dyDescent="0.25">
      <c r="A9678" s="3">
        <v>5543</v>
      </c>
      <c r="B9678" s="28"/>
      <c r="C9678" s="3" t="s">
        <v>3</v>
      </c>
    </row>
    <row r="9679" spans="1:3" ht="13.5" thickBot="1" x14ac:dyDescent="0.25">
      <c r="A9679" s="3">
        <v>81</v>
      </c>
      <c r="B9679" s="28"/>
      <c r="C9679" s="3" t="s">
        <v>6</v>
      </c>
    </row>
    <row r="9680" spans="1:3" ht="13.5" thickBot="1" x14ac:dyDescent="0.25">
      <c r="A9680" s="3">
        <v>2571</v>
      </c>
      <c r="B9680" s="28"/>
      <c r="C9680" s="3" t="s">
        <v>6</v>
      </c>
    </row>
    <row r="9681" spans="1:3" ht="13.5" thickBot="1" x14ac:dyDescent="0.25">
      <c r="A9681" s="3">
        <v>3998</v>
      </c>
      <c r="B9681" s="28"/>
      <c r="C9681" s="3" t="s">
        <v>6</v>
      </c>
    </row>
    <row r="9682" spans="1:3" ht="13.5" thickBot="1" x14ac:dyDescent="0.25">
      <c r="A9682" s="3">
        <v>7504</v>
      </c>
      <c r="B9682" s="28"/>
      <c r="C9682" s="3" t="s">
        <v>5</v>
      </c>
    </row>
    <row r="9683" spans="1:3" ht="13.5" thickBot="1" x14ac:dyDescent="0.25">
      <c r="A9683" s="3">
        <v>4618</v>
      </c>
      <c r="B9683" s="28"/>
      <c r="C9683" s="3" t="s">
        <v>3</v>
      </c>
    </row>
    <row r="9684" spans="1:3" ht="13.5" thickBot="1" x14ac:dyDescent="0.25">
      <c r="A9684" s="3">
        <v>5209</v>
      </c>
      <c r="B9684" s="28"/>
      <c r="C9684" s="3" t="s">
        <v>3</v>
      </c>
    </row>
    <row r="9685" spans="1:3" ht="13.5" thickBot="1" x14ac:dyDescent="0.25">
      <c r="A9685" s="3">
        <v>3885</v>
      </c>
      <c r="B9685" s="28"/>
      <c r="C9685" s="3" t="s">
        <v>3</v>
      </c>
    </row>
    <row r="9686" spans="1:3" ht="13.5" thickBot="1" x14ac:dyDescent="0.25">
      <c r="A9686" s="3">
        <v>232</v>
      </c>
      <c r="B9686" s="28"/>
      <c r="C9686" s="3" t="s">
        <v>4</v>
      </c>
    </row>
    <row r="9687" spans="1:3" ht="13.5" thickBot="1" x14ac:dyDescent="0.25">
      <c r="A9687" s="3">
        <v>2698</v>
      </c>
      <c r="B9687" s="28"/>
      <c r="C9687" s="3" t="s">
        <v>3</v>
      </c>
    </row>
    <row r="9688" spans="1:3" ht="13.5" thickBot="1" x14ac:dyDescent="0.25">
      <c r="A9688" s="3">
        <v>5520</v>
      </c>
      <c r="B9688" s="28"/>
      <c r="C9688" s="3" t="s">
        <v>3</v>
      </c>
    </row>
    <row r="9689" spans="1:3" ht="13.5" thickBot="1" x14ac:dyDescent="0.25">
      <c r="A9689" s="3">
        <v>3306</v>
      </c>
      <c r="B9689" s="28"/>
      <c r="C9689" s="3" t="s">
        <v>5</v>
      </c>
    </row>
    <row r="9690" spans="1:3" ht="13.5" thickBot="1" x14ac:dyDescent="0.25">
      <c r="A9690" s="3">
        <v>4919</v>
      </c>
      <c r="B9690" s="28"/>
      <c r="C9690" s="3" t="s">
        <v>3</v>
      </c>
    </row>
    <row r="9691" spans="1:3" ht="13.5" thickBot="1" x14ac:dyDescent="0.25">
      <c r="A9691" s="3">
        <v>6027</v>
      </c>
      <c r="B9691" s="28"/>
      <c r="C9691" s="3" t="s">
        <v>4</v>
      </c>
    </row>
    <row r="9692" spans="1:3" ht="13.5" thickBot="1" x14ac:dyDescent="0.25">
      <c r="A9692" s="3">
        <v>1318</v>
      </c>
      <c r="B9692" s="28"/>
      <c r="C9692" s="3" t="s">
        <v>3</v>
      </c>
    </row>
    <row r="9693" spans="1:3" ht="13.5" thickBot="1" x14ac:dyDescent="0.25">
      <c r="A9693" s="3">
        <v>1344</v>
      </c>
      <c r="B9693" s="28"/>
      <c r="C9693" s="3" t="s">
        <v>3</v>
      </c>
    </row>
    <row r="9694" spans="1:3" ht="13.5" thickBot="1" x14ac:dyDescent="0.25">
      <c r="A9694" s="3">
        <v>292</v>
      </c>
      <c r="B9694" s="28"/>
      <c r="C9694" s="3" t="s">
        <v>3</v>
      </c>
    </row>
    <row r="9695" spans="1:3" ht="13.5" thickBot="1" x14ac:dyDescent="0.25">
      <c r="A9695" s="3">
        <v>7774</v>
      </c>
      <c r="B9695" s="28"/>
      <c r="C9695" s="3" t="s">
        <v>3</v>
      </c>
    </row>
    <row r="9696" spans="1:3" ht="13.5" thickBot="1" x14ac:dyDescent="0.25">
      <c r="A9696" s="3">
        <v>866</v>
      </c>
      <c r="B9696" s="28"/>
      <c r="C9696" s="3" t="s">
        <v>7</v>
      </c>
    </row>
    <row r="9697" spans="1:3" ht="13.5" thickBot="1" x14ac:dyDescent="0.25">
      <c r="A9697" s="3">
        <v>7253</v>
      </c>
      <c r="B9697" s="28"/>
      <c r="C9697" s="3" t="s">
        <v>3</v>
      </c>
    </row>
    <row r="9698" spans="1:3" ht="13.5" thickBot="1" x14ac:dyDescent="0.25">
      <c r="A9698" s="3">
        <v>2064</v>
      </c>
      <c r="B9698" s="28"/>
      <c r="C9698" s="3" t="s">
        <v>3</v>
      </c>
    </row>
    <row r="9699" spans="1:3" ht="13.5" thickBot="1" x14ac:dyDescent="0.25">
      <c r="A9699" s="3">
        <v>2009</v>
      </c>
      <c r="B9699" s="28"/>
      <c r="C9699" s="3" t="s">
        <v>3</v>
      </c>
    </row>
    <row r="9700" spans="1:3" ht="13.5" thickBot="1" x14ac:dyDescent="0.25">
      <c r="A9700" s="3">
        <v>4744</v>
      </c>
      <c r="B9700" s="28"/>
      <c r="C9700" s="3" t="s">
        <v>7</v>
      </c>
    </row>
    <row r="9701" spans="1:3" ht="13.5" thickBot="1" x14ac:dyDescent="0.25">
      <c r="A9701" s="3">
        <v>3306</v>
      </c>
      <c r="B9701" s="28"/>
      <c r="C9701" s="3" t="s">
        <v>3</v>
      </c>
    </row>
    <row r="9702" spans="1:3" ht="13.5" thickBot="1" x14ac:dyDescent="0.25">
      <c r="A9702" s="3">
        <v>1870</v>
      </c>
      <c r="B9702" s="28"/>
      <c r="C9702" s="3" t="s">
        <v>5</v>
      </c>
    </row>
    <row r="9703" spans="1:3" ht="13.5" thickBot="1" x14ac:dyDescent="0.25">
      <c r="A9703" s="3">
        <v>4128</v>
      </c>
      <c r="B9703" s="28"/>
      <c r="C9703" s="3" t="s">
        <v>6</v>
      </c>
    </row>
    <row r="9704" spans="1:3" ht="13.5" thickBot="1" x14ac:dyDescent="0.25">
      <c r="A9704" s="3">
        <v>7786</v>
      </c>
      <c r="B9704" s="28"/>
      <c r="C9704" s="3" t="s">
        <v>5</v>
      </c>
    </row>
    <row r="9705" spans="1:3" ht="13.5" thickBot="1" x14ac:dyDescent="0.25">
      <c r="A9705" s="3">
        <v>6401</v>
      </c>
      <c r="B9705" s="28"/>
      <c r="C9705" s="3" t="s">
        <v>5</v>
      </c>
    </row>
    <row r="9706" spans="1:3" ht="13.5" thickBot="1" x14ac:dyDescent="0.25">
      <c r="A9706" s="3">
        <v>3313</v>
      </c>
      <c r="B9706" s="28"/>
      <c r="C9706" s="3" t="s">
        <v>4</v>
      </c>
    </row>
    <row r="9707" spans="1:3" ht="13.5" thickBot="1" x14ac:dyDescent="0.25">
      <c r="A9707" s="3">
        <v>6850</v>
      </c>
      <c r="B9707" s="28"/>
      <c r="C9707" s="3" t="s">
        <v>4</v>
      </c>
    </row>
    <row r="9708" spans="1:3" ht="13.5" thickBot="1" x14ac:dyDescent="0.25">
      <c r="A9708" s="3">
        <v>7181</v>
      </c>
      <c r="B9708" s="28"/>
      <c r="C9708" s="3" t="s">
        <v>3</v>
      </c>
    </row>
    <row r="9709" spans="1:3" ht="13.5" thickBot="1" x14ac:dyDescent="0.25">
      <c r="A9709" s="3">
        <v>6531</v>
      </c>
      <c r="B9709" s="28"/>
      <c r="C9709" s="3" t="s">
        <v>3</v>
      </c>
    </row>
    <row r="9710" spans="1:3" ht="13.5" thickBot="1" x14ac:dyDescent="0.25">
      <c r="A9710" s="3">
        <v>407</v>
      </c>
      <c r="B9710" s="28"/>
      <c r="C9710" s="3" t="s">
        <v>4</v>
      </c>
    </row>
    <row r="9711" spans="1:3" ht="13.5" thickBot="1" x14ac:dyDescent="0.25">
      <c r="A9711" s="3">
        <v>2064</v>
      </c>
      <c r="B9711" s="28"/>
      <c r="C9711" s="3" t="s">
        <v>4</v>
      </c>
    </row>
    <row r="9712" spans="1:3" ht="13.5" thickBot="1" x14ac:dyDescent="0.25">
      <c r="A9712" s="3">
        <v>6858</v>
      </c>
      <c r="B9712" s="28"/>
      <c r="C9712" s="3" t="s">
        <v>5</v>
      </c>
    </row>
    <row r="9713" spans="1:3" ht="13.5" thickBot="1" x14ac:dyDescent="0.25">
      <c r="A9713" s="3">
        <v>6959</v>
      </c>
      <c r="B9713" s="28"/>
      <c r="C9713" s="3" t="s">
        <v>6</v>
      </c>
    </row>
    <row r="9714" spans="1:3" ht="13.5" thickBot="1" x14ac:dyDescent="0.25">
      <c r="A9714" s="3">
        <v>7018</v>
      </c>
      <c r="B9714" s="28"/>
      <c r="C9714" s="3" t="s">
        <v>6</v>
      </c>
    </row>
    <row r="9715" spans="1:3" ht="13.5" thickBot="1" x14ac:dyDescent="0.25">
      <c r="A9715" s="3">
        <v>2772</v>
      </c>
      <c r="B9715" s="28"/>
      <c r="C9715" s="3" t="s">
        <v>5</v>
      </c>
    </row>
    <row r="9716" spans="1:3" ht="13.5" thickBot="1" x14ac:dyDescent="0.25">
      <c r="A9716" s="3">
        <v>5965</v>
      </c>
      <c r="B9716" s="28"/>
      <c r="C9716" s="3" t="s">
        <v>3</v>
      </c>
    </row>
    <row r="9717" spans="1:3" ht="13.5" thickBot="1" x14ac:dyDescent="0.25">
      <c r="A9717" s="3">
        <v>2693</v>
      </c>
      <c r="B9717" s="28"/>
      <c r="C9717" s="3" t="s">
        <v>5</v>
      </c>
    </row>
    <row r="9718" spans="1:3" ht="13.5" thickBot="1" x14ac:dyDescent="0.25">
      <c r="A9718" s="3">
        <v>1394</v>
      </c>
      <c r="B9718" s="28"/>
      <c r="C9718" s="3" t="s">
        <v>6</v>
      </c>
    </row>
    <row r="9719" spans="1:3" ht="13.5" thickBot="1" x14ac:dyDescent="0.25">
      <c r="A9719" s="3">
        <v>3307</v>
      </c>
      <c r="B9719" s="28"/>
      <c r="C9719" s="3" t="s">
        <v>3</v>
      </c>
    </row>
    <row r="9720" spans="1:3" ht="13.5" thickBot="1" x14ac:dyDescent="0.25">
      <c r="A9720" s="3">
        <v>2765</v>
      </c>
      <c r="B9720" s="28"/>
      <c r="C9720" s="3" t="s">
        <v>3</v>
      </c>
    </row>
    <row r="9721" spans="1:3" ht="13.5" thickBot="1" x14ac:dyDescent="0.25">
      <c r="A9721" s="3">
        <v>5175</v>
      </c>
      <c r="B9721" s="28"/>
      <c r="C9721" s="3" t="s">
        <v>6</v>
      </c>
    </row>
    <row r="9722" spans="1:3" ht="13.5" thickBot="1" x14ac:dyDescent="0.25">
      <c r="A9722" s="3">
        <v>4971</v>
      </c>
      <c r="B9722" s="28"/>
      <c r="C9722" s="3" t="s">
        <v>6</v>
      </c>
    </row>
    <row r="9723" spans="1:3" ht="13.5" thickBot="1" x14ac:dyDescent="0.25">
      <c r="A9723" s="3">
        <v>2765</v>
      </c>
      <c r="B9723" s="28"/>
      <c r="C9723" s="3" t="s">
        <v>4</v>
      </c>
    </row>
    <row r="9724" spans="1:3" ht="13.5" thickBot="1" x14ac:dyDescent="0.25">
      <c r="A9724" s="3">
        <v>6858</v>
      </c>
      <c r="B9724" s="28"/>
      <c r="C9724" s="3" t="s">
        <v>3</v>
      </c>
    </row>
    <row r="9725" spans="1:3" ht="13.5" thickBot="1" x14ac:dyDescent="0.25">
      <c r="A9725" s="3">
        <v>3306</v>
      </c>
      <c r="B9725" s="28"/>
      <c r="C9725" s="3" t="s">
        <v>4</v>
      </c>
    </row>
    <row r="9726" spans="1:3" ht="13.5" thickBot="1" x14ac:dyDescent="0.25">
      <c r="A9726" s="3">
        <v>6621</v>
      </c>
      <c r="B9726" s="28"/>
      <c r="C9726" s="3" t="s">
        <v>3</v>
      </c>
    </row>
    <row r="9727" spans="1:3" ht="13.5" thickBot="1" x14ac:dyDescent="0.25">
      <c r="A9727" s="3">
        <v>7785</v>
      </c>
      <c r="B9727" s="28"/>
      <c r="C9727" s="3" t="s">
        <v>4</v>
      </c>
    </row>
    <row r="9728" spans="1:3" ht="13.5" thickBot="1" x14ac:dyDescent="0.25">
      <c r="A9728" s="3">
        <v>1147</v>
      </c>
      <c r="B9728" s="28"/>
      <c r="C9728" s="3" t="s">
        <v>7</v>
      </c>
    </row>
    <row r="9729" spans="1:3" ht="13.5" thickBot="1" x14ac:dyDescent="0.25">
      <c r="A9729" s="3">
        <v>3347</v>
      </c>
      <c r="B9729" s="28"/>
      <c r="C9729" s="3" t="s">
        <v>5</v>
      </c>
    </row>
    <row r="9730" spans="1:3" ht="13.5" thickBot="1" x14ac:dyDescent="0.25">
      <c r="A9730" s="3">
        <v>1829</v>
      </c>
      <c r="B9730" s="28"/>
      <c r="C9730" s="3" t="s">
        <v>3</v>
      </c>
    </row>
    <row r="9731" spans="1:3" ht="13.5" thickBot="1" x14ac:dyDescent="0.25">
      <c r="A9731" s="3">
        <v>3092</v>
      </c>
      <c r="B9731" s="28"/>
      <c r="C9731" s="3" t="s">
        <v>6</v>
      </c>
    </row>
    <row r="9732" spans="1:3" ht="13.5" thickBot="1" x14ac:dyDescent="0.25">
      <c r="A9732" s="3">
        <v>3178</v>
      </c>
      <c r="B9732" s="28"/>
      <c r="C9732" s="3" t="s">
        <v>3</v>
      </c>
    </row>
    <row r="9733" spans="1:3" ht="13.5" thickBot="1" x14ac:dyDescent="0.25">
      <c r="A9733" s="3">
        <v>5762</v>
      </c>
      <c r="B9733" s="28"/>
      <c r="C9733" s="3" t="s">
        <v>3</v>
      </c>
    </row>
    <row r="9734" spans="1:3" ht="13.5" thickBot="1" x14ac:dyDescent="0.25">
      <c r="A9734" s="3">
        <v>5696</v>
      </c>
      <c r="B9734" s="28"/>
      <c r="C9734" s="3" t="s">
        <v>3</v>
      </c>
    </row>
    <row r="9735" spans="1:3" ht="13.5" thickBot="1" x14ac:dyDescent="0.25">
      <c r="A9735" s="3">
        <v>1881</v>
      </c>
      <c r="B9735" s="28"/>
      <c r="C9735" s="3" t="s">
        <v>6</v>
      </c>
    </row>
    <row r="9736" spans="1:3" ht="13.5" thickBot="1" x14ac:dyDescent="0.25">
      <c r="A9736" s="3">
        <v>7627</v>
      </c>
      <c r="B9736" s="28"/>
      <c r="C9736" s="3" t="s">
        <v>3</v>
      </c>
    </row>
    <row r="9737" spans="1:3" ht="13.5" thickBot="1" x14ac:dyDescent="0.25">
      <c r="A9737" s="3">
        <v>1583</v>
      </c>
      <c r="B9737" s="28"/>
      <c r="C9737" s="3" t="s">
        <v>5</v>
      </c>
    </row>
    <row r="9738" spans="1:3" ht="13.5" thickBot="1" x14ac:dyDescent="0.25">
      <c r="A9738" s="3">
        <v>4686</v>
      </c>
      <c r="B9738" s="28"/>
      <c r="C9738" s="3" t="s">
        <v>3</v>
      </c>
    </row>
    <row r="9739" spans="1:3" ht="13.5" thickBot="1" x14ac:dyDescent="0.25">
      <c r="A9739" s="3">
        <v>7371</v>
      </c>
      <c r="B9739" s="28"/>
      <c r="C9739" s="3" t="s">
        <v>3</v>
      </c>
    </row>
    <row r="9740" spans="1:3" ht="13.5" thickBot="1" x14ac:dyDescent="0.25">
      <c r="A9740" s="3">
        <v>4919</v>
      </c>
      <c r="B9740" s="28"/>
      <c r="C9740" s="3" t="s">
        <v>4</v>
      </c>
    </row>
    <row r="9741" spans="1:3" ht="13.5" thickBot="1" x14ac:dyDescent="0.25">
      <c r="A9741" s="3">
        <v>3313</v>
      </c>
      <c r="B9741" s="28"/>
      <c r="C9741" s="3" t="s">
        <v>7</v>
      </c>
    </row>
    <row r="9742" spans="1:3" ht="13.5" thickBot="1" x14ac:dyDescent="0.25">
      <c r="A9742" s="3">
        <v>6621</v>
      </c>
      <c r="B9742" s="28"/>
      <c r="C9742" s="3" t="s">
        <v>4</v>
      </c>
    </row>
    <row r="9743" spans="1:3" ht="13.5" thickBot="1" x14ac:dyDescent="0.25">
      <c r="A9743" s="3">
        <v>6160</v>
      </c>
      <c r="B9743" s="28"/>
      <c r="C9743" s="3" t="s">
        <v>3</v>
      </c>
    </row>
    <row r="9744" spans="1:3" ht="13.5" thickBot="1" x14ac:dyDescent="0.25">
      <c r="A9744" s="3">
        <v>6400</v>
      </c>
      <c r="B9744" s="28"/>
      <c r="C9744" s="3" t="s">
        <v>6</v>
      </c>
    </row>
    <row r="9745" spans="1:3" ht="13.5" thickBot="1" x14ac:dyDescent="0.25">
      <c r="A9745" s="3">
        <v>7395</v>
      </c>
      <c r="B9745" s="28"/>
      <c r="C9745" s="3" t="s">
        <v>3</v>
      </c>
    </row>
    <row r="9746" spans="1:3" ht="13.5" thickBot="1" x14ac:dyDescent="0.25">
      <c r="A9746" s="3">
        <v>866</v>
      </c>
      <c r="B9746" s="28"/>
      <c r="C9746" s="3" t="s">
        <v>5</v>
      </c>
    </row>
    <row r="9747" spans="1:3" ht="13.5" thickBot="1" x14ac:dyDescent="0.25">
      <c r="A9747" s="3">
        <v>2477</v>
      </c>
      <c r="B9747" s="28"/>
      <c r="C9747" s="3" t="s">
        <v>7</v>
      </c>
    </row>
    <row r="9748" spans="1:3" ht="13.5" thickBot="1" x14ac:dyDescent="0.25">
      <c r="A9748" s="3">
        <v>4780</v>
      </c>
      <c r="B9748" s="28"/>
      <c r="C9748" s="3" t="s">
        <v>3</v>
      </c>
    </row>
    <row r="9749" spans="1:3" ht="13.5" thickBot="1" x14ac:dyDescent="0.25">
      <c r="A9749" s="3">
        <v>1039</v>
      </c>
      <c r="B9749" s="28"/>
      <c r="C9749" s="3" t="s">
        <v>3</v>
      </c>
    </row>
    <row r="9750" spans="1:3" ht="13.5" thickBot="1" x14ac:dyDescent="0.25">
      <c r="A9750" s="3">
        <v>1034</v>
      </c>
      <c r="B9750" s="28"/>
      <c r="C9750" s="3" t="s">
        <v>7</v>
      </c>
    </row>
    <row r="9751" spans="1:3" ht="13.5" thickBot="1" x14ac:dyDescent="0.25">
      <c r="A9751" s="3">
        <v>1318</v>
      </c>
      <c r="B9751" s="28"/>
      <c r="C9751" s="3" t="s">
        <v>7</v>
      </c>
    </row>
    <row r="9752" spans="1:3" ht="13.5" thickBot="1" x14ac:dyDescent="0.25">
      <c r="A9752" s="3">
        <v>5726</v>
      </c>
      <c r="B9752" s="28"/>
      <c r="C9752" s="3" t="s">
        <v>3</v>
      </c>
    </row>
    <row r="9753" spans="1:3" ht="13.5" thickBot="1" x14ac:dyDescent="0.25">
      <c r="A9753" s="3">
        <v>4123</v>
      </c>
      <c r="B9753" s="28"/>
      <c r="C9753" s="3" t="s">
        <v>4</v>
      </c>
    </row>
    <row r="9754" spans="1:3" ht="13.5" thickBot="1" x14ac:dyDescent="0.25">
      <c r="A9754" s="3">
        <v>4802</v>
      </c>
      <c r="B9754" s="28"/>
      <c r="C9754" s="3" t="s">
        <v>4</v>
      </c>
    </row>
    <row r="9755" spans="1:3" ht="13.5" thickBot="1" x14ac:dyDescent="0.25">
      <c r="A9755" s="3">
        <v>292</v>
      </c>
      <c r="B9755" s="28"/>
      <c r="C9755" s="3" t="s">
        <v>5</v>
      </c>
    </row>
    <row r="9756" spans="1:3" ht="13.5" thickBot="1" x14ac:dyDescent="0.25">
      <c r="A9756" s="3">
        <v>2019</v>
      </c>
      <c r="B9756" s="28"/>
      <c r="C9756" s="3" t="s">
        <v>3</v>
      </c>
    </row>
    <row r="9757" spans="1:3" ht="13.5" thickBot="1" x14ac:dyDescent="0.25">
      <c r="A9757" s="3">
        <v>3293</v>
      </c>
      <c r="B9757" s="28"/>
      <c r="C9757" s="3" t="s">
        <v>3</v>
      </c>
    </row>
    <row r="9758" spans="1:3" ht="13.5" thickBot="1" x14ac:dyDescent="0.25">
      <c r="A9758" s="3">
        <v>2698</v>
      </c>
      <c r="B9758" s="28"/>
      <c r="C9758" s="3" t="s">
        <v>4</v>
      </c>
    </row>
    <row r="9759" spans="1:3" ht="13.5" thickBot="1" x14ac:dyDescent="0.25">
      <c r="A9759" s="3">
        <v>1881</v>
      </c>
      <c r="B9759" s="28"/>
      <c r="C9759" s="3" t="s">
        <v>4</v>
      </c>
    </row>
    <row r="9760" spans="1:3" ht="13.5" thickBot="1" x14ac:dyDescent="0.25">
      <c r="A9760" s="3">
        <v>1037</v>
      </c>
      <c r="B9760" s="28"/>
      <c r="C9760" s="3" t="s">
        <v>3</v>
      </c>
    </row>
    <row r="9761" spans="1:3" ht="13.5" thickBot="1" x14ac:dyDescent="0.25">
      <c r="A9761" s="3">
        <v>5346</v>
      </c>
      <c r="B9761" s="28"/>
      <c r="C9761" s="3" t="s">
        <v>7</v>
      </c>
    </row>
    <row r="9762" spans="1:3" ht="13.5" thickBot="1" x14ac:dyDescent="0.25">
      <c r="A9762" s="3">
        <v>7952</v>
      </c>
      <c r="B9762" s="28"/>
      <c r="C9762" s="3" t="s">
        <v>4</v>
      </c>
    </row>
    <row r="9763" spans="1:3" ht="13.5" thickBot="1" x14ac:dyDescent="0.25">
      <c r="A9763" s="3">
        <v>1034</v>
      </c>
      <c r="B9763" s="28"/>
      <c r="C9763" s="3" t="s">
        <v>6</v>
      </c>
    </row>
    <row r="9764" spans="1:3" ht="13.5" thickBot="1" x14ac:dyDescent="0.25">
      <c r="A9764" s="3">
        <v>7415</v>
      </c>
      <c r="B9764" s="28"/>
      <c r="C9764" s="3" t="s">
        <v>4</v>
      </c>
    </row>
    <row r="9765" spans="1:3" ht="13.5" thickBot="1" x14ac:dyDescent="0.25">
      <c r="A9765" s="3">
        <v>4332</v>
      </c>
      <c r="B9765" s="28"/>
      <c r="C9765" s="3" t="s">
        <v>3</v>
      </c>
    </row>
    <row r="9766" spans="1:3" ht="13.5" thickBot="1" x14ac:dyDescent="0.25">
      <c r="A9766" s="3">
        <v>3347</v>
      </c>
      <c r="B9766" s="28"/>
      <c r="C9766" s="3" t="s">
        <v>3</v>
      </c>
    </row>
    <row r="9767" spans="1:3" ht="13.5" thickBot="1" x14ac:dyDescent="0.25">
      <c r="A9767" s="3">
        <v>5470</v>
      </c>
      <c r="B9767" s="28"/>
      <c r="C9767" s="3" t="s">
        <v>3</v>
      </c>
    </row>
    <row r="9768" spans="1:3" ht="13.5" thickBot="1" x14ac:dyDescent="0.25">
      <c r="A9768" s="3">
        <v>2841</v>
      </c>
      <c r="B9768" s="28"/>
      <c r="C9768" s="3" t="s">
        <v>6</v>
      </c>
    </row>
    <row r="9769" spans="1:3" ht="13.5" thickBot="1" x14ac:dyDescent="0.25">
      <c r="A9769" s="3">
        <v>4778</v>
      </c>
      <c r="B9769" s="28"/>
      <c r="C9769" s="3" t="s">
        <v>3</v>
      </c>
    </row>
    <row r="9770" spans="1:3" ht="13.5" thickBot="1" x14ac:dyDescent="0.25">
      <c r="A9770" s="3">
        <v>2759</v>
      </c>
      <c r="B9770" s="28"/>
      <c r="C9770" s="3" t="s">
        <v>7</v>
      </c>
    </row>
    <row r="9771" spans="1:3" ht="13.5" thickBot="1" x14ac:dyDescent="0.25">
      <c r="A9771" s="3">
        <v>1318</v>
      </c>
      <c r="B9771" s="28"/>
      <c r="C9771" s="3" t="s">
        <v>4</v>
      </c>
    </row>
    <row r="9772" spans="1:3" ht="13.5" thickBot="1" x14ac:dyDescent="0.25">
      <c r="A9772" s="3">
        <v>5122</v>
      </c>
      <c r="B9772" s="28"/>
      <c r="C9772" s="3" t="s">
        <v>6</v>
      </c>
    </row>
    <row r="9773" spans="1:3" ht="13.5" thickBot="1" x14ac:dyDescent="0.25">
      <c r="A9773" s="3">
        <v>1006</v>
      </c>
      <c r="B9773" s="28"/>
      <c r="C9773" s="3" t="s">
        <v>7</v>
      </c>
    </row>
    <row r="9774" spans="1:3" ht="13.5" thickBot="1" x14ac:dyDescent="0.25">
      <c r="A9774" s="3">
        <v>3037</v>
      </c>
      <c r="B9774" s="28"/>
      <c r="C9774" s="3" t="s">
        <v>4</v>
      </c>
    </row>
    <row r="9775" spans="1:3" ht="13.5" thickBot="1" x14ac:dyDescent="0.25">
      <c r="A9775" s="3">
        <v>3334</v>
      </c>
      <c r="B9775" s="28"/>
      <c r="C9775" s="3" t="s">
        <v>3</v>
      </c>
    </row>
    <row r="9776" spans="1:3" ht="13.5" thickBot="1" x14ac:dyDescent="0.25">
      <c r="A9776" s="3">
        <v>548</v>
      </c>
      <c r="B9776" s="28"/>
      <c r="C9776" s="3" t="s">
        <v>4</v>
      </c>
    </row>
    <row r="9777" spans="1:3" ht="13.5" thickBot="1" x14ac:dyDescent="0.25">
      <c r="A9777" s="3">
        <v>7850</v>
      </c>
      <c r="B9777" s="28"/>
      <c r="C9777" s="3" t="s">
        <v>3</v>
      </c>
    </row>
    <row r="9778" spans="1:3" ht="13.5" thickBot="1" x14ac:dyDescent="0.25">
      <c r="A9778" s="3">
        <v>2184</v>
      </c>
      <c r="B9778" s="28"/>
      <c r="C9778" s="3" t="s">
        <v>3</v>
      </c>
    </row>
    <row r="9779" spans="1:3" ht="13.5" thickBot="1" x14ac:dyDescent="0.25">
      <c r="A9779" s="3">
        <v>548</v>
      </c>
      <c r="B9779" s="28"/>
      <c r="C9779" s="3" t="s">
        <v>3</v>
      </c>
    </row>
    <row r="9780" spans="1:3" ht="13.5" thickBot="1" x14ac:dyDescent="0.25">
      <c r="A9780" s="3">
        <v>7786</v>
      </c>
      <c r="B9780" s="28"/>
      <c r="C9780" s="3" t="s">
        <v>4</v>
      </c>
    </row>
    <row r="9781" spans="1:3" ht="13.5" thickBot="1" x14ac:dyDescent="0.25">
      <c r="A9781" s="3">
        <v>6160</v>
      </c>
      <c r="B9781" s="28"/>
      <c r="C9781" s="3" t="s">
        <v>4</v>
      </c>
    </row>
    <row r="9782" spans="1:3" ht="13.5" thickBot="1" x14ac:dyDescent="0.25">
      <c r="A9782" s="3">
        <v>7785</v>
      </c>
      <c r="B9782" s="28"/>
      <c r="C9782" s="3" t="s">
        <v>5</v>
      </c>
    </row>
    <row r="9783" spans="1:3" ht="13.5" thickBot="1" x14ac:dyDescent="0.25">
      <c r="A9783" s="3">
        <v>2830</v>
      </c>
      <c r="B9783" s="28"/>
      <c r="C9783" s="3" t="s">
        <v>7</v>
      </c>
    </row>
    <row r="9784" spans="1:3" ht="13.5" thickBot="1" x14ac:dyDescent="0.25">
      <c r="A9784" s="3">
        <v>2065</v>
      </c>
      <c r="B9784" s="28"/>
      <c r="C9784" s="3" t="s">
        <v>3</v>
      </c>
    </row>
    <row r="9785" spans="1:3" ht="13.5" thickBot="1" x14ac:dyDescent="0.25">
      <c r="A9785" s="3">
        <v>4339</v>
      </c>
      <c r="B9785" s="28"/>
      <c r="C9785" s="3" t="s">
        <v>3</v>
      </c>
    </row>
    <row r="9786" spans="1:3" ht="13.5" thickBot="1" x14ac:dyDescent="0.25">
      <c r="A9786" s="3">
        <v>5139</v>
      </c>
      <c r="B9786" s="28"/>
      <c r="C9786" s="3" t="s">
        <v>3</v>
      </c>
    </row>
    <row r="9787" spans="1:3" ht="13.5" thickBot="1" x14ac:dyDescent="0.25">
      <c r="A9787" s="3">
        <v>1318</v>
      </c>
      <c r="B9787" s="28"/>
      <c r="C9787" s="3" t="s">
        <v>5</v>
      </c>
    </row>
    <row r="9788" spans="1:3" ht="13.5" thickBot="1" x14ac:dyDescent="0.25">
      <c r="A9788" s="3">
        <v>6621</v>
      </c>
      <c r="B9788" s="28"/>
      <c r="C9788" s="3" t="s">
        <v>5</v>
      </c>
    </row>
    <row r="9789" spans="1:3" ht="13.5" thickBot="1" x14ac:dyDescent="0.25">
      <c r="A9789" s="3">
        <v>216</v>
      </c>
      <c r="B9789" s="28"/>
      <c r="C9789" s="3" t="s">
        <v>3</v>
      </c>
    </row>
    <row r="9790" spans="1:3" ht="13.5" thickBot="1" x14ac:dyDescent="0.25">
      <c r="A9790" s="3">
        <v>2317</v>
      </c>
      <c r="B9790" s="28"/>
      <c r="C9790" s="3" t="s">
        <v>3</v>
      </c>
    </row>
    <row r="9791" spans="1:3" ht="13.5" thickBot="1" x14ac:dyDescent="0.25">
      <c r="A9791" s="3">
        <v>1298</v>
      </c>
      <c r="B9791" s="28"/>
      <c r="C9791" s="3" t="s">
        <v>3</v>
      </c>
    </row>
    <row r="9792" spans="1:3" ht="13.5" thickBot="1" x14ac:dyDescent="0.25">
      <c r="A9792" s="3">
        <v>7991</v>
      </c>
      <c r="B9792" s="28"/>
      <c r="C9792" s="3" t="s">
        <v>3</v>
      </c>
    </row>
    <row r="9793" spans="1:3" ht="13.5" thickBot="1" x14ac:dyDescent="0.25">
      <c r="A9793" s="3">
        <v>6023</v>
      </c>
      <c r="B9793" s="28"/>
      <c r="C9793" s="3" t="s">
        <v>7</v>
      </c>
    </row>
    <row r="9794" spans="1:3" ht="13.5" thickBot="1" x14ac:dyDescent="0.25">
      <c r="A9794" s="3">
        <v>262</v>
      </c>
      <c r="B9794" s="28"/>
      <c r="C9794" s="3" t="s">
        <v>3</v>
      </c>
    </row>
    <row r="9795" spans="1:3" ht="13.5" thickBot="1" x14ac:dyDescent="0.25">
      <c r="A9795" s="3">
        <v>593</v>
      </c>
      <c r="B9795" s="28"/>
      <c r="C9795" s="3" t="s">
        <v>3</v>
      </c>
    </row>
    <row r="9796" spans="1:3" ht="13.5" thickBot="1" x14ac:dyDescent="0.25">
      <c r="A9796" s="3">
        <v>1894</v>
      </c>
      <c r="B9796" s="28"/>
      <c r="C9796" s="3" t="s">
        <v>6</v>
      </c>
    </row>
    <row r="9797" spans="1:3" ht="13.5" thickBot="1" x14ac:dyDescent="0.25">
      <c r="A9797" s="3">
        <v>2759</v>
      </c>
      <c r="B9797" s="28"/>
      <c r="C9797" s="3" t="s">
        <v>6</v>
      </c>
    </row>
    <row r="9798" spans="1:3" ht="13.5" thickBot="1" x14ac:dyDescent="0.25">
      <c r="A9798" s="3">
        <v>3194</v>
      </c>
      <c r="B9798" s="28"/>
      <c r="C9798" s="3" t="s">
        <v>7</v>
      </c>
    </row>
    <row r="9799" spans="1:3" ht="13.5" thickBot="1" x14ac:dyDescent="0.25">
      <c r="A9799" s="3">
        <v>7940</v>
      </c>
      <c r="B9799" s="28"/>
      <c r="C9799" s="3" t="s">
        <v>3</v>
      </c>
    </row>
    <row r="9800" spans="1:3" ht="13.5" thickBot="1" x14ac:dyDescent="0.25">
      <c r="A9800" s="3">
        <v>5543</v>
      </c>
      <c r="B9800" s="28"/>
      <c r="C9800" s="3" t="s">
        <v>4</v>
      </c>
    </row>
    <row r="9801" spans="1:3" ht="13.5" thickBot="1" x14ac:dyDescent="0.25">
      <c r="A9801" s="3">
        <v>7771</v>
      </c>
      <c r="B9801" s="28"/>
      <c r="C9801" s="3" t="s">
        <v>7</v>
      </c>
    </row>
    <row r="9802" spans="1:3" ht="13.5" thickBot="1" x14ac:dyDescent="0.25">
      <c r="A9802" s="3">
        <v>593</v>
      </c>
      <c r="B9802" s="28"/>
      <c r="C9802" s="3" t="s">
        <v>4</v>
      </c>
    </row>
    <row r="9803" spans="1:3" ht="13.5" thickBot="1" x14ac:dyDescent="0.25">
      <c r="A9803" s="3">
        <v>1985</v>
      </c>
      <c r="B9803" s="28"/>
      <c r="C9803" s="3" t="s">
        <v>3</v>
      </c>
    </row>
    <row r="9804" spans="1:3" ht="13.5" thickBot="1" x14ac:dyDescent="0.25">
      <c r="A9804" s="3">
        <v>6553</v>
      </c>
      <c r="B9804" s="28"/>
      <c r="C9804" s="3" t="s">
        <v>3</v>
      </c>
    </row>
    <row r="9805" spans="1:3" ht="13.5" thickBot="1" x14ac:dyDescent="0.25">
      <c r="A9805" s="3">
        <v>4062</v>
      </c>
      <c r="B9805" s="28"/>
      <c r="C9805" s="3" t="s">
        <v>4</v>
      </c>
    </row>
    <row r="9806" spans="1:3" ht="13.5" thickBot="1" x14ac:dyDescent="0.25">
      <c r="A9806" s="3">
        <v>1344</v>
      </c>
      <c r="B9806" s="28"/>
      <c r="C9806" s="3" t="s">
        <v>4</v>
      </c>
    </row>
    <row r="9807" spans="1:3" ht="13.5" thickBot="1" x14ac:dyDescent="0.25">
      <c r="A9807" s="3">
        <v>3347</v>
      </c>
      <c r="B9807" s="28"/>
      <c r="C9807" s="3" t="s">
        <v>4</v>
      </c>
    </row>
    <row r="9808" spans="1:3" ht="13.5" thickBot="1" x14ac:dyDescent="0.25">
      <c r="A9808" s="3">
        <v>5396</v>
      </c>
      <c r="B9808" s="28"/>
      <c r="C9808" s="3" t="s">
        <v>3</v>
      </c>
    </row>
    <row r="9809" spans="1:3" ht="13.5" thickBot="1" x14ac:dyDescent="0.25">
      <c r="A9809" s="3">
        <v>7771</v>
      </c>
      <c r="B9809" s="28"/>
      <c r="C9809" s="3" t="s">
        <v>4</v>
      </c>
    </row>
    <row r="9810" spans="1:3" ht="13.5" thickBot="1" x14ac:dyDescent="0.25">
      <c r="A9810" s="3">
        <v>7774</v>
      </c>
      <c r="B9810" s="28"/>
      <c r="C9810" s="3" t="s">
        <v>4</v>
      </c>
    </row>
    <row r="9811" spans="1:3" ht="13.5" thickBot="1" x14ac:dyDescent="0.25">
      <c r="A9811" s="3">
        <v>2410</v>
      </c>
      <c r="B9811" s="28"/>
      <c r="C9811" s="3" t="s">
        <v>3</v>
      </c>
    </row>
    <row r="9812" spans="1:3" ht="13.5" thickBot="1" x14ac:dyDescent="0.25">
      <c r="A9812" s="3">
        <v>7549</v>
      </c>
      <c r="B9812" s="28"/>
      <c r="C9812" s="3" t="s">
        <v>3</v>
      </c>
    </row>
    <row r="9813" spans="1:3" ht="13.5" thickBot="1" x14ac:dyDescent="0.25">
      <c r="A9813" s="3">
        <v>7562</v>
      </c>
      <c r="B9813" s="28"/>
      <c r="C9813" s="3" t="s">
        <v>3</v>
      </c>
    </row>
    <row r="9814" spans="1:3" ht="13.5" thickBot="1" x14ac:dyDescent="0.25">
      <c r="A9814" s="3">
        <v>7018</v>
      </c>
      <c r="B9814" s="28"/>
      <c r="C9814" s="3" t="s">
        <v>5</v>
      </c>
    </row>
    <row r="9815" spans="1:3" ht="13.5" thickBot="1" x14ac:dyDescent="0.25">
      <c r="A9815" s="3">
        <v>292</v>
      </c>
      <c r="B9815" s="28"/>
      <c r="C9815" s="3" t="s">
        <v>6</v>
      </c>
    </row>
    <row r="9816" spans="1:3" ht="13.5" thickBot="1" x14ac:dyDescent="0.25">
      <c r="A9816" s="3">
        <v>3734</v>
      </c>
      <c r="B9816" s="28"/>
      <c r="C9816" s="3" t="s">
        <v>3</v>
      </c>
    </row>
    <row r="9817" spans="1:3" ht="13.5" thickBot="1" x14ac:dyDescent="0.25">
      <c r="A9817" s="3">
        <v>2848</v>
      </c>
      <c r="B9817" s="28"/>
      <c r="C9817" s="3" t="s">
        <v>3</v>
      </c>
    </row>
    <row r="9818" spans="1:3" ht="13.5" thickBot="1" x14ac:dyDescent="0.25">
      <c r="A9818" s="3">
        <v>1822</v>
      </c>
      <c r="B9818" s="28"/>
      <c r="C9818" s="3" t="s">
        <v>3</v>
      </c>
    </row>
    <row r="9819" spans="1:3" ht="13.5" thickBot="1" x14ac:dyDescent="0.25">
      <c r="A9819" s="3">
        <v>2204</v>
      </c>
      <c r="B9819" s="28"/>
      <c r="C9819" s="3" t="s">
        <v>3</v>
      </c>
    </row>
    <row r="9820" spans="1:3" ht="13.5" thickBot="1" x14ac:dyDescent="0.25">
      <c r="A9820" s="3">
        <v>593</v>
      </c>
      <c r="B9820" s="28"/>
      <c r="C9820" s="3" t="s">
        <v>5</v>
      </c>
    </row>
    <row r="9821" spans="1:3" ht="13.5" thickBot="1" x14ac:dyDescent="0.25">
      <c r="A9821" s="3">
        <v>2222</v>
      </c>
      <c r="B9821" s="28"/>
      <c r="C9821" s="3" t="s">
        <v>7</v>
      </c>
    </row>
    <row r="9822" spans="1:3" ht="13.5" thickBot="1" x14ac:dyDescent="0.25">
      <c r="A9822" s="3">
        <v>7395</v>
      </c>
      <c r="B9822" s="28"/>
      <c r="C9822" s="3" t="s">
        <v>4</v>
      </c>
    </row>
    <row r="9823" spans="1:3" ht="13.5" thickBot="1" x14ac:dyDescent="0.25">
      <c r="A9823" s="3">
        <v>6553</v>
      </c>
      <c r="B9823" s="28"/>
      <c r="C9823" s="3" t="s">
        <v>4</v>
      </c>
    </row>
    <row r="9824" spans="1:3" ht="13.5" thickBot="1" x14ac:dyDescent="0.25">
      <c r="A9824" s="3">
        <v>5613</v>
      </c>
      <c r="B9824" s="28"/>
      <c r="C9824" s="3" t="s">
        <v>3</v>
      </c>
    </row>
    <row r="9825" spans="1:3" ht="13.5" thickBot="1" x14ac:dyDescent="0.25">
      <c r="A9825" s="3">
        <v>6858</v>
      </c>
      <c r="B9825" s="28"/>
      <c r="C9825" s="3" t="s">
        <v>6</v>
      </c>
    </row>
    <row r="9826" spans="1:3" ht="13.5" thickBot="1" x14ac:dyDescent="0.25">
      <c r="A9826" s="3">
        <v>2184</v>
      </c>
      <c r="B9826" s="28"/>
      <c r="C9826" s="3" t="s">
        <v>4</v>
      </c>
    </row>
    <row r="9827" spans="1:3" ht="13.5" thickBot="1" x14ac:dyDescent="0.25">
      <c r="A9827" s="3">
        <v>5355</v>
      </c>
      <c r="B9827" s="28"/>
      <c r="C9827" s="3" t="s">
        <v>3</v>
      </c>
    </row>
    <row r="9828" spans="1:3" ht="13.5" thickBot="1" x14ac:dyDescent="0.25">
      <c r="A9828" s="3">
        <v>2215</v>
      </c>
      <c r="B9828" s="28"/>
      <c r="C9828" s="3" t="s">
        <v>3</v>
      </c>
    </row>
    <row r="9829" spans="1:3" ht="13.5" thickBot="1" x14ac:dyDescent="0.25">
      <c r="A9829" s="3">
        <v>4618</v>
      </c>
      <c r="B9829" s="28"/>
      <c r="C9829" s="3" t="s">
        <v>6</v>
      </c>
    </row>
    <row r="9830" spans="1:3" ht="13.5" thickBot="1" x14ac:dyDescent="0.25">
      <c r="A9830" s="3">
        <v>5762</v>
      </c>
      <c r="B9830" s="28"/>
      <c r="C9830" s="3" t="s">
        <v>5</v>
      </c>
    </row>
    <row r="9831" spans="1:3" ht="13.5" thickBot="1" x14ac:dyDescent="0.25">
      <c r="A9831" s="3">
        <v>2693</v>
      </c>
      <c r="B9831" s="28"/>
      <c r="C9831" s="3" t="s">
        <v>4</v>
      </c>
    </row>
    <row r="9832" spans="1:3" ht="13.5" thickBot="1" x14ac:dyDescent="0.25">
      <c r="A9832" s="3">
        <v>5543</v>
      </c>
      <c r="B9832" s="28"/>
      <c r="C9832" s="3" t="s">
        <v>6</v>
      </c>
    </row>
    <row r="9833" spans="1:3" ht="13.5" thickBot="1" x14ac:dyDescent="0.25">
      <c r="A9833" s="3">
        <v>2698</v>
      </c>
      <c r="B9833" s="28"/>
      <c r="C9833" s="3" t="s">
        <v>6</v>
      </c>
    </row>
    <row r="9834" spans="1:3" ht="13.5" thickBot="1" x14ac:dyDescent="0.25">
      <c r="A9834" s="3">
        <v>5191</v>
      </c>
      <c r="B9834" s="28"/>
      <c r="C9834" s="3" t="s">
        <v>6</v>
      </c>
    </row>
    <row r="9835" spans="1:3" ht="13.5" thickBot="1" x14ac:dyDescent="0.25">
      <c r="A9835" s="3">
        <v>6795</v>
      </c>
      <c r="B9835" s="28"/>
      <c r="C9835" s="3" t="s">
        <v>3</v>
      </c>
    </row>
    <row r="9836" spans="1:3" ht="13.5" thickBot="1" x14ac:dyDescent="0.25">
      <c r="A9836" s="3">
        <v>7540</v>
      </c>
      <c r="B9836" s="28"/>
      <c r="C9836" s="3" t="s">
        <v>4</v>
      </c>
    </row>
    <row r="9837" spans="1:3" ht="13.5" thickBot="1" x14ac:dyDescent="0.25">
      <c r="A9837" s="3">
        <v>117</v>
      </c>
      <c r="B9837" s="28"/>
      <c r="C9837" s="3" t="s">
        <v>3</v>
      </c>
    </row>
    <row r="9838" spans="1:3" ht="13.5" thickBot="1" x14ac:dyDescent="0.25">
      <c r="A9838" s="3">
        <v>6438</v>
      </c>
      <c r="B9838" s="28"/>
      <c r="C9838" s="3" t="s">
        <v>3</v>
      </c>
    </row>
    <row r="9839" spans="1:3" ht="13.5" thickBot="1" x14ac:dyDescent="0.25">
      <c r="A9839" s="3">
        <v>1039</v>
      </c>
      <c r="B9839" s="28"/>
      <c r="C9839" s="3" t="s">
        <v>4</v>
      </c>
    </row>
    <row r="9840" spans="1:3" ht="13.5" thickBot="1" x14ac:dyDescent="0.25">
      <c r="A9840" s="3">
        <v>5143</v>
      </c>
      <c r="B9840" s="28"/>
      <c r="C9840" s="3" t="s">
        <v>3</v>
      </c>
    </row>
    <row r="9841" spans="1:3" ht="13.5" thickBot="1" x14ac:dyDescent="0.25">
      <c r="A9841" s="3">
        <v>7504</v>
      </c>
      <c r="B9841" s="28"/>
      <c r="C9841" s="3" t="s">
        <v>7</v>
      </c>
    </row>
    <row r="9842" spans="1:3" ht="13.5" thickBot="1" x14ac:dyDescent="0.25">
      <c r="A9842" s="3">
        <v>3028</v>
      </c>
      <c r="B9842" s="28"/>
      <c r="C9842" s="3" t="s">
        <v>3</v>
      </c>
    </row>
    <row r="9843" spans="1:3" ht="13.5" thickBot="1" x14ac:dyDescent="0.25">
      <c r="A9843" s="3">
        <v>1870</v>
      </c>
      <c r="B9843" s="28"/>
      <c r="C9843" s="3" t="s">
        <v>7</v>
      </c>
    </row>
    <row r="9844" spans="1:3" ht="13.5" thickBot="1" x14ac:dyDescent="0.25">
      <c r="A9844" s="3">
        <v>6563</v>
      </c>
      <c r="B9844" s="28"/>
      <c r="C9844" s="3" t="s">
        <v>4</v>
      </c>
    </row>
    <row r="9845" spans="1:3" ht="13.5" thickBot="1" x14ac:dyDescent="0.25">
      <c r="A9845" s="3">
        <v>7540</v>
      </c>
      <c r="B9845" s="28"/>
      <c r="C9845" s="3" t="s">
        <v>3</v>
      </c>
    </row>
    <row r="9846" spans="1:3" ht="13.5" thickBot="1" x14ac:dyDescent="0.25">
      <c r="A9846" s="3">
        <v>4618</v>
      </c>
      <c r="B9846" s="28"/>
      <c r="C9846" s="3" t="s">
        <v>7</v>
      </c>
    </row>
    <row r="9847" spans="1:3" ht="13.5" thickBot="1" x14ac:dyDescent="0.25">
      <c r="A9847" s="3">
        <v>1721</v>
      </c>
      <c r="B9847" s="28"/>
      <c r="C9847" s="3" t="s">
        <v>5</v>
      </c>
    </row>
    <row r="9848" spans="1:3" ht="13.5" thickBot="1" x14ac:dyDescent="0.25">
      <c r="A9848" s="3">
        <v>4747</v>
      </c>
      <c r="B9848" s="28"/>
      <c r="C9848" s="3" t="s">
        <v>3</v>
      </c>
    </row>
    <row r="9849" spans="1:3" ht="13.5" thickBot="1" x14ac:dyDescent="0.25">
      <c r="A9849" s="3">
        <v>1091</v>
      </c>
      <c r="B9849" s="28"/>
      <c r="C9849" s="3" t="s">
        <v>7</v>
      </c>
    </row>
    <row r="9850" spans="1:3" ht="13.5" thickBot="1" x14ac:dyDescent="0.25">
      <c r="A9850" s="3">
        <v>854</v>
      </c>
      <c r="B9850" s="28"/>
      <c r="C9850" s="3" t="s">
        <v>3</v>
      </c>
    </row>
    <row r="9851" spans="1:3" ht="13.5" thickBot="1" x14ac:dyDescent="0.25">
      <c r="A9851" s="3">
        <v>3334</v>
      </c>
      <c r="B9851" s="28"/>
      <c r="C9851" s="3" t="s">
        <v>4</v>
      </c>
    </row>
    <row r="9852" spans="1:3" ht="13.5" thickBot="1" x14ac:dyDescent="0.25">
      <c r="A9852" s="3">
        <v>3307</v>
      </c>
      <c r="B9852" s="28"/>
      <c r="C9852" s="3" t="s">
        <v>4</v>
      </c>
    </row>
    <row r="9853" spans="1:3" ht="13.5" thickBot="1" x14ac:dyDescent="0.25">
      <c r="A9853" s="3">
        <v>3299</v>
      </c>
      <c r="B9853" s="28"/>
      <c r="C9853" s="3" t="s">
        <v>7</v>
      </c>
    </row>
    <row r="9854" spans="1:3" ht="13.5" thickBot="1" x14ac:dyDescent="0.25">
      <c r="A9854" s="3">
        <v>189</v>
      </c>
      <c r="B9854" s="28"/>
      <c r="C9854" s="3" t="s">
        <v>6</v>
      </c>
    </row>
    <row r="9855" spans="1:3" ht="13.5" thickBot="1" x14ac:dyDescent="0.25">
      <c r="A9855" s="3">
        <v>172</v>
      </c>
      <c r="B9855" s="28"/>
      <c r="C9855" s="3" t="s">
        <v>3</v>
      </c>
    </row>
    <row r="9856" spans="1:3" ht="13.5" thickBot="1" x14ac:dyDescent="0.25">
      <c r="A9856" s="3">
        <v>866</v>
      </c>
      <c r="B9856" s="28"/>
      <c r="C9856" s="3" t="s">
        <v>6</v>
      </c>
    </row>
    <row r="9857" spans="1:3" ht="13.5" thickBot="1" x14ac:dyDescent="0.25">
      <c r="A9857" s="3">
        <v>1721</v>
      </c>
      <c r="B9857" s="28"/>
      <c r="C9857" s="3" t="s">
        <v>3</v>
      </c>
    </row>
    <row r="9858" spans="1:3" ht="13.5" thickBot="1" x14ac:dyDescent="0.25">
      <c r="A9858" s="3">
        <v>1554</v>
      </c>
      <c r="B9858" s="28"/>
      <c r="C9858" s="3" t="s">
        <v>3</v>
      </c>
    </row>
    <row r="9859" spans="1:3" ht="13.5" thickBot="1" x14ac:dyDescent="0.25">
      <c r="A9859" s="3">
        <v>7253</v>
      </c>
      <c r="B9859" s="28"/>
      <c r="C9859" s="3" t="s">
        <v>4</v>
      </c>
    </row>
    <row r="9860" spans="1:3" ht="13.5" thickBot="1" x14ac:dyDescent="0.25">
      <c r="A9860" s="3">
        <v>5139</v>
      </c>
      <c r="B9860" s="28"/>
      <c r="C9860" s="3" t="s">
        <v>7</v>
      </c>
    </row>
    <row r="9861" spans="1:3" ht="13.5" thickBot="1" x14ac:dyDescent="0.25">
      <c r="A9861" s="3">
        <v>3564</v>
      </c>
      <c r="B9861" s="28"/>
      <c r="C9861" s="3" t="s">
        <v>4</v>
      </c>
    </row>
    <row r="9862" spans="1:3" ht="13.5" thickBot="1" x14ac:dyDescent="0.25">
      <c r="A9862" s="3">
        <v>2338</v>
      </c>
      <c r="B9862" s="28"/>
      <c r="C9862" s="3" t="s">
        <v>6</v>
      </c>
    </row>
    <row r="9863" spans="1:3" ht="13.5" thickBot="1" x14ac:dyDescent="0.25">
      <c r="A9863" s="3">
        <v>1473</v>
      </c>
      <c r="B9863" s="28"/>
      <c r="C9863" s="3" t="s">
        <v>3</v>
      </c>
    </row>
    <row r="9864" spans="1:3" ht="13.5" thickBot="1" x14ac:dyDescent="0.25">
      <c r="A9864" s="3">
        <v>4717</v>
      </c>
      <c r="B9864" s="28"/>
      <c r="C9864" s="3" t="s">
        <v>3</v>
      </c>
    </row>
    <row r="9865" spans="1:3" ht="13.5" thickBot="1" x14ac:dyDescent="0.25">
      <c r="A9865" s="3">
        <v>2019</v>
      </c>
      <c r="B9865" s="28"/>
      <c r="C9865" s="3" t="s">
        <v>4</v>
      </c>
    </row>
    <row r="9866" spans="1:3" ht="13.5" thickBot="1" x14ac:dyDescent="0.25">
      <c r="A9866" s="3">
        <v>1881</v>
      </c>
      <c r="B9866" s="28"/>
      <c r="C9866" s="3" t="s">
        <v>5</v>
      </c>
    </row>
    <row r="9867" spans="1:3" ht="13.5" thickBot="1" x14ac:dyDescent="0.25">
      <c r="A9867" s="3">
        <v>3426</v>
      </c>
      <c r="B9867" s="28"/>
      <c r="C9867" s="3" t="s">
        <v>3</v>
      </c>
    </row>
    <row r="9868" spans="1:3" ht="13.5" thickBot="1" x14ac:dyDescent="0.25">
      <c r="A9868" s="3">
        <v>2274</v>
      </c>
      <c r="B9868" s="28"/>
      <c r="C9868" s="3" t="s">
        <v>7</v>
      </c>
    </row>
    <row r="9869" spans="1:3" ht="13.5" thickBot="1" x14ac:dyDescent="0.25">
      <c r="A9869" s="3">
        <v>3306</v>
      </c>
      <c r="B9869" s="28"/>
      <c r="C9869" s="3" t="s">
        <v>7</v>
      </c>
    </row>
    <row r="9870" spans="1:3" ht="13.5" thickBot="1" x14ac:dyDescent="0.25">
      <c r="A9870" s="3">
        <v>4332</v>
      </c>
      <c r="B9870" s="28"/>
      <c r="C9870" s="3" t="s">
        <v>6</v>
      </c>
    </row>
    <row r="9871" spans="1:3" ht="13.5" thickBot="1" x14ac:dyDescent="0.25">
      <c r="A9871" s="3">
        <v>4510</v>
      </c>
      <c r="B9871" s="28"/>
      <c r="C9871" s="3" t="s">
        <v>7</v>
      </c>
    </row>
    <row r="9872" spans="1:3" ht="13.5" thickBot="1" x14ac:dyDescent="0.25">
      <c r="A9872" s="3">
        <v>1706</v>
      </c>
      <c r="B9872" s="28"/>
      <c r="C9872" s="3" t="s">
        <v>3</v>
      </c>
    </row>
    <row r="9873" spans="1:3" ht="13.5" thickBot="1" x14ac:dyDescent="0.25">
      <c r="A9873" s="3">
        <v>51</v>
      </c>
      <c r="B9873" s="28"/>
      <c r="C9873" s="3" t="s">
        <v>3</v>
      </c>
    </row>
    <row r="9874" spans="1:3" ht="13.5" thickBot="1" x14ac:dyDescent="0.25">
      <c r="A9874" s="3">
        <v>2317</v>
      </c>
      <c r="B9874" s="28"/>
      <c r="C9874" s="3" t="s">
        <v>5</v>
      </c>
    </row>
    <row r="9875" spans="1:3" ht="13.5" thickBot="1" x14ac:dyDescent="0.25">
      <c r="A9875" s="3">
        <v>3313</v>
      </c>
      <c r="B9875" s="28"/>
      <c r="C9875" s="3" t="s">
        <v>6</v>
      </c>
    </row>
    <row r="9876" spans="1:3" ht="13.5" thickBot="1" x14ac:dyDescent="0.25">
      <c r="A9876" s="3">
        <v>4067</v>
      </c>
      <c r="B9876" s="28"/>
      <c r="C9876" s="3" t="s">
        <v>3</v>
      </c>
    </row>
    <row r="9877" spans="1:3" ht="13.5" thickBot="1" x14ac:dyDescent="0.25">
      <c r="A9877" s="3">
        <v>4889</v>
      </c>
      <c r="B9877" s="28"/>
      <c r="C9877" s="3" t="s">
        <v>3</v>
      </c>
    </row>
    <row r="9878" spans="1:3" ht="13.5" thickBot="1" x14ac:dyDescent="0.25">
      <c r="A9878" s="3">
        <v>2553</v>
      </c>
      <c r="B9878" s="28"/>
      <c r="C9878" s="3" t="s">
        <v>3</v>
      </c>
    </row>
    <row r="9879" spans="1:3" ht="13.5" thickBot="1" x14ac:dyDescent="0.25">
      <c r="A9879" s="3">
        <v>7774</v>
      </c>
      <c r="B9879" s="28"/>
      <c r="C9879" s="3" t="s">
        <v>6</v>
      </c>
    </row>
    <row r="9880" spans="1:3" ht="13.5" thickBot="1" x14ac:dyDescent="0.25">
      <c r="A9880" s="3">
        <v>5762</v>
      </c>
      <c r="B9880" s="28"/>
      <c r="C9880" s="3" t="s">
        <v>4</v>
      </c>
    </row>
    <row r="9881" spans="1:3" ht="13.5" thickBot="1" x14ac:dyDescent="0.25">
      <c r="A9881" s="3">
        <v>5139</v>
      </c>
      <c r="B9881" s="28"/>
      <c r="C9881" s="3" t="s">
        <v>4</v>
      </c>
    </row>
    <row r="9882" spans="1:3" ht="13.5" thickBot="1" x14ac:dyDescent="0.25">
      <c r="A9882" s="3">
        <v>454</v>
      </c>
      <c r="B9882" s="28"/>
      <c r="C9882" s="3" t="s">
        <v>3</v>
      </c>
    </row>
    <row r="9883" spans="1:3" ht="13.5" thickBot="1" x14ac:dyDescent="0.25">
      <c r="A9883" s="3">
        <v>2202</v>
      </c>
      <c r="B9883" s="28"/>
      <c r="C9883" s="3" t="s">
        <v>3</v>
      </c>
    </row>
    <row r="9884" spans="1:3" ht="13.5" thickBot="1" x14ac:dyDescent="0.25">
      <c r="A9884" s="3">
        <v>4453</v>
      </c>
      <c r="B9884" s="28"/>
      <c r="C9884" s="3" t="s">
        <v>3</v>
      </c>
    </row>
    <row r="9885" spans="1:3" ht="13.5" thickBot="1" x14ac:dyDescent="0.25">
      <c r="A9885" s="3">
        <v>7601</v>
      </c>
      <c r="B9885" s="28"/>
      <c r="C9885" s="3" t="s">
        <v>3</v>
      </c>
    </row>
    <row r="9886" spans="1:3" ht="13.5" thickBot="1" x14ac:dyDescent="0.25">
      <c r="A9886" s="3">
        <v>2698</v>
      </c>
      <c r="B9886" s="28"/>
      <c r="C9886" s="3" t="s">
        <v>7</v>
      </c>
    </row>
    <row r="9887" spans="1:3" ht="13.5" thickBot="1" x14ac:dyDescent="0.25">
      <c r="A9887" s="3">
        <v>1500</v>
      </c>
      <c r="B9887" s="28"/>
      <c r="C9887" s="3" t="s">
        <v>7</v>
      </c>
    </row>
    <row r="9888" spans="1:3" ht="13.5" thickBot="1" x14ac:dyDescent="0.25">
      <c r="A9888" s="3">
        <v>3593</v>
      </c>
      <c r="B9888" s="28"/>
      <c r="C9888" s="3" t="s">
        <v>3</v>
      </c>
    </row>
    <row r="9889" spans="1:3" ht="13.5" thickBot="1" x14ac:dyDescent="0.25">
      <c r="A9889" s="3">
        <v>1894</v>
      </c>
      <c r="B9889" s="28"/>
      <c r="C9889" s="3" t="s">
        <v>7</v>
      </c>
    </row>
    <row r="9890" spans="1:3" ht="13.5" thickBot="1" x14ac:dyDescent="0.25">
      <c r="A9890" s="3">
        <v>2317</v>
      </c>
      <c r="B9890" s="28"/>
      <c r="C9890" s="3" t="s">
        <v>4</v>
      </c>
    </row>
    <row r="9891" spans="1:3" ht="13.5" thickBot="1" x14ac:dyDescent="0.25">
      <c r="A9891" s="3">
        <v>1755</v>
      </c>
      <c r="B9891" s="28"/>
      <c r="C9891" s="3" t="s">
        <v>3</v>
      </c>
    </row>
    <row r="9892" spans="1:3" ht="13.5" thickBot="1" x14ac:dyDescent="0.25">
      <c r="A9892" s="3">
        <v>7998</v>
      </c>
      <c r="B9892" s="28"/>
      <c r="C9892" s="3" t="s">
        <v>3</v>
      </c>
    </row>
    <row r="9893" spans="1:3" ht="13.5" thickBot="1" x14ac:dyDescent="0.25">
      <c r="A9893" s="3">
        <v>2518</v>
      </c>
      <c r="B9893" s="28"/>
      <c r="C9893" s="3" t="s">
        <v>4</v>
      </c>
    </row>
    <row r="9894" spans="1:3" ht="13.5" thickBot="1" x14ac:dyDescent="0.25">
      <c r="A9894" s="3">
        <v>750</v>
      </c>
      <c r="B9894" s="28"/>
      <c r="C9894" s="3" t="s">
        <v>3</v>
      </c>
    </row>
    <row r="9895" spans="1:3" ht="13.5" thickBot="1" x14ac:dyDescent="0.25">
      <c r="A9895" s="3">
        <v>7771</v>
      </c>
      <c r="B9895" s="28"/>
      <c r="C9895" s="3" t="s">
        <v>5</v>
      </c>
    </row>
    <row r="9896" spans="1:3" ht="13.5" thickBot="1" x14ac:dyDescent="0.25">
      <c r="A9896" s="3">
        <v>4048</v>
      </c>
      <c r="B9896" s="28"/>
      <c r="C9896" s="3" t="s">
        <v>4</v>
      </c>
    </row>
    <row r="9897" spans="1:3" ht="13.5" thickBot="1" x14ac:dyDescent="0.25">
      <c r="A9897" s="3">
        <v>6959</v>
      </c>
      <c r="B9897" s="28"/>
      <c r="C9897" s="3" t="s">
        <v>5</v>
      </c>
    </row>
    <row r="9898" spans="1:3" ht="13.5" thickBot="1" x14ac:dyDescent="0.25">
      <c r="A9898" s="3">
        <v>6655</v>
      </c>
      <c r="B9898" s="28"/>
      <c r="C9898" s="3" t="s">
        <v>3</v>
      </c>
    </row>
    <row r="9899" spans="1:3" ht="13.5" thickBot="1" x14ac:dyDescent="0.25">
      <c r="A9899" s="3">
        <v>3347</v>
      </c>
      <c r="B9899" s="28"/>
      <c r="C9899" s="3" t="s">
        <v>6</v>
      </c>
    </row>
    <row r="9900" spans="1:3" ht="13.5" thickBot="1" x14ac:dyDescent="0.25">
      <c r="A9900" s="3">
        <v>5696</v>
      </c>
      <c r="B9900" s="28"/>
      <c r="C9900" s="3" t="s">
        <v>4</v>
      </c>
    </row>
    <row r="9901" spans="1:3" ht="13.5" thickBot="1" x14ac:dyDescent="0.25">
      <c r="A9901" s="3">
        <v>5994</v>
      </c>
      <c r="B9901" s="28"/>
      <c r="C9901" s="3" t="s">
        <v>3</v>
      </c>
    </row>
    <row r="9902" spans="1:3" ht="13.5" thickBot="1" x14ac:dyDescent="0.25">
      <c r="A9902" s="3">
        <v>3077</v>
      </c>
      <c r="B9902" s="28"/>
      <c r="C9902" s="3" t="s">
        <v>3</v>
      </c>
    </row>
    <row r="9903" spans="1:3" ht="13.5" thickBot="1" x14ac:dyDescent="0.25">
      <c r="A9903" s="3">
        <v>7347</v>
      </c>
      <c r="B9903" s="28"/>
      <c r="C9903" s="3" t="s">
        <v>3</v>
      </c>
    </row>
    <row r="9904" spans="1:3" ht="13.5" thickBot="1" x14ac:dyDescent="0.25">
      <c r="A9904" s="3">
        <v>6858</v>
      </c>
      <c r="B9904" s="28"/>
      <c r="C9904" s="3" t="s">
        <v>4</v>
      </c>
    </row>
    <row r="9905" spans="1:3" ht="13.5" thickBot="1" x14ac:dyDescent="0.25">
      <c r="A9905" s="3">
        <v>6023</v>
      </c>
      <c r="B9905" s="28"/>
      <c r="C9905" s="3" t="s">
        <v>6</v>
      </c>
    </row>
    <row r="9906" spans="1:3" ht="13.5" thickBot="1" x14ac:dyDescent="0.25">
      <c r="A9906" s="3">
        <v>1976</v>
      </c>
      <c r="B9906" s="28"/>
      <c r="C9906" s="3" t="s">
        <v>3</v>
      </c>
    </row>
    <row r="9907" spans="1:3" ht="13.5" thickBot="1" x14ac:dyDescent="0.25">
      <c r="A9907" s="3">
        <v>1039</v>
      </c>
      <c r="B9907" s="28"/>
      <c r="C9907" s="3" t="s">
        <v>7</v>
      </c>
    </row>
    <row r="9908" spans="1:3" ht="13.5" thickBot="1" x14ac:dyDescent="0.25">
      <c r="A9908" s="3">
        <v>1871</v>
      </c>
      <c r="B9908" s="28"/>
      <c r="C9908" s="3" t="s">
        <v>6</v>
      </c>
    </row>
    <row r="9909" spans="1:3" ht="13.5" thickBot="1" x14ac:dyDescent="0.25">
      <c r="A9909" s="3">
        <v>6563</v>
      </c>
      <c r="B9909" s="28"/>
      <c r="C9909" s="3" t="s">
        <v>5</v>
      </c>
    </row>
    <row r="9910" spans="1:3" ht="13.5" thickBot="1" x14ac:dyDescent="0.25">
      <c r="A9910" s="3">
        <v>1929</v>
      </c>
      <c r="B9910" s="28"/>
      <c r="C9910" s="3" t="s">
        <v>7</v>
      </c>
    </row>
    <row r="9911" spans="1:3" ht="13.5" thickBot="1" x14ac:dyDescent="0.25">
      <c r="A9911" s="3">
        <v>2539</v>
      </c>
      <c r="B9911" s="28"/>
      <c r="C9911" s="3" t="s">
        <v>3</v>
      </c>
    </row>
    <row r="9912" spans="1:3" ht="13.5" thickBot="1" x14ac:dyDescent="0.25">
      <c r="A9912" s="3">
        <v>657</v>
      </c>
      <c r="B9912" s="28"/>
      <c r="C9912" s="3" t="s">
        <v>3</v>
      </c>
    </row>
    <row r="9913" spans="1:3" ht="13.5" thickBot="1" x14ac:dyDescent="0.25">
      <c r="A9913" s="3">
        <v>6563</v>
      </c>
      <c r="B9913" s="28"/>
      <c r="C9913" s="3" t="s">
        <v>3</v>
      </c>
    </row>
    <row r="9914" spans="1:3" ht="13.5" thickBot="1" x14ac:dyDescent="0.25">
      <c r="A9914" s="3">
        <v>4339</v>
      </c>
      <c r="B9914" s="28"/>
      <c r="C9914" s="3" t="s">
        <v>4</v>
      </c>
    </row>
    <row r="9915" spans="1:3" ht="13.5" thickBot="1" x14ac:dyDescent="0.25">
      <c r="A9915" s="3">
        <v>1929</v>
      </c>
      <c r="B9915" s="28"/>
      <c r="C9915" s="3" t="s">
        <v>6</v>
      </c>
    </row>
    <row r="9916" spans="1:3" ht="13.5" thickBot="1" x14ac:dyDescent="0.25">
      <c r="A9916" s="3">
        <v>5773</v>
      </c>
      <c r="B9916" s="28"/>
      <c r="C9916" s="3" t="s">
        <v>3</v>
      </c>
    </row>
    <row r="9917" spans="1:3" ht="13.5" thickBot="1" x14ac:dyDescent="0.25">
      <c r="A9917" s="3">
        <v>4613</v>
      </c>
      <c r="B9917" s="28"/>
      <c r="C9917" s="3" t="s">
        <v>3</v>
      </c>
    </row>
    <row r="9918" spans="1:3" ht="13.5" thickBot="1" x14ac:dyDescent="0.25">
      <c r="A9918" s="3">
        <v>4717</v>
      </c>
      <c r="B9918" s="28"/>
      <c r="C9918" s="3" t="s">
        <v>4</v>
      </c>
    </row>
    <row r="9919" spans="1:3" ht="13.5" thickBot="1" x14ac:dyDescent="0.25">
      <c r="A9919" s="3">
        <v>3582</v>
      </c>
      <c r="B9919" s="28"/>
      <c r="C9919" s="3" t="s">
        <v>3</v>
      </c>
    </row>
    <row r="9920" spans="1:3" ht="13.5" thickBot="1" x14ac:dyDescent="0.25">
      <c r="A9920" s="3">
        <v>2772</v>
      </c>
      <c r="B9920" s="28"/>
      <c r="C9920" s="3" t="s">
        <v>6</v>
      </c>
    </row>
    <row r="9921" spans="1:3" ht="13.5" thickBot="1" x14ac:dyDescent="0.25">
      <c r="A9921" s="3">
        <v>1881</v>
      </c>
      <c r="B9921" s="28"/>
      <c r="C9921" s="3" t="s">
        <v>7</v>
      </c>
    </row>
    <row r="9922" spans="1:3" ht="13.5" thickBot="1" x14ac:dyDescent="0.25">
      <c r="A9922" s="3">
        <v>6553</v>
      </c>
      <c r="B9922" s="28"/>
      <c r="C9922" s="3" t="s">
        <v>5</v>
      </c>
    </row>
    <row r="9923" spans="1:3" ht="13.5" thickBot="1" x14ac:dyDescent="0.25">
      <c r="A9923" s="3">
        <v>3455</v>
      </c>
      <c r="B9923" s="28"/>
      <c r="C9923" s="3" t="s">
        <v>3</v>
      </c>
    </row>
    <row r="9924" spans="1:3" ht="13.5" thickBot="1" x14ac:dyDescent="0.25">
      <c r="A9924" s="3">
        <v>2830</v>
      </c>
      <c r="B9924" s="28"/>
      <c r="C9924" s="3" t="s">
        <v>6</v>
      </c>
    </row>
    <row r="9925" spans="1:3" ht="13.5" thickBot="1" x14ac:dyDescent="0.25">
      <c r="A9925" s="3">
        <v>1411</v>
      </c>
      <c r="B9925" s="28"/>
      <c r="C9925" s="3" t="s">
        <v>6</v>
      </c>
    </row>
    <row r="9926" spans="1:3" ht="13.5" thickBot="1" x14ac:dyDescent="0.25">
      <c r="A9926" s="3">
        <v>5442</v>
      </c>
      <c r="B9926" s="28"/>
      <c r="C9926" s="3" t="s">
        <v>4</v>
      </c>
    </row>
    <row r="9927" spans="1:3" ht="13.5" thickBot="1" x14ac:dyDescent="0.25">
      <c r="A9927" s="3">
        <v>836</v>
      </c>
      <c r="B9927" s="28"/>
      <c r="C9927" s="3" t="s">
        <v>3</v>
      </c>
    </row>
    <row r="9928" spans="1:3" ht="13.5" thickBot="1" x14ac:dyDescent="0.25">
      <c r="A9928" s="3">
        <v>3488</v>
      </c>
      <c r="B9928" s="28"/>
      <c r="C9928" s="3" t="s">
        <v>3</v>
      </c>
    </row>
    <row r="9929" spans="1:3" ht="13.5" thickBot="1" x14ac:dyDescent="0.25">
      <c r="A9929" s="3">
        <v>3593</v>
      </c>
      <c r="B9929" s="28"/>
      <c r="C9929" s="3" t="s">
        <v>5</v>
      </c>
    </row>
    <row r="9930" spans="1:3" ht="13.5" thickBot="1" x14ac:dyDescent="0.25">
      <c r="A9930" s="3">
        <v>454</v>
      </c>
      <c r="B9930" s="28"/>
      <c r="C9930" s="3" t="s">
        <v>4</v>
      </c>
    </row>
    <row r="9931" spans="1:3" ht="13.5" thickBot="1" x14ac:dyDescent="0.25">
      <c r="A9931" s="3">
        <v>837</v>
      </c>
      <c r="B9931" s="28"/>
      <c r="C9931" s="3" t="s">
        <v>3</v>
      </c>
    </row>
    <row r="9932" spans="1:3" ht="13.5" thickBot="1" x14ac:dyDescent="0.25">
      <c r="A9932" s="3">
        <v>548</v>
      </c>
      <c r="B9932" s="28"/>
      <c r="C9932" s="3" t="s">
        <v>6</v>
      </c>
    </row>
    <row r="9933" spans="1:3" ht="13.5" thickBot="1" x14ac:dyDescent="0.25">
      <c r="A9933" s="3">
        <v>5815</v>
      </c>
      <c r="B9933" s="28"/>
      <c r="C9933" s="3" t="s">
        <v>3</v>
      </c>
    </row>
    <row r="9934" spans="1:3" ht="13.5" thickBot="1" x14ac:dyDescent="0.25">
      <c r="A9934" s="3">
        <v>7786</v>
      </c>
      <c r="B9934" s="28"/>
      <c r="C9934" s="3" t="s">
        <v>6</v>
      </c>
    </row>
    <row r="9935" spans="1:3" ht="13.5" thickBot="1" x14ac:dyDescent="0.25">
      <c r="A9935" s="3">
        <v>2222</v>
      </c>
      <c r="B9935" s="28"/>
      <c r="C9935" s="3" t="s">
        <v>6</v>
      </c>
    </row>
    <row r="9936" spans="1:3" ht="13.5" thickBot="1" x14ac:dyDescent="0.25">
      <c r="A9936" s="3">
        <v>6113</v>
      </c>
      <c r="B9936" s="28"/>
      <c r="C9936" s="3" t="s">
        <v>3</v>
      </c>
    </row>
    <row r="9937" spans="1:3" ht="13.5" thickBot="1" x14ac:dyDescent="0.25">
      <c r="A9937" s="3">
        <v>4938</v>
      </c>
      <c r="B9937" s="28"/>
      <c r="C9937" s="3" t="s">
        <v>3</v>
      </c>
    </row>
    <row r="9938" spans="1:3" ht="13.5" thickBot="1" x14ac:dyDescent="0.25">
      <c r="A9938" s="3">
        <v>4259</v>
      </c>
      <c r="B9938" s="28"/>
      <c r="C9938" s="3" t="s">
        <v>3</v>
      </c>
    </row>
    <row r="9939" spans="1:3" ht="13.5" thickBot="1" x14ac:dyDescent="0.25">
      <c r="A9939" s="3">
        <v>3734</v>
      </c>
      <c r="B9939" s="28"/>
      <c r="C9939" s="3" t="s">
        <v>7</v>
      </c>
    </row>
    <row r="9940" spans="1:3" ht="13.5" thickBot="1" x14ac:dyDescent="0.25">
      <c r="A9940" s="3">
        <v>6655</v>
      </c>
      <c r="B9940" s="28"/>
      <c r="C9940" s="3" t="s">
        <v>5</v>
      </c>
    </row>
    <row r="9941" spans="1:3" ht="13.5" thickBot="1" x14ac:dyDescent="0.25">
      <c r="A9941" s="3">
        <v>5453</v>
      </c>
      <c r="B9941" s="28"/>
      <c r="C9941" s="3" t="s">
        <v>3</v>
      </c>
    </row>
    <row r="9942" spans="1:3" ht="13.5" thickBot="1" x14ac:dyDescent="0.25">
      <c r="A9942" s="3">
        <v>158</v>
      </c>
      <c r="B9942" s="28"/>
      <c r="C9942" s="3" t="s">
        <v>3</v>
      </c>
    </row>
    <row r="9943" spans="1:3" ht="13.5" thickBot="1" x14ac:dyDescent="0.25">
      <c r="A9943" s="3">
        <v>5442</v>
      </c>
      <c r="B9943" s="28"/>
      <c r="C9943" s="3" t="s">
        <v>3</v>
      </c>
    </row>
    <row r="9944" spans="1:3" ht="13.5" thickBot="1" x14ac:dyDescent="0.25">
      <c r="A9944" s="3">
        <v>2765</v>
      </c>
      <c r="B9944" s="28"/>
      <c r="C9944" s="3" t="s">
        <v>6</v>
      </c>
    </row>
    <row r="9945" spans="1:3" ht="13.5" thickBot="1" x14ac:dyDescent="0.25">
      <c r="A9945" s="3">
        <v>6999</v>
      </c>
      <c r="B9945" s="28"/>
      <c r="C9945" s="3" t="s">
        <v>3</v>
      </c>
    </row>
    <row r="9946" spans="1:3" ht="13.5" thickBot="1" x14ac:dyDescent="0.25">
      <c r="A9946" s="3">
        <v>5868</v>
      </c>
      <c r="B9946" s="28"/>
      <c r="C9946" s="3" t="s">
        <v>6</v>
      </c>
    </row>
    <row r="9947" spans="1:3" ht="13.5" thickBot="1" x14ac:dyDescent="0.25">
      <c r="A9947" s="3">
        <v>4889</v>
      </c>
      <c r="B9947" s="28"/>
      <c r="C9947" s="3" t="s">
        <v>5</v>
      </c>
    </row>
    <row r="9948" spans="1:3" ht="13.5" thickBot="1" x14ac:dyDescent="0.25">
      <c r="A9948" s="3">
        <v>4829</v>
      </c>
      <c r="B9948" s="28"/>
      <c r="C9948" s="3" t="s">
        <v>4</v>
      </c>
    </row>
    <row r="9949" spans="1:3" ht="13.5" thickBot="1" x14ac:dyDescent="0.25">
      <c r="A9949" s="3">
        <v>6655</v>
      </c>
      <c r="B9949" s="28"/>
      <c r="C9949" s="3" t="s">
        <v>6</v>
      </c>
    </row>
    <row r="9950" spans="1:3" ht="13.5" thickBot="1" x14ac:dyDescent="0.25">
      <c r="A9950" s="3">
        <v>4618</v>
      </c>
      <c r="B9950" s="28"/>
      <c r="C9950" s="3" t="s">
        <v>5</v>
      </c>
    </row>
    <row r="9951" spans="1:3" ht="13.5" thickBot="1" x14ac:dyDescent="0.25">
      <c r="A9951" s="3">
        <v>850</v>
      </c>
      <c r="B9951" s="28"/>
      <c r="C9951" s="3" t="s">
        <v>3</v>
      </c>
    </row>
    <row r="9952" spans="1:3" ht="13.5" thickBot="1" x14ac:dyDescent="0.25">
      <c r="A9952" s="3">
        <v>2671</v>
      </c>
      <c r="B9952" s="28"/>
      <c r="C9952" s="3" t="s">
        <v>6</v>
      </c>
    </row>
    <row r="9953" spans="1:3" ht="13.5" thickBot="1" x14ac:dyDescent="0.25">
      <c r="A9953" s="3">
        <v>5139</v>
      </c>
      <c r="B9953" s="28"/>
      <c r="C9953" s="3" t="s">
        <v>6</v>
      </c>
    </row>
    <row r="9954" spans="1:3" ht="13.5" thickBot="1" x14ac:dyDescent="0.25">
      <c r="A9954" s="3">
        <v>2628</v>
      </c>
      <c r="B9954" s="28"/>
      <c r="C9954" s="3" t="s">
        <v>3</v>
      </c>
    </row>
    <row r="9955" spans="1:3" ht="13.5" thickBot="1" x14ac:dyDescent="0.25">
      <c r="A9955" s="3">
        <v>3207</v>
      </c>
      <c r="B9955" s="28"/>
      <c r="C9955" s="3" t="s">
        <v>6</v>
      </c>
    </row>
    <row r="9956" spans="1:3" ht="13.5" thickBot="1" x14ac:dyDescent="0.25">
      <c r="A9956" s="3">
        <v>6850</v>
      </c>
      <c r="B9956" s="28"/>
      <c r="C9956" s="3" t="s">
        <v>7</v>
      </c>
    </row>
    <row r="9957" spans="1:3" ht="13.5" thickBot="1" x14ac:dyDescent="0.25">
      <c r="A9957" s="3">
        <v>5773</v>
      </c>
      <c r="B9957" s="28"/>
      <c r="C9957" s="3" t="s">
        <v>4</v>
      </c>
    </row>
    <row r="9958" spans="1:3" ht="13.5" thickBot="1" x14ac:dyDescent="0.25">
      <c r="A9958" s="3">
        <v>7940</v>
      </c>
      <c r="B9958" s="28"/>
      <c r="C9958" s="3" t="s">
        <v>5</v>
      </c>
    </row>
    <row r="9959" spans="1:3" ht="13.5" thickBot="1" x14ac:dyDescent="0.25">
      <c r="A9959" s="3">
        <v>3334</v>
      </c>
      <c r="B9959" s="28"/>
      <c r="C9959" s="3" t="s">
        <v>5</v>
      </c>
    </row>
    <row r="9960" spans="1:3" ht="13.5" thickBot="1" x14ac:dyDescent="0.25">
      <c r="A9960" s="3">
        <v>2317</v>
      </c>
      <c r="B9960" s="28"/>
      <c r="C9960" s="3" t="s">
        <v>7</v>
      </c>
    </row>
    <row r="9961" spans="1:3" ht="13.5" thickBot="1" x14ac:dyDescent="0.25">
      <c r="A9961" s="3">
        <v>232</v>
      </c>
      <c r="B9961" s="28"/>
      <c r="C9961" s="3" t="s">
        <v>7</v>
      </c>
    </row>
    <row r="9962" spans="1:3" ht="13.5" thickBot="1" x14ac:dyDescent="0.25">
      <c r="A9962" s="3">
        <v>7940</v>
      </c>
      <c r="B9962" s="28"/>
      <c r="C9962" s="3" t="s">
        <v>7</v>
      </c>
    </row>
    <row r="9963" spans="1:3" ht="13.5" thickBot="1" x14ac:dyDescent="0.25">
      <c r="A9963" s="3">
        <v>51</v>
      </c>
      <c r="B9963" s="28"/>
      <c r="C9963" s="3" t="s">
        <v>4</v>
      </c>
    </row>
    <row r="9964" spans="1:3" ht="13.5" thickBot="1" x14ac:dyDescent="0.25">
      <c r="A9964" s="3">
        <v>2442</v>
      </c>
      <c r="B9964" s="28"/>
      <c r="C9964" s="3" t="s">
        <v>3</v>
      </c>
    </row>
    <row r="9965" spans="1:3" ht="13.5" thickBot="1" x14ac:dyDescent="0.25">
      <c r="A9965" s="3">
        <v>2848</v>
      </c>
      <c r="B9965" s="28"/>
      <c r="C9965" s="3" t="s">
        <v>4</v>
      </c>
    </row>
    <row r="9966" spans="1:3" ht="13.5" thickBot="1" x14ac:dyDescent="0.25">
      <c r="A9966" s="3">
        <v>7771</v>
      </c>
      <c r="B9966" s="28"/>
      <c r="C9966" s="3" t="s">
        <v>6</v>
      </c>
    </row>
    <row r="9967" spans="1:3" ht="13.5" thickBot="1" x14ac:dyDescent="0.25">
      <c r="A9967" s="3">
        <v>3593</v>
      </c>
      <c r="B9967" s="28"/>
      <c r="C9967" s="3" t="s">
        <v>7</v>
      </c>
    </row>
    <row r="9968" spans="1:3" ht="13.5" thickBot="1" x14ac:dyDescent="0.25">
      <c r="A9968" s="3">
        <v>4127</v>
      </c>
      <c r="B9968" s="28"/>
      <c r="C9968" s="3" t="s">
        <v>3</v>
      </c>
    </row>
    <row r="9969" spans="1:3" ht="13.5" thickBot="1" x14ac:dyDescent="0.25">
      <c r="A9969" s="3">
        <v>3562</v>
      </c>
      <c r="B9969" s="28"/>
      <c r="C9969" s="3" t="s">
        <v>3</v>
      </c>
    </row>
    <row r="9970" spans="1:3" ht="13.5" thickBot="1" x14ac:dyDescent="0.25">
      <c r="A9970" s="3">
        <v>1733</v>
      </c>
      <c r="B9970" s="28"/>
      <c r="C9970" s="3" t="s">
        <v>3</v>
      </c>
    </row>
    <row r="9971" spans="1:3" ht="13.5" thickBot="1" x14ac:dyDescent="0.25">
      <c r="A9971" s="3">
        <v>1755</v>
      </c>
      <c r="B9971" s="28"/>
      <c r="C9971" s="3" t="s">
        <v>4</v>
      </c>
    </row>
    <row r="9972" spans="1:3" ht="13.5" thickBot="1" x14ac:dyDescent="0.25">
      <c r="A9972" s="3">
        <v>3038</v>
      </c>
      <c r="B9972" s="28"/>
      <c r="C9972" s="3" t="s">
        <v>3</v>
      </c>
    </row>
    <row r="9973" spans="1:3" ht="13.5" thickBot="1" x14ac:dyDescent="0.25">
      <c r="A9973" s="3">
        <v>7774</v>
      </c>
      <c r="B9973" s="28"/>
      <c r="C9973" s="3" t="s">
        <v>5</v>
      </c>
    </row>
    <row r="9974" spans="1:3" ht="13.5" thickBot="1" x14ac:dyDescent="0.25">
      <c r="A9974" s="3">
        <v>306</v>
      </c>
      <c r="B9974" s="28"/>
      <c r="C9974" s="3" t="s">
        <v>3</v>
      </c>
    </row>
    <row r="9975" spans="1:3" ht="13.5" thickBot="1" x14ac:dyDescent="0.25">
      <c r="A9975" s="3">
        <v>4269</v>
      </c>
      <c r="B9975" s="28"/>
      <c r="C9975" s="3" t="s">
        <v>3</v>
      </c>
    </row>
    <row r="9976" spans="1:3" ht="13.5" thickBot="1" x14ac:dyDescent="0.25">
      <c r="A9976" s="3">
        <v>4966</v>
      </c>
      <c r="B9976" s="28"/>
      <c r="C9976" s="3" t="s">
        <v>3</v>
      </c>
    </row>
    <row r="9977" spans="1:3" ht="13.5" thickBot="1" x14ac:dyDescent="0.25">
      <c r="A9977" s="3">
        <v>1298</v>
      </c>
      <c r="B9977" s="28"/>
      <c r="C9977" s="3" t="s">
        <v>4</v>
      </c>
    </row>
    <row r="9978" spans="1:3" ht="13.5" thickBot="1" x14ac:dyDescent="0.25">
      <c r="A9978" s="3">
        <v>6015</v>
      </c>
      <c r="B9978" s="28"/>
      <c r="C9978" s="3" t="s">
        <v>3</v>
      </c>
    </row>
    <row r="9979" spans="1:3" ht="13.5" thickBot="1" x14ac:dyDescent="0.25">
      <c r="A9979" s="3">
        <v>4744</v>
      </c>
      <c r="B9979" s="28"/>
      <c r="C9979" s="3" t="s">
        <v>6</v>
      </c>
    </row>
    <row r="9980" spans="1:3" ht="13.5" thickBot="1" x14ac:dyDescent="0.25">
      <c r="A9980" s="3">
        <v>4348</v>
      </c>
      <c r="B9980" s="28"/>
      <c r="C9980" s="3" t="s">
        <v>3</v>
      </c>
    </row>
    <row r="9981" spans="1:3" ht="13.5" thickBot="1" x14ac:dyDescent="0.25">
      <c r="A9981" s="3">
        <v>4780</v>
      </c>
      <c r="B9981" s="28"/>
      <c r="C9981" s="3" t="s">
        <v>4</v>
      </c>
    </row>
    <row r="9982" spans="1:3" ht="13.5" thickBot="1" x14ac:dyDescent="0.25">
      <c r="A9982" s="3">
        <v>6553</v>
      </c>
      <c r="B9982" s="28"/>
      <c r="C9982" s="3" t="s">
        <v>7</v>
      </c>
    </row>
    <row r="9983" spans="1:3" ht="13.5" thickBot="1" x14ac:dyDescent="0.25">
      <c r="A9983" s="3">
        <v>2164</v>
      </c>
      <c r="B9983" s="28"/>
      <c r="C9983" s="3" t="s">
        <v>3</v>
      </c>
    </row>
    <row r="9984" spans="1:3" ht="13.5" thickBot="1" x14ac:dyDescent="0.25">
      <c r="A9984" s="3">
        <v>3178</v>
      </c>
      <c r="B9984" s="28"/>
      <c r="C9984" s="3" t="s">
        <v>4</v>
      </c>
    </row>
    <row r="9985" spans="1:3" ht="13.5" thickBot="1" x14ac:dyDescent="0.25">
      <c r="A9985" s="3">
        <v>5442</v>
      </c>
      <c r="B9985" s="28"/>
      <c r="C9985" s="3" t="s">
        <v>5</v>
      </c>
    </row>
    <row r="9986" spans="1:3" ht="13.5" thickBot="1" x14ac:dyDescent="0.25">
      <c r="A9986" s="3">
        <v>5988</v>
      </c>
      <c r="B9986" s="28"/>
      <c r="C9986" s="3" t="s">
        <v>3</v>
      </c>
    </row>
    <row r="9987" spans="1:3" ht="13.5" thickBot="1" x14ac:dyDescent="0.25">
      <c r="A9987" s="3">
        <v>5994</v>
      </c>
      <c r="B9987" s="28"/>
      <c r="C9987" s="3" t="s">
        <v>6</v>
      </c>
    </row>
    <row r="9988" spans="1:3" ht="13.5" thickBot="1" x14ac:dyDescent="0.25">
      <c r="A9988" s="3">
        <v>6850</v>
      </c>
      <c r="B9988" s="28"/>
      <c r="C9988" s="3" t="s">
        <v>6</v>
      </c>
    </row>
    <row r="9989" spans="1:3" ht="13.5" thickBot="1" x14ac:dyDescent="0.25">
      <c r="A9989" s="3">
        <v>158</v>
      </c>
      <c r="B9989" s="28"/>
      <c r="C9989" s="3" t="s">
        <v>4</v>
      </c>
    </row>
    <row r="9990" spans="1:3" ht="13.5" thickBot="1" x14ac:dyDescent="0.25">
      <c r="A9990" s="3">
        <v>6301</v>
      </c>
      <c r="B9990" s="28"/>
      <c r="C9990" s="3" t="s">
        <v>3</v>
      </c>
    </row>
    <row r="9991" spans="1:3" ht="13.5" thickBot="1" x14ac:dyDescent="0.25">
      <c r="A9991" s="3">
        <v>1721</v>
      </c>
      <c r="B9991" s="28"/>
      <c r="C9991" s="3" t="s">
        <v>6</v>
      </c>
    </row>
    <row r="9992" spans="1:3" ht="13.5" thickBot="1" x14ac:dyDescent="0.25">
      <c r="A9992" s="3">
        <v>2274</v>
      </c>
      <c r="B9992" s="28"/>
      <c r="C9992" s="3" t="s">
        <v>6</v>
      </c>
    </row>
    <row r="9993" spans="1:3" ht="13.5" thickBot="1" x14ac:dyDescent="0.25">
      <c r="A9993" s="3">
        <v>1039</v>
      </c>
      <c r="B9993" s="28"/>
      <c r="C9993" s="3" t="s">
        <v>5</v>
      </c>
    </row>
    <row r="9994" spans="1:3" ht="13.5" thickBot="1" x14ac:dyDescent="0.25">
      <c r="A9994" s="3">
        <v>7485</v>
      </c>
      <c r="B9994" s="28"/>
      <c r="C9994" s="3" t="s">
        <v>3</v>
      </c>
    </row>
    <row r="9995" spans="1:3" ht="13.5" thickBot="1" x14ac:dyDescent="0.25">
      <c r="A9995" s="3">
        <v>3488</v>
      </c>
      <c r="B9995" s="28"/>
      <c r="C9995" s="3" t="s">
        <v>4</v>
      </c>
    </row>
    <row r="9996" spans="1:3" ht="13.5" thickBot="1" x14ac:dyDescent="0.25">
      <c r="A9996" s="3">
        <v>2469</v>
      </c>
      <c r="B9996" s="28"/>
      <c r="C9996" s="3" t="s">
        <v>3</v>
      </c>
    </row>
    <row r="9997" spans="1:3" ht="13.5" thickBot="1" x14ac:dyDescent="0.25">
      <c r="A9997" s="3">
        <v>3028</v>
      </c>
      <c r="B9997" s="28"/>
      <c r="C9997" s="3" t="s">
        <v>5</v>
      </c>
    </row>
    <row r="9998" spans="1:3" ht="13.5" thickBot="1" x14ac:dyDescent="0.25">
      <c r="A9998" s="3">
        <v>4348</v>
      </c>
      <c r="B9998" s="28"/>
      <c r="C9998" s="3" t="s">
        <v>5</v>
      </c>
    </row>
    <row r="9999" spans="1:3" ht="13.5" thickBot="1" x14ac:dyDescent="0.25">
      <c r="A9999" s="3">
        <v>4020</v>
      </c>
      <c r="B9999" s="28"/>
      <c r="C9999" s="3" t="s">
        <v>3</v>
      </c>
    </row>
    <row r="10000" spans="1:3" ht="13.5" thickBot="1" x14ac:dyDescent="0.25">
      <c r="A10000" s="3">
        <v>2019</v>
      </c>
      <c r="B10000" s="28"/>
      <c r="C10000" s="3" t="s">
        <v>5</v>
      </c>
    </row>
    <row r="10001" spans="1:3" ht="13.5" thickBot="1" x14ac:dyDescent="0.25">
      <c r="A10001" s="3">
        <v>7443</v>
      </c>
      <c r="B10001" s="28"/>
      <c r="C10001" s="3" t="s">
        <v>3</v>
      </c>
    </row>
    <row r="10002" spans="1:3" ht="13.5" thickBot="1" x14ac:dyDescent="0.25">
      <c r="A10002" s="3">
        <v>4521</v>
      </c>
      <c r="B10002" s="28"/>
      <c r="C10002" s="3" t="s">
        <v>3</v>
      </c>
    </row>
    <row r="10003" spans="1:3" ht="13.5" thickBot="1" x14ac:dyDescent="0.25">
      <c r="A10003" s="3">
        <v>5684</v>
      </c>
      <c r="B10003" s="28"/>
      <c r="C10003" s="3" t="s">
        <v>3</v>
      </c>
    </row>
    <row r="10004" spans="1:3" ht="13.5" thickBot="1" x14ac:dyDescent="0.25">
      <c r="A10004" s="3">
        <v>1721</v>
      </c>
      <c r="B10004" s="28"/>
      <c r="C10004" s="3" t="s">
        <v>4</v>
      </c>
    </row>
    <row r="10005" spans="1:3" ht="13.5" thickBot="1" x14ac:dyDescent="0.25">
      <c r="A10005" s="3">
        <v>4102</v>
      </c>
      <c r="B10005" s="28"/>
      <c r="C10005" s="3" t="s">
        <v>3</v>
      </c>
    </row>
    <row r="10006" spans="1:3" ht="13.5" thickBot="1" x14ac:dyDescent="0.25">
      <c r="A10006" s="3">
        <v>7479</v>
      </c>
      <c r="B10006" s="28"/>
      <c r="C10006" s="3" t="s">
        <v>3</v>
      </c>
    </row>
    <row r="10007" spans="1:3" ht="13.5" thickBot="1" x14ac:dyDescent="0.25">
      <c r="A10007" s="3">
        <v>6984</v>
      </c>
      <c r="B10007" s="28"/>
      <c r="C10007" s="3" t="s">
        <v>3</v>
      </c>
    </row>
    <row r="10008" spans="1:3" ht="13.5" thickBot="1" x14ac:dyDescent="0.25">
      <c r="A10008" s="3">
        <v>2628</v>
      </c>
      <c r="B10008" s="28"/>
      <c r="C10008" s="3" t="s">
        <v>5</v>
      </c>
    </row>
    <row r="10009" spans="1:3" ht="13.5" thickBot="1" x14ac:dyDescent="0.25">
      <c r="A10009" s="3">
        <v>915</v>
      </c>
      <c r="B10009" s="28"/>
      <c r="C10009" s="3" t="s">
        <v>3</v>
      </c>
    </row>
    <row r="10010" spans="1:3" ht="13.5" thickBot="1" x14ac:dyDescent="0.25">
      <c r="A10010" s="3">
        <v>3163</v>
      </c>
      <c r="B10010" s="28"/>
      <c r="C10010" s="3" t="s">
        <v>3</v>
      </c>
    </row>
    <row r="10011" spans="1:3" ht="13.5" thickBot="1" x14ac:dyDescent="0.25">
      <c r="A10011" s="3">
        <v>1298</v>
      </c>
      <c r="B10011" s="28"/>
      <c r="C10011" s="3" t="s">
        <v>5</v>
      </c>
    </row>
    <row r="10012" spans="1:3" ht="13.5" thickBot="1" x14ac:dyDescent="0.25">
      <c r="A10012" s="3">
        <v>6655</v>
      </c>
      <c r="B10012" s="28"/>
      <c r="C10012" s="3" t="s">
        <v>4</v>
      </c>
    </row>
    <row r="10013" spans="1:3" ht="13.5" thickBot="1" x14ac:dyDescent="0.25">
      <c r="A10013" s="3">
        <v>5994</v>
      </c>
      <c r="B10013" s="28"/>
      <c r="C10013" s="3" t="s">
        <v>4</v>
      </c>
    </row>
    <row r="10014" spans="1:3" ht="13.5" thickBot="1" x14ac:dyDescent="0.25">
      <c r="A10014" s="3">
        <v>5596</v>
      </c>
      <c r="B10014" s="28"/>
      <c r="C10014" s="3" t="s">
        <v>3</v>
      </c>
    </row>
    <row r="10015" spans="1:3" ht="13.5" thickBot="1" x14ac:dyDescent="0.25">
      <c r="A10015" s="3">
        <v>2064</v>
      </c>
      <c r="B10015" s="28"/>
      <c r="C10015" s="3" t="s">
        <v>6</v>
      </c>
    </row>
    <row r="10016" spans="1:3" ht="13.5" thickBot="1" x14ac:dyDescent="0.25">
      <c r="A10016" s="3">
        <v>6984</v>
      </c>
      <c r="B10016" s="28"/>
      <c r="C10016" s="3" t="s">
        <v>4</v>
      </c>
    </row>
    <row r="10017" spans="1:3" ht="13.5" thickBot="1" x14ac:dyDescent="0.25">
      <c r="A10017" s="3">
        <v>4131</v>
      </c>
      <c r="B10017" s="28"/>
      <c r="C10017" s="3" t="s">
        <v>3</v>
      </c>
    </row>
    <row r="10018" spans="1:3" ht="13.5" thickBot="1" x14ac:dyDescent="0.25">
      <c r="A10018" s="3">
        <v>5762</v>
      </c>
      <c r="B10018" s="28"/>
      <c r="C10018" s="3" t="s">
        <v>7</v>
      </c>
    </row>
    <row r="10019" spans="1:3" ht="13.5" thickBot="1" x14ac:dyDescent="0.25">
      <c r="A10019" s="3">
        <v>7443</v>
      </c>
      <c r="B10019" s="28"/>
      <c r="C10019" s="3" t="s">
        <v>4</v>
      </c>
    </row>
    <row r="10020" spans="1:3" ht="13.5" thickBot="1" x14ac:dyDescent="0.25">
      <c r="A10020" s="3">
        <v>3555</v>
      </c>
      <c r="B10020" s="28"/>
      <c r="C10020" s="3" t="s">
        <v>3</v>
      </c>
    </row>
    <row r="10021" spans="1:3" ht="13.5" thickBot="1" x14ac:dyDescent="0.25">
      <c r="A10021" s="3">
        <v>5245</v>
      </c>
      <c r="B10021" s="28"/>
      <c r="C10021" s="3" t="s">
        <v>3</v>
      </c>
    </row>
    <row r="10022" spans="1:3" ht="13.5" thickBot="1" x14ac:dyDescent="0.25">
      <c r="A10022" s="3">
        <v>7178</v>
      </c>
      <c r="B10022" s="28"/>
      <c r="C10022" s="3" t="s">
        <v>3</v>
      </c>
    </row>
    <row r="10023" spans="1:3" ht="13.5" thickBot="1" x14ac:dyDescent="0.25">
      <c r="A10023" s="3">
        <v>619</v>
      </c>
      <c r="B10023" s="28"/>
      <c r="C10023" s="3" t="s">
        <v>3</v>
      </c>
    </row>
    <row r="10024" spans="1:3" ht="13.5" thickBot="1" x14ac:dyDescent="0.25">
      <c r="A10024" s="3">
        <v>5988</v>
      </c>
      <c r="B10024" s="28"/>
      <c r="C10024" s="3" t="s">
        <v>4</v>
      </c>
    </row>
    <row r="10025" spans="1:3" ht="13.5" thickBot="1" x14ac:dyDescent="0.25">
      <c r="A10025" s="3">
        <v>1039</v>
      </c>
      <c r="B10025" s="28"/>
      <c r="C10025" s="3" t="s">
        <v>6</v>
      </c>
    </row>
    <row r="10026" spans="1:3" ht="13.5" thickBot="1" x14ac:dyDescent="0.25">
      <c r="A10026" s="3">
        <v>4549</v>
      </c>
      <c r="B10026" s="28"/>
      <c r="C10026" s="3" t="s">
        <v>3</v>
      </c>
    </row>
    <row r="10027" spans="1:3" ht="13.5" thickBot="1" x14ac:dyDescent="0.25">
      <c r="A10027" s="3">
        <v>4348</v>
      </c>
      <c r="B10027" s="28"/>
      <c r="C10027" s="3" t="s">
        <v>7</v>
      </c>
    </row>
    <row r="10028" spans="1:3" ht="13.5" thickBot="1" x14ac:dyDescent="0.25">
      <c r="A10028" s="3">
        <v>5598</v>
      </c>
      <c r="B10028" s="28"/>
      <c r="C10028" s="3" t="s">
        <v>3</v>
      </c>
    </row>
    <row r="10029" spans="1:3" ht="13.5" thickBot="1" x14ac:dyDescent="0.25">
      <c r="A10029" s="3">
        <v>6</v>
      </c>
      <c r="B10029" s="28"/>
      <c r="C10029" s="3" t="s">
        <v>3</v>
      </c>
    </row>
    <row r="10030" spans="1:3" ht="13.5" thickBot="1" x14ac:dyDescent="0.25">
      <c r="A10030" s="3">
        <v>648</v>
      </c>
      <c r="B10030" s="28"/>
      <c r="C10030" s="3" t="s">
        <v>3</v>
      </c>
    </row>
    <row r="10031" spans="1:3" ht="13.5" thickBot="1" x14ac:dyDescent="0.25">
      <c r="A10031" s="3">
        <v>216</v>
      </c>
      <c r="B10031" s="28"/>
      <c r="C10031" s="3" t="s">
        <v>4</v>
      </c>
    </row>
    <row r="10032" spans="1:3" ht="13.5" thickBot="1" x14ac:dyDescent="0.25">
      <c r="A10032" s="3">
        <v>4195</v>
      </c>
      <c r="B10032" s="28"/>
      <c r="C10032" s="3" t="s">
        <v>3</v>
      </c>
    </row>
    <row r="10033" spans="1:3" ht="13.5" thickBot="1" x14ac:dyDescent="0.25">
      <c r="A10033" s="3">
        <v>5815</v>
      </c>
      <c r="B10033" s="28"/>
      <c r="C10033" s="3" t="s">
        <v>4</v>
      </c>
    </row>
    <row r="10034" spans="1:3" ht="13.5" thickBot="1" x14ac:dyDescent="0.25">
      <c r="A10034" s="3">
        <v>5815</v>
      </c>
      <c r="B10034" s="28"/>
      <c r="C10034" s="3" t="s">
        <v>7</v>
      </c>
    </row>
    <row r="10035" spans="1:3" ht="13.5" thickBot="1" x14ac:dyDescent="0.25">
      <c r="A10035" s="3">
        <v>4127</v>
      </c>
      <c r="B10035" s="28"/>
      <c r="C10035" s="3" t="s">
        <v>4</v>
      </c>
    </row>
    <row r="10036" spans="1:3" ht="13.5" thickBot="1" x14ac:dyDescent="0.25">
      <c r="A10036" s="3">
        <v>6733</v>
      </c>
      <c r="B10036" s="28"/>
      <c r="C10036" s="3" t="s">
        <v>3</v>
      </c>
    </row>
    <row r="10037" spans="1:3" ht="13.5" thickBot="1" x14ac:dyDescent="0.25">
      <c r="A10037" s="3">
        <v>7362</v>
      </c>
      <c r="B10037" s="28"/>
      <c r="C10037" s="3" t="s">
        <v>6</v>
      </c>
    </row>
    <row r="10038" spans="1:3" ht="13.5" thickBot="1" x14ac:dyDescent="0.25">
      <c r="A10038" s="3">
        <v>5245</v>
      </c>
      <c r="B10038" s="28"/>
      <c r="C10038" s="3" t="s">
        <v>5</v>
      </c>
    </row>
    <row r="10039" spans="1:3" ht="13.5" thickBot="1" x14ac:dyDescent="0.25">
      <c r="A10039" s="3">
        <v>4339</v>
      </c>
      <c r="B10039" s="28"/>
      <c r="C10039" s="3" t="s">
        <v>7</v>
      </c>
    </row>
    <row r="10040" spans="1:3" ht="13.5" thickBot="1" x14ac:dyDescent="0.25">
      <c r="A10040" s="3">
        <v>3208</v>
      </c>
      <c r="B10040" s="28"/>
      <c r="C10040" s="3" t="s">
        <v>6</v>
      </c>
    </row>
    <row r="10041" spans="1:3" ht="13.5" thickBot="1" x14ac:dyDescent="0.25">
      <c r="A10041" s="3">
        <v>836</v>
      </c>
      <c r="B10041" s="28"/>
      <c r="C10041" s="3" t="s">
        <v>6</v>
      </c>
    </row>
    <row r="10042" spans="1:3" ht="13.5" thickBot="1" x14ac:dyDescent="0.25">
      <c r="A10042" s="3">
        <v>3009</v>
      </c>
      <c r="B10042" s="28"/>
      <c r="C10042" s="3" t="s">
        <v>3</v>
      </c>
    </row>
    <row r="10043" spans="1:3" ht="13.5" thickBot="1" x14ac:dyDescent="0.25">
      <c r="A10043" s="3">
        <v>1731</v>
      </c>
      <c r="B10043" s="28"/>
      <c r="C10043" s="3" t="s">
        <v>6</v>
      </c>
    </row>
    <row r="10044" spans="1:3" ht="13.5" thickBot="1" x14ac:dyDescent="0.25">
      <c r="A10044" s="3">
        <v>456</v>
      </c>
      <c r="B10044" s="28"/>
      <c r="C10044" s="3" t="s">
        <v>3</v>
      </c>
    </row>
    <row r="10045" spans="1:3" ht="13.5" thickBot="1" x14ac:dyDescent="0.25">
      <c r="A10045" s="3">
        <v>5143</v>
      </c>
      <c r="B10045" s="28"/>
      <c r="C10045" s="3" t="s">
        <v>4</v>
      </c>
    </row>
    <row r="10046" spans="1:3" ht="13.5" thickBot="1" x14ac:dyDescent="0.25">
      <c r="A10046" s="3">
        <v>5708</v>
      </c>
      <c r="B10046" s="28"/>
      <c r="C10046" s="3" t="s">
        <v>3</v>
      </c>
    </row>
    <row r="10047" spans="1:3" ht="13.5" thickBot="1" x14ac:dyDescent="0.25">
      <c r="A10047" s="3">
        <v>3681</v>
      </c>
      <c r="B10047" s="28"/>
      <c r="C10047" s="3" t="s">
        <v>3</v>
      </c>
    </row>
    <row r="10048" spans="1:3" ht="13.5" thickBot="1" x14ac:dyDescent="0.25">
      <c r="A10048" s="3">
        <v>836</v>
      </c>
      <c r="B10048" s="28"/>
      <c r="C10048" s="3" t="s">
        <v>4</v>
      </c>
    </row>
    <row r="10049" spans="1:3" ht="13.5" thickBot="1" x14ac:dyDescent="0.25">
      <c r="A10049" s="3">
        <v>3198</v>
      </c>
      <c r="B10049" s="28"/>
      <c r="C10049" s="3" t="s">
        <v>3</v>
      </c>
    </row>
    <row r="10050" spans="1:3" ht="13.5" thickBot="1" x14ac:dyDescent="0.25">
      <c r="A10050" s="3">
        <v>2998</v>
      </c>
      <c r="B10050" s="28"/>
      <c r="C10050" s="3" t="s">
        <v>3</v>
      </c>
    </row>
    <row r="10051" spans="1:3" ht="13.5" thickBot="1" x14ac:dyDescent="0.25">
      <c r="A10051" s="3">
        <v>1690</v>
      </c>
      <c r="B10051" s="28"/>
      <c r="C10051" s="3" t="s">
        <v>3</v>
      </c>
    </row>
    <row r="10052" spans="1:3" ht="13.5" thickBot="1" x14ac:dyDescent="0.25">
      <c r="A10052" s="3">
        <v>1298</v>
      </c>
      <c r="B10052" s="28"/>
      <c r="C10052" s="3" t="s">
        <v>7</v>
      </c>
    </row>
    <row r="10053" spans="1:3" ht="13.5" thickBot="1" x14ac:dyDescent="0.25">
      <c r="A10053" s="3">
        <v>7160</v>
      </c>
      <c r="B10053" s="28"/>
      <c r="C10053" s="3" t="s">
        <v>3</v>
      </c>
    </row>
    <row r="10054" spans="1:3" ht="13.5" thickBot="1" x14ac:dyDescent="0.25">
      <c r="A10054" s="3">
        <v>1243</v>
      </c>
      <c r="B10054" s="28"/>
      <c r="C10054" s="3" t="s">
        <v>4</v>
      </c>
    </row>
    <row r="10055" spans="1:3" ht="13.5" thickBot="1" x14ac:dyDescent="0.25">
      <c r="A10055" s="3">
        <v>5222</v>
      </c>
      <c r="B10055" s="28"/>
      <c r="C10055" s="3" t="s">
        <v>3</v>
      </c>
    </row>
    <row r="10056" spans="1:3" ht="13.5" thickBot="1" x14ac:dyDescent="0.25">
      <c r="A10056" s="3">
        <v>3429</v>
      </c>
      <c r="B10056" s="28"/>
      <c r="C10056" s="3" t="s">
        <v>3</v>
      </c>
    </row>
    <row r="10057" spans="1:3" ht="13.5" thickBot="1" x14ac:dyDescent="0.25">
      <c r="A10057" s="3">
        <v>5139</v>
      </c>
      <c r="B10057" s="28"/>
      <c r="C10057" s="3" t="s">
        <v>5</v>
      </c>
    </row>
    <row r="10058" spans="1:3" ht="13.5" thickBot="1" x14ac:dyDescent="0.25">
      <c r="A10058" s="3">
        <v>158</v>
      </c>
      <c r="B10058" s="28"/>
      <c r="C10058" s="3" t="s">
        <v>5</v>
      </c>
    </row>
    <row r="10059" spans="1:3" ht="13.5" thickBot="1" x14ac:dyDescent="0.25">
      <c r="A10059" s="3">
        <v>4020</v>
      </c>
      <c r="B10059" s="28"/>
      <c r="C10059" s="3" t="s">
        <v>4</v>
      </c>
    </row>
    <row r="10060" spans="1:3" ht="13.5" thickBot="1" x14ac:dyDescent="0.25">
      <c r="A10060" s="3">
        <v>648</v>
      </c>
      <c r="B10060" s="28"/>
      <c r="C10060" s="3" t="s">
        <v>7</v>
      </c>
    </row>
    <row r="10061" spans="1:3" ht="13.5" thickBot="1" x14ac:dyDescent="0.25">
      <c r="A10061" s="3">
        <v>1733</v>
      </c>
      <c r="B10061" s="28"/>
      <c r="C10061" s="3" t="s">
        <v>4</v>
      </c>
    </row>
    <row r="10062" spans="1:3" ht="13.5" thickBot="1" x14ac:dyDescent="0.25">
      <c r="A10062" s="3">
        <v>2693</v>
      </c>
      <c r="B10062" s="28"/>
      <c r="C10062" s="3" t="s">
        <v>6</v>
      </c>
    </row>
    <row r="10063" spans="1:3" ht="13.5" thickBot="1" x14ac:dyDescent="0.25">
      <c r="A10063" s="3">
        <v>5479</v>
      </c>
      <c r="B10063" s="28"/>
      <c r="C10063" s="3" t="s">
        <v>6</v>
      </c>
    </row>
    <row r="10064" spans="1:3" ht="13.5" thickBot="1" x14ac:dyDescent="0.25">
      <c r="A10064" s="3">
        <v>1861</v>
      </c>
      <c r="B10064" s="28"/>
      <c r="C10064" s="3" t="s">
        <v>3</v>
      </c>
    </row>
    <row r="10065" spans="1:3" ht="13.5" thickBot="1" x14ac:dyDescent="0.25">
      <c r="A10065" s="3">
        <v>1243</v>
      </c>
      <c r="B10065" s="28"/>
      <c r="C10065" s="3" t="s">
        <v>3</v>
      </c>
    </row>
    <row r="10066" spans="1:3" ht="13.5" thickBot="1" x14ac:dyDescent="0.25">
      <c r="A10066" s="3">
        <v>5453</v>
      </c>
      <c r="B10066" s="28"/>
      <c r="C10066" s="3" t="s">
        <v>4</v>
      </c>
    </row>
    <row r="10067" spans="1:3" ht="13.5" thickBot="1" x14ac:dyDescent="0.25">
      <c r="A10067" s="3">
        <v>2539</v>
      </c>
      <c r="B10067" s="28"/>
      <c r="C10067" s="3" t="s">
        <v>4</v>
      </c>
    </row>
    <row r="10068" spans="1:3" ht="13.5" thickBot="1" x14ac:dyDescent="0.25">
      <c r="A10068" s="3">
        <v>7136</v>
      </c>
      <c r="B10068" s="28"/>
      <c r="C10068" s="3" t="s">
        <v>3</v>
      </c>
    </row>
    <row r="10069" spans="1:3" ht="13.5" thickBot="1" x14ac:dyDescent="0.25">
      <c r="A10069" s="3">
        <v>3455</v>
      </c>
      <c r="B10069" s="28"/>
      <c r="C10069" s="3" t="s">
        <v>4</v>
      </c>
    </row>
    <row r="10070" spans="1:3" ht="13.5" thickBot="1" x14ac:dyDescent="0.25">
      <c r="A10070" s="3">
        <v>7136</v>
      </c>
      <c r="B10070" s="28"/>
      <c r="C10070" s="3" t="s">
        <v>5</v>
      </c>
    </row>
    <row r="10071" spans="1:3" ht="13.5" thickBot="1" x14ac:dyDescent="0.25">
      <c r="A10071" s="3">
        <v>3562</v>
      </c>
      <c r="B10071" s="28"/>
      <c r="C10071" s="3" t="s">
        <v>4</v>
      </c>
    </row>
    <row r="10072" spans="1:3" ht="13.5" thickBot="1" x14ac:dyDescent="0.25">
      <c r="A10072" s="3">
        <v>7504</v>
      </c>
      <c r="B10072" s="28"/>
      <c r="C10072" s="3" t="s">
        <v>6</v>
      </c>
    </row>
    <row r="10073" spans="1:3" ht="13.5" thickBot="1" x14ac:dyDescent="0.25">
      <c r="A10073" s="3">
        <v>5794</v>
      </c>
      <c r="B10073" s="28"/>
      <c r="C10073" s="3" t="s">
        <v>3</v>
      </c>
    </row>
    <row r="10074" spans="1:3" ht="13.5" thickBot="1" x14ac:dyDescent="0.25">
      <c r="A10074" s="3">
        <v>1404</v>
      </c>
      <c r="B10074" s="28"/>
      <c r="C10074" s="3" t="s">
        <v>3</v>
      </c>
    </row>
    <row r="10075" spans="1:3" ht="13.5" thickBot="1" x14ac:dyDescent="0.25">
      <c r="A10075" s="3">
        <v>7479</v>
      </c>
      <c r="B10075" s="28"/>
      <c r="C10075" s="3" t="s">
        <v>5</v>
      </c>
    </row>
    <row r="10076" spans="1:3" ht="13.5" thickBot="1" x14ac:dyDescent="0.25">
      <c r="A10076" s="3">
        <v>292</v>
      </c>
      <c r="B10076" s="28"/>
      <c r="C10076" s="3" t="s">
        <v>7</v>
      </c>
    </row>
    <row r="10077" spans="1:3" ht="13.5" thickBot="1" x14ac:dyDescent="0.25">
      <c r="A10077" s="3">
        <v>102</v>
      </c>
      <c r="B10077" s="28"/>
      <c r="C10077" s="3" t="s">
        <v>3</v>
      </c>
    </row>
    <row r="10078" spans="1:3" ht="13.5" thickBot="1" x14ac:dyDescent="0.25">
      <c r="A10078" s="3">
        <v>4210</v>
      </c>
      <c r="B10078" s="28"/>
      <c r="C10078" s="3" t="s">
        <v>3</v>
      </c>
    </row>
    <row r="10079" spans="1:3" ht="13.5" thickBot="1" x14ac:dyDescent="0.25">
      <c r="A10079" s="3">
        <v>3194</v>
      </c>
      <c r="B10079" s="28"/>
      <c r="C10079" s="3" t="s">
        <v>6</v>
      </c>
    </row>
    <row r="10080" spans="1:3" ht="13.5" thickBot="1" x14ac:dyDescent="0.25">
      <c r="A10080" s="3">
        <v>3455</v>
      </c>
      <c r="B10080" s="28"/>
      <c r="C10080" s="3" t="s">
        <v>7</v>
      </c>
    </row>
    <row r="10081" spans="1:3" ht="13.5" thickBot="1" x14ac:dyDescent="0.25">
      <c r="A10081" s="3">
        <v>5815</v>
      </c>
      <c r="B10081" s="28"/>
      <c r="C10081" s="3" t="s">
        <v>5</v>
      </c>
    </row>
    <row r="10082" spans="1:3" ht="13.5" thickBot="1" x14ac:dyDescent="0.25">
      <c r="A10082" s="3">
        <v>1511</v>
      </c>
      <c r="B10082" s="28"/>
      <c r="C10082" s="3" t="s">
        <v>3</v>
      </c>
    </row>
    <row r="10083" spans="1:3" ht="13.5" thickBot="1" x14ac:dyDescent="0.25">
      <c r="A10083" s="3">
        <v>3582</v>
      </c>
      <c r="B10083" s="28"/>
      <c r="C10083" s="3" t="s">
        <v>4</v>
      </c>
    </row>
    <row r="10084" spans="1:3" ht="13.5" thickBot="1" x14ac:dyDescent="0.25">
      <c r="A10084" s="3">
        <v>6547</v>
      </c>
      <c r="B10084" s="28"/>
      <c r="C10084" s="3" t="s">
        <v>3</v>
      </c>
    </row>
    <row r="10085" spans="1:3" ht="13.5" thickBot="1" x14ac:dyDescent="0.25">
      <c r="A10085" s="3">
        <v>3595</v>
      </c>
      <c r="B10085" s="28"/>
      <c r="C10085" s="3" t="s">
        <v>3</v>
      </c>
    </row>
    <row r="10086" spans="1:3" ht="13.5" thickBot="1" x14ac:dyDescent="0.25">
      <c r="A10086" s="3">
        <v>2787</v>
      </c>
      <c r="B10086" s="28"/>
      <c r="C10086" s="3" t="s">
        <v>3</v>
      </c>
    </row>
    <row r="10087" spans="1:3" ht="13.5" thickBot="1" x14ac:dyDescent="0.25">
      <c r="A10087" s="3">
        <v>4102</v>
      </c>
      <c r="B10087" s="28"/>
      <c r="C10087" s="3" t="s">
        <v>4</v>
      </c>
    </row>
    <row r="10088" spans="1:3" ht="13.5" thickBot="1" x14ac:dyDescent="0.25">
      <c r="A10088" s="3">
        <v>4510</v>
      </c>
      <c r="B10088" s="28"/>
      <c r="C10088" s="3" t="s">
        <v>6</v>
      </c>
    </row>
    <row r="10089" spans="1:3" ht="13.5" thickBot="1" x14ac:dyDescent="0.25">
      <c r="A10089" s="3">
        <v>2442</v>
      </c>
      <c r="B10089" s="28"/>
      <c r="C10089" s="3" t="s">
        <v>4</v>
      </c>
    </row>
    <row r="10090" spans="1:3" ht="13.5" thickBot="1" x14ac:dyDescent="0.25">
      <c r="A10090" s="3">
        <v>4020</v>
      </c>
      <c r="B10090" s="28"/>
      <c r="C10090" s="3" t="s">
        <v>7</v>
      </c>
    </row>
    <row r="10091" spans="1:3" ht="13.5" thickBot="1" x14ac:dyDescent="0.25">
      <c r="A10091" s="3">
        <v>2489</v>
      </c>
      <c r="B10091" s="28"/>
      <c r="C10091" s="3" t="s">
        <v>3</v>
      </c>
    </row>
    <row r="10092" spans="1:3" ht="13.5" thickBot="1" x14ac:dyDescent="0.25">
      <c r="A10092" s="3">
        <v>5239</v>
      </c>
      <c r="B10092" s="28"/>
      <c r="C10092" s="3" t="s">
        <v>3</v>
      </c>
    </row>
    <row r="10093" spans="1:3" ht="13.5" thickBot="1" x14ac:dyDescent="0.25">
      <c r="A10093" s="3">
        <v>3555</v>
      </c>
      <c r="B10093" s="28"/>
      <c r="C10093" s="3" t="s">
        <v>4</v>
      </c>
    </row>
    <row r="10094" spans="1:3" ht="13.5" thickBot="1" x14ac:dyDescent="0.25">
      <c r="A10094" s="3">
        <v>2998</v>
      </c>
      <c r="B10094" s="28"/>
      <c r="C10094" s="3" t="s">
        <v>5</v>
      </c>
    </row>
    <row r="10095" spans="1:3" ht="13.5" thickBot="1" x14ac:dyDescent="0.25">
      <c r="A10095" s="3">
        <v>3455</v>
      </c>
      <c r="B10095" s="28"/>
      <c r="C10095" s="3" t="s">
        <v>6</v>
      </c>
    </row>
    <row r="10096" spans="1:3" ht="13.5" thickBot="1" x14ac:dyDescent="0.25">
      <c r="A10096" s="3">
        <v>5054</v>
      </c>
      <c r="B10096" s="28"/>
      <c r="C10096" s="3" t="s">
        <v>3</v>
      </c>
    </row>
    <row r="10097" spans="1:3" ht="13.5" thickBot="1" x14ac:dyDescent="0.25">
      <c r="A10097" s="3">
        <v>5075</v>
      </c>
      <c r="B10097" s="28"/>
      <c r="C10097" s="3" t="s">
        <v>3</v>
      </c>
    </row>
    <row r="10098" spans="1:3" ht="13.5" thickBot="1" x14ac:dyDescent="0.25">
      <c r="A10098" s="3">
        <v>3681</v>
      </c>
      <c r="B10098" s="28"/>
      <c r="C10098" s="3" t="s">
        <v>4</v>
      </c>
    </row>
    <row r="10099" spans="1:3" ht="13.5" thickBot="1" x14ac:dyDescent="0.25">
      <c r="A10099" s="3">
        <v>3618</v>
      </c>
      <c r="B10099" s="28"/>
      <c r="C10099" s="3" t="s">
        <v>3</v>
      </c>
    </row>
    <row r="10100" spans="1:3" ht="13.5" thickBot="1" x14ac:dyDescent="0.25">
      <c r="A10100" s="3">
        <v>3593</v>
      </c>
      <c r="B10100" s="28"/>
      <c r="C10100" s="3" t="s">
        <v>6</v>
      </c>
    </row>
    <row r="10101" spans="1:3" ht="13.5" thickBot="1" x14ac:dyDescent="0.25">
      <c r="A10101" s="3">
        <v>7659</v>
      </c>
      <c r="B10101" s="28"/>
      <c r="C10101" s="3" t="s">
        <v>3</v>
      </c>
    </row>
    <row r="10102" spans="1:3" ht="13.5" thickBot="1" x14ac:dyDescent="0.25">
      <c r="A10102" s="3">
        <v>6795</v>
      </c>
      <c r="B10102" s="28"/>
      <c r="C10102" s="3" t="s">
        <v>4</v>
      </c>
    </row>
    <row r="10103" spans="1:3" ht="13.5" thickBot="1" x14ac:dyDescent="0.25">
      <c r="A10103" s="3">
        <v>158</v>
      </c>
      <c r="B10103" s="28"/>
      <c r="C10103" s="3" t="s">
        <v>7</v>
      </c>
    </row>
    <row r="10104" spans="1:3" ht="13.5" thickBot="1" x14ac:dyDescent="0.25">
      <c r="A10104" s="3">
        <v>548</v>
      </c>
      <c r="B10104" s="28"/>
      <c r="C10104" s="3" t="s">
        <v>5</v>
      </c>
    </row>
    <row r="10105" spans="1:3" ht="13.5" thickBot="1" x14ac:dyDescent="0.25">
      <c r="A10105" s="3">
        <v>454</v>
      </c>
      <c r="B10105" s="28"/>
      <c r="C10105" s="3" t="s">
        <v>5</v>
      </c>
    </row>
    <row r="10106" spans="1:3" ht="13.5" thickBot="1" x14ac:dyDescent="0.25">
      <c r="A10106" s="3">
        <v>2789</v>
      </c>
      <c r="B10106" s="28"/>
      <c r="C10106" s="3" t="s">
        <v>3</v>
      </c>
    </row>
    <row r="10107" spans="1:3" ht="13.5" thickBot="1" x14ac:dyDescent="0.25">
      <c r="A10107" s="3">
        <v>456</v>
      </c>
      <c r="B10107" s="28"/>
      <c r="C10107" s="3" t="s">
        <v>4</v>
      </c>
    </row>
    <row r="10108" spans="1:3" ht="13.5" thickBot="1" x14ac:dyDescent="0.25">
      <c r="A10108" s="3">
        <v>850</v>
      </c>
      <c r="B10108" s="28"/>
      <c r="C10108" s="3" t="s">
        <v>4</v>
      </c>
    </row>
    <row r="10109" spans="1:3" ht="13.5" thickBot="1" x14ac:dyDescent="0.25">
      <c r="A10109" s="3">
        <v>4994</v>
      </c>
      <c r="B10109" s="28"/>
      <c r="C10109" s="3" t="s">
        <v>3</v>
      </c>
    </row>
    <row r="10110" spans="1:3" ht="13.5" thickBot="1" x14ac:dyDescent="0.25">
      <c r="A10110" s="3">
        <v>3009</v>
      </c>
      <c r="B10110" s="28"/>
      <c r="C10110" s="3" t="s">
        <v>4</v>
      </c>
    </row>
    <row r="10111" spans="1:3" ht="13.5" thickBot="1" x14ac:dyDescent="0.25">
      <c r="A10111" s="3">
        <v>2829</v>
      </c>
      <c r="B10111" s="28"/>
      <c r="C10111" s="3" t="s">
        <v>3</v>
      </c>
    </row>
    <row r="10112" spans="1:3" ht="13.5" thickBot="1" x14ac:dyDescent="0.25">
      <c r="A10112" s="3">
        <v>3615</v>
      </c>
      <c r="B10112" s="28"/>
      <c r="C10112" s="3" t="s">
        <v>3</v>
      </c>
    </row>
    <row r="10113" spans="1:3" ht="13.5" thickBot="1" x14ac:dyDescent="0.25">
      <c r="A10113" s="3">
        <v>3071</v>
      </c>
      <c r="B10113" s="28"/>
      <c r="C10113" s="3" t="s">
        <v>4</v>
      </c>
    </row>
    <row r="10114" spans="1:3" ht="13.5" thickBot="1" x14ac:dyDescent="0.25">
      <c r="A10114" s="3">
        <v>5988</v>
      </c>
      <c r="B10114" s="28"/>
      <c r="C10114" s="3" t="s">
        <v>5</v>
      </c>
    </row>
    <row r="10115" spans="1:3" ht="13.5" thickBot="1" x14ac:dyDescent="0.25">
      <c r="A10115" s="3">
        <v>2489</v>
      </c>
      <c r="B10115" s="28"/>
      <c r="C10115" s="3" t="s">
        <v>6</v>
      </c>
    </row>
    <row r="10116" spans="1:3" ht="13.5" thickBot="1" x14ac:dyDescent="0.25">
      <c r="A10116" s="3">
        <v>1091</v>
      </c>
      <c r="B10116" s="28"/>
      <c r="C10116" s="3" t="s">
        <v>6</v>
      </c>
    </row>
    <row r="10117" spans="1:3" ht="13.5" thickBot="1" x14ac:dyDescent="0.25">
      <c r="A10117" s="3">
        <v>1318</v>
      </c>
      <c r="B10117" s="28"/>
      <c r="C10117" s="3" t="s">
        <v>6</v>
      </c>
    </row>
    <row r="10118" spans="1:3" ht="13.5" thickBot="1" x14ac:dyDescent="0.25">
      <c r="A10118" s="3">
        <v>4332</v>
      </c>
      <c r="B10118" s="28"/>
      <c r="C10118" s="3" t="s">
        <v>7</v>
      </c>
    </row>
    <row r="10119" spans="1:3" ht="13.5" thickBot="1" x14ac:dyDescent="0.25">
      <c r="A10119" s="3">
        <v>4938</v>
      </c>
      <c r="B10119" s="28"/>
      <c r="C10119" s="3" t="s">
        <v>5</v>
      </c>
    </row>
    <row r="10120" spans="1:3" ht="13.5" thickBot="1" x14ac:dyDescent="0.25">
      <c r="A10120" s="3">
        <v>304</v>
      </c>
      <c r="B10120" s="28"/>
      <c r="C10120" s="3" t="s">
        <v>3</v>
      </c>
    </row>
    <row r="10121" spans="1:3" ht="13.5" thickBot="1" x14ac:dyDescent="0.25">
      <c r="A10121" s="3">
        <v>7160</v>
      </c>
      <c r="B10121" s="28"/>
      <c r="C10121" s="3" t="s">
        <v>6</v>
      </c>
    </row>
    <row r="10122" spans="1:3" ht="13.5" thickBot="1" x14ac:dyDescent="0.25">
      <c r="A10122" s="3">
        <v>619</v>
      </c>
      <c r="B10122" s="28"/>
      <c r="C10122" s="3" t="s">
        <v>4</v>
      </c>
    </row>
    <row r="10123" spans="1:3" ht="13.5" thickBot="1" x14ac:dyDescent="0.25">
      <c r="A10123" s="3">
        <v>4724</v>
      </c>
      <c r="B10123" s="28"/>
      <c r="C10123" s="3" t="s">
        <v>3</v>
      </c>
    </row>
    <row r="10124" spans="1:3" ht="13.5" thickBot="1" x14ac:dyDescent="0.25">
      <c r="A10124" s="3">
        <v>1588</v>
      </c>
      <c r="B10124" s="28"/>
      <c r="C10124" s="3" t="s">
        <v>3</v>
      </c>
    </row>
    <row r="10125" spans="1:3" ht="13.5" thickBot="1" x14ac:dyDescent="0.25">
      <c r="A10125" s="3">
        <v>6015</v>
      </c>
      <c r="B10125" s="28"/>
      <c r="C10125" s="3" t="s">
        <v>4</v>
      </c>
    </row>
    <row r="10126" spans="1:3" ht="13.5" thickBot="1" x14ac:dyDescent="0.25">
      <c r="A10126" s="3">
        <v>2822</v>
      </c>
      <c r="B10126" s="28"/>
      <c r="C10126" s="3" t="s">
        <v>4</v>
      </c>
    </row>
    <row r="10127" spans="1:3" ht="13.5" thickBot="1" x14ac:dyDescent="0.25">
      <c r="A10127" s="3">
        <v>6596</v>
      </c>
      <c r="B10127" s="28"/>
      <c r="C10127" s="3" t="s">
        <v>3</v>
      </c>
    </row>
    <row r="10128" spans="1:3" ht="13.5" thickBot="1" x14ac:dyDescent="0.25">
      <c r="A10128" s="3">
        <v>7479</v>
      </c>
      <c r="B10128" s="28"/>
      <c r="C10128" s="3" t="s">
        <v>4</v>
      </c>
    </row>
    <row r="10129" spans="1:3" ht="13.5" thickBot="1" x14ac:dyDescent="0.25">
      <c r="A10129" s="3">
        <v>6621</v>
      </c>
      <c r="B10129" s="28"/>
      <c r="C10129" s="3" t="s">
        <v>6</v>
      </c>
    </row>
    <row r="10130" spans="1:3" ht="13.5" thickBot="1" x14ac:dyDescent="0.25">
      <c r="A10130" s="3">
        <v>6380</v>
      </c>
      <c r="B10130" s="28"/>
      <c r="C10130" s="3" t="s">
        <v>3</v>
      </c>
    </row>
    <row r="10131" spans="1:3" ht="13.5" thickBot="1" x14ac:dyDescent="0.25">
      <c r="A10131" s="3">
        <v>304</v>
      </c>
      <c r="B10131" s="28"/>
      <c r="C10131" s="3" t="s">
        <v>5</v>
      </c>
    </row>
    <row r="10132" spans="1:3" ht="13.5" thickBot="1" x14ac:dyDescent="0.25">
      <c r="A10132" s="3">
        <v>836</v>
      </c>
      <c r="B10132" s="28"/>
      <c r="C10132" s="3" t="s">
        <v>5</v>
      </c>
    </row>
    <row r="10133" spans="1:3" ht="13.5" thickBot="1" x14ac:dyDescent="0.25">
      <c r="A10133" s="3">
        <v>3615</v>
      </c>
      <c r="B10133" s="28"/>
      <c r="C10133" s="3" t="s">
        <v>4</v>
      </c>
    </row>
    <row r="10134" spans="1:3" ht="13.5" thickBot="1" x14ac:dyDescent="0.25">
      <c r="A10134" s="3">
        <v>3455</v>
      </c>
      <c r="B10134" s="28"/>
      <c r="C10134" s="3" t="s">
        <v>5</v>
      </c>
    </row>
    <row r="10135" spans="1:3" ht="13.5" thickBot="1" x14ac:dyDescent="0.25">
      <c r="A10135" s="3">
        <v>6277</v>
      </c>
      <c r="B10135" s="28"/>
      <c r="C10135" s="3" t="s">
        <v>3</v>
      </c>
    </row>
    <row r="10136" spans="1:3" ht="13.5" thickBot="1" x14ac:dyDescent="0.25">
      <c r="A10136" s="3">
        <v>7601</v>
      </c>
      <c r="B10136" s="28"/>
      <c r="C10136" s="3" t="s">
        <v>4</v>
      </c>
    </row>
    <row r="10137" spans="1:3" ht="13.5" thickBot="1" x14ac:dyDescent="0.25">
      <c r="A10137" s="3">
        <v>6655</v>
      </c>
      <c r="B10137" s="28"/>
      <c r="C10137" s="3" t="s">
        <v>7</v>
      </c>
    </row>
    <row r="10138" spans="1:3" ht="13.5" thickBot="1" x14ac:dyDescent="0.25">
      <c r="A10138" s="3">
        <v>5054</v>
      </c>
      <c r="B10138" s="28"/>
      <c r="C10138" s="3" t="s">
        <v>4</v>
      </c>
    </row>
    <row r="10139" spans="1:3" ht="13.5" thickBot="1" x14ac:dyDescent="0.25">
      <c r="A10139" s="3">
        <v>7872</v>
      </c>
      <c r="B10139" s="28"/>
      <c r="C10139" s="3" t="s">
        <v>3</v>
      </c>
    </row>
    <row r="10140" spans="1:3" ht="13.5" thickBot="1" x14ac:dyDescent="0.25">
      <c r="A10140" s="3">
        <v>489</v>
      </c>
      <c r="B10140" s="28"/>
      <c r="C10140" s="3" t="s">
        <v>3</v>
      </c>
    </row>
    <row r="10141" spans="1:3" ht="13.5" thickBot="1" x14ac:dyDescent="0.25">
      <c r="A10141" s="3">
        <v>5598</v>
      </c>
      <c r="B10141" s="28"/>
      <c r="C10141" s="3" t="s">
        <v>4</v>
      </c>
    </row>
    <row r="10142" spans="1:3" ht="13.5" thickBot="1" x14ac:dyDescent="0.25">
      <c r="A10142" s="3">
        <v>7220</v>
      </c>
      <c r="B10142" s="28"/>
      <c r="C10142" s="3" t="s">
        <v>6</v>
      </c>
    </row>
    <row r="10143" spans="1:3" ht="13.5" thickBot="1" x14ac:dyDescent="0.25">
      <c r="A10143" s="3">
        <v>5173</v>
      </c>
      <c r="B10143" s="28"/>
      <c r="C10143" s="3" t="s">
        <v>3</v>
      </c>
    </row>
    <row r="10144" spans="1:3" ht="13.5" thickBot="1" x14ac:dyDescent="0.25">
      <c r="A10144" s="3">
        <v>6496</v>
      </c>
      <c r="B10144" s="28"/>
      <c r="C10144" s="3" t="s">
        <v>3</v>
      </c>
    </row>
    <row r="10145" spans="1:3" ht="13.5" thickBot="1" x14ac:dyDescent="0.25">
      <c r="A10145" s="3">
        <v>3306</v>
      </c>
      <c r="B10145" s="28"/>
      <c r="C10145" s="3" t="s">
        <v>6</v>
      </c>
    </row>
    <row r="10146" spans="1:3" ht="13.5" thickBot="1" x14ac:dyDescent="0.25">
      <c r="A10146" s="3">
        <v>4750</v>
      </c>
      <c r="B10146" s="28"/>
      <c r="C10146" s="3" t="s">
        <v>3</v>
      </c>
    </row>
    <row r="10147" spans="1:3" ht="13.5" thickBot="1" x14ac:dyDescent="0.25">
      <c r="A10147" s="3">
        <v>6434</v>
      </c>
      <c r="B10147" s="28"/>
      <c r="C10147" s="3" t="s">
        <v>3</v>
      </c>
    </row>
    <row r="10148" spans="1:3" ht="13.5" thickBot="1" x14ac:dyDescent="0.25">
      <c r="A10148" s="3">
        <v>542</v>
      </c>
      <c r="B10148" s="28"/>
      <c r="C10148" s="3" t="s">
        <v>3</v>
      </c>
    </row>
    <row r="10149" spans="1:3" ht="13.5" thickBot="1" x14ac:dyDescent="0.25">
      <c r="A10149" s="3">
        <v>2807</v>
      </c>
      <c r="B10149" s="28"/>
      <c r="C10149" s="3" t="s">
        <v>3</v>
      </c>
    </row>
    <row r="10150" spans="1:3" ht="13.5" thickBot="1" x14ac:dyDescent="0.25">
      <c r="A10150" s="3">
        <v>5370</v>
      </c>
      <c r="B10150" s="28"/>
      <c r="C10150" s="3" t="s">
        <v>3</v>
      </c>
    </row>
    <row r="10151" spans="1:3" ht="13.5" thickBot="1" x14ac:dyDescent="0.25">
      <c r="A10151" s="3">
        <v>1252</v>
      </c>
      <c r="B10151" s="28"/>
      <c r="C10151" s="3" t="s">
        <v>3</v>
      </c>
    </row>
    <row r="10152" spans="1:3" ht="13.5" thickBot="1" x14ac:dyDescent="0.25">
      <c r="A10152" s="3">
        <v>3071</v>
      </c>
      <c r="B10152" s="28"/>
      <c r="C10152" s="3" t="s">
        <v>3</v>
      </c>
    </row>
    <row r="10153" spans="1:3" ht="13.5" thickBot="1" x14ac:dyDescent="0.25">
      <c r="A10153" s="3">
        <v>5075</v>
      </c>
      <c r="B10153" s="28"/>
      <c r="C10153" s="3" t="s">
        <v>4</v>
      </c>
    </row>
    <row r="10154" spans="1:3" ht="13.5" thickBot="1" x14ac:dyDescent="0.25">
      <c r="A10154" s="3">
        <v>755</v>
      </c>
      <c r="B10154" s="28"/>
      <c r="C10154" s="3" t="s">
        <v>3</v>
      </c>
    </row>
    <row r="10155" spans="1:3" ht="13.5" thickBot="1" x14ac:dyDescent="0.25">
      <c r="A10155" s="3">
        <v>7785</v>
      </c>
      <c r="B10155" s="28"/>
      <c r="C10155" s="3" t="s">
        <v>6</v>
      </c>
    </row>
    <row r="10156" spans="1:3" ht="13.5" thickBot="1" x14ac:dyDescent="0.25">
      <c r="A10156" s="3">
        <v>4259</v>
      </c>
      <c r="B10156" s="28"/>
      <c r="C10156" s="3" t="s">
        <v>4</v>
      </c>
    </row>
    <row r="10157" spans="1:3" ht="13.5" thickBot="1" x14ac:dyDescent="0.25">
      <c r="A10157" s="3">
        <v>4102</v>
      </c>
      <c r="B10157" s="28"/>
      <c r="C10157" s="3" t="s">
        <v>6</v>
      </c>
    </row>
    <row r="10158" spans="1:3" ht="13.5" thickBot="1" x14ac:dyDescent="0.25">
      <c r="A10158" s="3">
        <v>2030</v>
      </c>
      <c r="B10158" s="28"/>
      <c r="C10158" s="3" t="s">
        <v>3</v>
      </c>
    </row>
    <row r="10159" spans="1:3" ht="13.5" thickBot="1" x14ac:dyDescent="0.25">
      <c r="A10159" s="3">
        <v>837</v>
      </c>
      <c r="B10159" s="28"/>
      <c r="C10159" s="3" t="s">
        <v>4</v>
      </c>
    </row>
    <row r="10160" spans="1:3" ht="13.5" thickBot="1" x14ac:dyDescent="0.25">
      <c r="A10160" s="3">
        <v>7443</v>
      </c>
      <c r="B10160" s="28"/>
      <c r="C10160" s="3" t="s">
        <v>6</v>
      </c>
    </row>
    <row r="10161" spans="1:3" ht="13.5" thickBot="1" x14ac:dyDescent="0.25">
      <c r="A10161" s="3">
        <v>728</v>
      </c>
      <c r="B10161" s="28"/>
      <c r="C10161" s="3" t="s">
        <v>3</v>
      </c>
    </row>
    <row r="10162" spans="1:3" ht="13.5" thickBot="1" x14ac:dyDescent="0.25">
      <c r="A10162" s="3">
        <v>6553</v>
      </c>
      <c r="B10162" s="28"/>
      <c r="C10162" s="3" t="s">
        <v>6</v>
      </c>
    </row>
    <row r="10163" spans="1:3" ht="13.5" thickBot="1" x14ac:dyDescent="0.25">
      <c r="A10163" s="3">
        <v>2822</v>
      </c>
      <c r="B10163" s="28"/>
      <c r="C10163" s="3" t="s">
        <v>3</v>
      </c>
    </row>
    <row r="10164" spans="1:3" ht="13.5" thickBot="1" x14ac:dyDescent="0.25">
      <c r="A10164" s="3">
        <v>7136</v>
      </c>
      <c r="B10164" s="28"/>
      <c r="C10164" s="3" t="s">
        <v>4</v>
      </c>
    </row>
    <row r="10165" spans="1:3" ht="13.5" thickBot="1" x14ac:dyDescent="0.25">
      <c r="A10165" s="3">
        <v>2019</v>
      </c>
      <c r="B10165" s="28"/>
      <c r="C10165" s="3" t="s">
        <v>6</v>
      </c>
    </row>
    <row r="10166" spans="1:3" ht="13.5" thickBot="1" x14ac:dyDescent="0.25">
      <c r="A10166" s="3">
        <v>2489</v>
      </c>
      <c r="B10166" s="28"/>
      <c r="C10166" s="3" t="s">
        <v>7</v>
      </c>
    </row>
    <row r="10167" spans="1:3" ht="13.5" thickBot="1" x14ac:dyDescent="0.25">
      <c r="A10167" s="3">
        <v>5708</v>
      </c>
      <c r="B10167" s="28"/>
      <c r="C10167" s="3" t="s">
        <v>6</v>
      </c>
    </row>
    <row r="10168" spans="1:3" ht="13.5" thickBot="1" x14ac:dyDescent="0.25">
      <c r="A10168" s="3">
        <v>7485</v>
      </c>
      <c r="B10168" s="28"/>
      <c r="C10168" s="3" t="s">
        <v>4</v>
      </c>
    </row>
    <row r="10169" spans="1:3" ht="13.5" thickBot="1" x14ac:dyDescent="0.25">
      <c r="A10169" s="3">
        <v>895</v>
      </c>
      <c r="B10169" s="28"/>
      <c r="C10169" s="3" t="s">
        <v>3</v>
      </c>
    </row>
    <row r="10170" spans="1:3" ht="13.5" thickBot="1" x14ac:dyDescent="0.25">
      <c r="A10170" s="3">
        <v>3454</v>
      </c>
      <c r="B10170" s="28"/>
      <c r="C10170" s="3" t="s">
        <v>3</v>
      </c>
    </row>
    <row r="10171" spans="1:3" ht="13.5" thickBot="1" x14ac:dyDescent="0.25">
      <c r="A10171" s="3">
        <v>261</v>
      </c>
      <c r="B10171" s="28"/>
      <c r="C10171" s="3" t="s">
        <v>3</v>
      </c>
    </row>
    <row r="10172" spans="1:3" ht="13.5" thickBot="1" x14ac:dyDescent="0.25">
      <c r="A10172" s="3">
        <v>3491</v>
      </c>
      <c r="B10172" s="28"/>
      <c r="C10172" s="3" t="s">
        <v>3</v>
      </c>
    </row>
    <row r="10173" spans="1:3" ht="13.5" thickBot="1" x14ac:dyDescent="0.25">
      <c r="A10173" s="3">
        <v>304</v>
      </c>
      <c r="B10173" s="28"/>
      <c r="C10173" s="3" t="s">
        <v>4</v>
      </c>
    </row>
    <row r="10174" spans="1:3" ht="13.5" thickBot="1" x14ac:dyDescent="0.25">
      <c r="A10174" s="3">
        <v>7659</v>
      </c>
      <c r="B10174" s="28"/>
      <c r="C10174" s="3" t="s">
        <v>4</v>
      </c>
    </row>
    <row r="10175" spans="1:3" ht="13.5" thickBot="1" x14ac:dyDescent="0.25">
      <c r="A10175" s="3">
        <v>3315</v>
      </c>
      <c r="B10175" s="28"/>
      <c r="C10175" s="3" t="s">
        <v>3</v>
      </c>
    </row>
    <row r="10176" spans="1:3" ht="13.5" thickBot="1" x14ac:dyDescent="0.25">
      <c r="A10176" s="3">
        <v>2029</v>
      </c>
      <c r="B10176" s="28"/>
      <c r="C10176" s="3" t="s">
        <v>3</v>
      </c>
    </row>
    <row r="10177" spans="1:3" ht="13.5" thickBot="1" x14ac:dyDescent="0.25">
      <c r="A10177" s="3">
        <v>2181</v>
      </c>
      <c r="B10177" s="28"/>
      <c r="C10177" s="3" t="s">
        <v>3</v>
      </c>
    </row>
    <row r="10178" spans="1:3" ht="13.5" thickBot="1" x14ac:dyDescent="0.25">
      <c r="A10178" s="3">
        <v>7347</v>
      </c>
      <c r="B10178" s="28"/>
      <c r="C10178" s="3" t="s">
        <v>4</v>
      </c>
    </row>
    <row r="10179" spans="1:3" ht="13.5" thickBot="1" x14ac:dyDescent="0.25">
      <c r="A10179" s="3">
        <v>2202</v>
      </c>
      <c r="B10179" s="28"/>
      <c r="C10179" s="3" t="s">
        <v>4</v>
      </c>
    </row>
    <row r="10180" spans="1:3" ht="13.5" thickBot="1" x14ac:dyDescent="0.25">
      <c r="A10180" s="3">
        <v>3429</v>
      </c>
      <c r="B10180" s="28"/>
      <c r="C10180" s="3" t="s">
        <v>5</v>
      </c>
    </row>
    <row r="10181" spans="1:3" ht="13.5" thickBot="1" x14ac:dyDescent="0.25">
      <c r="A10181" s="3">
        <v>966</v>
      </c>
      <c r="B10181" s="28"/>
      <c r="C10181" s="3" t="s">
        <v>3</v>
      </c>
    </row>
    <row r="10182" spans="1:3" ht="13.5" thickBot="1" x14ac:dyDescent="0.25">
      <c r="A10182" s="3">
        <v>7160</v>
      </c>
      <c r="B10182" s="28"/>
      <c r="C10182" s="3" t="s">
        <v>7</v>
      </c>
    </row>
    <row r="10183" spans="1:3" ht="13.5" thickBot="1" x14ac:dyDescent="0.25">
      <c r="A10183" s="3">
        <v>3071</v>
      </c>
      <c r="B10183" s="28"/>
      <c r="C10183" s="3" t="s">
        <v>6</v>
      </c>
    </row>
    <row r="10184" spans="1:3" ht="13.5" thickBot="1" x14ac:dyDescent="0.25">
      <c r="A10184" s="3">
        <v>1780</v>
      </c>
      <c r="B10184" s="28"/>
      <c r="C10184" s="3" t="s">
        <v>3</v>
      </c>
    </row>
    <row r="10185" spans="1:3" ht="13.5" thickBot="1" x14ac:dyDescent="0.25">
      <c r="A10185" s="3">
        <v>7668</v>
      </c>
      <c r="B10185" s="28"/>
      <c r="C10185" s="3" t="s">
        <v>3</v>
      </c>
    </row>
    <row r="10186" spans="1:3" ht="13.5" thickBot="1" x14ac:dyDescent="0.25">
      <c r="A10186" s="3">
        <v>5233</v>
      </c>
      <c r="B10186" s="28"/>
      <c r="C10186" s="3" t="s">
        <v>3</v>
      </c>
    </row>
    <row r="10187" spans="1:3" ht="13.5" thickBot="1" x14ac:dyDescent="0.25">
      <c r="A10187" s="3">
        <v>2875</v>
      </c>
      <c r="B10187" s="28"/>
      <c r="C10187" s="3" t="s">
        <v>3</v>
      </c>
    </row>
    <row r="10188" spans="1:3" ht="13.5" thickBot="1" x14ac:dyDescent="0.25">
      <c r="A10188" s="3">
        <v>2798</v>
      </c>
      <c r="B10188" s="28"/>
      <c r="C10188" s="3" t="s">
        <v>3</v>
      </c>
    </row>
    <row r="10189" spans="1:3" ht="13.5" thickBot="1" x14ac:dyDescent="0.25">
      <c r="A10189" s="3">
        <v>1533</v>
      </c>
      <c r="B10189" s="28"/>
      <c r="C10189" s="3" t="s">
        <v>3</v>
      </c>
    </row>
    <row r="10190" spans="1:3" ht="13.5" thickBot="1" x14ac:dyDescent="0.25">
      <c r="A10190" s="3">
        <v>4566</v>
      </c>
      <c r="B10190" s="28"/>
      <c r="C10190" s="3" t="s">
        <v>3</v>
      </c>
    </row>
    <row r="10191" spans="1:3" ht="13.5" thickBot="1" x14ac:dyDescent="0.25">
      <c r="A10191" s="3">
        <v>5396</v>
      </c>
      <c r="B10191" s="28"/>
      <c r="C10191" s="3" t="s">
        <v>7</v>
      </c>
    </row>
    <row r="10192" spans="1:3" ht="13.5" thickBot="1" x14ac:dyDescent="0.25">
      <c r="A10192" s="3">
        <v>5994</v>
      </c>
      <c r="B10192" s="28"/>
      <c r="C10192" s="3" t="s">
        <v>7</v>
      </c>
    </row>
    <row r="10193" spans="1:3" ht="13.5" thickBot="1" x14ac:dyDescent="0.25">
      <c r="A10193" s="3">
        <v>3454</v>
      </c>
      <c r="B10193" s="28"/>
      <c r="C10193" s="3" t="s">
        <v>4</v>
      </c>
    </row>
    <row r="10194" spans="1:3" ht="13.5" thickBot="1" x14ac:dyDescent="0.25">
      <c r="A10194" s="3">
        <v>5441</v>
      </c>
      <c r="B10194" s="28"/>
      <c r="C10194" s="3" t="s">
        <v>3</v>
      </c>
    </row>
    <row r="10195" spans="1:3" ht="13.5" thickBot="1" x14ac:dyDescent="0.25">
      <c r="A10195" s="3">
        <v>5708</v>
      </c>
      <c r="B10195" s="28"/>
      <c r="C10195" s="3" t="s">
        <v>4</v>
      </c>
    </row>
    <row r="10196" spans="1:3" ht="13.5" thickBot="1" x14ac:dyDescent="0.25">
      <c r="A10196" s="3">
        <v>6999</v>
      </c>
      <c r="B10196" s="28"/>
      <c r="C10196" s="3" t="s">
        <v>4</v>
      </c>
    </row>
    <row r="10197" spans="1:3" ht="13.5" thickBot="1" x14ac:dyDescent="0.25">
      <c r="A10197" s="3">
        <v>204</v>
      </c>
      <c r="B10197" s="28"/>
      <c r="C10197" s="3" t="s">
        <v>3</v>
      </c>
    </row>
    <row r="10198" spans="1:3" ht="13.5" thickBot="1" x14ac:dyDescent="0.25">
      <c r="A10198" s="3">
        <v>5173</v>
      </c>
      <c r="B10198" s="28"/>
      <c r="C10198" s="3" t="s">
        <v>4</v>
      </c>
    </row>
    <row r="10199" spans="1:3" ht="13.5" thickBot="1" x14ac:dyDescent="0.25">
      <c r="A10199" s="3">
        <v>6277</v>
      </c>
      <c r="B10199" s="28"/>
      <c r="C10199" s="3" t="s">
        <v>4</v>
      </c>
    </row>
    <row r="10200" spans="1:3" ht="13.5" thickBot="1" x14ac:dyDescent="0.25">
      <c r="A10200" s="3">
        <v>51</v>
      </c>
      <c r="B10200" s="28"/>
      <c r="C10200" s="3" t="s">
        <v>6</v>
      </c>
    </row>
    <row r="10201" spans="1:3" ht="13.5" thickBot="1" x14ac:dyDescent="0.25">
      <c r="A10201" s="3">
        <v>1243</v>
      </c>
      <c r="B10201" s="28"/>
      <c r="C10201" s="3" t="s">
        <v>5</v>
      </c>
    </row>
    <row r="10202" spans="1:3" ht="13.5" thickBot="1" x14ac:dyDescent="0.25">
      <c r="A10202" s="3">
        <v>1605</v>
      </c>
      <c r="B10202" s="28"/>
      <c r="C10202" s="3" t="s">
        <v>3</v>
      </c>
    </row>
    <row r="10203" spans="1:3" ht="13.5" thickBot="1" x14ac:dyDescent="0.25">
      <c r="A10203" s="3">
        <v>6318</v>
      </c>
      <c r="B10203" s="28"/>
      <c r="C10203" s="3" t="s">
        <v>3</v>
      </c>
    </row>
    <row r="10204" spans="1:3" ht="13.5" thickBot="1" x14ac:dyDescent="0.25">
      <c r="A10204" s="3">
        <v>6694</v>
      </c>
      <c r="B10204" s="28"/>
      <c r="C10204" s="3" t="s">
        <v>3</v>
      </c>
    </row>
    <row r="10205" spans="1:3" ht="13.5" thickBot="1" x14ac:dyDescent="0.25">
      <c r="A10205" s="3">
        <v>6431</v>
      </c>
      <c r="B10205" s="28"/>
      <c r="C10205" s="3" t="s">
        <v>3</v>
      </c>
    </row>
    <row r="10206" spans="1:3" ht="13.5" thickBot="1" x14ac:dyDescent="0.25">
      <c r="A10206" s="3">
        <v>4210</v>
      </c>
      <c r="B10206" s="28"/>
      <c r="C10206" s="3" t="s">
        <v>4</v>
      </c>
    </row>
    <row r="10207" spans="1:3" ht="13.5" thickBot="1" x14ac:dyDescent="0.25">
      <c r="A10207" s="3">
        <v>542</v>
      </c>
      <c r="B10207" s="28"/>
      <c r="C10207" s="3" t="s">
        <v>4</v>
      </c>
    </row>
    <row r="10208" spans="1:3" ht="13.5" thickBot="1" x14ac:dyDescent="0.25">
      <c r="A10208" s="3">
        <v>6166</v>
      </c>
      <c r="B10208" s="28"/>
      <c r="C10208" s="3" t="s">
        <v>3</v>
      </c>
    </row>
    <row r="10209" spans="1:3" ht="13.5" thickBot="1" x14ac:dyDescent="0.25">
      <c r="A10209" s="3">
        <v>2829</v>
      </c>
      <c r="B10209" s="28"/>
      <c r="C10209" s="3" t="s">
        <v>4</v>
      </c>
    </row>
    <row r="10210" spans="1:3" ht="13.5" thickBot="1" x14ac:dyDescent="0.25">
      <c r="A10210" s="3">
        <v>4819</v>
      </c>
      <c r="B10210" s="28"/>
      <c r="C10210" s="3" t="s">
        <v>3</v>
      </c>
    </row>
    <row r="10211" spans="1:3" ht="13.5" thickBot="1" x14ac:dyDescent="0.25">
      <c r="A10211" s="3">
        <v>7443</v>
      </c>
      <c r="B10211" s="28"/>
      <c r="C10211" s="3" t="s">
        <v>5</v>
      </c>
    </row>
    <row r="10212" spans="1:3" ht="13.5" thickBot="1" x14ac:dyDescent="0.25">
      <c r="A10212" s="3">
        <v>102</v>
      </c>
      <c r="B10212" s="28"/>
      <c r="C10212" s="3" t="s">
        <v>4</v>
      </c>
    </row>
    <row r="10213" spans="1:3" ht="13.5" thickBot="1" x14ac:dyDescent="0.25">
      <c r="A10213" s="3">
        <v>1172</v>
      </c>
      <c r="B10213" s="28"/>
      <c r="C10213" s="3" t="s">
        <v>3</v>
      </c>
    </row>
    <row r="10214" spans="1:3" ht="13.5" thickBot="1" x14ac:dyDescent="0.25">
      <c r="A10214" s="3">
        <v>6277</v>
      </c>
      <c r="B10214" s="28"/>
      <c r="C10214" s="3" t="s">
        <v>6</v>
      </c>
    </row>
    <row r="10215" spans="1:3" ht="13.5" thickBot="1" x14ac:dyDescent="0.25">
      <c r="A10215" s="3">
        <v>7659</v>
      </c>
      <c r="B10215" s="28"/>
      <c r="C10215" s="3" t="s">
        <v>5</v>
      </c>
    </row>
    <row r="10216" spans="1:3" ht="13.5" thickBot="1" x14ac:dyDescent="0.25">
      <c r="A10216" s="3">
        <v>1500</v>
      </c>
      <c r="B10216" s="28"/>
      <c r="C10216" s="3" t="s">
        <v>6</v>
      </c>
    </row>
    <row r="10217" spans="1:3" ht="13.5" thickBot="1" x14ac:dyDescent="0.25">
      <c r="A10217" s="3">
        <v>4348</v>
      </c>
      <c r="B10217" s="28"/>
      <c r="C10217" s="3" t="s">
        <v>6</v>
      </c>
    </row>
    <row r="10218" spans="1:3" ht="13.5" thickBot="1" x14ac:dyDescent="0.25">
      <c r="A10218" s="3">
        <v>3555</v>
      </c>
      <c r="B10218" s="28"/>
      <c r="C10218" s="3" t="s">
        <v>6</v>
      </c>
    </row>
    <row r="10219" spans="1:3" ht="13.5" thickBot="1" x14ac:dyDescent="0.25">
      <c r="A10219" s="3">
        <v>7872</v>
      </c>
      <c r="B10219" s="28"/>
      <c r="C10219" s="3" t="s">
        <v>4</v>
      </c>
    </row>
    <row r="10220" spans="1:3" ht="13.5" thickBot="1" x14ac:dyDescent="0.25">
      <c r="A10220" s="3">
        <v>773</v>
      </c>
      <c r="B10220" s="28"/>
      <c r="C10220" s="3" t="s">
        <v>3</v>
      </c>
    </row>
    <row r="10221" spans="1:3" ht="13.5" thickBot="1" x14ac:dyDescent="0.25">
      <c r="A10221" s="3">
        <v>6374</v>
      </c>
      <c r="B10221" s="28"/>
      <c r="C10221" s="3" t="s">
        <v>3</v>
      </c>
    </row>
    <row r="10222" spans="1:3" ht="13.5" thickBot="1" x14ac:dyDescent="0.25">
      <c r="A10222" s="3">
        <v>928</v>
      </c>
      <c r="B10222" s="28"/>
      <c r="C10222" s="3" t="s">
        <v>3</v>
      </c>
    </row>
    <row r="10223" spans="1:3" ht="13.5" thickBot="1" x14ac:dyDescent="0.25">
      <c r="A10223" s="3">
        <v>3038</v>
      </c>
      <c r="B10223" s="28"/>
      <c r="C10223" s="3" t="s">
        <v>4</v>
      </c>
    </row>
    <row r="10224" spans="1:3" ht="13.5" thickBot="1" x14ac:dyDescent="0.25">
      <c r="A10224" s="3">
        <v>3334</v>
      </c>
      <c r="B10224" s="28"/>
      <c r="C10224" s="3" t="s">
        <v>7</v>
      </c>
    </row>
    <row r="10225" spans="1:3" ht="13.5" thickBot="1" x14ac:dyDescent="0.25">
      <c r="A10225" s="3">
        <v>4127</v>
      </c>
      <c r="B10225" s="28"/>
      <c r="C10225" s="3" t="s">
        <v>5</v>
      </c>
    </row>
    <row r="10226" spans="1:3" ht="13.5" thickBot="1" x14ac:dyDescent="0.25">
      <c r="A10226" s="3">
        <v>4994</v>
      </c>
      <c r="B10226" s="28"/>
      <c r="C10226" s="3" t="s">
        <v>4</v>
      </c>
    </row>
    <row r="10227" spans="1:3" ht="13.5" thickBot="1" x14ac:dyDescent="0.25">
      <c r="A10227" s="3">
        <v>2489</v>
      </c>
      <c r="B10227" s="28"/>
      <c r="C10227" s="3" t="s">
        <v>4</v>
      </c>
    </row>
    <row r="10228" spans="1:3" ht="13.5" thickBot="1" x14ac:dyDescent="0.25">
      <c r="A10228" s="3">
        <v>7514</v>
      </c>
      <c r="B10228" s="28"/>
      <c r="C10228" s="3" t="s">
        <v>3</v>
      </c>
    </row>
    <row r="10229" spans="1:3" ht="13.5" thickBot="1" x14ac:dyDescent="0.25">
      <c r="A10229" s="3">
        <v>1243</v>
      </c>
      <c r="B10229" s="28"/>
      <c r="C10229" s="3" t="s">
        <v>6</v>
      </c>
    </row>
    <row r="10230" spans="1:3" ht="13.5" thickBot="1" x14ac:dyDescent="0.25">
      <c r="A10230" s="3">
        <v>5679</v>
      </c>
      <c r="B10230" s="28"/>
      <c r="C10230" s="3" t="s">
        <v>3</v>
      </c>
    </row>
    <row r="10231" spans="1:3" ht="13.5" thickBot="1" x14ac:dyDescent="0.25">
      <c r="A10231" s="3">
        <v>6596</v>
      </c>
      <c r="B10231" s="28"/>
      <c r="C10231" s="3" t="s">
        <v>4</v>
      </c>
    </row>
    <row r="10232" spans="1:3" ht="13.5" thickBot="1" x14ac:dyDescent="0.25">
      <c r="A10232" s="3">
        <v>7443</v>
      </c>
      <c r="B10232" s="28"/>
      <c r="C10232" s="3" t="s">
        <v>7</v>
      </c>
    </row>
    <row r="10233" spans="1:3" ht="13.5" thickBot="1" x14ac:dyDescent="0.25">
      <c r="A10233" s="3">
        <v>5794</v>
      </c>
      <c r="B10233" s="28"/>
      <c r="C10233" s="3" t="s">
        <v>4</v>
      </c>
    </row>
    <row r="10234" spans="1:3" ht="13.5" thickBot="1" x14ac:dyDescent="0.25">
      <c r="A10234" s="3">
        <v>4102</v>
      </c>
      <c r="B10234" s="28"/>
      <c r="C10234" s="3" t="s">
        <v>5</v>
      </c>
    </row>
    <row r="10235" spans="1:3" ht="13.5" thickBot="1" x14ac:dyDescent="0.25">
      <c r="A10235" s="3">
        <v>3429</v>
      </c>
      <c r="B10235" s="28"/>
      <c r="C10235" s="3" t="s">
        <v>4</v>
      </c>
    </row>
    <row r="10236" spans="1:3" ht="13.5" thickBot="1" x14ac:dyDescent="0.25">
      <c r="A10236" s="3">
        <v>7136</v>
      </c>
      <c r="B10236" s="28"/>
      <c r="C10236" s="3" t="s">
        <v>6</v>
      </c>
    </row>
    <row r="10237" spans="1:3" ht="13.5" thickBot="1" x14ac:dyDescent="0.25">
      <c r="A10237" s="3">
        <v>2030</v>
      </c>
      <c r="B10237" s="28"/>
      <c r="C10237" s="3" t="s">
        <v>4</v>
      </c>
    </row>
    <row r="10238" spans="1:3" ht="13.5" thickBot="1" x14ac:dyDescent="0.25">
      <c r="A10238" s="3">
        <v>7540</v>
      </c>
      <c r="B10238" s="28"/>
      <c r="C10238" s="3" t="s">
        <v>7</v>
      </c>
    </row>
    <row r="10239" spans="1:3" ht="13.5" thickBot="1" x14ac:dyDescent="0.25">
      <c r="A10239" s="3">
        <v>1747</v>
      </c>
      <c r="B10239" s="28"/>
      <c r="C10239" s="3" t="s">
        <v>3</v>
      </c>
    </row>
    <row r="10240" spans="1:3" ht="13.5" thickBot="1" x14ac:dyDescent="0.25">
      <c r="A10240" s="3">
        <v>1533</v>
      </c>
      <c r="B10240" s="28"/>
      <c r="C10240" s="3" t="s">
        <v>4</v>
      </c>
    </row>
    <row r="10241" spans="1:3" ht="13.5" thickBot="1" x14ac:dyDescent="0.25">
      <c r="A10241" s="3">
        <v>463</v>
      </c>
      <c r="B10241" s="28"/>
      <c r="C10241" s="3" t="s">
        <v>3</v>
      </c>
    </row>
    <row r="10242" spans="1:3" ht="13.5" thickBot="1" x14ac:dyDescent="0.25">
      <c r="A10242" s="3">
        <v>4994</v>
      </c>
      <c r="B10242" s="28"/>
      <c r="C10242" s="3" t="s">
        <v>7</v>
      </c>
    </row>
    <row r="10243" spans="1:3" ht="13.5" thickBot="1" x14ac:dyDescent="0.25">
      <c r="A10243" s="3">
        <v>1634</v>
      </c>
      <c r="B10243" s="28"/>
      <c r="C10243" s="3" t="s">
        <v>3</v>
      </c>
    </row>
    <row r="10244" spans="1:3" ht="13.5" thickBot="1" x14ac:dyDescent="0.25">
      <c r="A10244" s="3">
        <v>2628</v>
      </c>
      <c r="B10244" s="28"/>
      <c r="C10244" s="3" t="s">
        <v>6</v>
      </c>
    </row>
    <row r="10245" spans="1:3" ht="13.5" thickBot="1" x14ac:dyDescent="0.25">
      <c r="A10245" s="3">
        <v>5095</v>
      </c>
      <c r="B10245" s="28"/>
      <c r="C10245" s="3" t="s">
        <v>3</v>
      </c>
    </row>
    <row r="10246" spans="1:3" ht="13.5" thickBot="1" x14ac:dyDescent="0.25">
      <c r="A10246" s="3">
        <v>7080</v>
      </c>
      <c r="B10246" s="28"/>
      <c r="C10246" s="3" t="s">
        <v>3</v>
      </c>
    </row>
    <row r="10247" spans="1:3" ht="13.5" thickBot="1" x14ac:dyDescent="0.25">
      <c r="A10247" s="3">
        <v>3071</v>
      </c>
      <c r="B10247" s="28"/>
      <c r="C10247" s="3" t="s">
        <v>5</v>
      </c>
    </row>
    <row r="10248" spans="1:3" ht="13.5" thickBot="1" x14ac:dyDescent="0.25">
      <c r="A10248" s="3">
        <v>2670</v>
      </c>
      <c r="B10248" s="28"/>
      <c r="C10248" s="3" t="s">
        <v>3</v>
      </c>
    </row>
    <row r="10249" spans="1:3" ht="13.5" thickBot="1" x14ac:dyDescent="0.25">
      <c r="A10249" s="3">
        <v>3681</v>
      </c>
      <c r="B10249" s="28"/>
      <c r="C10249" s="3" t="s">
        <v>5</v>
      </c>
    </row>
    <row r="10250" spans="1:3" ht="13.5" thickBot="1" x14ac:dyDescent="0.25">
      <c r="A10250" s="3">
        <v>7285</v>
      </c>
      <c r="B10250" s="28"/>
      <c r="C10250" s="3" t="s">
        <v>4</v>
      </c>
    </row>
    <row r="10251" spans="1:3" ht="13.5" thickBot="1" x14ac:dyDescent="0.25">
      <c r="A10251" s="3">
        <v>6423</v>
      </c>
      <c r="B10251" s="28"/>
      <c r="C10251" s="3" t="s">
        <v>3</v>
      </c>
    </row>
    <row r="10252" spans="1:3" ht="13.5" thickBot="1" x14ac:dyDescent="0.25">
      <c r="A10252" s="3">
        <v>4577</v>
      </c>
      <c r="B10252" s="28"/>
      <c r="C10252" s="3" t="s">
        <v>3</v>
      </c>
    </row>
    <row r="10253" spans="1:3" ht="13.5" thickBot="1" x14ac:dyDescent="0.25">
      <c r="A10253" s="3">
        <v>643</v>
      </c>
      <c r="B10253" s="28"/>
      <c r="C10253" s="3" t="s">
        <v>3</v>
      </c>
    </row>
    <row r="10254" spans="1:3" ht="13.5" thickBot="1" x14ac:dyDescent="0.25">
      <c r="A10254" s="3">
        <v>3681</v>
      </c>
      <c r="B10254" s="28"/>
      <c r="C10254" s="3" t="s">
        <v>7</v>
      </c>
    </row>
    <row r="10255" spans="1:3" ht="13.5" thickBot="1" x14ac:dyDescent="0.25">
      <c r="A10255" s="3">
        <v>643</v>
      </c>
      <c r="B10255" s="28"/>
      <c r="C10255" s="3" t="s">
        <v>4</v>
      </c>
    </row>
    <row r="10256" spans="1:3" ht="13.5" thickBot="1" x14ac:dyDescent="0.25">
      <c r="A10256" s="3">
        <v>7579</v>
      </c>
      <c r="B10256" s="28"/>
      <c r="C10256" s="3" t="s">
        <v>3</v>
      </c>
    </row>
    <row r="10257" spans="1:3" ht="13.5" thickBot="1" x14ac:dyDescent="0.25">
      <c r="A10257" s="3">
        <v>1836</v>
      </c>
      <c r="B10257" s="28"/>
      <c r="C10257" s="3" t="s">
        <v>3</v>
      </c>
    </row>
    <row r="10258" spans="1:3" ht="13.5" thickBot="1" x14ac:dyDescent="0.25">
      <c r="A10258" s="3">
        <v>3163</v>
      </c>
      <c r="B10258" s="28"/>
      <c r="C10258" s="3" t="s">
        <v>4</v>
      </c>
    </row>
    <row r="10259" spans="1:3" ht="13.5" thickBot="1" x14ac:dyDescent="0.25">
      <c r="A10259" s="3">
        <v>4819</v>
      </c>
      <c r="B10259" s="28"/>
      <c r="C10259" s="3" t="s">
        <v>6</v>
      </c>
    </row>
    <row r="10260" spans="1:3" ht="13.5" thickBot="1" x14ac:dyDescent="0.25">
      <c r="A10260" s="3">
        <v>102</v>
      </c>
      <c r="B10260" s="28"/>
      <c r="C10260" s="3" t="s">
        <v>5</v>
      </c>
    </row>
    <row r="10261" spans="1:3" ht="13.5" thickBot="1" x14ac:dyDescent="0.25">
      <c r="A10261" s="3">
        <v>7940</v>
      </c>
      <c r="B10261" s="28"/>
      <c r="C10261" s="3" t="s">
        <v>6</v>
      </c>
    </row>
    <row r="10262" spans="1:3" ht="13.5" thickBot="1" x14ac:dyDescent="0.25">
      <c r="A10262" s="3">
        <v>4277</v>
      </c>
      <c r="B10262" s="28"/>
      <c r="C10262" s="3" t="s">
        <v>3</v>
      </c>
    </row>
    <row r="10263" spans="1:3" ht="13.5" thickBot="1" x14ac:dyDescent="0.25">
      <c r="A10263" s="3">
        <v>6404</v>
      </c>
      <c r="B10263" s="28"/>
      <c r="C10263" s="3" t="s">
        <v>3</v>
      </c>
    </row>
    <row r="10264" spans="1:3" ht="13.5" thickBot="1" x14ac:dyDescent="0.25">
      <c r="A10264" s="3">
        <v>7285</v>
      </c>
      <c r="B10264" s="28"/>
      <c r="C10264" s="3" t="s">
        <v>3</v>
      </c>
    </row>
    <row r="10265" spans="1:3" ht="13.5" thickBot="1" x14ac:dyDescent="0.25">
      <c r="A10265" s="3">
        <v>6166</v>
      </c>
      <c r="B10265" s="28"/>
      <c r="C10265" s="3" t="s">
        <v>4</v>
      </c>
    </row>
    <row r="10266" spans="1:3" ht="13.5" thickBot="1" x14ac:dyDescent="0.25">
      <c r="A10266" s="3">
        <v>4103</v>
      </c>
      <c r="B10266" s="28"/>
      <c r="C10266" s="3" t="s">
        <v>3</v>
      </c>
    </row>
    <row r="10267" spans="1:3" ht="13.5" thickBot="1" x14ac:dyDescent="0.25">
      <c r="A10267" s="3">
        <v>6296</v>
      </c>
      <c r="B10267" s="28"/>
      <c r="C10267" s="3" t="s">
        <v>3</v>
      </c>
    </row>
    <row r="10268" spans="1:3" ht="13.5" thickBot="1" x14ac:dyDescent="0.25">
      <c r="A10268" s="3">
        <v>5598</v>
      </c>
      <c r="B10268" s="28"/>
      <c r="C10268" s="3" t="s">
        <v>7</v>
      </c>
    </row>
    <row r="10269" spans="1:3" ht="13.5" thickBot="1" x14ac:dyDescent="0.25">
      <c r="A10269" s="3">
        <v>4089</v>
      </c>
      <c r="B10269" s="28"/>
      <c r="C10269" s="3" t="s">
        <v>3</v>
      </c>
    </row>
    <row r="10270" spans="1:3" ht="13.5" thickBot="1" x14ac:dyDescent="0.25">
      <c r="A10270" s="3">
        <v>1078</v>
      </c>
      <c r="B10270" s="28"/>
      <c r="C10270" s="3" t="s">
        <v>3</v>
      </c>
    </row>
    <row r="10271" spans="1:3" ht="13.5" thickBot="1" x14ac:dyDescent="0.25">
      <c r="A10271" s="3">
        <v>5882</v>
      </c>
      <c r="B10271" s="28"/>
      <c r="C10271" s="3" t="s">
        <v>3</v>
      </c>
    </row>
    <row r="10272" spans="1:3" ht="13.5" thickBot="1" x14ac:dyDescent="0.25">
      <c r="A10272" s="3">
        <v>4353</v>
      </c>
      <c r="B10272" s="28"/>
      <c r="C10272" s="3" t="s">
        <v>3</v>
      </c>
    </row>
    <row r="10273" spans="1:3" ht="13.5" thickBot="1" x14ac:dyDescent="0.25">
      <c r="A10273" s="3">
        <v>4020</v>
      </c>
      <c r="B10273" s="28"/>
      <c r="C10273" s="3" t="s">
        <v>5</v>
      </c>
    </row>
    <row r="10274" spans="1:3" ht="13.5" thickBot="1" x14ac:dyDescent="0.25">
      <c r="A10274" s="3">
        <v>2670</v>
      </c>
      <c r="B10274" s="28"/>
      <c r="C10274" s="3" t="s">
        <v>4</v>
      </c>
    </row>
    <row r="10275" spans="1:3" ht="13.5" thickBot="1" x14ac:dyDescent="0.25">
      <c r="A10275" s="3">
        <v>3226</v>
      </c>
      <c r="B10275" s="28"/>
      <c r="C10275" s="3" t="s">
        <v>3</v>
      </c>
    </row>
    <row r="10276" spans="1:3" ht="13.5" thickBot="1" x14ac:dyDescent="0.25">
      <c r="A10276" s="3">
        <v>6598</v>
      </c>
      <c r="B10276" s="28"/>
      <c r="C10276" s="3" t="s">
        <v>3</v>
      </c>
    </row>
    <row r="10277" spans="1:3" ht="13.5" thickBot="1" x14ac:dyDescent="0.25">
      <c r="A10277" s="3">
        <v>569</v>
      </c>
      <c r="B10277" s="28"/>
      <c r="C10277" s="3" t="s">
        <v>3</v>
      </c>
    </row>
    <row r="10278" spans="1:3" ht="13.5" thickBot="1" x14ac:dyDescent="0.25">
      <c r="A10278" s="3">
        <v>2875</v>
      </c>
      <c r="B10278" s="28"/>
      <c r="C10278" s="3" t="s">
        <v>4</v>
      </c>
    </row>
    <row r="10279" spans="1:3" ht="13.5" thickBot="1" x14ac:dyDescent="0.25">
      <c r="A10279" s="3">
        <v>3338</v>
      </c>
      <c r="B10279" s="28"/>
      <c r="C10279" s="3" t="s">
        <v>3</v>
      </c>
    </row>
    <row r="10280" spans="1:3" ht="13.5" thickBot="1" x14ac:dyDescent="0.25">
      <c r="A10280" s="3">
        <v>7479</v>
      </c>
      <c r="B10280" s="28"/>
      <c r="C10280" s="3" t="s">
        <v>7</v>
      </c>
    </row>
    <row r="10281" spans="1:3" ht="13.5" thickBot="1" x14ac:dyDescent="0.25">
      <c r="A10281" s="3">
        <v>3315</v>
      </c>
      <c r="B10281" s="28"/>
      <c r="C10281" s="3" t="s">
        <v>4</v>
      </c>
    </row>
    <row r="10282" spans="1:3" ht="13.5" thickBot="1" x14ac:dyDescent="0.25">
      <c r="A10282" s="3">
        <v>3555</v>
      </c>
      <c r="B10282" s="28"/>
      <c r="C10282" s="3" t="s">
        <v>5</v>
      </c>
    </row>
    <row r="10283" spans="1:3" ht="13.5" thickBot="1" x14ac:dyDescent="0.25">
      <c r="A10283" s="3">
        <v>6563</v>
      </c>
      <c r="B10283" s="28"/>
      <c r="C10283" s="3" t="s">
        <v>6</v>
      </c>
    </row>
    <row r="10284" spans="1:3" ht="13.5" thickBot="1" x14ac:dyDescent="0.25">
      <c r="A10284" s="3">
        <v>6683</v>
      </c>
      <c r="B10284" s="28"/>
      <c r="C10284" s="3" t="s">
        <v>3</v>
      </c>
    </row>
    <row r="10285" spans="1:3" ht="13.5" thickBot="1" x14ac:dyDescent="0.25">
      <c r="A10285" s="3">
        <v>51</v>
      </c>
      <c r="B10285" s="28"/>
      <c r="C10285" s="3" t="s">
        <v>7</v>
      </c>
    </row>
    <row r="10286" spans="1:3" ht="13.5" thickBot="1" x14ac:dyDescent="0.25">
      <c r="A10286" s="3">
        <v>6423</v>
      </c>
      <c r="B10286" s="28"/>
      <c r="C10286" s="3" t="s">
        <v>4</v>
      </c>
    </row>
    <row r="10287" spans="1:3" ht="13.5" thickBot="1" x14ac:dyDescent="0.25">
      <c r="A10287" s="3">
        <v>5441</v>
      </c>
      <c r="B10287" s="28"/>
      <c r="C10287" s="3" t="s">
        <v>4</v>
      </c>
    </row>
    <row r="10288" spans="1:3" ht="13.5" thickBot="1" x14ac:dyDescent="0.25">
      <c r="A10288" s="3">
        <v>3212</v>
      </c>
      <c r="B10288" s="28"/>
      <c r="C10288" s="3" t="s">
        <v>3</v>
      </c>
    </row>
    <row r="10289" spans="1:3" ht="13.5" thickBot="1" x14ac:dyDescent="0.25">
      <c r="A10289" s="3">
        <v>3212</v>
      </c>
      <c r="B10289" s="28"/>
      <c r="C10289" s="3" t="s">
        <v>4</v>
      </c>
    </row>
    <row r="10290" spans="1:3" ht="13.5" thickBot="1" x14ac:dyDescent="0.25">
      <c r="A10290" s="3">
        <v>6596</v>
      </c>
      <c r="B10290" s="28"/>
      <c r="C10290" s="3" t="s">
        <v>7</v>
      </c>
    </row>
    <row r="10291" spans="1:3" ht="13.5" thickBot="1" x14ac:dyDescent="0.25">
      <c r="A10291" s="3">
        <v>895</v>
      </c>
      <c r="B10291" s="28"/>
      <c r="C10291" s="3" t="s">
        <v>4</v>
      </c>
    </row>
    <row r="10292" spans="1:3" ht="13.5" thickBot="1" x14ac:dyDescent="0.25">
      <c r="A10292" s="3">
        <v>5762</v>
      </c>
      <c r="B10292" s="28"/>
      <c r="C10292" s="3" t="s">
        <v>6</v>
      </c>
    </row>
    <row r="10293" spans="1:3" ht="13.5" thickBot="1" x14ac:dyDescent="0.25">
      <c r="A10293" s="3">
        <v>7479</v>
      </c>
      <c r="B10293" s="28"/>
      <c r="C10293" s="3" t="s">
        <v>6</v>
      </c>
    </row>
    <row r="10294" spans="1:3" ht="13.5" thickBot="1" x14ac:dyDescent="0.25">
      <c r="A10294" s="3">
        <v>3739</v>
      </c>
      <c r="B10294" s="28"/>
      <c r="C10294" s="3" t="s">
        <v>3</v>
      </c>
    </row>
    <row r="10295" spans="1:3" ht="13.5" thickBot="1" x14ac:dyDescent="0.25">
      <c r="A10295" s="3">
        <v>2489</v>
      </c>
      <c r="B10295" s="28"/>
      <c r="C10295" s="3" t="s">
        <v>5</v>
      </c>
    </row>
    <row r="10296" spans="1:3" ht="13.5" thickBot="1" x14ac:dyDescent="0.25">
      <c r="A10296" s="3">
        <v>3615</v>
      </c>
      <c r="B10296" s="28"/>
      <c r="C10296" s="3" t="s">
        <v>7</v>
      </c>
    </row>
    <row r="10297" spans="1:3" ht="13.5" thickBot="1" x14ac:dyDescent="0.25">
      <c r="A10297" s="3">
        <v>6694</v>
      </c>
      <c r="B10297" s="28"/>
      <c r="C10297" s="3" t="s">
        <v>4</v>
      </c>
    </row>
    <row r="10298" spans="1:3" ht="13.5" thickBot="1" x14ac:dyDescent="0.25">
      <c r="A10298" s="3">
        <v>2822</v>
      </c>
      <c r="B10298" s="28"/>
      <c r="C10298" s="3" t="s">
        <v>5</v>
      </c>
    </row>
    <row r="10299" spans="1:3" ht="13.5" thickBot="1" x14ac:dyDescent="0.25">
      <c r="A10299" s="3">
        <v>454</v>
      </c>
      <c r="B10299" s="28"/>
      <c r="C10299" s="3" t="s">
        <v>7</v>
      </c>
    </row>
    <row r="10300" spans="1:3" ht="13.5" thickBot="1" x14ac:dyDescent="0.25">
      <c r="A10300" s="3">
        <v>454</v>
      </c>
      <c r="B10300" s="28"/>
      <c r="C10300" s="3" t="s">
        <v>6</v>
      </c>
    </row>
    <row r="10301" spans="1:3" ht="13.5" thickBot="1" x14ac:dyDescent="0.25">
      <c r="A10301" s="3">
        <v>6318</v>
      </c>
      <c r="B10301" s="28"/>
      <c r="C10301" s="3" t="s">
        <v>7</v>
      </c>
    </row>
    <row r="10302" spans="1:3" ht="13.5" thickBot="1" x14ac:dyDescent="0.25">
      <c r="A10302" s="3">
        <v>7809</v>
      </c>
      <c r="B10302" s="28"/>
      <c r="C10302" s="3" t="s">
        <v>3</v>
      </c>
    </row>
    <row r="10303" spans="1:3" ht="13.5" thickBot="1" x14ac:dyDescent="0.25">
      <c r="A10303" s="3">
        <v>4210</v>
      </c>
      <c r="B10303" s="28"/>
      <c r="C10303" s="3" t="s">
        <v>5</v>
      </c>
    </row>
    <row r="10304" spans="1:3" ht="13.5" thickBot="1" x14ac:dyDescent="0.25">
      <c r="A10304" s="3">
        <v>7696</v>
      </c>
      <c r="B10304" s="28"/>
      <c r="C10304" s="3" t="s">
        <v>3</v>
      </c>
    </row>
    <row r="10305" spans="1:3" ht="13.5" thickBot="1" x14ac:dyDescent="0.25">
      <c r="A10305" s="3">
        <v>3198</v>
      </c>
      <c r="B10305" s="28"/>
      <c r="C10305" s="3" t="s">
        <v>4</v>
      </c>
    </row>
    <row r="10306" spans="1:3" ht="13.5" thickBot="1" x14ac:dyDescent="0.25">
      <c r="A10306" s="3">
        <v>648</v>
      </c>
      <c r="B10306" s="28"/>
      <c r="C10306" s="3" t="s">
        <v>5</v>
      </c>
    </row>
    <row r="10307" spans="1:3" ht="13.5" thickBot="1" x14ac:dyDescent="0.25">
      <c r="A10307" s="3">
        <v>3506</v>
      </c>
      <c r="B10307" s="28"/>
      <c r="C10307" s="3" t="s">
        <v>3</v>
      </c>
    </row>
    <row r="10308" spans="1:3" ht="13.5" thickBot="1" x14ac:dyDescent="0.25">
      <c r="A10308" s="3">
        <v>2317</v>
      </c>
      <c r="B10308" s="28"/>
      <c r="C10308" s="3" t="s">
        <v>6</v>
      </c>
    </row>
    <row r="10309" spans="1:3" ht="13.5" thickBot="1" x14ac:dyDescent="0.25">
      <c r="A10309" s="3">
        <v>3364</v>
      </c>
      <c r="B10309" s="28"/>
      <c r="C10309" s="3" t="s">
        <v>3</v>
      </c>
    </row>
    <row r="10310" spans="1:3" ht="13.5" thickBot="1" x14ac:dyDescent="0.25">
      <c r="A10310" s="3">
        <v>6741</v>
      </c>
      <c r="B10310" s="28"/>
      <c r="C10310" s="3" t="s">
        <v>3</v>
      </c>
    </row>
    <row r="10311" spans="1:3" ht="13.5" thickBot="1" x14ac:dyDescent="0.25">
      <c r="A10311" s="3">
        <v>6284</v>
      </c>
      <c r="B10311" s="28"/>
      <c r="C10311" s="3" t="s">
        <v>3</v>
      </c>
    </row>
    <row r="10312" spans="1:3" ht="13.5" thickBot="1" x14ac:dyDescent="0.25">
      <c r="A10312" s="3">
        <v>119</v>
      </c>
      <c r="B10312" s="28"/>
      <c r="C10312" s="3" t="s">
        <v>3</v>
      </c>
    </row>
    <row r="10313" spans="1:3" ht="13.5" thickBot="1" x14ac:dyDescent="0.25">
      <c r="A10313" s="3">
        <v>1243</v>
      </c>
      <c r="B10313" s="28"/>
      <c r="C10313" s="3" t="s">
        <v>7</v>
      </c>
    </row>
    <row r="10314" spans="1:3" ht="13.5" thickBot="1" x14ac:dyDescent="0.25">
      <c r="A10314" s="3">
        <v>6048</v>
      </c>
      <c r="B10314" s="28"/>
      <c r="C10314" s="3" t="s">
        <v>3</v>
      </c>
    </row>
    <row r="10315" spans="1:3" ht="13.5" thickBot="1" x14ac:dyDescent="0.25">
      <c r="A10315" s="3">
        <v>4163</v>
      </c>
      <c r="B10315" s="28"/>
      <c r="C10315" s="3" t="s">
        <v>3</v>
      </c>
    </row>
    <row r="10316" spans="1:3" ht="13.5" thickBot="1" x14ac:dyDescent="0.25">
      <c r="A10316" s="3">
        <v>4297</v>
      </c>
      <c r="B10316" s="28"/>
      <c r="C10316" s="3" t="s">
        <v>5</v>
      </c>
    </row>
    <row r="10317" spans="1:3" ht="13.5" thickBot="1" x14ac:dyDescent="0.25">
      <c r="A10317" s="3">
        <v>2165</v>
      </c>
      <c r="B10317" s="28"/>
      <c r="C10317" s="3" t="s">
        <v>4</v>
      </c>
    </row>
    <row r="10318" spans="1:3" ht="13.5" thickBot="1" x14ac:dyDescent="0.25">
      <c r="A10318" s="3">
        <v>6598</v>
      </c>
      <c r="B10318" s="28"/>
      <c r="C10318" s="3" t="s">
        <v>4</v>
      </c>
    </row>
    <row r="10319" spans="1:3" ht="13.5" thickBot="1" x14ac:dyDescent="0.25">
      <c r="A10319" s="3">
        <v>5442</v>
      </c>
      <c r="B10319" s="28"/>
      <c r="C10319" s="3" t="s">
        <v>7</v>
      </c>
    </row>
    <row r="10320" spans="1:3" ht="13.5" thickBot="1" x14ac:dyDescent="0.25">
      <c r="A10320" s="3">
        <v>155</v>
      </c>
      <c r="B10320" s="28"/>
      <c r="C10320" s="3" t="s">
        <v>3</v>
      </c>
    </row>
    <row r="10321" spans="1:3" ht="13.5" thickBot="1" x14ac:dyDescent="0.25">
      <c r="A10321" s="3">
        <v>4877</v>
      </c>
      <c r="B10321" s="28"/>
      <c r="C10321" s="3" t="s">
        <v>3</v>
      </c>
    </row>
    <row r="10322" spans="1:3" ht="13.5" thickBot="1" x14ac:dyDescent="0.25">
      <c r="A10322" s="3">
        <v>7160</v>
      </c>
      <c r="B10322" s="28"/>
      <c r="C10322" s="3" t="s">
        <v>5</v>
      </c>
    </row>
    <row r="10323" spans="1:3" ht="13.5" thickBot="1" x14ac:dyDescent="0.25">
      <c r="A10323" s="3">
        <v>5933</v>
      </c>
      <c r="B10323" s="28"/>
      <c r="C10323" s="3" t="s">
        <v>3</v>
      </c>
    </row>
    <row r="10324" spans="1:3" ht="13.5" thickBot="1" x14ac:dyDescent="0.25">
      <c r="A10324" s="3">
        <v>4819</v>
      </c>
      <c r="B10324" s="28"/>
      <c r="C10324" s="3" t="s">
        <v>7</v>
      </c>
    </row>
    <row r="10325" spans="1:3" ht="13.5" thickBot="1" x14ac:dyDescent="0.25">
      <c r="A10325" s="3">
        <v>4080</v>
      </c>
      <c r="B10325" s="28"/>
      <c r="C10325" s="3" t="s">
        <v>3</v>
      </c>
    </row>
    <row r="10326" spans="1:3" ht="13.5" thickBot="1" x14ac:dyDescent="0.25">
      <c r="A10326" s="3">
        <v>5988</v>
      </c>
      <c r="B10326" s="28"/>
      <c r="C10326" s="3" t="s">
        <v>6</v>
      </c>
    </row>
    <row r="10327" spans="1:3" ht="13.5" thickBot="1" x14ac:dyDescent="0.25">
      <c r="A10327" s="3">
        <v>3549</v>
      </c>
      <c r="B10327" s="28"/>
      <c r="C10327" s="3" t="s">
        <v>3</v>
      </c>
    </row>
    <row r="10328" spans="1:3" ht="13.5" thickBot="1" x14ac:dyDescent="0.25">
      <c r="A10328" s="3">
        <v>158</v>
      </c>
      <c r="B10328" s="28"/>
      <c r="C10328" s="3" t="s">
        <v>6</v>
      </c>
    </row>
    <row r="10329" spans="1:3" ht="13.5" thickBot="1" x14ac:dyDescent="0.25">
      <c r="A10329" s="3">
        <v>1512</v>
      </c>
      <c r="B10329" s="28"/>
      <c r="C10329" s="3" t="s">
        <v>3</v>
      </c>
    </row>
    <row r="10330" spans="1:3" ht="13.5" thickBot="1" x14ac:dyDescent="0.25">
      <c r="A10330" s="3">
        <v>3556</v>
      </c>
      <c r="B10330" s="28"/>
      <c r="C10330" s="3" t="s">
        <v>4</v>
      </c>
    </row>
    <row r="10331" spans="1:3" ht="13.5" thickBot="1" x14ac:dyDescent="0.25">
      <c r="A10331" s="3">
        <v>1884</v>
      </c>
      <c r="B10331" s="28"/>
      <c r="C10331" s="3" t="s">
        <v>4</v>
      </c>
    </row>
    <row r="10332" spans="1:3" ht="13.5" thickBot="1" x14ac:dyDescent="0.25">
      <c r="A10332" s="3">
        <v>5426</v>
      </c>
      <c r="B10332" s="28"/>
      <c r="C10332" s="3" t="s">
        <v>3</v>
      </c>
    </row>
    <row r="10333" spans="1:3" ht="13.5" thickBot="1" x14ac:dyDescent="0.25">
      <c r="A10333" s="3">
        <v>6683</v>
      </c>
      <c r="B10333" s="28"/>
      <c r="C10333" s="3" t="s">
        <v>4</v>
      </c>
    </row>
    <row r="10334" spans="1:3" ht="13.5" thickBot="1" x14ac:dyDescent="0.25">
      <c r="A10334" s="3">
        <v>7285</v>
      </c>
      <c r="B10334" s="28"/>
      <c r="C10334" s="3" t="s">
        <v>7</v>
      </c>
    </row>
    <row r="10335" spans="1:3" ht="13.5" thickBot="1" x14ac:dyDescent="0.25">
      <c r="A10335" s="3">
        <v>304</v>
      </c>
      <c r="B10335" s="28"/>
      <c r="C10335" s="3" t="s">
        <v>7</v>
      </c>
    </row>
    <row r="10336" spans="1:3" ht="13.5" thickBot="1" x14ac:dyDescent="0.25">
      <c r="A10336" s="3">
        <v>1523</v>
      </c>
      <c r="B10336" s="28"/>
      <c r="C10336" s="3" t="s">
        <v>3</v>
      </c>
    </row>
    <row r="10337" spans="1:3" ht="13.5" thickBot="1" x14ac:dyDescent="0.25">
      <c r="A10337" s="3">
        <v>3734</v>
      </c>
      <c r="B10337" s="28"/>
      <c r="C10337" s="3" t="s">
        <v>6</v>
      </c>
    </row>
    <row r="10338" spans="1:3" ht="13.5" thickBot="1" x14ac:dyDescent="0.25">
      <c r="A10338" s="3">
        <v>2998</v>
      </c>
      <c r="B10338" s="28"/>
      <c r="C10338" s="3" t="s">
        <v>7</v>
      </c>
    </row>
    <row r="10339" spans="1:3" ht="13.5" thickBot="1" x14ac:dyDescent="0.25">
      <c r="A10339" s="3">
        <v>6077</v>
      </c>
      <c r="B10339" s="28"/>
      <c r="C10339" s="3" t="s">
        <v>3</v>
      </c>
    </row>
    <row r="10340" spans="1:3" ht="13.5" thickBot="1" x14ac:dyDescent="0.25">
      <c r="A10340" s="3">
        <v>102</v>
      </c>
      <c r="B10340" s="28"/>
      <c r="C10340" s="3" t="s">
        <v>7</v>
      </c>
    </row>
    <row r="10341" spans="1:3" ht="13.5" thickBot="1" x14ac:dyDescent="0.25">
      <c r="A10341" s="3">
        <v>463</v>
      </c>
      <c r="B10341" s="28"/>
      <c r="C10341" s="3" t="s">
        <v>4</v>
      </c>
    </row>
    <row r="10342" spans="1:3" ht="13.5" thickBot="1" x14ac:dyDescent="0.25">
      <c r="A10342" s="3">
        <v>602</v>
      </c>
      <c r="B10342" s="28"/>
      <c r="C10342" s="3" t="s">
        <v>3</v>
      </c>
    </row>
    <row r="10343" spans="1:3" ht="13.5" thickBot="1" x14ac:dyDescent="0.25">
      <c r="A10343" s="3">
        <v>119</v>
      </c>
      <c r="B10343" s="28"/>
      <c r="C10343" s="3" t="s">
        <v>5</v>
      </c>
    </row>
    <row r="10344" spans="1:3" ht="13.5" thickBot="1" x14ac:dyDescent="0.25">
      <c r="A10344" s="3">
        <v>2456</v>
      </c>
      <c r="B10344" s="28"/>
      <c r="C10344" s="3" t="s">
        <v>3</v>
      </c>
    </row>
    <row r="10345" spans="1:3" ht="13.5" thickBot="1" x14ac:dyDescent="0.25">
      <c r="A10345" s="3">
        <v>3878</v>
      </c>
      <c r="B10345" s="28"/>
      <c r="C10345" s="3" t="s">
        <v>3</v>
      </c>
    </row>
    <row r="10346" spans="1:3" ht="13.5" thickBot="1" x14ac:dyDescent="0.25">
      <c r="A10346" s="3">
        <v>22</v>
      </c>
      <c r="B10346" s="28"/>
      <c r="C10346" s="3" t="s">
        <v>3</v>
      </c>
    </row>
    <row r="10347" spans="1:3" ht="13.5" thickBot="1" x14ac:dyDescent="0.25">
      <c r="A10347" s="3">
        <v>376</v>
      </c>
      <c r="B10347" s="28"/>
      <c r="C10347" s="3" t="s">
        <v>3</v>
      </c>
    </row>
    <row r="10348" spans="1:3" ht="13.5" thickBot="1" x14ac:dyDescent="0.25">
      <c r="A10348" s="3">
        <v>3429</v>
      </c>
      <c r="B10348" s="28"/>
      <c r="C10348" s="3" t="s">
        <v>6</v>
      </c>
    </row>
    <row r="10349" spans="1:3" ht="13.5" thickBot="1" x14ac:dyDescent="0.25">
      <c r="A10349" s="3">
        <v>2483</v>
      </c>
      <c r="B10349" s="28"/>
      <c r="C10349" s="3" t="s">
        <v>3</v>
      </c>
    </row>
    <row r="10350" spans="1:3" ht="13.5" thickBot="1" x14ac:dyDescent="0.25">
      <c r="A10350" s="3">
        <v>6596</v>
      </c>
      <c r="B10350" s="28"/>
      <c r="C10350" s="3" t="s">
        <v>6</v>
      </c>
    </row>
    <row r="10351" spans="1:3" ht="13.5" thickBot="1" x14ac:dyDescent="0.25">
      <c r="A10351" s="3">
        <v>3556</v>
      </c>
      <c r="B10351" s="28"/>
      <c r="C10351" s="3" t="s">
        <v>3</v>
      </c>
    </row>
    <row r="10352" spans="1:3" ht="13.5" thickBot="1" x14ac:dyDescent="0.25">
      <c r="A10352" s="3">
        <v>119</v>
      </c>
      <c r="B10352" s="28"/>
      <c r="C10352" s="3" t="s">
        <v>6</v>
      </c>
    </row>
    <row r="10353" spans="1:3" ht="13.5" thickBot="1" x14ac:dyDescent="0.25">
      <c r="A10353" s="3">
        <v>119</v>
      </c>
      <c r="B10353" s="28"/>
      <c r="C10353" s="3" t="s">
        <v>4</v>
      </c>
    </row>
    <row r="10354" spans="1:3" ht="13.5" thickBot="1" x14ac:dyDescent="0.25">
      <c r="A10354" s="3">
        <v>5056</v>
      </c>
      <c r="B10354" s="28"/>
      <c r="C10354" s="3" t="s">
        <v>4</v>
      </c>
    </row>
    <row r="10355" spans="1:3" ht="13.5" thickBot="1" x14ac:dyDescent="0.25">
      <c r="A10355" s="3">
        <v>1884</v>
      </c>
      <c r="B10355" s="28"/>
      <c r="C10355" s="3" t="s">
        <v>3</v>
      </c>
    </row>
    <row r="10356" spans="1:3" ht="13.5" thickBot="1" x14ac:dyDescent="0.25">
      <c r="A10356" s="3">
        <v>6423</v>
      </c>
      <c r="B10356" s="28"/>
      <c r="C10356" s="3" t="s">
        <v>7</v>
      </c>
    </row>
    <row r="10357" spans="1:3" ht="13.5" thickBot="1" x14ac:dyDescent="0.25">
      <c r="A10357" s="3">
        <v>1836</v>
      </c>
      <c r="B10357" s="28"/>
      <c r="C10357" s="3" t="s">
        <v>6</v>
      </c>
    </row>
    <row r="10358" spans="1:3" ht="13.5" thickBot="1" x14ac:dyDescent="0.25">
      <c r="A10358" s="3">
        <v>7962</v>
      </c>
      <c r="B10358" s="28"/>
      <c r="C10358" s="3" t="s">
        <v>3</v>
      </c>
    </row>
    <row r="10359" spans="1:3" ht="13.5" thickBot="1" x14ac:dyDescent="0.25">
      <c r="A10359" s="3">
        <v>4297</v>
      </c>
      <c r="B10359" s="28"/>
      <c r="C10359" s="3" t="s">
        <v>3</v>
      </c>
    </row>
    <row r="10360" spans="1:3" ht="13.5" thickBot="1" x14ac:dyDescent="0.25">
      <c r="A10360" s="3">
        <v>7540</v>
      </c>
      <c r="B10360" s="28"/>
      <c r="C10360" s="3" t="s">
        <v>6</v>
      </c>
    </row>
    <row r="10361" spans="1:3" ht="13.5" thickBot="1" x14ac:dyDescent="0.25">
      <c r="A10361" s="3">
        <v>7652</v>
      </c>
      <c r="B10361" s="28"/>
      <c r="C10361" s="3" t="s">
        <v>3</v>
      </c>
    </row>
    <row r="10362" spans="1:3" ht="13.5" thickBot="1" x14ac:dyDescent="0.25">
      <c r="A10362" s="3">
        <v>5805</v>
      </c>
      <c r="B10362" s="28"/>
      <c r="C10362" s="3" t="s">
        <v>3</v>
      </c>
    </row>
    <row r="10363" spans="1:3" ht="13.5" thickBot="1" x14ac:dyDescent="0.25">
      <c r="A10363" s="3">
        <v>7659</v>
      </c>
      <c r="B10363" s="28"/>
      <c r="C10363" s="3" t="s">
        <v>6</v>
      </c>
    </row>
    <row r="10364" spans="1:3" ht="13.5" thickBot="1" x14ac:dyDescent="0.25">
      <c r="A10364" s="3">
        <v>3110</v>
      </c>
      <c r="B10364" s="28"/>
      <c r="C10364" s="3" t="s">
        <v>3</v>
      </c>
    </row>
    <row r="10365" spans="1:3" ht="13.5" thickBot="1" x14ac:dyDescent="0.25">
      <c r="A10365" s="3">
        <v>1298</v>
      </c>
      <c r="B10365" s="28"/>
      <c r="C10365" s="3" t="s">
        <v>6</v>
      </c>
    </row>
    <row r="10366" spans="1:3" ht="13.5" thickBot="1" x14ac:dyDescent="0.25">
      <c r="A10366" s="3">
        <v>4994</v>
      </c>
      <c r="B10366" s="28"/>
      <c r="C10366" s="3" t="s">
        <v>5</v>
      </c>
    </row>
    <row r="10367" spans="1:3" ht="13.5" thickBot="1" x14ac:dyDescent="0.25">
      <c r="A10367" s="3">
        <v>5042</v>
      </c>
      <c r="B10367" s="28"/>
      <c r="C10367" s="3" t="s">
        <v>3</v>
      </c>
    </row>
    <row r="10368" spans="1:3" ht="13.5" thickBot="1" x14ac:dyDescent="0.25">
      <c r="A10368" s="3">
        <v>2848</v>
      </c>
      <c r="B10368" s="28"/>
      <c r="C10368" s="3" t="s">
        <v>6</v>
      </c>
    </row>
    <row r="10369" spans="1:3" ht="13.5" thickBot="1" x14ac:dyDescent="0.25">
      <c r="A10369" s="3">
        <v>5598</v>
      </c>
      <c r="B10369" s="28"/>
      <c r="C10369" s="3" t="s">
        <v>6</v>
      </c>
    </row>
    <row r="10370" spans="1:3" ht="13.5" thickBot="1" x14ac:dyDescent="0.25">
      <c r="A10370" s="3">
        <v>5056</v>
      </c>
      <c r="B10370" s="28"/>
      <c r="C10370" s="3" t="s">
        <v>3</v>
      </c>
    </row>
    <row r="10371" spans="1:3" ht="13.5" thickBot="1" x14ac:dyDescent="0.25">
      <c r="A10371" s="3">
        <v>6204</v>
      </c>
      <c r="B10371" s="28"/>
      <c r="C10371" s="3" t="s">
        <v>3</v>
      </c>
    </row>
    <row r="10372" spans="1:3" ht="13.5" thickBot="1" x14ac:dyDescent="0.25">
      <c r="A10372" s="3">
        <v>7578</v>
      </c>
      <c r="B10372" s="28"/>
      <c r="C10372" s="3" t="s">
        <v>3</v>
      </c>
    </row>
    <row r="10373" spans="1:3" ht="13.5" thickBot="1" x14ac:dyDescent="0.25">
      <c r="A10373" s="3">
        <v>4199</v>
      </c>
      <c r="B10373" s="28"/>
      <c r="C10373" s="3" t="s">
        <v>3</v>
      </c>
    </row>
    <row r="10374" spans="1:3" ht="13.5" thickBot="1" x14ac:dyDescent="0.25">
      <c r="A10374" s="3">
        <v>6696</v>
      </c>
      <c r="B10374" s="28"/>
      <c r="C10374" s="3" t="s">
        <v>3</v>
      </c>
    </row>
    <row r="10375" spans="1:3" ht="13.5" thickBot="1" x14ac:dyDescent="0.25">
      <c r="A10375" s="3">
        <v>4742</v>
      </c>
      <c r="B10375" s="28"/>
      <c r="C10375" s="3" t="s">
        <v>3</v>
      </c>
    </row>
    <row r="10376" spans="1:3" ht="13.5" thickBot="1" x14ac:dyDescent="0.25">
      <c r="A10376" s="3">
        <v>2165</v>
      </c>
      <c r="B10376" s="28"/>
      <c r="C10376" s="3" t="s">
        <v>3</v>
      </c>
    </row>
    <row r="10377" spans="1:3" ht="13.5" thickBot="1" x14ac:dyDescent="0.25">
      <c r="A10377" s="3">
        <v>2942</v>
      </c>
      <c r="B10377" s="28"/>
      <c r="C10377" s="3" t="s">
        <v>3</v>
      </c>
    </row>
    <row r="10378" spans="1:3" ht="13.5" thickBot="1" x14ac:dyDescent="0.25">
      <c r="A10378" s="3">
        <v>102</v>
      </c>
      <c r="B10378" s="28"/>
      <c r="C10378" s="3" t="s">
        <v>6</v>
      </c>
    </row>
    <row r="10379" spans="1:3" ht="13.5" thickBot="1" x14ac:dyDescent="0.25">
      <c r="A10379" s="3">
        <v>4889</v>
      </c>
      <c r="B10379" s="28"/>
      <c r="C10379" s="3" t="s">
        <v>6</v>
      </c>
    </row>
    <row r="10380" spans="1:3" ht="13.5" thickBot="1" x14ac:dyDescent="0.25">
      <c r="A10380" s="3">
        <v>7809</v>
      </c>
      <c r="B10380" s="28"/>
      <c r="C10380" s="3" t="s">
        <v>4</v>
      </c>
    </row>
    <row r="10381" spans="1:3" ht="13.5" thickBot="1" x14ac:dyDescent="0.25">
      <c r="A10381" s="3">
        <v>3422</v>
      </c>
      <c r="B10381" s="28"/>
      <c r="C10381" s="3" t="s">
        <v>3</v>
      </c>
    </row>
    <row r="10382" spans="1:3" ht="13.5" thickBot="1" x14ac:dyDescent="0.25">
      <c r="A10382" s="3">
        <v>1144</v>
      </c>
      <c r="B10382" s="28"/>
      <c r="C10382" s="3" t="s">
        <v>3</v>
      </c>
    </row>
    <row r="10383" spans="1:3" ht="13.5" thickBot="1" x14ac:dyDescent="0.25">
      <c r="A10383" s="3">
        <v>643</v>
      </c>
      <c r="B10383" s="28"/>
      <c r="C10383" s="3" t="s">
        <v>6</v>
      </c>
    </row>
    <row r="10384" spans="1:3" ht="13.5" thickBot="1" x14ac:dyDescent="0.25">
      <c r="A10384" s="3">
        <v>3226</v>
      </c>
      <c r="B10384" s="28"/>
      <c r="C10384" s="3" t="s">
        <v>4</v>
      </c>
    </row>
    <row r="10385" spans="1:3" ht="13.5" thickBot="1" x14ac:dyDescent="0.25">
      <c r="A10385" s="3">
        <v>7809</v>
      </c>
      <c r="B10385" s="28"/>
      <c r="C10385" s="3" t="s">
        <v>7</v>
      </c>
    </row>
    <row r="10386" spans="1:3" ht="13.5" thickBot="1" x14ac:dyDescent="0.25">
      <c r="A10386" s="3">
        <v>1733</v>
      </c>
      <c r="B10386" s="28"/>
      <c r="C10386" s="3" t="s">
        <v>7</v>
      </c>
    </row>
    <row r="10387" spans="1:3" ht="13.5" thickBot="1" x14ac:dyDescent="0.25">
      <c r="A10387" s="3">
        <v>2998</v>
      </c>
      <c r="B10387" s="28"/>
      <c r="C10387" s="3" t="s">
        <v>6</v>
      </c>
    </row>
    <row r="10388" spans="1:3" ht="13.5" thickBot="1" x14ac:dyDescent="0.25">
      <c r="A10388" s="3">
        <v>5426</v>
      </c>
      <c r="B10388" s="28"/>
      <c r="C10388" s="3" t="s">
        <v>4</v>
      </c>
    </row>
    <row r="10389" spans="1:3" ht="13.5" thickBot="1" x14ac:dyDescent="0.25">
      <c r="A10389" s="3">
        <v>1011</v>
      </c>
      <c r="B10389" s="28"/>
      <c r="C10389" s="3" t="s">
        <v>3</v>
      </c>
    </row>
    <row r="10390" spans="1:3" ht="13.5" thickBot="1" x14ac:dyDescent="0.25">
      <c r="A10390" s="3">
        <v>6969</v>
      </c>
      <c r="B10390" s="28"/>
      <c r="C10390" s="3" t="s">
        <v>3</v>
      </c>
    </row>
    <row r="10391" spans="1:3" ht="13.5" thickBot="1" x14ac:dyDescent="0.25">
      <c r="A10391" s="3">
        <v>966</v>
      </c>
      <c r="B10391" s="28"/>
      <c r="C10391" s="3" t="s">
        <v>4</v>
      </c>
    </row>
    <row r="10392" spans="1:3" ht="13.5" thickBot="1" x14ac:dyDescent="0.25">
      <c r="A10392" s="3">
        <v>804</v>
      </c>
      <c r="B10392" s="28"/>
      <c r="C10392" s="3" t="s">
        <v>3</v>
      </c>
    </row>
    <row r="10393" spans="1:3" ht="13.5" thickBot="1" x14ac:dyDescent="0.25">
      <c r="A10393" s="3">
        <v>1512</v>
      </c>
      <c r="B10393" s="28"/>
      <c r="C10393" s="3" t="s">
        <v>4</v>
      </c>
    </row>
    <row r="10394" spans="1:3" ht="13.5" thickBot="1" x14ac:dyDescent="0.25">
      <c r="A10394" s="3">
        <v>4419</v>
      </c>
      <c r="B10394" s="28"/>
      <c r="C10394" s="3" t="s">
        <v>3</v>
      </c>
    </row>
    <row r="10395" spans="1:3" ht="13.5" thickBot="1" x14ac:dyDescent="0.25">
      <c r="A10395" s="3">
        <v>4339</v>
      </c>
      <c r="B10395" s="28"/>
      <c r="C10395" s="3" t="s">
        <v>6</v>
      </c>
    </row>
    <row r="10396" spans="1:3" ht="13.5" thickBot="1" x14ac:dyDescent="0.25">
      <c r="A10396" s="3">
        <v>202</v>
      </c>
      <c r="B10396" s="28"/>
      <c r="C10396" s="3" t="s">
        <v>3</v>
      </c>
    </row>
    <row r="10397" spans="1:3" ht="13.5" thickBot="1" x14ac:dyDescent="0.25">
      <c r="A10397" s="3">
        <v>4210</v>
      </c>
      <c r="B10397" s="28"/>
      <c r="C10397" s="3" t="s">
        <v>6</v>
      </c>
    </row>
    <row r="10398" spans="1:3" ht="13.5" thickBot="1" x14ac:dyDescent="0.25">
      <c r="A10398" s="3">
        <v>6596</v>
      </c>
      <c r="B10398" s="28"/>
      <c r="C10398" s="3" t="s">
        <v>5</v>
      </c>
    </row>
    <row r="10399" spans="1:3" ht="13.5" thickBot="1" x14ac:dyDescent="0.25">
      <c r="A10399" s="3">
        <v>4819</v>
      </c>
      <c r="B10399" s="28"/>
      <c r="C10399" s="3" t="s">
        <v>4</v>
      </c>
    </row>
    <row r="10400" spans="1:3" ht="13.5" thickBot="1" x14ac:dyDescent="0.25">
      <c r="A10400" s="3">
        <v>2670</v>
      </c>
      <c r="B10400" s="28"/>
      <c r="C10400" s="3" t="s">
        <v>7</v>
      </c>
    </row>
    <row r="10401" spans="1:3" ht="13.5" thickBot="1" x14ac:dyDescent="0.25">
      <c r="A10401" s="3">
        <v>3230</v>
      </c>
      <c r="B10401" s="28"/>
      <c r="C10401" s="3" t="s">
        <v>3</v>
      </c>
    </row>
    <row r="10402" spans="1:3" ht="13.5" thickBot="1" x14ac:dyDescent="0.25">
      <c r="A10402" s="3">
        <v>593</v>
      </c>
      <c r="B10402" s="28"/>
      <c r="C10402" s="3" t="s">
        <v>6</v>
      </c>
    </row>
    <row r="10403" spans="1:3" ht="13.5" thickBot="1" x14ac:dyDescent="0.25">
      <c r="A10403" s="3">
        <v>2030</v>
      </c>
      <c r="B10403" s="28"/>
      <c r="C10403" s="3" t="s">
        <v>7</v>
      </c>
    </row>
    <row r="10404" spans="1:3" ht="13.5" thickBot="1" x14ac:dyDescent="0.25">
      <c r="A10404" s="3">
        <v>3028</v>
      </c>
      <c r="B10404" s="28"/>
      <c r="C10404" s="3" t="s">
        <v>6</v>
      </c>
    </row>
    <row r="10405" spans="1:3" ht="13.5" thickBot="1" x14ac:dyDescent="0.25">
      <c r="A10405" s="3">
        <v>6077</v>
      </c>
      <c r="B10405" s="28"/>
      <c r="C10405" s="3" t="s">
        <v>4</v>
      </c>
    </row>
    <row r="10406" spans="1:3" ht="13.5" thickBot="1" x14ac:dyDescent="0.25">
      <c r="A10406" s="3">
        <v>5007</v>
      </c>
      <c r="B10406" s="28"/>
      <c r="C10406" s="3" t="s">
        <v>3</v>
      </c>
    </row>
    <row r="10407" spans="1:3" ht="13.5" thickBot="1" x14ac:dyDescent="0.25">
      <c r="A10407" s="3">
        <v>6454</v>
      </c>
      <c r="B10407" s="28"/>
      <c r="C10407" s="3" t="s">
        <v>3</v>
      </c>
    </row>
    <row r="10408" spans="1:3" ht="13.5" thickBot="1" x14ac:dyDescent="0.25">
      <c r="A10408" s="3">
        <v>755</v>
      </c>
      <c r="B10408" s="28"/>
      <c r="C10408" s="3" t="s">
        <v>4</v>
      </c>
    </row>
    <row r="10409" spans="1:3" ht="13.5" thickBot="1" x14ac:dyDescent="0.25">
      <c r="A10409" s="3">
        <v>2862</v>
      </c>
      <c r="B10409" s="28"/>
      <c r="C10409" s="3" t="s">
        <v>3</v>
      </c>
    </row>
    <row r="10410" spans="1:3" ht="13.5" thickBot="1" x14ac:dyDescent="0.25">
      <c r="A10410" s="3">
        <v>6048</v>
      </c>
      <c r="B10410" s="28"/>
      <c r="C10410" s="3" t="s">
        <v>4</v>
      </c>
    </row>
    <row r="10411" spans="1:3" ht="13.5" thickBot="1" x14ac:dyDescent="0.25">
      <c r="A10411" s="3">
        <v>7568</v>
      </c>
      <c r="B10411" s="28"/>
      <c r="C10411" s="3" t="s">
        <v>3</v>
      </c>
    </row>
    <row r="10412" spans="1:3" ht="13.5" thickBot="1" x14ac:dyDescent="0.25">
      <c r="A10412" s="3">
        <v>1011</v>
      </c>
      <c r="B10412" s="28"/>
      <c r="C10412" s="3" t="s">
        <v>7</v>
      </c>
    </row>
    <row r="10413" spans="1:3" ht="13.5" thickBot="1" x14ac:dyDescent="0.25">
      <c r="A10413" s="3">
        <v>1884</v>
      </c>
      <c r="B10413" s="28"/>
      <c r="C10413" s="3" t="s">
        <v>6</v>
      </c>
    </row>
    <row r="10414" spans="1:3" ht="13.5" thickBot="1" x14ac:dyDescent="0.25">
      <c r="A10414" s="3">
        <v>3612</v>
      </c>
      <c r="B10414" s="28"/>
      <c r="C10414" s="3" t="s">
        <v>3</v>
      </c>
    </row>
    <row r="10415" spans="1:3" ht="13.5" thickBot="1" x14ac:dyDescent="0.25">
      <c r="A10415" s="3">
        <v>5815</v>
      </c>
      <c r="B10415" s="28"/>
      <c r="C10415" s="3" t="s">
        <v>6</v>
      </c>
    </row>
    <row r="10416" spans="1:3" ht="13.5" thickBot="1" x14ac:dyDescent="0.25">
      <c r="A10416" s="3">
        <v>928</v>
      </c>
      <c r="B10416" s="28"/>
      <c r="C10416" s="3" t="s">
        <v>6</v>
      </c>
    </row>
    <row r="10417" spans="1:3" ht="13.5" thickBot="1" x14ac:dyDescent="0.25">
      <c r="A10417" s="3">
        <v>7962</v>
      </c>
      <c r="B10417" s="28"/>
      <c r="C10417" s="3" t="s">
        <v>4</v>
      </c>
    </row>
    <row r="10418" spans="1:3" ht="13.5" thickBot="1" x14ac:dyDescent="0.25">
      <c r="A10418" s="3">
        <v>3462</v>
      </c>
      <c r="B10418" s="28"/>
      <c r="C10418" s="3" t="s">
        <v>3</v>
      </c>
    </row>
    <row r="10419" spans="1:3" ht="13.5" thickBot="1" x14ac:dyDescent="0.25">
      <c r="A10419" s="3">
        <v>4353</v>
      </c>
      <c r="B10419" s="28"/>
      <c r="C10419" s="3" t="s">
        <v>4</v>
      </c>
    </row>
    <row r="10420" spans="1:3" ht="13.5" thickBot="1" x14ac:dyDescent="0.25">
      <c r="A10420" s="3">
        <v>4814</v>
      </c>
      <c r="B10420" s="28"/>
      <c r="C10420" s="3" t="s">
        <v>3</v>
      </c>
    </row>
    <row r="10421" spans="1:3" ht="13.5" thickBot="1" x14ac:dyDescent="0.25">
      <c r="A10421" s="3">
        <v>773</v>
      </c>
      <c r="B10421" s="28"/>
      <c r="C10421" s="3" t="s">
        <v>4</v>
      </c>
    </row>
    <row r="10422" spans="1:3" ht="13.5" thickBot="1" x14ac:dyDescent="0.25">
      <c r="A10422" s="3">
        <v>7398</v>
      </c>
      <c r="B10422" s="28"/>
      <c r="C10422" s="3" t="s">
        <v>3</v>
      </c>
    </row>
    <row r="10423" spans="1:3" ht="13.5" thickBot="1" x14ac:dyDescent="0.25">
      <c r="A10423" s="3">
        <v>4199</v>
      </c>
      <c r="B10423" s="28"/>
      <c r="C10423" s="3" t="s">
        <v>6</v>
      </c>
    </row>
    <row r="10424" spans="1:3" ht="13.5" thickBot="1" x14ac:dyDescent="0.25">
      <c r="A10424" s="3">
        <v>1129</v>
      </c>
      <c r="B10424" s="28"/>
      <c r="C10424" s="3" t="s">
        <v>3</v>
      </c>
    </row>
    <row r="10425" spans="1:3" ht="13.5" thickBot="1" x14ac:dyDescent="0.25">
      <c r="A10425" s="3">
        <v>813</v>
      </c>
      <c r="B10425" s="28"/>
      <c r="C10425" s="3" t="s">
        <v>3</v>
      </c>
    </row>
    <row r="10426" spans="1:3" ht="13.5" thickBot="1" x14ac:dyDescent="0.25">
      <c r="A10426" s="3">
        <v>2030</v>
      </c>
      <c r="B10426" s="28"/>
      <c r="C10426" s="3" t="s">
        <v>5</v>
      </c>
    </row>
    <row r="10427" spans="1:3" ht="13.5" thickBot="1" x14ac:dyDescent="0.25">
      <c r="A10427" s="3">
        <v>1836</v>
      </c>
      <c r="B10427" s="28"/>
      <c r="C10427" s="3" t="s">
        <v>4</v>
      </c>
    </row>
    <row r="10428" spans="1:3" ht="13.5" thickBot="1" x14ac:dyDescent="0.25">
      <c r="A10428" s="3">
        <v>3878</v>
      </c>
      <c r="B10428" s="28"/>
      <c r="C10428" s="3" t="s">
        <v>4</v>
      </c>
    </row>
    <row r="10429" spans="1:3" ht="13.5" thickBot="1" x14ac:dyDescent="0.25">
      <c r="A10429" s="3">
        <v>4127</v>
      </c>
      <c r="B10429" s="28"/>
      <c r="C10429" s="3" t="s">
        <v>6</v>
      </c>
    </row>
    <row r="10430" spans="1:3" ht="13.5" thickBot="1" x14ac:dyDescent="0.25">
      <c r="A10430" s="3">
        <v>204</v>
      </c>
      <c r="B10430" s="28"/>
      <c r="C10430" s="3" t="s">
        <v>4</v>
      </c>
    </row>
    <row r="10431" spans="1:3" ht="13.5" thickBot="1" x14ac:dyDescent="0.25">
      <c r="A10431" s="3">
        <v>2942</v>
      </c>
      <c r="B10431" s="28"/>
      <c r="C10431" s="3" t="s">
        <v>6</v>
      </c>
    </row>
    <row r="10432" spans="1:3" ht="13.5" thickBot="1" x14ac:dyDescent="0.25">
      <c r="A10432" s="3">
        <v>1011</v>
      </c>
      <c r="B10432" s="28"/>
      <c r="C10432" s="3" t="s">
        <v>5</v>
      </c>
    </row>
    <row r="10433" spans="1:3" ht="13.5" thickBot="1" x14ac:dyDescent="0.25">
      <c r="A10433" s="3">
        <v>7652</v>
      </c>
      <c r="B10433" s="28"/>
      <c r="C10433" s="3" t="s">
        <v>5</v>
      </c>
    </row>
    <row r="10434" spans="1:3" ht="13.5" thickBot="1" x14ac:dyDescent="0.25">
      <c r="A10434" s="3">
        <v>4819</v>
      </c>
      <c r="B10434" s="28"/>
      <c r="C10434" s="3" t="s">
        <v>5</v>
      </c>
    </row>
    <row r="10435" spans="1:3" ht="13.5" thickBot="1" x14ac:dyDescent="0.25">
      <c r="A10435" s="3">
        <v>6053</v>
      </c>
      <c r="B10435" s="28"/>
      <c r="C10435" s="3" t="s">
        <v>3</v>
      </c>
    </row>
    <row r="10436" spans="1:3" ht="13.5" thickBot="1" x14ac:dyDescent="0.25">
      <c r="A10436" s="3">
        <v>7285</v>
      </c>
      <c r="B10436" s="28"/>
      <c r="C10436" s="3" t="s">
        <v>5</v>
      </c>
    </row>
    <row r="10437" spans="1:3" ht="13.5" thickBot="1" x14ac:dyDescent="0.25">
      <c r="A10437" s="3">
        <v>7707</v>
      </c>
      <c r="B10437" s="28"/>
      <c r="C10437" s="3" t="s">
        <v>3</v>
      </c>
    </row>
    <row r="10438" spans="1:3" ht="13.5" thickBot="1" x14ac:dyDescent="0.25">
      <c r="A10438" s="3">
        <v>602</v>
      </c>
      <c r="B10438" s="28"/>
      <c r="C10438" s="3" t="s">
        <v>4</v>
      </c>
    </row>
    <row r="10439" spans="1:3" ht="13.5" thickBot="1" x14ac:dyDescent="0.25">
      <c r="A10439" s="3">
        <v>4199</v>
      </c>
      <c r="B10439" s="28"/>
      <c r="C10439" s="3" t="s">
        <v>4</v>
      </c>
    </row>
    <row r="10440" spans="1:3" ht="13.5" thickBot="1" x14ac:dyDescent="0.25">
      <c r="A10440" s="3">
        <v>2030</v>
      </c>
      <c r="B10440" s="28"/>
      <c r="C10440" s="3" t="s">
        <v>6</v>
      </c>
    </row>
    <row r="10441" spans="1:3" ht="13.5" thickBot="1" x14ac:dyDescent="0.25">
      <c r="A10441" s="3">
        <v>5396</v>
      </c>
      <c r="B10441" s="28"/>
      <c r="C10441" s="3" t="s">
        <v>6</v>
      </c>
    </row>
    <row r="10442" spans="1:3" ht="13.5" thickBot="1" x14ac:dyDescent="0.25">
      <c r="A10442" s="3">
        <v>565</v>
      </c>
      <c r="B10442" s="28"/>
      <c r="C10442" s="3" t="s">
        <v>3</v>
      </c>
    </row>
    <row r="10443" spans="1:3" ht="13.5" thickBot="1" x14ac:dyDescent="0.25">
      <c r="A10443" s="3">
        <v>2258</v>
      </c>
      <c r="B10443" s="28"/>
      <c r="C10443" s="3" t="s">
        <v>3</v>
      </c>
    </row>
    <row r="10444" spans="1:3" ht="13.5" thickBot="1" x14ac:dyDescent="0.25">
      <c r="A10444" s="3">
        <v>3612</v>
      </c>
      <c r="B10444" s="28"/>
      <c r="C10444" s="3" t="s">
        <v>4</v>
      </c>
    </row>
    <row r="10445" spans="1:3" ht="13.5" thickBot="1" x14ac:dyDescent="0.25">
      <c r="A10445" s="3">
        <v>1733</v>
      </c>
      <c r="B10445" s="28"/>
      <c r="C10445" s="3" t="s">
        <v>6</v>
      </c>
    </row>
    <row r="10446" spans="1:3" ht="13.5" thickBot="1" x14ac:dyDescent="0.25">
      <c r="A10446" s="3">
        <v>5933</v>
      </c>
      <c r="B10446" s="28"/>
      <c r="C10446" s="3" t="s">
        <v>4</v>
      </c>
    </row>
    <row r="10447" spans="1:3" ht="13.5" thickBot="1" x14ac:dyDescent="0.25">
      <c r="A10447" s="3">
        <v>3334</v>
      </c>
      <c r="B10447" s="28"/>
      <c r="C10447" s="3" t="s">
        <v>6</v>
      </c>
    </row>
    <row r="10448" spans="1:3" ht="13.5" thickBot="1" x14ac:dyDescent="0.25">
      <c r="A10448" s="3">
        <v>1448</v>
      </c>
      <c r="B10448" s="28"/>
      <c r="C10448" s="3" t="s">
        <v>3</v>
      </c>
    </row>
    <row r="10449" spans="1:3" ht="13.5" thickBot="1" x14ac:dyDescent="0.25">
      <c r="A10449" s="3">
        <v>1512</v>
      </c>
      <c r="B10449" s="28"/>
      <c r="C10449" s="3" t="s">
        <v>5</v>
      </c>
    </row>
    <row r="10450" spans="1:3" ht="13.5" thickBot="1" x14ac:dyDescent="0.25">
      <c r="A10450" s="3">
        <v>813</v>
      </c>
      <c r="B10450" s="28"/>
      <c r="C10450" s="3" t="s">
        <v>5</v>
      </c>
    </row>
    <row r="10451" spans="1:3" ht="13.5" thickBot="1" x14ac:dyDescent="0.25">
      <c r="A10451" s="3">
        <v>1129</v>
      </c>
      <c r="B10451" s="28"/>
      <c r="C10451" s="3" t="s">
        <v>5</v>
      </c>
    </row>
    <row r="10452" spans="1:3" ht="13.5" thickBot="1" x14ac:dyDescent="0.25">
      <c r="A10452" s="3">
        <v>643</v>
      </c>
      <c r="B10452" s="28"/>
      <c r="C10452" s="3" t="s">
        <v>5</v>
      </c>
    </row>
    <row r="10453" spans="1:3" ht="13.5" thickBot="1" x14ac:dyDescent="0.25">
      <c r="A10453" s="3">
        <v>3021</v>
      </c>
      <c r="B10453" s="28"/>
      <c r="C10453" s="3" t="s">
        <v>3</v>
      </c>
    </row>
    <row r="10454" spans="1:3" ht="13.5" thickBot="1" x14ac:dyDescent="0.25">
      <c r="A10454" s="3">
        <v>1129</v>
      </c>
      <c r="B10454" s="28"/>
      <c r="C10454" s="3" t="s">
        <v>4</v>
      </c>
    </row>
    <row r="10455" spans="1:3" ht="13.5" thickBot="1" x14ac:dyDescent="0.25">
      <c r="A10455" s="3">
        <v>3681</v>
      </c>
      <c r="B10455" s="28"/>
      <c r="C10455" s="3" t="s">
        <v>6</v>
      </c>
    </row>
    <row r="10456" spans="1:3" ht="13.5" thickBot="1" x14ac:dyDescent="0.25">
      <c r="A10456" s="3">
        <v>6166</v>
      </c>
      <c r="B10456" s="28"/>
      <c r="C10456" s="3" t="s">
        <v>5</v>
      </c>
    </row>
    <row r="10457" spans="1:3" ht="13.5" thickBot="1" x14ac:dyDescent="0.25">
      <c r="A10457" s="3">
        <v>5301</v>
      </c>
      <c r="B10457" s="28"/>
      <c r="C10457" s="3" t="s">
        <v>3</v>
      </c>
    </row>
    <row r="10458" spans="1:3" ht="13.5" thickBot="1" x14ac:dyDescent="0.25">
      <c r="A10458" s="3">
        <v>6318</v>
      </c>
      <c r="B10458" s="28"/>
      <c r="C10458" s="3" t="s">
        <v>5</v>
      </c>
    </row>
    <row r="10459" spans="1:3" ht="13.5" thickBot="1" x14ac:dyDescent="0.25">
      <c r="A10459" s="3">
        <v>562</v>
      </c>
      <c r="B10459" s="28"/>
      <c r="C10459" s="3" t="s">
        <v>3</v>
      </c>
    </row>
    <row r="10460" spans="1:3" ht="13.5" thickBot="1" x14ac:dyDescent="0.25">
      <c r="A10460" s="3">
        <v>7578</v>
      </c>
      <c r="B10460" s="28"/>
      <c r="C10460" s="3" t="s">
        <v>4</v>
      </c>
    </row>
    <row r="10461" spans="1:3" ht="13.5" thickBot="1" x14ac:dyDescent="0.25">
      <c r="A10461" s="3">
        <v>7666</v>
      </c>
      <c r="B10461" s="28"/>
      <c r="C10461" s="3" t="s">
        <v>3</v>
      </c>
    </row>
    <row r="10462" spans="1:3" ht="13.5" thickBot="1" x14ac:dyDescent="0.25">
      <c r="A10462" s="3">
        <v>168</v>
      </c>
      <c r="B10462" s="28"/>
      <c r="C10462" s="3" t="s">
        <v>3</v>
      </c>
    </row>
    <row r="10463" spans="1:3" ht="13.5" thickBot="1" x14ac:dyDescent="0.25">
      <c r="A10463" s="3">
        <v>2496</v>
      </c>
      <c r="B10463" s="28"/>
      <c r="C10463" s="3" t="s">
        <v>3</v>
      </c>
    </row>
    <row r="10464" spans="1:3" ht="13.5" thickBot="1" x14ac:dyDescent="0.25">
      <c r="A10464" s="3">
        <v>6982</v>
      </c>
      <c r="B10464" s="28"/>
      <c r="C10464" s="3" t="s">
        <v>4</v>
      </c>
    </row>
    <row r="10465" spans="1:3" ht="13.5" thickBot="1" x14ac:dyDescent="0.25">
      <c r="A10465" s="3">
        <v>3146</v>
      </c>
      <c r="B10465" s="28"/>
      <c r="C10465" s="3" t="s">
        <v>3</v>
      </c>
    </row>
    <row r="10466" spans="1:3" ht="13.5" thickBot="1" x14ac:dyDescent="0.25">
      <c r="A10466" s="3">
        <v>6204</v>
      </c>
      <c r="B10466" s="28"/>
      <c r="C10466" s="3" t="s">
        <v>4</v>
      </c>
    </row>
    <row r="10467" spans="1:3" ht="13.5" thickBot="1" x14ac:dyDescent="0.25">
      <c r="A10467" s="3">
        <v>5619</v>
      </c>
      <c r="B10467" s="28"/>
      <c r="C10467" s="3" t="s">
        <v>3</v>
      </c>
    </row>
    <row r="10468" spans="1:3" ht="13.5" thickBot="1" x14ac:dyDescent="0.25">
      <c r="A10468" s="3">
        <v>7809</v>
      </c>
      <c r="B10468" s="28"/>
      <c r="C10468" s="3" t="s">
        <v>6</v>
      </c>
    </row>
    <row r="10469" spans="1:3" ht="13.5" thickBot="1" x14ac:dyDescent="0.25">
      <c r="A10469" s="3">
        <v>2670</v>
      </c>
      <c r="B10469" s="28"/>
      <c r="C10469" s="3" t="s">
        <v>6</v>
      </c>
    </row>
    <row r="10470" spans="1:3" ht="13.5" thickBot="1" x14ac:dyDescent="0.25">
      <c r="A10470" s="3">
        <v>2942</v>
      </c>
      <c r="B10470" s="28"/>
      <c r="C10470" s="3" t="s">
        <v>4</v>
      </c>
    </row>
    <row r="10471" spans="1:3" ht="13.5" thickBot="1" x14ac:dyDescent="0.25">
      <c r="A10471" s="3">
        <v>7465</v>
      </c>
      <c r="B10471" s="28"/>
      <c r="C10471" s="3" t="s">
        <v>3</v>
      </c>
    </row>
    <row r="10472" spans="1:3" ht="13.5" thickBot="1" x14ac:dyDescent="0.25">
      <c r="A10472" s="3">
        <v>7872</v>
      </c>
      <c r="B10472" s="28"/>
      <c r="C10472" s="3" t="s">
        <v>7</v>
      </c>
    </row>
    <row r="10473" spans="1:3" ht="13.5" thickBot="1" x14ac:dyDescent="0.25">
      <c r="A10473" s="3">
        <v>602</v>
      </c>
      <c r="B10473" s="28"/>
      <c r="C10473" s="3" t="s">
        <v>5</v>
      </c>
    </row>
    <row r="10474" spans="1:3" ht="13.5" thickBot="1" x14ac:dyDescent="0.25">
      <c r="A10474" s="3">
        <v>6982</v>
      </c>
      <c r="B10474" s="28"/>
      <c r="C10474" s="3" t="s">
        <v>3</v>
      </c>
    </row>
    <row r="10475" spans="1:3" ht="13.5" thickBot="1" x14ac:dyDescent="0.25">
      <c r="A10475" s="3">
        <v>1129</v>
      </c>
      <c r="B10475" s="28"/>
      <c r="C10475" s="3" t="s">
        <v>6</v>
      </c>
    </row>
    <row r="10476" spans="1:3" ht="13.5" thickBot="1" x14ac:dyDescent="0.25">
      <c r="A10476" s="3">
        <v>7659</v>
      </c>
      <c r="B10476" s="28"/>
      <c r="C10476" s="3" t="s">
        <v>7</v>
      </c>
    </row>
    <row r="10477" spans="1:3" ht="13.5" thickBot="1" x14ac:dyDescent="0.25">
      <c r="A10477" s="3">
        <v>1747</v>
      </c>
      <c r="B10477" s="28"/>
      <c r="C10477" s="3" t="s">
        <v>6</v>
      </c>
    </row>
    <row r="10478" spans="1:3" ht="13.5" thickBot="1" x14ac:dyDescent="0.25">
      <c r="A10478" s="3">
        <v>7696</v>
      </c>
      <c r="B10478" s="28"/>
      <c r="C10478" s="3" t="s">
        <v>5</v>
      </c>
    </row>
    <row r="10479" spans="1:3" ht="13.5" thickBot="1" x14ac:dyDescent="0.25">
      <c r="A10479" s="3">
        <v>6549</v>
      </c>
      <c r="B10479" s="28"/>
      <c r="C10479" s="3" t="s">
        <v>3</v>
      </c>
    </row>
    <row r="10480" spans="1:3" ht="13.5" thickBot="1" x14ac:dyDescent="0.25">
      <c r="A10480" s="3">
        <v>7445</v>
      </c>
      <c r="B10480" s="28"/>
      <c r="C10480" s="3" t="s">
        <v>3</v>
      </c>
    </row>
    <row r="10481" spans="1:3" ht="13.5" thickBot="1" x14ac:dyDescent="0.25">
      <c r="A10481" s="3">
        <v>2822</v>
      </c>
      <c r="B10481" s="28"/>
      <c r="C10481" s="3" t="s">
        <v>6</v>
      </c>
    </row>
    <row r="10482" spans="1:3" ht="13.5" thickBot="1" x14ac:dyDescent="0.25">
      <c r="A10482" s="3">
        <v>2343</v>
      </c>
      <c r="B10482" s="28"/>
      <c r="C10482" s="3" t="s">
        <v>3</v>
      </c>
    </row>
    <row r="10483" spans="1:3" ht="13.5" thickBot="1" x14ac:dyDescent="0.25">
      <c r="A10483" s="3">
        <v>7958</v>
      </c>
      <c r="B10483" s="28"/>
      <c r="C10483" s="3" t="s">
        <v>3</v>
      </c>
    </row>
    <row r="10484" spans="1:3" ht="13.5" thickBot="1" x14ac:dyDescent="0.25">
      <c r="A10484" s="3">
        <v>4103</v>
      </c>
      <c r="B10484" s="28"/>
      <c r="C10484" s="3" t="s">
        <v>7</v>
      </c>
    </row>
    <row r="10485" spans="1:3" ht="13.5" thickBot="1" x14ac:dyDescent="0.25">
      <c r="A10485" s="3">
        <v>5708</v>
      </c>
      <c r="B10485" s="28"/>
      <c r="C10485" s="3" t="s">
        <v>7</v>
      </c>
    </row>
    <row r="10486" spans="1:3" ht="13.5" thickBot="1" x14ac:dyDescent="0.25">
      <c r="A10486" s="3">
        <v>4505</v>
      </c>
      <c r="B10486" s="28"/>
      <c r="C10486" s="3" t="s">
        <v>3</v>
      </c>
    </row>
    <row r="10487" spans="1:3" ht="13.5" thickBot="1" x14ac:dyDescent="0.25">
      <c r="A10487" s="3">
        <v>7733</v>
      </c>
      <c r="B10487" s="28"/>
      <c r="C10487" s="3" t="s">
        <v>3</v>
      </c>
    </row>
    <row r="10488" spans="1:3" ht="13.5" thickBot="1" x14ac:dyDescent="0.25">
      <c r="A10488" s="3">
        <v>6967</v>
      </c>
      <c r="B10488" s="28"/>
      <c r="C10488" s="3" t="s">
        <v>3</v>
      </c>
    </row>
    <row r="10489" spans="1:3" ht="13.5" thickBot="1" x14ac:dyDescent="0.25">
      <c r="A10489" s="3">
        <v>2836</v>
      </c>
      <c r="B10489" s="28"/>
      <c r="C10489" s="3" t="s">
        <v>3</v>
      </c>
    </row>
    <row r="10490" spans="1:3" ht="13.5" thickBot="1" x14ac:dyDescent="0.25">
      <c r="A10490" s="3">
        <v>1172</v>
      </c>
      <c r="B10490" s="28"/>
      <c r="C10490" s="3" t="s">
        <v>4</v>
      </c>
    </row>
    <row r="10491" spans="1:3" ht="13.5" thickBot="1" x14ac:dyDescent="0.25">
      <c r="A10491" s="3">
        <v>6211</v>
      </c>
      <c r="B10491" s="28"/>
      <c r="C10491" s="3" t="s">
        <v>3</v>
      </c>
    </row>
    <row r="10492" spans="1:3" ht="13.5" thickBot="1" x14ac:dyDescent="0.25">
      <c r="A10492" s="3">
        <v>6211</v>
      </c>
      <c r="B10492" s="28"/>
      <c r="C10492" s="3" t="s">
        <v>4</v>
      </c>
    </row>
    <row r="10493" spans="1:3" ht="13.5" thickBot="1" x14ac:dyDescent="0.25">
      <c r="A10493" s="3">
        <v>6723</v>
      </c>
      <c r="B10493" s="28"/>
      <c r="C10493" s="3" t="s">
        <v>3</v>
      </c>
    </row>
    <row r="10494" spans="1:3" ht="13.5" thickBot="1" x14ac:dyDescent="0.25">
      <c r="A10494" s="3">
        <v>6491</v>
      </c>
      <c r="B10494" s="28"/>
      <c r="C10494" s="3" t="s">
        <v>3</v>
      </c>
    </row>
    <row r="10495" spans="1:3" ht="13.5" thickBot="1" x14ac:dyDescent="0.25">
      <c r="A10495" s="3">
        <v>1886</v>
      </c>
      <c r="B10495" s="28"/>
      <c r="C10495" s="3" t="s">
        <v>3</v>
      </c>
    </row>
    <row r="10496" spans="1:3" ht="13.5" thickBot="1" x14ac:dyDescent="0.25">
      <c r="A10496" s="3">
        <v>2025</v>
      </c>
      <c r="B10496" s="28"/>
      <c r="C10496" s="3" t="s">
        <v>5</v>
      </c>
    </row>
    <row r="10497" spans="1:3" ht="13.5" thickBot="1" x14ac:dyDescent="0.25">
      <c r="A10497" s="3">
        <v>555</v>
      </c>
      <c r="B10497" s="28"/>
      <c r="C10497" s="3" t="s">
        <v>3</v>
      </c>
    </row>
    <row r="10498" spans="1:3" ht="13.5" thickBot="1" x14ac:dyDescent="0.25">
      <c r="A10498" s="3">
        <v>5245</v>
      </c>
      <c r="B10498" s="28"/>
      <c r="C10498" s="3" t="s">
        <v>6</v>
      </c>
    </row>
    <row r="10499" spans="1:3" ht="13.5" thickBot="1" x14ac:dyDescent="0.25">
      <c r="A10499" s="3">
        <v>6613</v>
      </c>
      <c r="B10499" s="28"/>
      <c r="C10499" s="3" t="s">
        <v>3</v>
      </c>
    </row>
    <row r="10500" spans="1:3" ht="13.5" thickBot="1" x14ac:dyDescent="0.25">
      <c r="A10500" s="3">
        <v>4938</v>
      </c>
      <c r="B10500" s="28"/>
      <c r="C10500" s="3" t="s">
        <v>6</v>
      </c>
    </row>
    <row r="10501" spans="1:3" ht="13.5" thickBot="1" x14ac:dyDescent="0.25">
      <c r="A10501" s="3">
        <v>1946</v>
      </c>
      <c r="B10501" s="28"/>
      <c r="C10501" s="3" t="s">
        <v>3</v>
      </c>
    </row>
    <row r="10502" spans="1:3" ht="13.5" thickBot="1" x14ac:dyDescent="0.25">
      <c r="A10502" s="3">
        <v>7503</v>
      </c>
      <c r="B10502" s="28"/>
      <c r="C10502" s="3" t="s">
        <v>3</v>
      </c>
    </row>
    <row r="10503" spans="1:3" ht="13.5" thickBot="1" x14ac:dyDescent="0.25">
      <c r="A10503" s="3">
        <v>4472</v>
      </c>
      <c r="B10503" s="28"/>
      <c r="C10503" s="3" t="s">
        <v>3</v>
      </c>
    </row>
    <row r="10504" spans="1:3" ht="13.5" thickBot="1" x14ac:dyDescent="0.25">
      <c r="A10504" s="3">
        <v>924</v>
      </c>
      <c r="B10504" s="28"/>
      <c r="C10504" s="3" t="s">
        <v>3</v>
      </c>
    </row>
    <row r="10505" spans="1:3" ht="13.5" thickBot="1" x14ac:dyDescent="0.25">
      <c r="A10505" s="3">
        <v>2106</v>
      </c>
      <c r="B10505" s="28"/>
      <c r="C10505" s="3" t="s">
        <v>3</v>
      </c>
    </row>
    <row r="10506" spans="1:3" ht="13.5" thickBot="1" x14ac:dyDescent="0.25">
      <c r="A10506" s="3">
        <v>2025</v>
      </c>
      <c r="B10506" s="28"/>
      <c r="C10506" s="3" t="s">
        <v>3</v>
      </c>
    </row>
    <row r="10507" spans="1:3" ht="13.5" thickBot="1" x14ac:dyDescent="0.25">
      <c r="A10507" s="3">
        <v>928</v>
      </c>
      <c r="B10507" s="28"/>
      <c r="C10507" s="3" t="s">
        <v>5</v>
      </c>
    </row>
    <row r="10508" spans="1:3" ht="13.5" thickBot="1" x14ac:dyDescent="0.25">
      <c r="A10508" s="3">
        <v>5966</v>
      </c>
      <c r="B10508" s="28"/>
      <c r="C10508" s="3" t="s">
        <v>3</v>
      </c>
    </row>
    <row r="10509" spans="1:3" ht="13.5" thickBot="1" x14ac:dyDescent="0.25">
      <c r="A10509" s="3">
        <v>2329</v>
      </c>
      <c r="B10509" s="28"/>
      <c r="C10509" s="3" t="s">
        <v>3</v>
      </c>
    </row>
    <row r="10510" spans="1:3" ht="13.5" thickBot="1" x14ac:dyDescent="0.25">
      <c r="A10510" s="3">
        <v>3715</v>
      </c>
      <c r="B10510" s="28"/>
      <c r="C10510" s="3" t="s">
        <v>3</v>
      </c>
    </row>
    <row r="10511" spans="1:3" ht="13.5" thickBot="1" x14ac:dyDescent="0.25">
      <c r="A10511" s="3">
        <v>5739</v>
      </c>
      <c r="B10511" s="28"/>
      <c r="C10511" s="3" t="s">
        <v>3</v>
      </c>
    </row>
    <row r="10512" spans="1:3" ht="13.5" thickBot="1" x14ac:dyDescent="0.25">
      <c r="A10512" s="3">
        <v>6688</v>
      </c>
      <c r="B10512" s="28"/>
      <c r="C10512" s="3" t="s">
        <v>3</v>
      </c>
    </row>
    <row r="10513" spans="1:3" ht="13.5" thickBot="1" x14ac:dyDescent="0.25">
      <c r="A10513" s="3">
        <v>5966</v>
      </c>
      <c r="B10513" s="28"/>
      <c r="C10513" s="3" t="s">
        <v>5</v>
      </c>
    </row>
    <row r="10514" spans="1:3" ht="13.5" thickBot="1" x14ac:dyDescent="0.25">
      <c r="A10514" s="3">
        <v>2219</v>
      </c>
      <c r="B10514" s="28"/>
      <c r="C10514" s="3" t="s">
        <v>3</v>
      </c>
    </row>
    <row r="10515" spans="1:3" ht="13.5" thickBot="1" x14ac:dyDescent="0.25">
      <c r="A10515" s="3">
        <v>602</v>
      </c>
      <c r="B10515" s="28"/>
      <c r="C10515" s="3" t="s">
        <v>7</v>
      </c>
    </row>
    <row r="10516" spans="1:3" ht="13.5" thickBot="1" x14ac:dyDescent="0.25">
      <c r="A10516" s="3">
        <v>7568</v>
      </c>
      <c r="B10516" s="28"/>
      <c r="C10516" s="3" t="s">
        <v>4</v>
      </c>
    </row>
    <row r="10517" spans="1:3" ht="13.5" thickBot="1" x14ac:dyDescent="0.25">
      <c r="A10517" s="3">
        <v>6140</v>
      </c>
      <c r="B10517" s="28"/>
      <c r="C10517" s="3" t="s">
        <v>3</v>
      </c>
    </row>
    <row r="10518" spans="1:3" ht="13.5" thickBot="1" x14ac:dyDescent="0.25">
      <c r="A10518" s="3">
        <v>5211</v>
      </c>
      <c r="B10518" s="28"/>
      <c r="C10518" s="3" t="s">
        <v>4</v>
      </c>
    </row>
    <row r="10519" spans="1:3" ht="13.5" thickBot="1" x14ac:dyDescent="0.25">
      <c r="A10519" s="3">
        <v>440</v>
      </c>
      <c r="B10519" s="28"/>
      <c r="C10519" s="3" t="s">
        <v>3</v>
      </c>
    </row>
    <row r="10520" spans="1:3" ht="13.5" thickBot="1" x14ac:dyDescent="0.25">
      <c r="A10520" s="3">
        <v>94</v>
      </c>
      <c r="B10520" s="28"/>
      <c r="C10520" s="3" t="s">
        <v>4</v>
      </c>
    </row>
    <row r="10521" spans="1:3" ht="13.5" thickBot="1" x14ac:dyDescent="0.25">
      <c r="A10521" s="3">
        <v>1457</v>
      </c>
      <c r="B10521" s="28"/>
      <c r="C10521" s="3" t="s">
        <v>3</v>
      </c>
    </row>
    <row r="10522" spans="1:3" ht="13.5" thickBot="1" x14ac:dyDescent="0.25">
      <c r="A10522" s="3">
        <v>168</v>
      </c>
      <c r="B10522" s="28"/>
      <c r="C10522" s="3" t="s">
        <v>4</v>
      </c>
    </row>
    <row r="10523" spans="1:3" ht="13.5" thickBot="1" x14ac:dyDescent="0.25">
      <c r="A10523" s="3">
        <v>3146</v>
      </c>
      <c r="B10523" s="28"/>
      <c r="C10523" s="3" t="s">
        <v>5</v>
      </c>
    </row>
    <row r="10524" spans="1:3" ht="13.5" thickBot="1" x14ac:dyDescent="0.25">
      <c r="A10524" s="3">
        <v>4637</v>
      </c>
      <c r="B10524" s="28"/>
      <c r="C10524" s="3" t="s">
        <v>3</v>
      </c>
    </row>
    <row r="10525" spans="1:3" ht="13.5" thickBot="1" x14ac:dyDescent="0.25">
      <c r="A10525" s="3">
        <v>7652</v>
      </c>
      <c r="B10525" s="28"/>
      <c r="C10525" s="3" t="s">
        <v>7</v>
      </c>
    </row>
    <row r="10526" spans="1:3" ht="13.5" thickBot="1" x14ac:dyDescent="0.25">
      <c r="A10526" s="3">
        <v>968</v>
      </c>
      <c r="B10526" s="28"/>
      <c r="C10526" s="3" t="s">
        <v>3</v>
      </c>
    </row>
    <row r="10527" spans="1:3" ht="13.5" thickBot="1" x14ac:dyDescent="0.25">
      <c r="A10527" s="3">
        <v>7280</v>
      </c>
      <c r="B10527" s="28"/>
      <c r="C10527" s="3" t="s">
        <v>3</v>
      </c>
    </row>
    <row r="10528" spans="1:3" ht="13.5" thickBot="1" x14ac:dyDescent="0.25">
      <c r="A10528" s="3">
        <v>3516</v>
      </c>
      <c r="B10528" s="28"/>
      <c r="C10528" s="3" t="s">
        <v>3</v>
      </c>
    </row>
    <row r="10529" spans="1:3" ht="13.5" thickBot="1" x14ac:dyDescent="0.25">
      <c r="A10529" s="3">
        <v>2442</v>
      </c>
      <c r="B10529" s="28"/>
      <c r="C10529" s="3" t="s">
        <v>6</v>
      </c>
    </row>
    <row r="10530" spans="1:3" ht="13.5" thickBot="1" x14ac:dyDescent="0.25">
      <c r="A10530" s="3">
        <v>4072</v>
      </c>
      <c r="B10530" s="28"/>
      <c r="C10530" s="3" t="s">
        <v>3</v>
      </c>
    </row>
    <row r="10531" spans="1:3" ht="13.5" thickBot="1" x14ac:dyDescent="0.25">
      <c r="A10531" s="3">
        <v>4020</v>
      </c>
      <c r="B10531" s="28"/>
      <c r="C10531" s="3" t="s">
        <v>6</v>
      </c>
    </row>
    <row r="10532" spans="1:3" ht="13.5" thickBot="1" x14ac:dyDescent="0.25">
      <c r="A10532" s="3">
        <v>640</v>
      </c>
      <c r="B10532" s="28"/>
      <c r="C10532" s="3" t="s">
        <v>3</v>
      </c>
    </row>
    <row r="10533" spans="1:3" ht="13.5" thickBot="1" x14ac:dyDescent="0.25">
      <c r="A10533" s="3">
        <v>813</v>
      </c>
      <c r="B10533" s="28"/>
      <c r="C10533" s="3" t="s">
        <v>4</v>
      </c>
    </row>
    <row r="10534" spans="1:3" ht="13.5" thickBot="1" x14ac:dyDescent="0.25">
      <c r="A10534" s="3">
        <v>7608</v>
      </c>
      <c r="B10534" s="28"/>
      <c r="C10534" s="3" t="s">
        <v>3</v>
      </c>
    </row>
    <row r="10535" spans="1:3" ht="13.5" thickBot="1" x14ac:dyDescent="0.25">
      <c r="A10535" s="3">
        <v>4505</v>
      </c>
      <c r="B10535" s="28"/>
      <c r="C10535" s="3" t="s">
        <v>4</v>
      </c>
    </row>
    <row r="10536" spans="1:3" ht="13.5" thickBot="1" x14ac:dyDescent="0.25">
      <c r="A10536" s="3">
        <v>4770</v>
      </c>
      <c r="B10536" s="28"/>
      <c r="C10536" s="3" t="s">
        <v>3</v>
      </c>
    </row>
    <row r="10537" spans="1:3" ht="13.5" thickBot="1" x14ac:dyDescent="0.25">
      <c r="A10537" s="3">
        <v>3476</v>
      </c>
      <c r="B10537" s="28"/>
      <c r="C10537" s="3" t="s">
        <v>3</v>
      </c>
    </row>
    <row r="10538" spans="1:3" ht="13.5" thickBot="1" x14ac:dyDescent="0.25">
      <c r="A10538" s="3">
        <v>813</v>
      </c>
      <c r="B10538" s="28"/>
      <c r="C10538" s="3" t="s">
        <v>6</v>
      </c>
    </row>
    <row r="10539" spans="1:3" ht="13.5" thickBot="1" x14ac:dyDescent="0.25">
      <c r="A10539" s="3">
        <v>5966</v>
      </c>
      <c r="B10539" s="28"/>
      <c r="C10539" s="3" t="s">
        <v>4</v>
      </c>
    </row>
    <row r="10540" spans="1:3" ht="13.5" thickBot="1" x14ac:dyDescent="0.25">
      <c r="A10540" s="3">
        <v>6820</v>
      </c>
      <c r="B10540" s="28"/>
      <c r="C10540" s="3" t="s">
        <v>3</v>
      </c>
    </row>
    <row r="10541" spans="1:3" ht="13.5" thickBot="1" x14ac:dyDescent="0.25">
      <c r="A10541" s="3">
        <v>5442</v>
      </c>
      <c r="B10541" s="28"/>
      <c r="C10541" s="3" t="s">
        <v>6</v>
      </c>
    </row>
    <row r="10542" spans="1:3" ht="13.5" thickBot="1" x14ac:dyDescent="0.25">
      <c r="A10542" s="3">
        <v>7503</v>
      </c>
      <c r="B10542" s="28"/>
      <c r="C10542" s="3" t="s">
        <v>4</v>
      </c>
    </row>
    <row r="10543" spans="1:3" ht="13.5" thickBot="1" x14ac:dyDescent="0.25">
      <c r="A10543" s="3">
        <v>2116</v>
      </c>
      <c r="B10543" s="28"/>
      <c r="C10543" s="3" t="s">
        <v>3</v>
      </c>
    </row>
    <row r="10544" spans="1:3" ht="13.5" thickBot="1" x14ac:dyDescent="0.25">
      <c r="A10544" s="3">
        <v>562</v>
      </c>
      <c r="B10544" s="28"/>
      <c r="C10544" s="3" t="s">
        <v>4</v>
      </c>
    </row>
    <row r="10545" spans="1:3" ht="13.5" thickBot="1" x14ac:dyDescent="0.25">
      <c r="A10545" s="3">
        <v>4814</v>
      </c>
      <c r="B10545" s="28"/>
      <c r="C10545" s="3" t="s">
        <v>4</v>
      </c>
    </row>
    <row r="10546" spans="1:3" ht="13.5" thickBot="1" x14ac:dyDescent="0.25">
      <c r="A10546" s="3">
        <v>7809</v>
      </c>
      <c r="B10546" s="28"/>
      <c r="C10546" s="3" t="s">
        <v>5</v>
      </c>
    </row>
    <row r="10547" spans="1:3" ht="13.5" thickBot="1" x14ac:dyDescent="0.25">
      <c r="A10547" s="3">
        <v>2221</v>
      </c>
      <c r="B10547" s="28"/>
      <c r="C10547" s="3" t="s">
        <v>3</v>
      </c>
    </row>
    <row r="10548" spans="1:3" ht="13.5" thickBot="1" x14ac:dyDescent="0.25">
      <c r="A10548" s="3">
        <v>2836</v>
      </c>
      <c r="B10548" s="28"/>
      <c r="C10548" s="3" t="s">
        <v>4</v>
      </c>
    </row>
    <row r="10549" spans="1:3" ht="13.5" thickBot="1" x14ac:dyDescent="0.25">
      <c r="A10549" s="3">
        <v>2875</v>
      </c>
      <c r="B10549" s="28"/>
      <c r="C10549" s="3" t="s">
        <v>6</v>
      </c>
    </row>
    <row r="10550" spans="1:3" ht="13.5" thickBot="1" x14ac:dyDescent="0.25">
      <c r="A10550" s="3">
        <v>5459</v>
      </c>
      <c r="B10550" s="28"/>
      <c r="C10550" s="3" t="s">
        <v>3</v>
      </c>
    </row>
    <row r="10551" spans="1:3" ht="13.5" thickBot="1" x14ac:dyDescent="0.25">
      <c r="A10551" s="3">
        <v>6140</v>
      </c>
      <c r="B10551" s="28"/>
      <c r="C10551" s="3" t="s">
        <v>4</v>
      </c>
    </row>
    <row r="10552" spans="1:3" ht="13.5" thickBot="1" x14ac:dyDescent="0.25">
      <c r="A10552" s="3">
        <v>7816</v>
      </c>
      <c r="B10552" s="28"/>
      <c r="C10552" s="3" t="s">
        <v>3</v>
      </c>
    </row>
    <row r="10553" spans="1:3" ht="13.5" thickBot="1" x14ac:dyDescent="0.25">
      <c r="A10553" s="3">
        <v>602</v>
      </c>
      <c r="B10553" s="28"/>
      <c r="C10553" s="3" t="s">
        <v>6</v>
      </c>
    </row>
    <row r="10554" spans="1:3" ht="13.5" thickBot="1" x14ac:dyDescent="0.25">
      <c r="A10554" s="3">
        <v>6869</v>
      </c>
      <c r="B10554" s="28"/>
      <c r="C10554" s="3" t="s">
        <v>3</v>
      </c>
    </row>
    <row r="10555" spans="1:3" ht="13.5" thickBot="1" x14ac:dyDescent="0.25">
      <c r="A10555" s="3">
        <v>2322</v>
      </c>
      <c r="B10555" s="28"/>
      <c r="C10555" s="3" t="s">
        <v>3</v>
      </c>
    </row>
    <row r="10556" spans="1:3" ht="13.5" thickBot="1" x14ac:dyDescent="0.25">
      <c r="A10556" s="3">
        <v>7733</v>
      </c>
      <c r="B10556" s="28"/>
      <c r="C10556" s="3" t="s">
        <v>4</v>
      </c>
    </row>
    <row r="10557" spans="1:3" ht="13.5" thickBot="1" x14ac:dyDescent="0.25">
      <c r="A10557" s="3">
        <v>2942</v>
      </c>
      <c r="B10557" s="28"/>
      <c r="C10557" s="3" t="s">
        <v>5</v>
      </c>
    </row>
    <row r="10558" spans="1:3" ht="13.5" thickBot="1" x14ac:dyDescent="0.25">
      <c r="A10558" s="3">
        <v>4402</v>
      </c>
      <c r="B10558" s="28"/>
      <c r="C10558" s="3" t="s">
        <v>4</v>
      </c>
    </row>
    <row r="10559" spans="1:3" ht="13.5" thickBot="1" x14ac:dyDescent="0.25">
      <c r="A10559" s="3">
        <v>5431</v>
      </c>
      <c r="B10559" s="28"/>
      <c r="C10559" s="3" t="s">
        <v>3</v>
      </c>
    </row>
    <row r="10560" spans="1:3" ht="13.5" thickBot="1" x14ac:dyDescent="0.25">
      <c r="A10560" s="3">
        <v>648</v>
      </c>
      <c r="B10560" s="28"/>
      <c r="C10560" s="3" t="s">
        <v>6</v>
      </c>
    </row>
    <row r="10561" spans="1:3" ht="13.5" thickBot="1" x14ac:dyDescent="0.25">
      <c r="A10561" s="3">
        <v>2496</v>
      </c>
      <c r="B10561" s="28"/>
      <c r="C10561" s="3" t="s">
        <v>7</v>
      </c>
    </row>
    <row r="10562" spans="1:3" ht="13.5" thickBot="1" x14ac:dyDescent="0.25">
      <c r="A10562" s="3">
        <v>7279</v>
      </c>
      <c r="B10562" s="28"/>
      <c r="C10562" s="3" t="s">
        <v>3</v>
      </c>
    </row>
    <row r="10563" spans="1:3" ht="13.5" thickBot="1" x14ac:dyDescent="0.25">
      <c r="A10563" s="3">
        <v>5211</v>
      </c>
      <c r="B10563" s="28"/>
      <c r="C10563" s="3" t="s">
        <v>3</v>
      </c>
    </row>
    <row r="10564" spans="1:3" ht="13.5" thickBot="1" x14ac:dyDescent="0.25">
      <c r="A10564" s="3">
        <v>2670</v>
      </c>
      <c r="B10564" s="28"/>
      <c r="C10564" s="3" t="s">
        <v>5</v>
      </c>
    </row>
    <row r="10565" spans="1:3" ht="13.5" thickBot="1" x14ac:dyDescent="0.25">
      <c r="A10565" s="3">
        <v>94</v>
      </c>
      <c r="B10565" s="28"/>
      <c r="C10565" s="3" t="s">
        <v>3</v>
      </c>
    </row>
    <row r="10566" spans="1:3" ht="13.5" thickBot="1" x14ac:dyDescent="0.25">
      <c r="A10566" s="3">
        <v>4402</v>
      </c>
      <c r="B10566" s="28"/>
      <c r="C10566" s="3" t="s">
        <v>3</v>
      </c>
    </row>
    <row r="10567" spans="1:3" ht="13.5" thickBot="1" x14ac:dyDescent="0.25">
      <c r="A10567" s="3">
        <v>2116</v>
      </c>
      <c r="B10567" s="28"/>
      <c r="C10567" s="3" t="s">
        <v>4</v>
      </c>
    </row>
    <row r="10568" spans="1:3" ht="13.5" thickBot="1" x14ac:dyDescent="0.25">
      <c r="A10568" s="3">
        <v>7398</v>
      </c>
      <c r="B10568" s="28"/>
      <c r="C10568" s="3" t="s">
        <v>4</v>
      </c>
    </row>
    <row r="10569" spans="1:3" ht="13.5" thickBot="1" x14ac:dyDescent="0.25">
      <c r="A10569" s="3">
        <v>3332</v>
      </c>
      <c r="B10569" s="28"/>
      <c r="C10569" s="3" t="s">
        <v>3</v>
      </c>
    </row>
    <row r="10570" spans="1:3" ht="13.5" thickBot="1" x14ac:dyDescent="0.25">
      <c r="A10570" s="3">
        <v>2862</v>
      </c>
      <c r="B10570" s="28"/>
      <c r="C10570" s="3" t="s">
        <v>4</v>
      </c>
    </row>
    <row r="10571" spans="1:3" ht="13.5" thickBot="1" x14ac:dyDescent="0.25">
      <c r="A10571" s="3">
        <v>4781</v>
      </c>
      <c r="B10571" s="28"/>
      <c r="C10571" s="3" t="s">
        <v>3</v>
      </c>
    </row>
    <row r="10572" spans="1:3" ht="13.5" thickBot="1" x14ac:dyDescent="0.25">
      <c r="A10572" s="3">
        <v>3739</v>
      </c>
      <c r="B10572" s="28"/>
      <c r="C10572" s="3" t="s">
        <v>4</v>
      </c>
    </row>
    <row r="10573" spans="1:3" ht="13.5" thickBot="1" x14ac:dyDescent="0.25">
      <c r="A10573" s="3">
        <v>3878</v>
      </c>
      <c r="B10573" s="28"/>
      <c r="C10573" s="3" t="s">
        <v>5</v>
      </c>
    </row>
    <row r="10574" spans="1:3" ht="13.5" thickBot="1" x14ac:dyDescent="0.25">
      <c r="A10574" s="3">
        <v>6966</v>
      </c>
      <c r="B10574" s="28"/>
      <c r="C10574" s="3" t="s">
        <v>3</v>
      </c>
    </row>
    <row r="10575" spans="1:3" ht="13.5" thickBot="1" x14ac:dyDescent="0.25">
      <c r="A10575" s="3">
        <v>96</v>
      </c>
      <c r="B10575" s="28"/>
      <c r="C10575" s="3" t="s">
        <v>3</v>
      </c>
    </row>
    <row r="10576" spans="1:3" ht="13.5" thickBot="1" x14ac:dyDescent="0.25">
      <c r="A10576" s="3">
        <v>2496</v>
      </c>
      <c r="B10576" s="28"/>
      <c r="C10576" s="3" t="s">
        <v>4</v>
      </c>
    </row>
    <row r="10577" spans="1:3" ht="13.5" thickBot="1" x14ac:dyDescent="0.25">
      <c r="A10577" s="3">
        <v>3612</v>
      </c>
      <c r="B10577" s="28"/>
      <c r="C10577" s="3" t="s">
        <v>5</v>
      </c>
    </row>
    <row r="10578" spans="1:3" ht="13.5" thickBot="1" x14ac:dyDescent="0.25">
      <c r="A10578" s="3">
        <v>198</v>
      </c>
      <c r="B10578" s="28"/>
      <c r="C10578" s="3" t="s">
        <v>3</v>
      </c>
    </row>
    <row r="10579" spans="1:3" ht="13.5" thickBot="1" x14ac:dyDescent="0.25">
      <c r="A10579" s="3">
        <v>4418</v>
      </c>
      <c r="B10579" s="28"/>
      <c r="C10579" s="3" t="s">
        <v>3</v>
      </c>
    </row>
    <row r="10580" spans="1:3" ht="13.5" thickBot="1" x14ac:dyDescent="0.25">
      <c r="A10580" s="3">
        <v>2025</v>
      </c>
      <c r="B10580" s="28"/>
      <c r="C10580" s="3" t="s">
        <v>4</v>
      </c>
    </row>
    <row r="10581" spans="1:3" ht="13.5" thickBot="1" x14ac:dyDescent="0.25">
      <c r="A10581" s="3">
        <v>5441</v>
      </c>
      <c r="B10581" s="28"/>
      <c r="C10581" s="3" t="s">
        <v>7</v>
      </c>
    </row>
    <row r="10582" spans="1:3" ht="13.5" thickBot="1" x14ac:dyDescent="0.25">
      <c r="A10582" s="3">
        <v>7531</v>
      </c>
      <c r="B10582" s="28"/>
      <c r="C10582" s="3" t="s">
        <v>4</v>
      </c>
    </row>
    <row r="10583" spans="1:3" ht="13.5" thickBot="1" x14ac:dyDescent="0.25">
      <c r="A10583" s="3">
        <v>6214</v>
      </c>
      <c r="B10583" s="28"/>
      <c r="C10583" s="3" t="s">
        <v>3</v>
      </c>
    </row>
    <row r="10584" spans="1:3" ht="13.5" thickBot="1" x14ac:dyDescent="0.25">
      <c r="A10584" s="3">
        <v>5211</v>
      </c>
      <c r="B10584" s="28"/>
      <c r="C10584" s="3" t="s">
        <v>5</v>
      </c>
    </row>
    <row r="10585" spans="1:3" ht="13.5" thickBot="1" x14ac:dyDescent="0.25">
      <c r="A10585" s="3">
        <v>3045</v>
      </c>
      <c r="B10585" s="28"/>
      <c r="C10585" s="3" t="s">
        <v>4</v>
      </c>
    </row>
    <row r="10586" spans="1:3" ht="13.5" thickBot="1" x14ac:dyDescent="0.25">
      <c r="A10586" s="3">
        <v>3146</v>
      </c>
      <c r="B10586" s="28"/>
      <c r="C10586" s="3" t="s">
        <v>4</v>
      </c>
    </row>
    <row r="10587" spans="1:3" ht="13.5" thickBot="1" x14ac:dyDescent="0.25">
      <c r="A10587" s="3">
        <v>5428</v>
      </c>
      <c r="B10587" s="28"/>
      <c r="C10587" s="3" t="s">
        <v>3</v>
      </c>
    </row>
    <row r="10588" spans="1:3" ht="13.5" thickBot="1" x14ac:dyDescent="0.25">
      <c r="A10588" s="3">
        <v>6214</v>
      </c>
      <c r="B10588" s="28"/>
      <c r="C10588" s="3" t="s">
        <v>4</v>
      </c>
    </row>
    <row r="10589" spans="1:3" ht="13.5" thickBot="1" x14ac:dyDescent="0.25">
      <c r="A10589" s="3">
        <v>7398</v>
      </c>
      <c r="B10589" s="28"/>
      <c r="C10589" s="3" t="s">
        <v>5</v>
      </c>
    </row>
    <row r="10590" spans="1:3" ht="13.5" thickBot="1" x14ac:dyDescent="0.25">
      <c r="A10590" s="3">
        <v>5889</v>
      </c>
      <c r="B10590" s="28"/>
      <c r="C10590" s="3" t="s">
        <v>3</v>
      </c>
    </row>
    <row r="10591" spans="1:3" ht="13.5" thickBot="1" x14ac:dyDescent="0.25">
      <c r="A10591" s="3">
        <v>6696</v>
      </c>
      <c r="B10591" s="28"/>
      <c r="C10591" s="3" t="s">
        <v>4</v>
      </c>
    </row>
    <row r="10592" spans="1:3" ht="13.5" thickBot="1" x14ac:dyDescent="0.25">
      <c r="A10592" s="3">
        <v>304</v>
      </c>
      <c r="B10592" s="28"/>
      <c r="C10592" s="3" t="s">
        <v>6</v>
      </c>
    </row>
    <row r="10593" spans="1:3" ht="13.5" thickBot="1" x14ac:dyDescent="0.25">
      <c r="A10593" s="3">
        <v>5619</v>
      </c>
      <c r="B10593" s="28"/>
      <c r="C10593" s="3" t="s">
        <v>4</v>
      </c>
    </row>
    <row r="10594" spans="1:3" ht="13.5" thickBot="1" x14ac:dyDescent="0.25">
      <c r="A10594" s="3">
        <v>1886</v>
      </c>
      <c r="B10594" s="28"/>
      <c r="C10594" s="3" t="s">
        <v>4</v>
      </c>
    </row>
    <row r="10595" spans="1:3" ht="13.5" thickBot="1" x14ac:dyDescent="0.25">
      <c r="A10595" s="3">
        <v>1221</v>
      </c>
      <c r="B10595" s="28"/>
      <c r="C10595" s="3" t="s">
        <v>3</v>
      </c>
    </row>
    <row r="10596" spans="1:3" ht="13.5" thickBot="1" x14ac:dyDescent="0.25">
      <c r="A10596" s="3">
        <v>2329</v>
      </c>
      <c r="B10596" s="28"/>
      <c r="C10596" s="3" t="s">
        <v>4</v>
      </c>
    </row>
    <row r="10597" spans="1:3" ht="13.5" thickBot="1" x14ac:dyDescent="0.25">
      <c r="A10597" s="3">
        <v>1739</v>
      </c>
      <c r="B10597" s="28"/>
      <c r="C10597" s="3" t="s">
        <v>3</v>
      </c>
    </row>
    <row r="10598" spans="1:3" ht="13.5" thickBot="1" x14ac:dyDescent="0.25">
      <c r="A10598" s="3">
        <v>2165</v>
      </c>
      <c r="B10598" s="28"/>
      <c r="C10598" s="3" t="s">
        <v>7</v>
      </c>
    </row>
    <row r="10599" spans="1:3" ht="13.5" thickBot="1" x14ac:dyDescent="0.25">
      <c r="A10599" s="3">
        <v>6966</v>
      </c>
      <c r="B10599" s="28"/>
      <c r="C10599" s="3" t="s">
        <v>4</v>
      </c>
    </row>
    <row r="10600" spans="1:3" ht="13.5" thickBot="1" x14ac:dyDescent="0.25">
      <c r="A10600" s="3">
        <v>3476</v>
      </c>
      <c r="B10600" s="28"/>
      <c r="C10600" s="3" t="s">
        <v>4</v>
      </c>
    </row>
    <row r="10601" spans="1:3" ht="13.5" thickBot="1" x14ac:dyDescent="0.25">
      <c r="A10601" s="3">
        <v>3516</v>
      </c>
      <c r="B10601" s="28"/>
      <c r="C10601" s="3" t="s">
        <v>4</v>
      </c>
    </row>
    <row r="10602" spans="1:3" ht="13.5" thickBot="1" x14ac:dyDescent="0.25">
      <c r="A10602" s="3">
        <v>2284</v>
      </c>
      <c r="B10602" s="28"/>
      <c r="C10602" s="3" t="s">
        <v>3</v>
      </c>
    </row>
    <row r="10603" spans="1:3" ht="13.5" thickBot="1" x14ac:dyDescent="0.25">
      <c r="A10603" s="3">
        <v>2258</v>
      </c>
      <c r="B10603" s="28"/>
      <c r="C10603" s="3" t="s">
        <v>4</v>
      </c>
    </row>
    <row r="10604" spans="1:3" ht="13.5" thickBot="1" x14ac:dyDescent="0.25">
      <c r="A10604" s="3">
        <v>3615</v>
      </c>
      <c r="B10604" s="28"/>
      <c r="C10604" s="3" t="s">
        <v>6</v>
      </c>
    </row>
    <row r="10605" spans="1:3" ht="13.5" thickBot="1" x14ac:dyDescent="0.25">
      <c r="A10605" s="3">
        <v>3405</v>
      </c>
      <c r="B10605" s="28"/>
      <c r="C10605" s="3" t="s">
        <v>4</v>
      </c>
    </row>
    <row r="10606" spans="1:3" ht="13.5" thickBot="1" x14ac:dyDescent="0.25">
      <c r="A10606" s="3">
        <v>7559</v>
      </c>
      <c r="B10606" s="28"/>
      <c r="C10606" s="3" t="s">
        <v>3</v>
      </c>
    </row>
    <row r="10607" spans="1:3" ht="13.5" thickBot="1" x14ac:dyDescent="0.25">
      <c r="A10607" s="3">
        <v>7531</v>
      </c>
      <c r="B10607" s="28"/>
      <c r="C10607" s="3" t="s">
        <v>5</v>
      </c>
    </row>
    <row r="10608" spans="1:3" ht="13.5" thickBot="1" x14ac:dyDescent="0.25">
      <c r="A10608" s="3">
        <v>6158</v>
      </c>
      <c r="B10608" s="28"/>
      <c r="C10608" s="3" t="s">
        <v>3</v>
      </c>
    </row>
    <row r="10609" spans="1:3" ht="13.5" thickBot="1" x14ac:dyDescent="0.25">
      <c r="A10609" s="3">
        <v>555</v>
      </c>
      <c r="B10609" s="28"/>
      <c r="C10609" s="3" t="s">
        <v>5</v>
      </c>
    </row>
    <row r="10610" spans="1:3" ht="13.5" thickBot="1" x14ac:dyDescent="0.25">
      <c r="A10610" s="3">
        <v>3720</v>
      </c>
      <c r="B10610" s="28"/>
      <c r="C10610" s="3" t="s">
        <v>3</v>
      </c>
    </row>
    <row r="10611" spans="1:3" ht="13.5" thickBot="1" x14ac:dyDescent="0.25">
      <c r="A10611" s="3">
        <v>6318</v>
      </c>
      <c r="B10611" s="28"/>
      <c r="C10611" s="3" t="s">
        <v>6</v>
      </c>
    </row>
    <row r="10612" spans="1:3" ht="13.5" thickBot="1" x14ac:dyDescent="0.25">
      <c r="A10612" s="3">
        <v>6158</v>
      </c>
      <c r="B10612" s="28"/>
      <c r="C10612" s="3" t="s">
        <v>4</v>
      </c>
    </row>
    <row r="10613" spans="1:3" ht="13.5" thickBot="1" x14ac:dyDescent="0.25">
      <c r="A10613" s="3">
        <v>3146</v>
      </c>
      <c r="B10613" s="28"/>
      <c r="C10613" s="3" t="s">
        <v>6</v>
      </c>
    </row>
    <row r="10614" spans="1:3" ht="13.5" thickBot="1" x14ac:dyDescent="0.25">
      <c r="A10614" s="3">
        <v>2091</v>
      </c>
      <c r="B10614" s="28"/>
      <c r="C10614" s="3" t="s">
        <v>3</v>
      </c>
    </row>
    <row r="10615" spans="1:3" ht="13.5" thickBot="1" x14ac:dyDescent="0.25">
      <c r="A10615" s="3">
        <v>7163</v>
      </c>
      <c r="B10615" s="28"/>
      <c r="C10615" s="3" t="s">
        <v>3</v>
      </c>
    </row>
    <row r="10616" spans="1:3" ht="13.5" thickBot="1" x14ac:dyDescent="0.25">
      <c r="A10616" s="3">
        <v>7531</v>
      </c>
      <c r="B10616" s="28"/>
      <c r="C10616" s="3" t="s">
        <v>3</v>
      </c>
    </row>
    <row r="10617" spans="1:3" ht="13.5" thickBot="1" x14ac:dyDescent="0.25">
      <c r="A10617" s="3">
        <v>3405</v>
      </c>
      <c r="B10617" s="28"/>
      <c r="C10617" s="3" t="s">
        <v>3</v>
      </c>
    </row>
    <row r="10618" spans="1:3" ht="13.5" thickBot="1" x14ac:dyDescent="0.25">
      <c r="A10618" s="3">
        <v>1946</v>
      </c>
      <c r="B10618" s="28"/>
      <c r="C10618" s="3" t="s">
        <v>4</v>
      </c>
    </row>
    <row r="10619" spans="1:3" ht="13.5" thickBot="1" x14ac:dyDescent="0.25">
      <c r="A10619" s="3">
        <v>5814</v>
      </c>
      <c r="B10619" s="28"/>
      <c r="C10619" s="3" t="s">
        <v>4</v>
      </c>
    </row>
    <row r="10620" spans="1:3" ht="13.5" thickBot="1" x14ac:dyDescent="0.25">
      <c r="A10620" s="3">
        <v>2116</v>
      </c>
      <c r="B10620" s="28"/>
      <c r="C10620" s="3" t="s">
        <v>6</v>
      </c>
    </row>
    <row r="10621" spans="1:3" ht="13.5" thickBot="1" x14ac:dyDescent="0.25">
      <c r="A10621" s="3">
        <v>4114</v>
      </c>
      <c r="B10621" s="28"/>
      <c r="C10621" s="3" t="s">
        <v>3</v>
      </c>
    </row>
    <row r="10622" spans="1:3" ht="13.5" thickBot="1" x14ac:dyDescent="0.25">
      <c r="A10622" s="3">
        <v>1504</v>
      </c>
      <c r="B10622" s="28"/>
      <c r="C10622" s="3" t="s">
        <v>3</v>
      </c>
    </row>
    <row r="10623" spans="1:3" ht="13.5" thickBot="1" x14ac:dyDescent="0.25">
      <c r="A10623" s="3">
        <v>3952</v>
      </c>
      <c r="B10623" s="28"/>
      <c r="C10623" s="3" t="s">
        <v>4</v>
      </c>
    </row>
    <row r="10624" spans="1:3" ht="13.5" thickBot="1" x14ac:dyDescent="0.25">
      <c r="A10624" s="3">
        <v>5540</v>
      </c>
      <c r="B10624" s="28"/>
      <c r="C10624" s="3" t="s">
        <v>3</v>
      </c>
    </row>
    <row r="10625" spans="1:3" ht="13.5" thickBot="1" x14ac:dyDescent="0.25">
      <c r="A10625" s="3">
        <v>1523</v>
      </c>
      <c r="B10625" s="28"/>
      <c r="C10625" s="3" t="s">
        <v>4</v>
      </c>
    </row>
    <row r="10626" spans="1:3" ht="13.5" thickBot="1" x14ac:dyDescent="0.25">
      <c r="A10626" s="3">
        <v>3045</v>
      </c>
      <c r="B10626" s="28"/>
      <c r="C10626" s="3" t="s">
        <v>5</v>
      </c>
    </row>
    <row r="10627" spans="1:3" ht="13.5" thickBot="1" x14ac:dyDescent="0.25">
      <c r="A10627" s="3">
        <v>7696</v>
      </c>
      <c r="B10627" s="28"/>
      <c r="C10627" s="3" t="s">
        <v>6</v>
      </c>
    </row>
    <row r="10628" spans="1:3" ht="13.5" thickBot="1" x14ac:dyDescent="0.25">
      <c r="A10628" s="3">
        <v>6422</v>
      </c>
      <c r="B10628" s="28"/>
      <c r="C10628" s="3" t="s">
        <v>5</v>
      </c>
    </row>
    <row r="10629" spans="1:3" ht="13.5" thickBot="1" x14ac:dyDescent="0.25">
      <c r="A10629" s="3">
        <v>3952</v>
      </c>
      <c r="B10629" s="28"/>
      <c r="C10629" s="3" t="s">
        <v>3</v>
      </c>
    </row>
    <row r="10630" spans="1:3" ht="13.5" thickBot="1" x14ac:dyDescent="0.25">
      <c r="A10630" s="3">
        <v>7872</v>
      </c>
      <c r="B10630" s="28"/>
      <c r="C10630" s="3" t="s">
        <v>6</v>
      </c>
    </row>
    <row r="10631" spans="1:3" ht="13.5" thickBot="1" x14ac:dyDescent="0.25">
      <c r="A10631" s="3">
        <v>1373</v>
      </c>
      <c r="B10631" s="28"/>
      <c r="C10631" s="3" t="s">
        <v>3</v>
      </c>
    </row>
    <row r="10632" spans="1:3" ht="13.5" thickBot="1" x14ac:dyDescent="0.25">
      <c r="A10632" s="3">
        <v>3045</v>
      </c>
      <c r="B10632" s="28"/>
      <c r="C10632" s="3" t="s">
        <v>3</v>
      </c>
    </row>
    <row r="10633" spans="1:3" ht="13.5" thickBot="1" x14ac:dyDescent="0.25">
      <c r="A10633" s="3">
        <v>1946</v>
      </c>
      <c r="B10633" s="28"/>
      <c r="C10633" s="3" t="s">
        <v>6</v>
      </c>
    </row>
    <row r="10634" spans="1:3" ht="13.5" thickBot="1" x14ac:dyDescent="0.25">
      <c r="A10634" s="3">
        <v>6422</v>
      </c>
      <c r="B10634" s="28"/>
      <c r="C10634" s="3" t="s">
        <v>3</v>
      </c>
    </row>
    <row r="10635" spans="1:3" ht="13.5" thickBot="1" x14ac:dyDescent="0.25">
      <c r="A10635" s="3">
        <v>168</v>
      </c>
      <c r="B10635" s="28"/>
      <c r="C10635" s="3" t="s">
        <v>7</v>
      </c>
    </row>
    <row r="10636" spans="1:3" ht="13.5" thickBot="1" x14ac:dyDescent="0.25">
      <c r="A10636" s="3">
        <v>5814</v>
      </c>
      <c r="B10636" s="28"/>
      <c r="C10636" s="3" t="s">
        <v>3</v>
      </c>
    </row>
    <row r="10637" spans="1:3" ht="13.5" thickBot="1" x14ac:dyDescent="0.25">
      <c r="A10637" s="3">
        <v>6694</v>
      </c>
      <c r="B10637" s="28"/>
      <c r="C10637" s="3" t="s">
        <v>6</v>
      </c>
    </row>
    <row r="10638" spans="1:3" ht="13.5" thickBot="1" x14ac:dyDescent="0.25">
      <c r="A10638" s="3">
        <v>7285</v>
      </c>
      <c r="B10638" s="28"/>
      <c r="C10638" s="3" t="s">
        <v>6</v>
      </c>
    </row>
    <row r="10639" spans="1:3" ht="13.5" thickBot="1" x14ac:dyDescent="0.25">
      <c r="A10639" s="3">
        <v>2380</v>
      </c>
      <c r="B10639" s="28"/>
      <c r="C10639" s="3" t="s">
        <v>3</v>
      </c>
    </row>
    <row r="10640" spans="1:3" ht="13.5" thickBot="1" x14ac:dyDescent="0.25">
      <c r="A10640" s="3">
        <v>6739</v>
      </c>
      <c r="B10640" s="28"/>
      <c r="C10640" s="3" t="s">
        <v>3</v>
      </c>
    </row>
    <row r="10641" spans="1:3" ht="13.5" thickBot="1" x14ac:dyDescent="0.25">
      <c r="A10641" s="3">
        <v>5810</v>
      </c>
      <c r="B10641" s="28"/>
      <c r="C10641" s="3" t="s">
        <v>3</v>
      </c>
    </row>
    <row r="10642" spans="1:3" ht="13.5" thickBot="1" x14ac:dyDescent="0.25">
      <c r="A10642" s="3">
        <v>4994</v>
      </c>
      <c r="B10642" s="28"/>
      <c r="C10642" s="3" t="s">
        <v>6</v>
      </c>
    </row>
    <row r="10643" spans="1:3" ht="13.5" thickBot="1" x14ac:dyDescent="0.25">
      <c r="A10643" s="3">
        <v>3516</v>
      </c>
      <c r="B10643" s="28"/>
      <c r="C10643" s="3" t="s">
        <v>5</v>
      </c>
    </row>
    <row r="10644" spans="1:3" ht="13.5" thickBot="1" x14ac:dyDescent="0.25">
      <c r="A10644" s="3">
        <v>6688</v>
      </c>
      <c r="B10644" s="28"/>
      <c r="C10644" s="3" t="s">
        <v>4</v>
      </c>
    </row>
    <row r="10645" spans="1:3" ht="13.5" thickBot="1" x14ac:dyDescent="0.25">
      <c r="A10645" s="3">
        <v>2699</v>
      </c>
      <c r="B10645" s="28"/>
      <c r="C10645" s="3" t="s">
        <v>3</v>
      </c>
    </row>
    <row r="10646" spans="1:3" ht="13.5" thickBot="1" x14ac:dyDescent="0.25">
      <c r="A10646" s="3">
        <v>1459</v>
      </c>
      <c r="B10646" s="28"/>
      <c r="C10646" s="3" t="s">
        <v>3</v>
      </c>
    </row>
    <row r="10647" spans="1:3" ht="13.5" thickBot="1" x14ac:dyDescent="0.25">
      <c r="A10647" s="3">
        <v>3549</v>
      </c>
      <c r="B10647" s="28"/>
      <c r="C10647" s="3" t="s">
        <v>4</v>
      </c>
    </row>
    <row r="10648" spans="1:3" ht="13.5" thickBot="1" x14ac:dyDescent="0.25">
      <c r="A10648" s="3">
        <v>3612</v>
      </c>
      <c r="B10648" s="28"/>
      <c r="C10648" s="3" t="s">
        <v>6</v>
      </c>
    </row>
    <row r="10649" spans="1:3" ht="13.5" thickBot="1" x14ac:dyDescent="0.25">
      <c r="A10649" s="3">
        <v>2329</v>
      </c>
      <c r="B10649" s="28"/>
      <c r="C10649" s="3" t="s">
        <v>6</v>
      </c>
    </row>
    <row r="10650" spans="1:3" ht="13.5" thickBot="1" x14ac:dyDescent="0.25">
      <c r="A10650" s="3">
        <v>7531</v>
      </c>
      <c r="B10650" s="28"/>
      <c r="C10650" s="3" t="s">
        <v>7</v>
      </c>
    </row>
    <row r="10651" spans="1:3" ht="13.5" thickBot="1" x14ac:dyDescent="0.25">
      <c r="A10651" s="3">
        <v>2385</v>
      </c>
      <c r="B10651" s="28"/>
      <c r="C10651" s="3" t="s">
        <v>3</v>
      </c>
    </row>
    <row r="10652" spans="1:3" ht="13.5" thickBot="1" x14ac:dyDescent="0.25">
      <c r="A10652" s="3">
        <v>2091</v>
      </c>
      <c r="B10652" s="28"/>
      <c r="C10652" s="3" t="s">
        <v>4</v>
      </c>
    </row>
    <row r="10653" spans="1:3" ht="13.5" thickBot="1" x14ac:dyDescent="0.25">
      <c r="A10653" s="3">
        <v>3911</v>
      </c>
      <c r="B10653" s="28"/>
      <c r="C10653" s="3" t="s">
        <v>3</v>
      </c>
    </row>
    <row r="10654" spans="1:3" ht="13.5" thickBot="1" x14ac:dyDescent="0.25">
      <c r="A10654" s="3">
        <v>6211</v>
      </c>
      <c r="B10654" s="28"/>
      <c r="C10654" s="3" t="s">
        <v>5</v>
      </c>
    </row>
    <row r="10655" spans="1:3" ht="13.5" thickBot="1" x14ac:dyDescent="0.25">
      <c r="A10655" s="3">
        <v>4051</v>
      </c>
      <c r="B10655" s="28"/>
      <c r="C10655" s="3" t="s">
        <v>3</v>
      </c>
    </row>
    <row r="10656" spans="1:3" ht="13.5" thickBot="1" x14ac:dyDescent="0.25">
      <c r="A10656" s="3">
        <v>3476</v>
      </c>
      <c r="B10656" s="28"/>
      <c r="C10656" s="3" t="s">
        <v>6</v>
      </c>
    </row>
    <row r="10657" spans="1:3" ht="13.5" thickBot="1" x14ac:dyDescent="0.25">
      <c r="A10657" s="3">
        <v>2329</v>
      </c>
      <c r="B10657" s="28"/>
      <c r="C10657" s="3" t="s">
        <v>5</v>
      </c>
    </row>
    <row r="10658" spans="1:3" ht="13.5" thickBot="1" x14ac:dyDescent="0.25">
      <c r="A10658" s="3">
        <v>6688</v>
      </c>
      <c r="B10658" s="28"/>
      <c r="C10658" s="3" t="s">
        <v>5</v>
      </c>
    </row>
    <row r="10659" spans="1:3" ht="13.5" thickBot="1" x14ac:dyDescent="0.25">
      <c r="A10659" s="3">
        <v>6324</v>
      </c>
      <c r="B10659" s="28"/>
      <c r="C10659" s="3" t="s">
        <v>3</v>
      </c>
    </row>
    <row r="10660" spans="1:3" ht="13.5" thickBot="1" x14ac:dyDescent="0.25">
      <c r="A10660" s="3">
        <v>4473</v>
      </c>
      <c r="B10660" s="28"/>
      <c r="C10660" s="3" t="s">
        <v>3</v>
      </c>
    </row>
    <row r="10661" spans="1:3" ht="13.5" thickBot="1" x14ac:dyDescent="0.25">
      <c r="A10661" s="3">
        <v>3476</v>
      </c>
      <c r="B10661" s="28"/>
      <c r="C10661" s="3" t="s">
        <v>5</v>
      </c>
    </row>
    <row r="10662" spans="1:3" ht="13.5" thickBot="1" x14ac:dyDescent="0.25">
      <c r="A10662" s="3">
        <v>813</v>
      </c>
      <c r="B10662" s="28"/>
      <c r="C10662" s="3" t="s">
        <v>7</v>
      </c>
    </row>
    <row r="10663" spans="1:3" ht="13.5" thickBot="1" x14ac:dyDescent="0.25">
      <c r="A10663" s="3">
        <v>1551</v>
      </c>
      <c r="B10663" s="28"/>
      <c r="C10663" s="3" t="s">
        <v>3</v>
      </c>
    </row>
    <row r="10664" spans="1:3" ht="13.5" thickBot="1" x14ac:dyDescent="0.25">
      <c r="A10664" s="3">
        <v>143</v>
      </c>
      <c r="B10664" s="28"/>
      <c r="C10664" s="3" t="s">
        <v>3</v>
      </c>
    </row>
    <row r="10665" spans="1:3" ht="13.5" thickBot="1" x14ac:dyDescent="0.25">
      <c r="A10665" s="3">
        <v>1305</v>
      </c>
      <c r="B10665" s="28"/>
      <c r="C10665" s="3" t="s">
        <v>3</v>
      </c>
    </row>
    <row r="10666" spans="1:3" ht="13.5" thickBot="1" x14ac:dyDescent="0.25">
      <c r="A10666" s="3">
        <v>6723</v>
      </c>
      <c r="B10666" s="28"/>
      <c r="C10666" s="3" t="s">
        <v>4</v>
      </c>
    </row>
    <row r="10667" spans="1:3" ht="13.5" thickBot="1" x14ac:dyDescent="0.25">
      <c r="A10667" s="3">
        <v>3899</v>
      </c>
      <c r="B10667" s="28"/>
      <c r="C10667" s="3" t="s">
        <v>3</v>
      </c>
    </row>
    <row r="10668" spans="1:3" ht="13.5" thickBot="1" x14ac:dyDescent="0.25">
      <c r="A10668" s="3">
        <v>565</v>
      </c>
      <c r="B10668" s="28"/>
      <c r="C10668" s="3" t="s">
        <v>4</v>
      </c>
    </row>
    <row r="10669" spans="1:3" ht="13.5" thickBot="1" x14ac:dyDescent="0.25">
      <c r="A10669" s="3">
        <v>2179</v>
      </c>
      <c r="B10669" s="28"/>
      <c r="C10669" s="3" t="s">
        <v>3</v>
      </c>
    </row>
    <row r="10670" spans="1:3" ht="13.5" thickBot="1" x14ac:dyDescent="0.25">
      <c r="A10670" s="3">
        <v>5814</v>
      </c>
      <c r="B10670" s="28"/>
      <c r="C10670" s="3" t="s">
        <v>5</v>
      </c>
    </row>
    <row r="10671" spans="1:3" ht="13.5" thickBot="1" x14ac:dyDescent="0.25">
      <c r="A10671" s="3">
        <v>7958</v>
      </c>
      <c r="B10671" s="28"/>
      <c r="C10671" s="3" t="s">
        <v>4</v>
      </c>
    </row>
    <row r="10672" spans="1:3" ht="13.5" thickBot="1" x14ac:dyDescent="0.25">
      <c r="A10672" s="3">
        <v>7344</v>
      </c>
      <c r="B10672" s="28"/>
      <c r="C10672" s="3" t="s">
        <v>3</v>
      </c>
    </row>
    <row r="10673" spans="1:3" ht="13.5" thickBot="1" x14ac:dyDescent="0.25">
      <c r="A10673" s="3">
        <v>1624</v>
      </c>
      <c r="B10673" s="28"/>
      <c r="C10673" s="3" t="s">
        <v>3</v>
      </c>
    </row>
    <row r="10674" spans="1:3" ht="13.5" thickBot="1" x14ac:dyDescent="0.25">
      <c r="A10674" s="3">
        <v>1884</v>
      </c>
      <c r="B10674" s="28"/>
      <c r="C10674" s="3" t="s">
        <v>7</v>
      </c>
    </row>
    <row r="10675" spans="1:3" ht="13.5" thickBot="1" x14ac:dyDescent="0.25">
      <c r="A10675" s="3">
        <v>4353</v>
      </c>
      <c r="B10675" s="28"/>
      <c r="C10675" s="3" t="s">
        <v>7</v>
      </c>
    </row>
    <row r="10676" spans="1:3" ht="13.5" thickBot="1" x14ac:dyDescent="0.25">
      <c r="A10676" s="3">
        <v>4114</v>
      </c>
      <c r="B10676" s="28"/>
      <c r="C10676" s="3" t="s">
        <v>4</v>
      </c>
    </row>
    <row r="10677" spans="1:3" ht="13.5" thickBot="1" x14ac:dyDescent="0.25">
      <c r="A10677" s="3">
        <v>7279</v>
      </c>
      <c r="B10677" s="28"/>
      <c r="C10677" s="3" t="s">
        <v>4</v>
      </c>
    </row>
    <row r="10678" spans="1:3" ht="13.5" thickBot="1" x14ac:dyDescent="0.25">
      <c r="A10678" s="3">
        <v>640</v>
      </c>
      <c r="B10678" s="28"/>
      <c r="C10678" s="3" t="s">
        <v>4</v>
      </c>
    </row>
    <row r="10679" spans="1:3" ht="13.5" thickBot="1" x14ac:dyDescent="0.25">
      <c r="A10679" s="3">
        <v>134</v>
      </c>
      <c r="B10679" s="28"/>
      <c r="C10679" s="3" t="s">
        <v>3</v>
      </c>
    </row>
    <row r="10680" spans="1:3" ht="13.5" thickBot="1" x14ac:dyDescent="0.25">
      <c r="A10680" s="3">
        <v>5901</v>
      </c>
      <c r="B10680" s="28"/>
      <c r="C10680" s="3" t="s">
        <v>3</v>
      </c>
    </row>
    <row r="10681" spans="1:3" ht="13.5" thickBot="1" x14ac:dyDescent="0.25">
      <c r="A10681" s="3">
        <v>5426</v>
      </c>
      <c r="B10681" s="28"/>
      <c r="C10681" s="3" t="s">
        <v>6</v>
      </c>
    </row>
    <row r="10682" spans="1:3" ht="13.5" thickBot="1" x14ac:dyDescent="0.25">
      <c r="A10682" s="3">
        <v>3608</v>
      </c>
      <c r="B10682" s="28"/>
      <c r="C10682" s="3" t="s">
        <v>3</v>
      </c>
    </row>
    <row r="10683" spans="1:3" ht="13.5" thickBot="1" x14ac:dyDescent="0.25">
      <c r="A10683" s="3">
        <v>1446</v>
      </c>
      <c r="B10683" s="28"/>
      <c r="C10683" s="3" t="s">
        <v>3</v>
      </c>
    </row>
    <row r="10684" spans="1:3" ht="13.5" thickBot="1" x14ac:dyDescent="0.25">
      <c r="A10684" s="3">
        <v>96</v>
      </c>
      <c r="B10684" s="28"/>
      <c r="C10684" s="3" t="s">
        <v>6</v>
      </c>
    </row>
    <row r="10685" spans="1:3" ht="13.5" thickBot="1" x14ac:dyDescent="0.25">
      <c r="A10685" s="3">
        <v>5459</v>
      </c>
      <c r="B10685" s="28"/>
      <c r="C10685" s="3" t="s">
        <v>5</v>
      </c>
    </row>
    <row r="10686" spans="1:3" ht="13.5" thickBot="1" x14ac:dyDescent="0.25">
      <c r="A10686" s="3">
        <v>4072</v>
      </c>
      <c r="B10686" s="28"/>
      <c r="C10686" s="3" t="s">
        <v>4</v>
      </c>
    </row>
    <row r="10687" spans="1:3" ht="13.5" thickBot="1" x14ac:dyDescent="0.25">
      <c r="A10687" s="3">
        <v>6728</v>
      </c>
      <c r="B10687" s="28"/>
      <c r="C10687" s="3" t="s">
        <v>3</v>
      </c>
    </row>
    <row r="10688" spans="1:3" ht="13.5" thickBot="1" x14ac:dyDescent="0.25">
      <c r="A10688" s="3">
        <v>1551</v>
      </c>
      <c r="B10688" s="28"/>
      <c r="C10688" s="3" t="s">
        <v>5</v>
      </c>
    </row>
    <row r="10689" spans="1:3" ht="13.5" thickBot="1" x14ac:dyDescent="0.25">
      <c r="A10689" s="3">
        <v>5966</v>
      </c>
      <c r="B10689" s="28"/>
      <c r="C10689" s="3" t="s">
        <v>7</v>
      </c>
    </row>
    <row r="10690" spans="1:3" ht="13.5" thickBot="1" x14ac:dyDescent="0.25">
      <c r="A10690" s="3">
        <v>4948</v>
      </c>
      <c r="B10690" s="28"/>
      <c r="C10690" s="3" t="s">
        <v>3</v>
      </c>
    </row>
    <row r="10691" spans="1:3" ht="13.5" thickBot="1" x14ac:dyDescent="0.25">
      <c r="A10691" s="3">
        <v>643</v>
      </c>
      <c r="B10691" s="28"/>
      <c r="C10691" s="3" t="s">
        <v>7</v>
      </c>
    </row>
    <row r="10692" spans="1:3" ht="13.5" thickBot="1" x14ac:dyDescent="0.25">
      <c r="A10692" s="3">
        <v>4114</v>
      </c>
      <c r="B10692" s="28"/>
      <c r="C10692" s="3" t="s">
        <v>7</v>
      </c>
    </row>
    <row r="10693" spans="1:3" ht="13.5" thickBot="1" x14ac:dyDescent="0.25">
      <c r="A10693" s="3">
        <v>4770</v>
      </c>
      <c r="B10693" s="28"/>
      <c r="C10693" s="3" t="s">
        <v>4</v>
      </c>
    </row>
    <row r="10694" spans="1:3" ht="13.5" thickBot="1" x14ac:dyDescent="0.25">
      <c r="A10694" s="3">
        <v>1373</v>
      </c>
      <c r="B10694" s="28"/>
      <c r="C10694" s="3" t="s">
        <v>5</v>
      </c>
    </row>
    <row r="10695" spans="1:3" ht="13.5" thickBot="1" x14ac:dyDescent="0.25">
      <c r="A10695" s="3">
        <v>5211</v>
      </c>
      <c r="B10695" s="28"/>
      <c r="C10695" s="3" t="s">
        <v>7</v>
      </c>
    </row>
    <row r="10696" spans="1:3" ht="13.5" thickBot="1" x14ac:dyDescent="0.25">
      <c r="A10696" s="3">
        <v>2496</v>
      </c>
      <c r="B10696" s="28"/>
      <c r="C10696" s="3" t="s">
        <v>5</v>
      </c>
    </row>
    <row r="10697" spans="1:3" ht="13.5" thickBot="1" x14ac:dyDescent="0.25">
      <c r="A10697" s="3">
        <v>6077</v>
      </c>
      <c r="B10697" s="28"/>
      <c r="C10697" s="3" t="s">
        <v>7</v>
      </c>
    </row>
    <row r="10698" spans="1:3" ht="13.5" thickBot="1" x14ac:dyDescent="0.25">
      <c r="A10698" s="3">
        <v>4114</v>
      </c>
      <c r="B10698" s="28"/>
      <c r="C10698" s="3" t="s">
        <v>5</v>
      </c>
    </row>
    <row r="10699" spans="1:3" ht="13.5" thickBot="1" x14ac:dyDescent="0.25">
      <c r="A10699" s="3">
        <v>6271</v>
      </c>
      <c r="B10699" s="28"/>
      <c r="C10699" s="3" t="s">
        <v>3</v>
      </c>
    </row>
    <row r="10700" spans="1:3" ht="13.5" thickBot="1" x14ac:dyDescent="0.25">
      <c r="A10700" s="3">
        <v>6728</v>
      </c>
      <c r="B10700" s="28"/>
      <c r="C10700" s="3" t="s">
        <v>4</v>
      </c>
    </row>
    <row r="10701" spans="1:3" ht="13.5" thickBot="1" x14ac:dyDescent="0.25">
      <c r="A10701" s="3">
        <v>358</v>
      </c>
      <c r="B10701" s="28"/>
      <c r="C10701" s="3" t="s">
        <v>3</v>
      </c>
    </row>
    <row r="10702" spans="1:3" ht="13.5" thickBot="1" x14ac:dyDescent="0.25">
      <c r="A10702" s="3">
        <v>1373</v>
      </c>
      <c r="B10702" s="28"/>
      <c r="C10702" s="3" t="s">
        <v>4</v>
      </c>
    </row>
    <row r="10703" spans="1:3" ht="13.5" thickBot="1" x14ac:dyDescent="0.25">
      <c r="A10703" s="3">
        <v>1292</v>
      </c>
      <c r="B10703" s="28"/>
      <c r="C10703" s="3" t="s">
        <v>3</v>
      </c>
    </row>
    <row r="10704" spans="1:3" ht="13.5" thickBot="1" x14ac:dyDescent="0.25">
      <c r="A10704" s="3">
        <v>7163</v>
      </c>
      <c r="B10704" s="28"/>
      <c r="C10704" s="3" t="s">
        <v>6</v>
      </c>
    </row>
    <row r="10705" spans="1:3" ht="13.5" thickBot="1" x14ac:dyDescent="0.25">
      <c r="A10705" s="3">
        <v>1877</v>
      </c>
      <c r="B10705" s="28"/>
      <c r="C10705" s="3" t="s">
        <v>3</v>
      </c>
    </row>
    <row r="10706" spans="1:3" ht="13.5" thickBot="1" x14ac:dyDescent="0.25">
      <c r="A10706" s="3">
        <v>4297</v>
      </c>
      <c r="B10706" s="28"/>
      <c r="C10706" s="3" t="s">
        <v>7</v>
      </c>
    </row>
    <row r="10707" spans="1:3" ht="13.5" thickBot="1" x14ac:dyDescent="0.25">
      <c r="A10707" s="3">
        <v>1504</v>
      </c>
      <c r="B10707" s="28"/>
      <c r="C10707" s="3" t="s">
        <v>4</v>
      </c>
    </row>
    <row r="10708" spans="1:3" ht="13.5" thickBot="1" x14ac:dyDescent="0.25">
      <c r="A10708" s="3">
        <v>4535</v>
      </c>
      <c r="B10708" s="28"/>
      <c r="C10708" s="3" t="s">
        <v>3</v>
      </c>
    </row>
    <row r="10709" spans="1:3" ht="13.5" thickBot="1" x14ac:dyDescent="0.25">
      <c r="A10709" s="3">
        <v>7696</v>
      </c>
      <c r="B10709" s="28"/>
      <c r="C10709" s="3" t="s">
        <v>7</v>
      </c>
    </row>
    <row r="10710" spans="1:3" ht="13.5" thickBot="1" x14ac:dyDescent="0.25">
      <c r="A10710" s="3">
        <v>6056</v>
      </c>
      <c r="B10710" s="28"/>
      <c r="C10710" s="3" t="s">
        <v>3</v>
      </c>
    </row>
    <row r="10711" spans="1:3" ht="13.5" thickBot="1" x14ac:dyDescent="0.25">
      <c r="A10711" s="3">
        <v>5044</v>
      </c>
      <c r="B10711" s="28"/>
      <c r="C10711" s="3" t="s">
        <v>3</v>
      </c>
    </row>
    <row r="10712" spans="1:3" ht="13.5" thickBot="1" x14ac:dyDescent="0.25">
      <c r="A10712" s="3">
        <v>7163</v>
      </c>
      <c r="B10712" s="28"/>
      <c r="C10712" s="3" t="s">
        <v>4</v>
      </c>
    </row>
    <row r="10713" spans="1:3" ht="13.5" thickBot="1" x14ac:dyDescent="0.25">
      <c r="A10713" s="3">
        <v>2327</v>
      </c>
      <c r="B10713" s="28"/>
      <c r="C10713" s="3" t="s">
        <v>3</v>
      </c>
    </row>
    <row r="10714" spans="1:3" ht="13.5" thickBot="1" x14ac:dyDescent="0.25">
      <c r="A10714" s="3">
        <v>2116</v>
      </c>
      <c r="B10714" s="28"/>
      <c r="C10714" s="3" t="s">
        <v>5</v>
      </c>
    </row>
    <row r="10715" spans="1:3" ht="13.5" thickBot="1" x14ac:dyDescent="0.25">
      <c r="A10715" s="3">
        <v>1624</v>
      </c>
      <c r="B10715" s="28"/>
      <c r="C10715" s="3" t="s">
        <v>4</v>
      </c>
    </row>
    <row r="10716" spans="1:3" ht="13.5" thickBot="1" x14ac:dyDescent="0.25">
      <c r="A10716" s="3">
        <v>4381</v>
      </c>
      <c r="B10716" s="28"/>
      <c r="C10716" s="3" t="s">
        <v>3</v>
      </c>
    </row>
    <row r="10717" spans="1:3" ht="13.5" thickBot="1" x14ac:dyDescent="0.25">
      <c r="A10717" s="3">
        <v>820</v>
      </c>
      <c r="B10717" s="28"/>
      <c r="C10717" s="3" t="s">
        <v>3</v>
      </c>
    </row>
    <row r="10718" spans="1:3" ht="13.5" thickBot="1" x14ac:dyDescent="0.25">
      <c r="A10718" s="3">
        <v>6631</v>
      </c>
      <c r="B10718" s="28"/>
      <c r="C10718" s="3" t="s">
        <v>3</v>
      </c>
    </row>
    <row r="10719" spans="1:3" ht="13.5" thickBot="1" x14ac:dyDescent="0.25">
      <c r="A10719" s="3">
        <v>1373</v>
      </c>
      <c r="B10719" s="28"/>
      <c r="C10719" s="3" t="s">
        <v>7</v>
      </c>
    </row>
    <row r="10720" spans="1:3" ht="13.5" thickBot="1" x14ac:dyDescent="0.25">
      <c r="A10720" s="3">
        <v>119</v>
      </c>
      <c r="B10720" s="28"/>
      <c r="C10720" s="3" t="s">
        <v>7</v>
      </c>
    </row>
    <row r="10721" spans="1:3" ht="13.5" thickBot="1" x14ac:dyDescent="0.25">
      <c r="A10721" s="3">
        <v>4418</v>
      </c>
      <c r="B10721" s="28"/>
      <c r="C10721" s="3" t="s">
        <v>4</v>
      </c>
    </row>
    <row r="10722" spans="1:3" ht="13.5" thickBot="1" x14ac:dyDescent="0.25">
      <c r="A10722" s="3">
        <v>7398</v>
      </c>
      <c r="B10722" s="28"/>
      <c r="C10722" s="3" t="s">
        <v>6</v>
      </c>
    </row>
    <row r="10723" spans="1:3" ht="13.5" thickBot="1" x14ac:dyDescent="0.25">
      <c r="A10723" s="3">
        <v>6330</v>
      </c>
      <c r="B10723" s="28"/>
      <c r="C10723" s="3" t="s">
        <v>3</v>
      </c>
    </row>
    <row r="10724" spans="1:3" ht="13.5" thickBot="1" x14ac:dyDescent="0.25">
      <c r="A10724" s="3">
        <v>5739</v>
      </c>
      <c r="B10724" s="28"/>
      <c r="C10724" s="3" t="s">
        <v>4</v>
      </c>
    </row>
    <row r="10725" spans="1:3" ht="13.5" thickBot="1" x14ac:dyDescent="0.25">
      <c r="A10725" s="3">
        <v>7879</v>
      </c>
      <c r="B10725" s="28"/>
      <c r="C10725" s="3" t="s">
        <v>3</v>
      </c>
    </row>
    <row r="10726" spans="1:3" ht="13.5" thickBot="1" x14ac:dyDescent="0.25">
      <c r="A10726" s="3">
        <v>5431</v>
      </c>
      <c r="B10726" s="28"/>
      <c r="C10726" s="3" t="s">
        <v>7</v>
      </c>
    </row>
    <row r="10727" spans="1:3" ht="13.5" thickBot="1" x14ac:dyDescent="0.25">
      <c r="A10727" s="3">
        <v>3504</v>
      </c>
      <c r="B10727" s="28"/>
      <c r="C10727" s="3" t="s">
        <v>3</v>
      </c>
    </row>
    <row r="10728" spans="1:3" ht="13.5" thickBot="1" x14ac:dyDescent="0.25">
      <c r="A10728" s="3">
        <v>7733</v>
      </c>
      <c r="B10728" s="28"/>
      <c r="C10728" s="3" t="s">
        <v>7</v>
      </c>
    </row>
    <row r="10729" spans="1:3" ht="13.5" thickBot="1" x14ac:dyDescent="0.25">
      <c r="A10729" s="3">
        <v>7105</v>
      </c>
      <c r="B10729" s="28"/>
      <c r="C10729" s="3" t="s">
        <v>3</v>
      </c>
    </row>
    <row r="10730" spans="1:3" ht="13.5" thickBot="1" x14ac:dyDescent="0.25">
      <c r="A10730" s="3">
        <v>277</v>
      </c>
      <c r="B10730" s="28"/>
      <c r="C10730" s="3" t="s">
        <v>3</v>
      </c>
    </row>
    <row r="10731" spans="1:3" ht="13.5" thickBot="1" x14ac:dyDescent="0.25">
      <c r="A10731" s="3">
        <v>1499</v>
      </c>
      <c r="B10731" s="28"/>
      <c r="C10731" s="3" t="s">
        <v>4</v>
      </c>
    </row>
    <row r="10732" spans="1:3" ht="13.5" thickBot="1" x14ac:dyDescent="0.25">
      <c r="A10732" s="3">
        <v>4505</v>
      </c>
      <c r="B10732" s="28"/>
      <c r="C10732" s="3" t="s">
        <v>5</v>
      </c>
    </row>
    <row r="10733" spans="1:3" ht="13.5" thickBot="1" x14ac:dyDescent="0.25">
      <c r="A10733" s="3">
        <v>3899</v>
      </c>
      <c r="B10733" s="28"/>
      <c r="C10733" s="3" t="s">
        <v>4</v>
      </c>
    </row>
    <row r="10734" spans="1:3" ht="13.5" thickBot="1" x14ac:dyDescent="0.25">
      <c r="A10734" s="3">
        <v>3536</v>
      </c>
      <c r="B10734" s="28"/>
      <c r="C10734" s="3" t="s">
        <v>3</v>
      </c>
    </row>
    <row r="10735" spans="1:3" ht="13.5" thickBot="1" x14ac:dyDescent="0.25">
      <c r="A10735" s="3">
        <v>3911</v>
      </c>
      <c r="B10735" s="28"/>
      <c r="C10735" s="3" t="s">
        <v>5</v>
      </c>
    </row>
    <row r="10736" spans="1:3" ht="13.5" thickBot="1" x14ac:dyDescent="0.25">
      <c r="A10736" s="3">
        <v>4114</v>
      </c>
      <c r="B10736" s="28"/>
      <c r="C10736" s="3" t="s">
        <v>6</v>
      </c>
    </row>
    <row r="10737" spans="1:3" ht="13.5" thickBot="1" x14ac:dyDescent="0.25">
      <c r="A10737" s="3">
        <v>2284</v>
      </c>
      <c r="B10737" s="28"/>
      <c r="C10737" s="3" t="s">
        <v>4</v>
      </c>
    </row>
    <row r="10738" spans="1:3" ht="13.5" thickBot="1" x14ac:dyDescent="0.25">
      <c r="A10738" s="3">
        <v>6006</v>
      </c>
      <c r="B10738" s="28"/>
      <c r="C10738" s="3" t="s">
        <v>3</v>
      </c>
    </row>
    <row r="10739" spans="1:3" ht="13.5" thickBot="1" x14ac:dyDescent="0.25">
      <c r="A10739" s="3">
        <v>3878</v>
      </c>
      <c r="B10739" s="28"/>
      <c r="C10739" s="3" t="s">
        <v>6</v>
      </c>
    </row>
    <row r="10740" spans="1:3" ht="13.5" thickBot="1" x14ac:dyDescent="0.25">
      <c r="A10740" s="3">
        <v>7016</v>
      </c>
      <c r="B10740" s="28"/>
      <c r="C10740" s="3" t="s">
        <v>3</v>
      </c>
    </row>
    <row r="10741" spans="1:3" ht="13.5" thickBot="1" x14ac:dyDescent="0.25">
      <c r="A10741" s="3">
        <v>7279</v>
      </c>
      <c r="B10741" s="28"/>
      <c r="C10741" s="3" t="s">
        <v>6</v>
      </c>
    </row>
    <row r="10742" spans="1:3" ht="13.5" thickBot="1" x14ac:dyDescent="0.25">
      <c r="A10742" s="3">
        <v>277</v>
      </c>
      <c r="B10742" s="28"/>
      <c r="C10742" s="3" t="s">
        <v>4</v>
      </c>
    </row>
    <row r="10743" spans="1:3" ht="13.5" thickBot="1" x14ac:dyDescent="0.25">
      <c r="A10743" s="3">
        <v>168</v>
      </c>
      <c r="B10743" s="28"/>
      <c r="C10743" s="3" t="s">
        <v>5</v>
      </c>
    </row>
    <row r="10744" spans="1:3" ht="13.5" thickBot="1" x14ac:dyDescent="0.25">
      <c r="A10744" s="3">
        <v>6728</v>
      </c>
      <c r="B10744" s="28"/>
      <c r="C10744" s="3" t="s">
        <v>6</v>
      </c>
    </row>
    <row r="10745" spans="1:3" ht="13.5" thickBot="1" x14ac:dyDescent="0.25">
      <c r="A10745" s="3">
        <v>4864</v>
      </c>
      <c r="B10745" s="28"/>
      <c r="C10745" s="3" t="s">
        <v>3</v>
      </c>
    </row>
    <row r="10746" spans="1:3" ht="13.5" thickBot="1" x14ac:dyDescent="0.25">
      <c r="A10746" s="3">
        <v>5441</v>
      </c>
      <c r="B10746" s="28"/>
      <c r="C10746" s="3" t="s">
        <v>6</v>
      </c>
    </row>
    <row r="10747" spans="1:3" ht="13.5" thickBot="1" x14ac:dyDescent="0.25">
      <c r="A10747" s="3">
        <v>7368</v>
      </c>
      <c r="B10747" s="28"/>
      <c r="C10747" s="3" t="s">
        <v>3</v>
      </c>
    </row>
    <row r="10748" spans="1:3" ht="13.5" thickBot="1" x14ac:dyDescent="0.25">
      <c r="A10748" s="3">
        <v>1551</v>
      </c>
      <c r="B10748" s="28"/>
      <c r="C10748" s="3" t="s">
        <v>7</v>
      </c>
    </row>
    <row r="10749" spans="1:3" ht="13.5" thickBot="1" x14ac:dyDescent="0.25">
      <c r="A10749" s="3">
        <v>3822</v>
      </c>
      <c r="B10749" s="28"/>
      <c r="C10749" s="3" t="s">
        <v>3</v>
      </c>
    </row>
    <row r="10750" spans="1:3" ht="13.5" thickBot="1" x14ac:dyDescent="0.25">
      <c r="A10750" s="3">
        <v>5834</v>
      </c>
      <c r="B10750" s="28"/>
      <c r="C10750" s="3" t="s">
        <v>3</v>
      </c>
    </row>
    <row r="10751" spans="1:3" ht="13.5" thickBot="1" x14ac:dyDescent="0.25">
      <c r="A10751" s="3">
        <v>4368</v>
      </c>
      <c r="B10751" s="28"/>
      <c r="C10751" s="3" t="s">
        <v>3</v>
      </c>
    </row>
    <row r="10752" spans="1:3" ht="13.5" thickBot="1" x14ac:dyDescent="0.25">
      <c r="A10752" s="3">
        <v>2025</v>
      </c>
      <c r="B10752" s="28"/>
      <c r="C10752" s="3" t="s">
        <v>6</v>
      </c>
    </row>
    <row r="10753" spans="1:3" ht="13.5" thickBot="1" x14ac:dyDescent="0.25">
      <c r="A10753" s="3">
        <v>1499</v>
      </c>
      <c r="B10753" s="28"/>
      <c r="C10753" s="3" t="s">
        <v>3</v>
      </c>
    </row>
    <row r="10754" spans="1:3" ht="13.5" thickBot="1" x14ac:dyDescent="0.25">
      <c r="A10754" s="3">
        <v>3911</v>
      </c>
      <c r="B10754" s="28"/>
      <c r="C10754" s="3" t="s">
        <v>4</v>
      </c>
    </row>
    <row r="10755" spans="1:3" ht="13.5" thickBot="1" x14ac:dyDescent="0.25">
      <c r="A10755" s="3">
        <v>6631</v>
      </c>
      <c r="B10755" s="28"/>
      <c r="C10755" s="3" t="s">
        <v>6</v>
      </c>
    </row>
    <row r="10756" spans="1:3" ht="13.5" thickBot="1" x14ac:dyDescent="0.25">
      <c r="A10756" s="3">
        <v>1129</v>
      </c>
      <c r="B10756" s="28"/>
      <c r="C10756" s="3" t="s">
        <v>7</v>
      </c>
    </row>
    <row r="10757" spans="1:3" ht="13.5" thickBot="1" x14ac:dyDescent="0.25">
      <c r="A10757" s="3">
        <v>7812</v>
      </c>
      <c r="B10757" s="28"/>
      <c r="C10757" s="3" t="s">
        <v>5</v>
      </c>
    </row>
    <row r="10758" spans="1:3" ht="13.5" thickBot="1" x14ac:dyDescent="0.25">
      <c r="A10758" s="3">
        <v>5739</v>
      </c>
      <c r="B10758" s="28"/>
      <c r="C10758" s="3" t="s">
        <v>5</v>
      </c>
    </row>
    <row r="10759" spans="1:3" ht="13.5" thickBot="1" x14ac:dyDescent="0.25">
      <c r="A10759" s="3">
        <v>2179</v>
      </c>
      <c r="B10759" s="28"/>
      <c r="C10759" s="3" t="s">
        <v>5</v>
      </c>
    </row>
    <row r="10760" spans="1:3" ht="13.5" thickBot="1" x14ac:dyDescent="0.25">
      <c r="A10760" s="3">
        <v>4302</v>
      </c>
      <c r="B10760" s="28"/>
      <c r="C10760" s="3" t="s">
        <v>3</v>
      </c>
    </row>
    <row r="10761" spans="1:3" ht="13.5" thickBot="1" x14ac:dyDescent="0.25">
      <c r="A10761" s="3">
        <v>6324</v>
      </c>
      <c r="B10761" s="28"/>
      <c r="C10761" s="3" t="s">
        <v>4</v>
      </c>
    </row>
    <row r="10762" spans="1:3" ht="13.5" thickBot="1" x14ac:dyDescent="0.25">
      <c r="A10762" s="3">
        <v>5834</v>
      </c>
      <c r="B10762" s="28"/>
      <c r="C10762" s="3" t="s">
        <v>4</v>
      </c>
    </row>
    <row r="10763" spans="1:3" ht="13.5" thickBot="1" x14ac:dyDescent="0.25">
      <c r="A10763" s="3">
        <v>459</v>
      </c>
      <c r="B10763" s="28"/>
      <c r="C10763" s="3" t="s">
        <v>3</v>
      </c>
    </row>
    <row r="10764" spans="1:3" ht="13.5" thickBot="1" x14ac:dyDescent="0.25">
      <c r="A10764" s="3">
        <v>562</v>
      </c>
      <c r="B10764" s="28"/>
      <c r="C10764" s="3" t="s">
        <v>7</v>
      </c>
    </row>
    <row r="10765" spans="1:3" ht="13.5" thickBot="1" x14ac:dyDescent="0.25">
      <c r="A10765" s="3">
        <v>6166</v>
      </c>
      <c r="B10765" s="28"/>
      <c r="C10765" s="3" t="s">
        <v>6</v>
      </c>
    </row>
    <row r="10766" spans="1:3" ht="13.5" thickBot="1" x14ac:dyDescent="0.25">
      <c r="A10766" s="3">
        <v>5426</v>
      </c>
      <c r="B10766" s="28"/>
      <c r="C10766" s="3" t="s">
        <v>7</v>
      </c>
    </row>
    <row r="10767" spans="1:3" ht="13.5" thickBot="1" x14ac:dyDescent="0.25">
      <c r="A10767" s="3">
        <v>6271</v>
      </c>
      <c r="B10767" s="28"/>
      <c r="C10767" s="3" t="s">
        <v>4</v>
      </c>
    </row>
    <row r="10768" spans="1:3" ht="13.5" thickBot="1" x14ac:dyDescent="0.25">
      <c r="A10768" s="3">
        <v>4039</v>
      </c>
      <c r="B10768" s="28"/>
      <c r="C10768" s="3" t="s">
        <v>3</v>
      </c>
    </row>
    <row r="10769" spans="1:3" ht="13.5" thickBot="1" x14ac:dyDescent="0.25">
      <c r="A10769" s="3">
        <v>4505</v>
      </c>
      <c r="B10769" s="28"/>
      <c r="C10769" s="3" t="s">
        <v>7</v>
      </c>
    </row>
    <row r="10770" spans="1:3" ht="13.5" thickBot="1" x14ac:dyDescent="0.25">
      <c r="A10770" s="3">
        <v>6051</v>
      </c>
      <c r="B10770" s="28"/>
      <c r="C10770" s="3" t="s">
        <v>3</v>
      </c>
    </row>
    <row r="10771" spans="1:3" ht="13.5" thickBot="1" x14ac:dyDescent="0.25">
      <c r="A10771" s="3">
        <v>843</v>
      </c>
      <c r="B10771" s="28"/>
      <c r="C10771" s="3" t="s">
        <v>3</v>
      </c>
    </row>
    <row r="10772" spans="1:3" ht="13.5" thickBot="1" x14ac:dyDescent="0.25">
      <c r="A10772" s="3">
        <v>7812</v>
      </c>
      <c r="B10772" s="28"/>
      <c r="C10772" s="3" t="s">
        <v>3</v>
      </c>
    </row>
    <row r="10773" spans="1:3" ht="13.5" thickBot="1" x14ac:dyDescent="0.25">
      <c r="A10773" s="3">
        <v>1624</v>
      </c>
      <c r="B10773" s="28"/>
      <c r="C10773" s="3" t="s">
        <v>6</v>
      </c>
    </row>
    <row r="10774" spans="1:3" ht="13.5" thickBot="1" x14ac:dyDescent="0.25">
      <c r="A10774" s="3">
        <v>966</v>
      </c>
      <c r="B10774" s="28"/>
      <c r="C10774" s="3" t="s">
        <v>6</v>
      </c>
    </row>
    <row r="10775" spans="1:3" ht="13.5" thickBot="1" x14ac:dyDescent="0.25">
      <c r="A10775" s="3">
        <v>96</v>
      </c>
      <c r="B10775" s="28"/>
      <c r="C10775" s="3" t="s">
        <v>4</v>
      </c>
    </row>
    <row r="10776" spans="1:3" ht="13.5" thickBot="1" x14ac:dyDescent="0.25">
      <c r="A10776" s="3">
        <v>5810</v>
      </c>
      <c r="B10776" s="28"/>
      <c r="C10776" s="3" t="s">
        <v>4</v>
      </c>
    </row>
    <row r="10777" spans="1:3" ht="13.5" thickBot="1" x14ac:dyDescent="0.25">
      <c r="A10777" s="3">
        <v>7608</v>
      </c>
      <c r="B10777" s="28"/>
      <c r="C10777" s="3" t="s">
        <v>4</v>
      </c>
    </row>
    <row r="10778" spans="1:3" ht="13.5" thickBot="1" x14ac:dyDescent="0.25">
      <c r="A10778" s="3">
        <v>4814</v>
      </c>
      <c r="B10778" s="28"/>
      <c r="C10778" s="3" t="s">
        <v>6</v>
      </c>
    </row>
    <row r="10779" spans="1:3" ht="13.5" thickBot="1" x14ac:dyDescent="0.25">
      <c r="A10779" s="3">
        <v>6140</v>
      </c>
      <c r="B10779" s="28"/>
      <c r="C10779" s="3" t="s">
        <v>7</v>
      </c>
    </row>
    <row r="10780" spans="1:3" ht="13.5" thickBot="1" x14ac:dyDescent="0.25">
      <c r="A10780" s="3">
        <v>5834</v>
      </c>
      <c r="B10780" s="28"/>
      <c r="C10780" s="3" t="s">
        <v>5</v>
      </c>
    </row>
    <row r="10781" spans="1:3" ht="13.5" thickBot="1" x14ac:dyDescent="0.25">
      <c r="A10781" s="3">
        <v>4770</v>
      </c>
      <c r="B10781" s="28"/>
      <c r="C10781" s="3" t="s">
        <v>5</v>
      </c>
    </row>
    <row r="10782" spans="1:3" ht="13.5" thickBot="1" x14ac:dyDescent="0.25">
      <c r="A10782" s="3">
        <v>7867</v>
      </c>
      <c r="B10782" s="28"/>
      <c r="C10782" s="3" t="s">
        <v>5</v>
      </c>
    </row>
    <row r="10783" spans="1:3" ht="13.5" thickBot="1" x14ac:dyDescent="0.25">
      <c r="A10783" s="3">
        <v>7279</v>
      </c>
      <c r="B10783" s="28"/>
      <c r="C10783" s="3" t="s">
        <v>5</v>
      </c>
    </row>
    <row r="10784" spans="1:3" ht="13.5" thickBot="1" x14ac:dyDescent="0.25">
      <c r="A10784" s="3">
        <v>5771</v>
      </c>
      <c r="B10784" s="28"/>
      <c r="C10784" s="3" t="s">
        <v>4</v>
      </c>
    </row>
    <row r="10785" spans="1:3" ht="13.5" thickBot="1" x14ac:dyDescent="0.25">
      <c r="A10785" s="3">
        <v>2179</v>
      </c>
      <c r="B10785" s="28"/>
      <c r="C10785" s="3" t="s">
        <v>7</v>
      </c>
    </row>
    <row r="10786" spans="1:3" ht="13.5" thickBot="1" x14ac:dyDescent="0.25">
      <c r="A10786" s="3">
        <v>4617</v>
      </c>
      <c r="B10786" s="28"/>
      <c r="C10786" s="3" t="s">
        <v>3</v>
      </c>
    </row>
    <row r="10787" spans="1:3" ht="13.5" thickBot="1" x14ac:dyDescent="0.25">
      <c r="A10787" s="3">
        <v>3516</v>
      </c>
      <c r="B10787" s="28"/>
      <c r="C10787" s="3" t="s">
        <v>6</v>
      </c>
    </row>
    <row r="10788" spans="1:3" ht="13.5" thickBot="1" x14ac:dyDescent="0.25">
      <c r="A10788" s="3">
        <v>7491</v>
      </c>
      <c r="B10788" s="28"/>
      <c r="C10788" s="3" t="s">
        <v>3</v>
      </c>
    </row>
    <row r="10789" spans="1:3" ht="13.5" thickBot="1" x14ac:dyDescent="0.25">
      <c r="A10789" s="3">
        <v>6030</v>
      </c>
      <c r="B10789" s="28"/>
      <c r="C10789" s="3" t="s">
        <v>3</v>
      </c>
    </row>
    <row r="10790" spans="1:3" ht="13.5" thickBot="1" x14ac:dyDescent="0.25">
      <c r="A10790" s="3">
        <v>4696</v>
      </c>
      <c r="B10790" s="28"/>
      <c r="C10790" s="3" t="s">
        <v>3</v>
      </c>
    </row>
    <row r="10791" spans="1:3" ht="13.5" thickBot="1" x14ac:dyDescent="0.25">
      <c r="A10791" s="3">
        <v>96</v>
      </c>
      <c r="B10791" s="28"/>
      <c r="C10791" s="3" t="s">
        <v>5</v>
      </c>
    </row>
    <row r="10792" spans="1:3" ht="13.5" thickBot="1" x14ac:dyDescent="0.25">
      <c r="A10792" s="3">
        <v>5203</v>
      </c>
      <c r="B10792" s="28"/>
      <c r="C10792" s="3" t="s">
        <v>3</v>
      </c>
    </row>
    <row r="10793" spans="1:3" ht="13.5" thickBot="1" x14ac:dyDescent="0.25">
      <c r="A10793" s="3">
        <v>7879</v>
      </c>
      <c r="B10793" s="28"/>
      <c r="C10793" s="3" t="s">
        <v>4</v>
      </c>
    </row>
    <row r="10794" spans="1:3" ht="13.5" thickBot="1" x14ac:dyDescent="0.25">
      <c r="A10794" s="3">
        <v>4836</v>
      </c>
      <c r="B10794" s="28"/>
      <c r="C10794" s="3" t="s">
        <v>3</v>
      </c>
    </row>
    <row r="10795" spans="1:3" ht="13.5" thickBot="1" x14ac:dyDescent="0.25">
      <c r="A10795" s="3">
        <v>3594</v>
      </c>
      <c r="B10795" s="28"/>
      <c r="C10795" s="3" t="s">
        <v>3</v>
      </c>
    </row>
    <row r="10796" spans="1:3" ht="13.5" thickBot="1" x14ac:dyDescent="0.25">
      <c r="A10796" s="3">
        <v>5739</v>
      </c>
      <c r="B10796" s="28"/>
      <c r="C10796" s="3" t="s">
        <v>7</v>
      </c>
    </row>
    <row r="10797" spans="1:3" ht="13.5" thickBot="1" x14ac:dyDescent="0.25">
      <c r="A10797" s="3">
        <v>2052</v>
      </c>
      <c r="B10797" s="28"/>
      <c r="C10797" s="3" t="s">
        <v>3</v>
      </c>
    </row>
    <row r="10798" spans="1:3" ht="13.5" thickBot="1" x14ac:dyDescent="0.25">
      <c r="A10798" s="3">
        <v>4069</v>
      </c>
      <c r="B10798" s="28"/>
      <c r="C10798" s="3" t="s">
        <v>3</v>
      </c>
    </row>
    <row r="10799" spans="1:3" ht="13.5" thickBot="1" x14ac:dyDescent="0.25">
      <c r="A10799" s="3">
        <v>3492</v>
      </c>
      <c r="B10799" s="28"/>
      <c r="C10799" s="3" t="s">
        <v>4</v>
      </c>
    </row>
    <row r="10800" spans="1:3" ht="13.5" thickBot="1" x14ac:dyDescent="0.25">
      <c r="A10800" s="3">
        <v>7190</v>
      </c>
      <c r="B10800" s="28"/>
      <c r="C10800" s="3" t="s">
        <v>3</v>
      </c>
    </row>
    <row r="10801" spans="1:3" ht="13.5" thickBot="1" x14ac:dyDescent="0.25">
      <c r="A10801" s="3">
        <v>3146</v>
      </c>
      <c r="B10801" s="28"/>
      <c r="C10801" s="3" t="s">
        <v>7</v>
      </c>
    </row>
    <row r="10802" spans="1:3" ht="13.5" thickBot="1" x14ac:dyDescent="0.25">
      <c r="A10802" s="3">
        <v>5691</v>
      </c>
      <c r="B10802" s="28"/>
      <c r="C10802" s="3" t="s">
        <v>3</v>
      </c>
    </row>
    <row r="10803" spans="1:3" ht="13.5" thickBot="1" x14ac:dyDescent="0.25">
      <c r="A10803" s="3">
        <v>2617</v>
      </c>
      <c r="B10803" s="28"/>
      <c r="C10803" s="3" t="s">
        <v>3</v>
      </c>
    </row>
    <row r="10804" spans="1:3" ht="13.5" thickBot="1" x14ac:dyDescent="0.25">
      <c r="A10804" s="3">
        <v>4016</v>
      </c>
      <c r="B10804" s="28"/>
      <c r="C10804" s="3" t="s">
        <v>3</v>
      </c>
    </row>
    <row r="10805" spans="1:3" ht="13.5" thickBot="1" x14ac:dyDescent="0.25">
      <c r="A10805" s="3">
        <v>4619</v>
      </c>
      <c r="B10805" s="28"/>
      <c r="C10805" s="3" t="s">
        <v>3</v>
      </c>
    </row>
    <row r="10806" spans="1:3" ht="13.5" thickBot="1" x14ac:dyDescent="0.25">
      <c r="A10806" s="3">
        <v>7925</v>
      </c>
      <c r="B10806" s="28"/>
      <c r="C10806" s="3" t="s">
        <v>5</v>
      </c>
    </row>
    <row r="10807" spans="1:3" ht="13.5" thickBot="1" x14ac:dyDescent="0.25">
      <c r="A10807" s="3">
        <v>555</v>
      </c>
      <c r="B10807" s="28"/>
      <c r="C10807" s="3" t="s">
        <v>6</v>
      </c>
    </row>
    <row r="10808" spans="1:3" ht="13.5" thickBot="1" x14ac:dyDescent="0.25">
      <c r="A10808" s="3">
        <v>6422</v>
      </c>
      <c r="B10808" s="28"/>
      <c r="C10808" s="3" t="s">
        <v>7</v>
      </c>
    </row>
    <row r="10809" spans="1:3" ht="13.5" thickBot="1" x14ac:dyDescent="0.25">
      <c r="A10809" s="3">
        <v>5431</v>
      </c>
      <c r="B10809" s="28"/>
      <c r="C10809" s="3" t="s">
        <v>6</v>
      </c>
    </row>
    <row r="10810" spans="1:3" ht="13.5" thickBot="1" x14ac:dyDescent="0.25">
      <c r="A10810" s="3">
        <v>6056</v>
      </c>
      <c r="B10810" s="28"/>
      <c r="C10810" s="3" t="s">
        <v>6</v>
      </c>
    </row>
    <row r="10811" spans="1:3" ht="13.5" thickBot="1" x14ac:dyDescent="0.25">
      <c r="A10811" s="3">
        <v>6886</v>
      </c>
      <c r="B10811" s="28"/>
      <c r="C10811" s="3" t="s">
        <v>3</v>
      </c>
    </row>
    <row r="10812" spans="1:3" ht="13.5" thickBot="1" x14ac:dyDescent="0.25">
      <c r="A10812" s="3">
        <v>4302</v>
      </c>
      <c r="B10812" s="28"/>
      <c r="C10812" s="3" t="s">
        <v>6</v>
      </c>
    </row>
    <row r="10813" spans="1:3" ht="13.5" thickBot="1" x14ac:dyDescent="0.25">
      <c r="A10813" s="3">
        <v>2508</v>
      </c>
      <c r="B10813" s="28"/>
      <c r="C10813" s="3" t="s">
        <v>3</v>
      </c>
    </row>
    <row r="10814" spans="1:3" ht="13.5" thickBot="1" x14ac:dyDescent="0.25">
      <c r="A10814" s="3">
        <v>4535</v>
      </c>
      <c r="B10814" s="28"/>
      <c r="C10814" s="3" t="s">
        <v>4</v>
      </c>
    </row>
    <row r="10815" spans="1:3" ht="13.5" thickBot="1" x14ac:dyDescent="0.25">
      <c r="A10815" s="3">
        <v>7867</v>
      </c>
      <c r="B10815" s="28"/>
      <c r="C10815" s="3" t="s">
        <v>3</v>
      </c>
    </row>
    <row r="10816" spans="1:3" ht="13.5" thickBot="1" x14ac:dyDescent="0.25">
      <c r="A10816" s="3">
        <v>7491</v>
      </c>
      <c r="B10816" s="28"/>
      <c r="C10816" s="3" t="s">
        <v>4</v>
      </c>
    </row>
    <row r="10817" spans="1:3" ht="13.5" thickBot="1" x14ac:dyDescent="0.25">
      <c r="A10817" s="3">
        <v>5203</v>
      </c>
      <c r="B10817" s="28"/>
      <c r="C10817" s="3" t="s">
        <v>5</v>
      </c>
    </row>
    <row r="10818" spans="1:3" ht="13.5" thickBot="1" x14ac:dyDescent="0.25">
      <c r="A10818" s="3">
        <v>5365</v>
      </c>
      <c r="B10818" s="28"/>
      <c r="C10818" s="3" t="s">
        <v>3</v>
      </c>
    </row>
    <row r="10819" spans="1:3" ht="13.5" thickBot="1" x14ac:dyDescent="0.25">
      <c r="A10819" s="3">
        <v>4353</v>
      </c>
      <c r="B10819" s="28"/>
      <c r="C10819" s="3" t="s">
        <v>6</v>
      </c>
    </row>
    <row r="10820" spans="1:3" ht="13.5" thickBot="1" x14ac:dyDescent="0.25">
      <c r="A10820" s="3">
        <v>2541</v>
      </c>
      <c r="B10820" s="28"/>
      <c r="C10820" s="3" t="s">
        <v>3</v>
      </c>
    </row>
    <row r="10821" spans="1:3" ht="13.5" thickBot="1" x14ac:dyDescent="0.25">
      <c r="A10821" s="3">
        <v>7435</v>
      </c>
      <c r="B10821" s="28"/>
      <c r="C10821" s="3" t="s">
        <v>3</v>
      </c>
    </row>
    <row r="10822" spans="1:3" ht="13.5" thickBot="1" x14ac:dyDescent="0.25">
      <c r="A10822" s="3">
        <v>3492</v>
      </c>
      <c r="B10822" s="28"/>
      <c r="C10822" s="3" t="s">
        <v>3</v>
      </c>
    </row>
    <row r="10823" spans="1:3" ht="13.5" thickBot="1" x14ac:dyDescent="0.25">
      <c r="A10823" s="3">
        <v>2607</v>
      </c>
      <c r="B10823" s="28"/>
      <c r="C10823" s="3" t="s">
        <v>3</v>
      </c>
    </row>
    <row r="10824" spans="1:3" ht="13.5" thickBot="1" x14ac:dyDescent="0.25">
      <c r="A10824" s="3">
        <v>5771</v>
      </c>
      <c r="B10824" s="28"/>
      <c r="C10824" s="3" t="s">
        <v>3</v>
      </c>
    </row>
    <row r="10825" spans="1:3" ht="13.5" thickBot="1" x14ac:dyDescent="0.25">
      <c r="A10825" s="3">
        <v>6051</v>
      </c>
      <c r="B10825" s="28"/>
      <c r="C10825" s="3" t="s">
        <v>4</v>
      </c>
    </row>
    <row r="10826" spans="1:3" ht="13.5" thickBot="1" x14ac:dyDescent="0.25">
      <c r="A10826" s="3">
        <v>5220</v>
      </c>
      <c r="B10826" s="28"/>
      <c r="C10826" s="3" t="s">
        <v>3</v>
      </c>
    </row>
    <row r="10827" spans="1:3" ht="13.5" thickBot="1" x14ac:dyDescent="0.25">
      <c r="A10827" s="3">
        <v>2869</v>
      </c>
      <c r="B10827" s="28"/>
      <c r="C10827" s="3" t="s">
        <v>3</v>
      </c>
    </row>
    <row r="10828" spans="1:3" ht="13.5" thickBot="1" x14ac:dyDescent="0.25">
      <c r="A10828" s="3">
        <v>2699</v>
      </c>
      <c r="B10828" s="28"/>
      <c r="C10828" s="3" t="s">
        <v>4</v>
      </c>
    </row>
    <row r="10829" spans="1:3" ht="13.5" thickBot="1" x14ac:dyDescent="0.25">
      <c r="A10829" s="3">
        <v>7925</v>
      </c>
      <c r="B10829" s="28"/>
      <c r="C10829" s="3" t="s">
        <v>3</v>
      </c>
    </row>
    <row r="10830" spans="1:3" ht="13.5" thickBot="1" x14ac:dyDescent="0.25">
      <c r="A10830" s="3">
        <v>2836</v>
      </c>
      <c r="B10830" s="28"/>
      <c r="C10830" s="3" t="s">
        <v>7</v>
      </c>
    </row>
    <row r="10831" spans="1:3" ht="13.5" thickBot="1" x14ac:dyDescent="0.25">
      <c r="A10831" s="3">
        <v>2621</v>
      </c>
      <c r="B10831" s="28"/>
      <c r="C10831" s="3" t="s">
        <v>3</v>
      </c>
    </row>
    <row r="10832" spans="1:3" ht="13.5" thickBot="1" x14ac:dyDescent="0.25">
      <c r="A10832" s="3">
        <v>5459</v>
      </c>
      <c r="B10832" s="28"/>
      <c r="C10832" s="3" t="s">
        <v>6</v>
      </c>
    </row>
    <row r="10833" spans="1:3" ht="13.5" thickBot="1" x14ac:dyDescent="0.25">
      <c r="A10833" s="3">
        <v>1751</v>
      </c>
      <c r="B10833" s="28"/>
      <c r="C10833" s="3" t="s">
        <v>3</v>
      </c>
    </row>
    <row r="10834" spans="1:3" ht="13.5" thickBot="1" x14ac:dyDescent="0.25">
      <c r="A10834" s="3">
        <v>3463</v>
      </c>
      <c r="B10834" s="28"/>
      <c r="C10834" s="3" t="s">
        <v>3</v>
      </c>
    </row>
    <row r="10835" spans="1:3" ht="13.5" thickBot="1" x14ac:dyDescent="0.25">
      <c r="A10835" s="3">
        <v>1817</v>
      </c>
      <c r="B10835" s="28"/>
      <c r="C10835" s="3" t="s">
        <v>3</v>
      </c>
    </row>
    <row r="10836" spans="1:3" ht="13.5" thickBot="1" x14ac:dyDescent="0.25">
      <c r="A10836" s="3">
        <v>7732</v>
      </c>
      <c r="B10836" s="28"/>
      <c r="C10836" s="3" t="s">
        <v>3</v>
      </c>
    </row>
    <row r="10837" spans="1:3" ht="13.5" thickBot="1" x14ac:dyDescent="0.25">
      <c r="A10837" s="3">
        <v>3405</v>
      </c>
      <c r="B10837" s="28"/>
      <c r="C10837" s="3" t="s">
        <v>5</v>
      </c>
    </row>
    <row r="10838" spans="1:3" ht="13.5" thickBot="1" x14ac:dyDescent="0.25">
      <c r="A10838" s="3">
        <v>6347</v>
      </c>
      <c r="B10838" s="28"/>
      <c r="C10838" s="3" t="s">
        <v>3</v>
      </c>
    </row>
    <row r="10839" spans="1:3" ht="13.5" thickBot="1" x14ac:dyDescent="0.25">
      <c r="A10839" s="3">
        <v>2165</v>
      </c>
      <c r="B10839" s="28"/>
      <c r="C10839" s="3" t="s">
        <v>6</v>
      </c>
    </row>
    <row r="10840" spans="1:3" ht="13.5" thickBot="1" x14ac:dyDescent="0.25">
      <c r="A10840" s="3">
        <v>7141</v>
      </c>
      <c r="B10840" s="28"/>
      <c r="C10840" s="3" t="s">
        <v>3</v>
      </c>
    </row>
    <row r="10841" spans="1:3" ht="13.5" thickBot="1" x14ac:dyDescent="0.25">
      <c r="A10841" s="3">
        <v>4418</v>
      </c>
      <c r="B10841" s="28"/>
      <c r="C10841" s="3" t="s">
        <v>5</v>
      </c>
    </row>
    <row r="10842" spans="1:3" ht="13.5" thickBot="1" x14ac:dyDescent="0.25">
      <c r="A10842" s="3">
        <v>4982</v>
      </c>
      <c r="B10842" s="28"/>
      <c r="C10842" s="3" t="s">
        <v>3</v>
      </c>
    </row>
    <row r="10843" spans="1:3" ht="13.5" thickBot="1" x14ac:dyDescent="0.25">
      <c r="A10843" s="3">
        <v>1551</v>
      </c>
      <c r="B10843" s="28"/>
      <c r="C10843" s="3" t="s">
        <v>6</v>
      </c>
    </row>
    <row r="10844" spans="1:3" ht="13.5" thickBot="1" x14ac:dyDescent="0.25">
      <c r="A10844" s="3">
        <v>3047</v>
      </c>
      <c r="B10844" s="28"/>
      <c r="C10844" s="3" t="s">
        <v>3</v>
      </c>
    </row>
    <row r="10845" spans="1:3" ht="13.5" thickBot="1" x14ac:dyDescent="0.25">
      <c r="A10845" s="3">
        <v>843</v>
      </c>
      <c r="B10845" s="28"/>
      <c r="C10845" s="3" t="s">
        <v>6</v>
      </c>
    </row>
    <row r="10846" spans="1:3" ht="13.5" thickBot="1" x14ac:dyDescent="0.25">
      <c r="A10846" s="3">
        <v>6557</v>
      </c>
      <c r="B10846" s="28"/>
      <c r="C10846" s="3" t="s">
        <v>3</v>
      </c>
    </row>
    <row r="10847" spans="1:3" ht="13.5" thickBot="1" x14ac:dyDescent="0.25">
      <c r="A10847" s="3">
        <v>6056</v>
      </c>
      <c r="B10847" s="28"/>
      <c r="C10847" s="3" t="s">
        <v>4</v>
      </c>
    </row>
    <row r="10848" spans="1:3" ht="13.5" thickBot="1" x14ac:dyDescent="0.25">
      <c r="A10848" s="3">
        <v>2666</v>
      </c>
      <c r="B10848" s="28"/>
      <c r="C10848" s="3" t="s">
        <v>3</v>
      </c>
    </row>
    <row r="10849" spans="1:3" ht="13.5" thickBot="1" x14ac:dyDescent="0.25">
      <c r="A10849" s="3">
        <v>6271</v>
      </c>
      <c r="B10849" s="28"/>
      <c r="C10849" s="3" t="s">
        <v>7</v>
      </c>
    </row>
    <row r="10850" spans="1:3" ht="13.5" thickBot="1" x14ac:dyDescent="0.25">
      <c r="A10850" s="3">
        <v>4473</v>
      </c>
      <c r="B10850" s="28"/>
      <c r="C10850" s="3" t="s">
        <v>4</v>
      </c>
    </row>
    <row r="10851" spans="1:3" ht="13.5" thickBot="1" x14ac:dyDescent="0.25">
      <c r="A10851" s="3">
        <v>3405</v>
      </c>
      <c r="B10851" s="28"/>
      <c r="C10851" s="3" t="s">
        <v>6</v>
      </c>
    </row>
    <row r="10852" spans="1:3" ht="13.5" thickBot="1" x14ac:dyDescent="0.25">
      <c r="A10852" s="3">
        <v>7879</v>
      </c>
      <c r="B10852" s="28"/>
      <c r="C10852" s="3" t="s">
        <v>5</v>
      </c>
    </row>
    <row r="10853" spans="1:3" ht="13.5" thickBot="1" x14ac:dyDescent="0.25">
      <c r="A10853" s="3">
        <v>6211</v>
      </c>
      <c r="B10853" s="28"/>
      <c r="C10853" s="3" t="s">
        <v>7</v>
      </c>
    </row>
    <row r="10854" spans="1:3" ht="13.5" thickBot="1" x14ac:dyDescent="0.25">
      <c r="A10854" s="3">
        <v>6140</v>
      </c>
      <c r="B10854" s="28"/>
      <c r="C10854" s="3" t="s">
        <v>5</v>
      </c>
    </row>
    <row r="10855" spans="1:3" ht="13.5" thickBot="1" x14ac:dyDescent="0.25">
      <c r="A10855" s="3">
        <v>7812</v>
      </c>
      <c r="B10855" s="28"/>
      <c r="C10855" s="3" t="s">
        <v>4</v>
      </c>
    </row>
    <row r="10856" spans="1:3" ht="13.5" thickBot="1" x14ac:dyDescent="0.25">
      <c r="A10856" s="3">
        <v>7023</v>
      </c>
      <c r="B10856" s="28"/>
      <c r="C10856" s="3" t="s">
        <v>3</v>
      </c>
    </row>
    <row r="10857" spans="1:3" ht="13.5" thickBot="1" x14ac:dyDescent="0.25">
      <c r="A10857" s="3">
        <v>5777</v>
      </c>
      <c r="B10857" s="28"/>
      <c r="C10857" s="3" t="s">
        <v>3</v>
      </c>
    </row>
    <row r="10858" spans="1:3" ht="13.5" thickBot="1" x14ac:dyDescent="0.25">
      <c r="A10858" s="3">
        <v>1499</v>
      </c>
      <c r="B10858" s="28"/>
      <c r="C10858" s="3" t="s">
        <v>5</v>
      </c>
    </row>
    <row r="10859" spans="1:3" ht="13.5" thickBot="1" x14ac:dyDescent="0.25">
      <c r="A10859" s="3">
        <v>6889</v>
      </c>
      <c r="B10859" s="28"/>
      <c r="C10859" s="3" t="s">
        <v>3</v>
      </c>
    </row>
    <row r="10860" spans="1:3" ht="13.5" thickBot="1" x14ac:dyDescent="0.25">
      <c r="A10860" s="3">
        <v>6437</v>
      </c>
      <c r="B10860" s="28"/>
      <c r="C10860" s="3" t="s">
        <v>3</v>
      </c>
    </row>
    <row r="10861" spans="1:3" ht="13.5" thickBot="1" x14ac:dyDescent="0.25">
      <c r="A10861" s="3">
        <v>5203</v>
      </c>
      <c r="B10861" s="28"/>
      <c r="C10861" s="3" t="s">
        <v>4</v>
      </c>
    </row>
    <row r="10862" spans="1:3" ht="13.5" thickBot="1" x14ac:dyDescent="0.25">
      <c r="A10862" s="3">
        <v>6214</v>
      </c>
      <c r="B10862" s="28"/>
      <c r="C10862" s="3" t="s">
        <v>5</v>
      </c>
    </row>
    <row r="10863" spans="1:3" ht="13.5" thickBot="1" x14ac:dyDescent="0.25">
      <c r="A10863" s="3">
        <v>4982</v>
      </c>
      <c r="B10863" s="28"/>
      <c r="C10863" s="3" t="s">
        <v>6</v>
      </c>
    </row>
    <row r="10864" spans="1:3" ht="13.5" thickBot="1" x14ac:dyDescent="0.25">
      <c r="A10864" s="3">
        <v>2056</v>
      </c>
      <c r="B10864" s="28"/>
      <c r="C10864" s="3" t="s">
        <v>3</v>
      </c>
    </row>
    <row r="10865" spans="1:3" ht="13.5" thickBot="1" x14ac:dyDescent="0.25">
      <c r="A10865" s="3">
        <v>1834</v>
      </c>
      <c r="B10865" s="28"/>
      <c r="C10865" s="3" t="s">
        <v>3</v>
      </c>
    </row>
    <row r="10866" spans="1:3" ht="13.5" thickBot="1" x14ac:dyDescent="0.25">
      <c r="A10866" s="3">
        <v>7732</v>
      </c>
      <c r="B10866" s="28"/>
      <c r="C10866" s="3" t="s">
        <v>4</v>
      </c>
    </row>
    <row r="10867" spans="1:3" ht="13.5" thickBot="1" x14ac:dyDescent="0.25">
      <c r="A10867" s="3">
        <v>6513</v>
      </c>
      <c r="B10867" s="28"/>
      <c r="C10867" s="3" t="s">
        <v>3</v>
      </c>
    </row>
    <row r="10868" spans="1:3" ht="13.5" thickBot="1" x14ac:dyDescent="0.25">
      <c r="A10868" s="3">
        <v>5365</v>
      </c>
      <c r="B10868" s="28"/>
      <c r="C10868" s="3" t="s">
        <v>7</v>
      </c>
    </row>
    <row r="10869" spans="1:3" ht="13.5" thickBot="1" x14ac:dyDescent="0.25">
      <c r="A10869" s="3">
        <v>4292</v>
      </c>
      <c r="B10869" s="28"/>
      <c r="C10869" s="3" t="s">
        <v>3</v>
      </c>
    </row>
    <row r="10870" spans="1:3" ht="13.5" thickBot="1" x14ac:dyDescent="0.25">
      <c r="A10870" s="3">
        <v>5834</v>
      </c>
      <c r="B10870" s="28"/>
      <c r="C10870" s="3" t="s">
        <v>7</v>
      </c>
    </row>
    <row r="10871" spans="1:3" ht="13.5" thickBot="1" x14ac:dyDescent="0.25">
      <c r="A10871" s="3">
        <v>6211</v>
      </c>
      <c r="B10871" s="28"/>
      <c r="C10871" s="3" t="s">
        <v>6</v>
      </c>
    </row>
    <row r="10872" spans="1:3" ht="13.5" thickBot="1" x14ac:dyDescent="0.25">
      <c r="A10872" s="3">
        <v>3398</v>
      </c>
      <c r="B10872" s="28"/>
      <c r="C10872" s="3" t="s">
        <v>3</v>
      </c>
    </row>
    <row r="10873" spans="1:3" ht="13.5" thickBot="1" x14ac:dyDescent="0.25">
      <c r="A10873" s="3">
        <v>5439</v>
      </c>
      <c r="B10873" s="28"/>
      <c r="C10873" s="3" t="s">
        <v>3</v>
      </c>
    </row>
    <row r="10874" spans="1:3" ht="13.5" thickBot="1" x14ac:dyDescent="0.25">
      <c r="A10874" s="3">
        <v>1104</v>
      </c>
      <c r="B10874" s="28"/>
      <c r="C10874" s="3" t="s">
        <v>3</v>
      </c>
    </row>
    <row r="10875" spans="1:3" ht="13.5" thickBot="1" x14ac:dyDescent="0.25">
      <c r="A10875" s="3">
        <v>3598</v>
      </c>
      <c r="B10875" s="28"/>
      <c r="C10875" s="3" t="s">
        <v>3</v>
      </c>
    </row>
    <row r="10876" spans="1:3" ht="13.5" thickBot="1" x14ac:dyDescent="0.25">
      <c r="A10876" s="3">
        <v>2541</v>
      </c>
      <c r="B10876" s="28"/>
      <c r="C10876" s="3" t="s">
        <v>4</v>
      </c>
    </row>
    <row r="10877" spans="1:3" ht="13.5" thickBot="1" x14ac:dyDescent="0.25">
      <c r="A10877" s="3">
        <v>3107</v>
      </c>
      <c r="B10877" s="28"/>
      <c r="C10877" s="3" t="s">
        <v>3</v>
      </c>
    </row>
    <row r="10878" spans="1:3" ht="13.5" thickBot="1" x14ac:dyDescent="0.25">
      <c r="A10878" s="3">
        <v>1124</v>
      </c>
      <c r="B10878" s="28"/>
      <c r="C10878" s="3" t="s">
        <v>3</v>
      </c>
    </row>
    <row r="10879" spans="1:3" ht="13.5" thickBot="1" x14ac:dyDescent="0.25">
      <c r="A10879" s="3">
        <v>6077</v>
      </c>
      <c r="B10879" s="28"/>
      <c r="C10879" s="3" t="s">
        <v>6</v>
      </c>
    </row>
    <row r="10880" spans="1:3" ht="13.5" thickBot="1" x14ac:dyDescent="0.25">
      <c r="A10880" s="3">
        <v>1124</v>
      </c>
      <c r="B10880" s="28"/>
      <c r="C10880" s="3" t="s">
        <v>4</v>
      </c>
    </row>
    <row r="10881" spans="1:3" ht="13.5" thickBot="1" x14ac:dyDescent="0.25">
      <c r="A10881" s="3">
        <v>3492</v>
      </c>
      <c r="B10881" s="28"/>
      <c r="C10881" s="3" t="s">
        <v>7</v>
      </c>
    </row>
    <row r="10882" spans="1:3" ht="13.5" thickBot="1" x14ac:dyDescent="0.25">
      <c r="A10882" s="3">
        <v>4103</v>
      </c>
      <c r="B10882" s="28"/>
      <c r="C10882" s="3" t="s">
        <v>6</v>
      </c>
    </row>
    <row r="10883" spans="1:3" ht="13.5" thickBot="1" x14ac:dyDescent="0.25">
      <c r="A10883" s="3">
        <v>2100</v>
      </c>
      <c r="B10883" s="28"/>
      <c r="C10883" s="3" t="s">
        <v>3</v>
      </c>
    </row>
    <row r="10884" spans="1:3" ht="13.5" thickBot="1" x14ac:dyDescent="0.25">
      <c r="A10884" s="3">
        <v>5966</v>
      </c>
      <c r="B10884" s="28"/>
      <c r="C10884" s="3" t="s">
        <v>6</v>
      </c>
    </row>
    <row r="10885" spans="1:3" ht="13.5" thickBot="1" x14ac:dyDescent="0.25">
      <c r="A10885" s="3">
        <v>7175</v>
      </c>
      <c r="B10885" s="28"/>
      <c r="C10885" s="3" t="s">
        <v>3</v>
      </c>
    </row>
    <row r="10886" spans="1:3" ht="13.5" thickBot="1" x14ac:dyDescent="0.25">
      <c r="A10886" s="3">
        <v>4302</v>
      </c>
      <c r="B10886" s="28"/>
      <c r="C10886" s="3" t="s">
        <v>4</v>
      </c>
    </row>
    <row r="10887" spans="1:3" ht="13.5" thickBot="1" x14ac:dyDescent="0.25">
      <c r="A10887" s="3">
        <v>1607</v>
      </c>
      <c r="B10887" s="28"/>
      <c r="C10887" s="3" t="s">
        <v>4</v>
      </c>
    </row>
    <row r="10888" spans="1:3" ht="13.5" thickBot="1" x14ac:dyDescent="0.25">
      <c r="A10888" s="3">
        <v>1607</v>
      </c>
      <c r="B10888" s="28"/>
      <c r="C10888" s="3" t="s">
        <v>3</v>
      </c>
    </row>
    <row r="10889" spans="1:3" ht="13.5" thickBot="1" x14ac:dyDescent="0.25">
      <c r="A10889" s="3">
        <v>4039</v>
      </c>
      <c r="B10889" s="28"/>
      <c r="C10889" s="3" t="s">
        <v>4</v>
      </c>
    </row>
    <row r="10890" spans="1:3" ht="13.5" thickBot="1" x14ac:dyDescent="0.25">
      <c r="A10890" s="3">
        <v>7700</v>
      </c>
      <c r="B10890" s="28"/>
      <c r="C10890" s="3" t="s">
        <v>3</v>
      </c>
    </row>
    <row r="10891" spans="1:3" ht="13.5" thickBot="1" x14ac:dyDescent="0.25">
      <c r="A10891" s="3">
        <v>7163</v>
      </c>
      <c r="B10891" s="28"/>
      <c r="C10891" s="3" t="s">
        <v>7</v>
      </c>
    </row>
    <row r="10892" spans="1:3" ht="13.5" thickBot="1" x14ac:dyDescent="0.25">
      <c r="A10892" s="3">
        <v>6423</v>
      </c>
      <c r="B10892" s="28"/>
      <c r="C10892" s="3" t="s">
        <v>6</v>
      </c>
    </row>
    <row r="10893" spans="1:3" ht="13.5" thickBot="1" x14ac:dyDescent="0.25">
      <c r="A10893" s="3">
        <v>843</v>
      </c>
      <c r="B10893" s="28"/>
      <c r="C10893" s="3" t="s">
        <v>4</v>
      </c>
    </row>
    <row r="10894" spans="1:3" ht="13.5" thickBot="1" x14ac:dyDescent="0.25">
      <c r="A10894" s="3">
        <v>3045</v>
      </c>
      <c r="B10894" s="28"/>
      <c r="C10894" s="3" t="s">
        <v>6</v>
      </c>
    </row>
    <row r="10895" spans="1:3" ht="13.5" thickBot="1" x14ac:dyDescent="0.25">
      <c r="A10895" s="3">
        <v>5305</v>
      </c>
      <c r="B10895" s="28"/>
      <c r="C10895" s="3" t="s">
        <v>3</v>
      </c>
    </row>
    <row r="10896" spans="1:3" ht="13.5" thickBot="1" x14ac:dyDescent="0.25">
      <c r="A10896" s="3">
        <v>6271</v>
      </c>
      <c r="B10896" s="28"/>
      <c r="C10896" s="3" t="s">
        <v>5</v>
      </c>
    </row>
    <row r="10897" spans="1:3" ht="13.5" thickBot="1" x14ac:dyDescent="0.25">
      <c r="A10897" s="3">
        <v>4443</v>
      </c>
      <c r="B10897" s="28"/>
      <c r="C10897" s="3" t="s">
        <v>5</v>
      </c>
    </row>
    <row r="10898" spans="1:3" ht="13.5" thickBot="1" x14ac:dyDescent="0.25">
      <c r="A10898" s="3">
        <v>7871</v>
      </c>
      <c r="B10898" s="28"/>
      <c r="C10898" s="3" t="s">
        <v>3</v>
      </c>
    </row>
    <row r="10899" spans="1:3" ht="13.5" thickBot="1" x14ac:dyDescent="0.25">
      <c r="A10899" s="3">
        <v>7971</v>
      </c>
      <c r="B10899" s="28"/>
      <c r="C10899" s="3" t="s">
        <v>3</v>
      </c>
    </row>
    <row r="10900" spans="1:3" ht="13.5" thickBot="1" x14ac:dyDescent="0.25">
      <c r="A10900" s="3">
        <v>4982</v>
      </c>
      <c r="B10900" s="28"/>
      <c r="C10900" s="3" t="s">
        <v>4</v>
      </c>
    </row>
    <row r="10901" spans="1:3" ht="13.5" thickBot="1" x14ac:dyDescent="0.25">
      <c r="A10901" s="3">
        <v>5006</v>
      </c>
      <c r="B10901" s="28"/>
      <c r="C10901" s="3" t="s">
        <v>3</v>
      </c>
    </row>
    <row r="10902" spans="1:3" ht="13.5" thickBot="1" x14ac:dyDescent="0.25">
      <c r="A10902" s="3">
        <v>6437</v>
      </c>
      <c r="B10902" s="28"/>
      <c r="C10902" s="3" t="s">
        <v>5</v>
      </c>
    </row>
    <row r="10903" spans="1:3" ht="13.5" thickBot="1" x14ac:dyDescent="0.25">
      <c r="A10903" s="3">
        <v>7008</v>
      </c>
      <c r="B10903" s="28"/>
      <c r="C10903" s="3" t="s">
        <v>3</v>
      </c>
    </row>
    <row r="10904" spans="1:3" ht="13.5" thickBot="1" x14ac:dyDescent="0.25">
      <c r="A10904" s="3">
        <v>1104</v>
      </c>
      <c r="B10904" s="28"/>
      <c r="C10904" s="3" t="s">
        <v>5</v>
      </c>
    </row>
    <row r="10905" spans="1:3" ht="13.5" thickBot="1" x14ac:dyDescent="0.25">
      <c r="A10905" s="3">
        <v>5220</v>
      </c>
      <c r="B10905" s="28"/>
      <c r="C10905" s="3" t="s">
        <v>6</v>
      </c>
    </row>
    <row r="10906" spans="1:3" ht="13.5" thickBot="1" x14ac:dyDescent="0.25">
      <c r="A10906" s="3">
        <v>1624</v>
      </c>
      <c r="B10906" s="28"/>
      <c r="C10906" s="3" t="s">
        <v>5</v>
      </c>
    </row>
    <row r="10907" spans="1:3" ht="13.5" thickBot="1" x14ac:dyDescent="0.25">
      <c r="A10907" s="3">
        <v>3047</v>
      </c>
      <c r="B10907" s="28"/>
      <c r="C10907" s="3" t="s">
        <v>4</v>
      </c>
    </row>
    <row r="10908" spans="1:3" ht="13.5" thickBot="1" x14ac:dyDescent="0.25">
      <c r="A10908" s="3">
        <v>5044</v>
      </c>
      <c r="B10908" s="28"/>
      <c r="C10908" s="3" t="s">
        <v>4</v>
      </c>
    </row>
    <row r="10909" spans="1:3" ht="13.5" thickBot="1" x14ac:dyDescent="0.25">
      <c r="A10909" s="3">
        <v>843</v>
      </c>
      <c r="B10909" s="28"/>
      <c r="C10909" s="3" t="s">
        <v>5</v>
      </c>
    </row>
    <row r="10910" spans="1:3" ht="13.5" thickBot="1" x14ac:dyDescent="0.25">
      <c r="A10910" s="3">
        <v>5365</v>
      </c>
      <c r="B10910" s="28"/>
      <c r="C10910" s="3" t="s">
        <v>4</v>
      </c>
    </row>
    <row r="10911" spans="1:3" ht="13.5" thickBot="1" x14ac:dyDescent="0.25">
      <c r="A10911" s="3">
        <v>1848</v>
      </c>
      <c r="B10911" s="28"/>
      <c r="C10911" s="3" t="s">
        <v>3</v>
      </c>
    </row>
    <row r="10912" spans="1:3" ht="13.5" thickBot="1" x14ac:dyDescent="0.25">
      <c r="A10912" s="3">
        <v>5571</v>
      </c>
      <c r="B10912" s="28"/>
      <c r="C10912" s="3" t="s">
        <v>3</v>
      </c>
    </row>
    <row r="10913" spans="1:3" ht="13.5" thickBot="1" x14ac:dyDescent="0.25">
      <c r="A10913" s="3">
        <v>6324</v>
      </c>
      <c r="B10913" s="28"/>
      <c r="C10913" s="3" t="s">
        <v>6</v>
      </c>
    </row>
    <row r="10914" spans="1:3" ht="13.5" thickBot="1" x14ac:dyDescent="0.25">
      <c r="A10914" s="3">
        <v>2650</v>
      </c>
      <c r="B10914" s="28"/>
      <c r="C10914" s="3" t="s">
        <v>3</v>
      </c>
    </row>
    <row r="10915" spans="1:3" ht="13.5" thickBot="1" x14ac:dyDescent="0.25">
      <c r="A10915" s="3">
        <v>4292</v>
      </c>
      <c r="B10915" s="28"/>
      <c r="C10915" s="3" t="s">
        <v>5</v>
      </c>
    </row>
    <row r="10916" spans="1:3" ht="13.5" thickBot="1" x14ac:dyDescent="0.25">
      <c r="A10916" s="3">
        <v>3154</v>
      </c>
      <c r="B10916" s="28"/>
      <c r="C10916" s="3" t="s">
        <v>3</v>
      </c>
    </row>
    <row r="10917" spans="1:3" ht="13.5" thickBot="1" x14ac:dyDescent="0.25">
      <c r="A10917" s="3">
        <v>6982</v>
      </c>
      <c r="B10917" s="28"/>
      <c r="C10917" s="3" t="s">
        <v>6</v>
      </c>
    </row>
    <row r="10918" spans="1:3" ht="13.5" thickBot="1" x14ac:dyDescent="0.25">
      <c r="A10918" s="3">
        <v>5037</v>
      </c>
      <c r="B10918" s="28"/>
      <c r="C10918" s="3" t="s">
        <v>3</v>
      </c>
    </row>
    <row r="10919" spans="1:3" ht="13.5" thickBot="1" x14ac:dyDescent="0.25">
      <c r="A10919" s="3">
        <v>7279</v>
      </c>
      <c r="B10919" s="28"/>
      <c r="C10919" s="3" t="s">
        <v>7</v>
      </c>
    </row>
    <row r="10920" spans="1:3" ht="13.5" thickBot="1" x14ac:dyDescent="0.25">
      <c r="A10920" s="3">
        <v>3985</v>
      </c>
      <c r="B10920" s="28"/>
      <c r="C10920" s="3" t="s">
        <v>3</v>
      </c>
    </row>
    <row r="10921" spans="1:3" ht="13.5" thickBot="1" x14ac:dyDescent="0.25">
      <c r="A10921" s="3">
        <v>5940</v>
      </c>
      <c r="B10921" s="28"/>
      <c r="C10921" s="3" t="s">
        <v>3</v>
      </c>
    </row>
    <row r="10922" spans="1:3" ht="13.5" thickBot="1" x14ac:dyDescent="0.25">
      <c r="A10922" s="3">
        <v>1011</v>
      </c>
      <c r="B10922" s="28"/>
      <c r="C10922" s="3" t="s">
        <v>6</v>
      </c>
    </row>
    <row r="10923" spans="1:3" ht="13.5" thickBot="1" x14ac:dyDescent="0.25">
      <c r="A10923" s="3">
        <v>6886</v>
      </c>
      <c r="B10923" s="28"/>
      <c r="C10923" s="3" t="s">
        <v>7</v>
      </c>
    </row>
    <row r="10924" spans="1:3" ht="13.5" thickBot="1" x14ac:dyDescent="0.25">
      <c r="A10924" s="3">
        <v>2025</v>
      </c>
      <c r="B10924" s="28"/>
      <c r="C10924" s="3" t="s">
        <v>7</v>
      </c>
    </row>
    <row r="10925" spans="1:3" ht="13.5" thickBot="1" x14ac:dyDescent="0.25">
      <c r="A10925" s="3">
        <v>3476</v>
      </c>
      <c r="B10925" s="28"/>
      <c r="C10925" s="3" t="s">
        <v>7</v>
      </c>
    </row>
    <row r="10926" spans="1:3" ht="13.5" thickBot="1" x14ac:dyDescent="0.25">
      <c r="A10926" s="3">
        <v>5365</v>
      </c>
      <c r="B10926" s="28"/>
      <c r="C10926" s="3" t="s">
        <v>5</v>
      </c>
    </row>
    <row r="10927" spans="1:3" ht="13.5" thickBot="1" x14ac:dyDescent="0.25">
      <c r="A10927" s="3">
        <v>6728</v>
      </c>
      <c r="B10927" s="28"/>
      <c r="C10927" s="3" t="s">
        <v>5</v>
      </c>
    </row>
    <row r="10928" spans="1:3" ht="13.5" thickBot="1" x14ac:dyDescent="0.25">
      <c r="A10928" s="3">
        <v>1285</v>
      </c>
      <c r="B10928" s="28"/>
      <c r="C10928" s="3" t="s">
        <v>3</v>
      </c>
    </row>
    <row r="10929" spans="1:3" ht="13.5" thickBot="1" x14ac:dyDescent="0.25">
      <c r="A10929" s="3">
        <v>4619</v>
      </c>
      <c r="B10929" s="28"/>
      <c r="C10929" s="3" t="s">
        <v>5</v>
      </c>
    </row>
    <row r="10930" spans="1:3" ht="13.5" thickBot="1" x14ac:dyDescent="0.25">
      <c r="A10930" s="3">
        <v>5901</v>
      </c>
      <c r="B10930" s="28"/>
      <c r="C10930" s="3" t="s">
        <v>4</v>
      </c>
    </row>
    <row r="10931" spans="1:3" ht="13.5" thickBot="1" x14ac:dyDescent="0.25">
      <c r="A10931" s="3">
        <v>5439</v>
      </c>
      <c r="B10931" s="28"/>
      <c r="C10931" s="3" t="s">
        <v>4</v>
      </c>
    </row>
    <row r="10932" spans="1:3" ht="13.5" thickBot="1" x14ac:dyDescent="0.25">
      <c r="A10932" s="3">
        <v>4302</v>
      </c>
      <c r="B10932" s="28"/>
      <c r="C10932" s="3" t="s">
        <v>7</v>
      </c>
    </row>
    <row r="10933" spans="1:3" ht="13.5" thickBot="1" x14ac:dyDescent="0.25">
      <c r="A10933" s="3">
        <v>4982</v>
      </c>
      <c r="B10933" s="28"/>
      <c r="C10933" s="3" t="s">
        <v>5</v>
      </c>
    </row>
    <row r="10934" spans="1:3" ht="13.5" thickBot="1" x14ac:dyDescent="0.25">
      <c r="A10934" s="3">
        <v>2052</v>
      </c>
      <c r="B10934" s="28"/>
      <c r="C10934" s="3" t="s">
        <v>4</v>
      </c>
    </row>
    <row r="10935" spans="1:3" ht="13.5" thickBot="1" x14ac:dyDescent="0.25">
      <c r="A10935" s="3">
        <v>4619</v>
      </c>
      <c r="B10935" s="28"/>
      <c r="C10935" s="3" t="s">
        <v>4</v>
      </c>
    </row>
    <row r="10936" spans="1:3" ht="13.5" thickBot="1" x14ac:dyDescent="0.25">
      <c r="A10936" s="3">
        <v>2329</v>
      </c>
      <c r="B10936" s="28"/>
      <c r="C10936" s="3" t="s">
        <v>7</v>
      </c>
    </row>
    <row r="10937" spans="1:3" ht="13.5" thickBot="1" x14ac:dyDescent="0.25">
      <c r="A10937" s="3">
        <v>4443</v>
      </c>
      <c r="B10937" s="28"/>
      <c r="C10937" s="3" t="s">
        <v>3</v>
      </c>
    </row>
    <row r="10938" spans="1:3" ht="13.5" thickBot="1" x14ac:dyDescent="0.25">
      <c r="A10938" s="3">
        <v>4297</v>
      </c>
      <c r="B10938" s="28"/>
      <c r="C10938" s="3" t="s">
        <v>6</v>
      </c>
    </row>
    <row r="10939" spans="1:3" ht="13.5" thickBot="1" x14ac:dyDescent="0.25">
      <c r="A10939" s="3">
        <v>3899</v>
      </c>
      <c r="B10939" s="28"/>
      <c r="C10939" s="3" t="s">
        <v>7</v>
      </c>
    </row>
    <row r="10940" spans="1:3" ht="13.5" thickBot="1" x14ac:dyDescent="0.25">
      <c r="A10940" s="3">
        <v>1045</v>
      </c>
      <c r="B10940" s="28"/>
      <c r="C10940" s="3" t="s">
        <v>3</v>
      </c>
    </row>
    <row r="10941" spans="1:3" ht="13.5" thickBot="1" x14ac:dyDescent="0.25">
      <c r="A10941" s="3">
        <v>7883</v>
      </c>
      <c r="B10941" s="28"/>
      <c r="C10941" s="3" t="s">
        <v>3</v>
      </c>
    </row>
    <row r="10942" spans="1:3" ht="13.5" thickBot="1" x14ac:dyDescent="0.25">
      <c r="A10942" s="3">
        <v>1378</v>
      </c>
      <c r="B10942" s="28"/>
      <c r="C10942" s="3" t="s">
        <v>3</v>
      </c>
    </row>
    <row r="10943" spans="1:3" ht="13.5" thickBot="1" x14ac:dyDescent="0.25">
      <c r="A10943" s="3">
        <v>5037</v>
      </c>
      <c r="B10943" s="28"/>
      <c r="C10943" s="3" t="s">
        <v>4</v>
      </c>
    </row>
    <row r="10944" spans="1:3" ht="13.5" thickBot="1" x14ac:dyDescent="0.25">
      <c r="A10944" s="3">
        <v>4443</v>
      </c>
      <c r="B10944" s="28"/>
      <c r="C10944" s="3" t="s">
        <v>4</v>
      </c>
    </row>
    <row r="10945" spans="1:3" ht="13.5" thickBot="1" x14ac:dyDescent="0.25">
      <c r="A10945" s="3">
        <v>7871</v>
      </c>
      <c r="B10945" s="28"/>
      <c r="C10945" s="3" t="s">
        <v>4</v>
      </c>
    </row>
    <row r="10946" spans="1:3" ht="13.5" thickBot="1" x14ac:dyDescent="0.25">
      <c r="A10946" s="3">
        <v>4069</v>
      </c>
      <c r="B10946" s="28"/>
      <c r="C10946" s="3" t="s">
        <v>4</v>
      </c>
    </row>
    <row r="10947" spans="1:3" ht="13.5" thickBot="1" x14ac:dyDescent="0.25">
      <c r="A10947" s="3">
        <v>1512</v>
      </c>
      <c r="B10947" s="28"/>
      <c r="C10947" s="3" t="s">
        <v>6</v>
      </c>
    </row>
    <row r="10948" spans="1:3" ht="13.5" thickBot="1" x14ac:dyDescent="0.25">
      <c r="A10948" s="3">
        <v>3985</v>
      </c>
      <c r="B10948" s="28"/>
      <c r="C10948" s="3" t="s">
        <v>4</v>
      </c>
    </row>
    <row r="10949" spans="1:3" ht="13.5" thickBot="1" x14ac:dyDescent="0.25">
      <c r="A10949" s="3">
        <v>6688</v>
      </c>
      <c r="B10949" s="28"/>
      <c r="C10949" s="3" t="s">
        <v>7</v>
      </c>
    </row>
    <row r="10950" spans="1:3" ht="13.5" thickBot="1" x14ac:dyDescent="0.25">
      <c r="A10950" s="3">
        <v>6324</v>
      </c>
      <c r="B10950" s="28"/>
      <c r="C10950" s="3" t="s">
        <v>7</v>
      </c>
    </row>
    <row r="10951" spans="1:3" ht="13.5" thickBot="1" x14ac:dyDescent="0.25">
      <c r="A10951" s="3">
        <v>1582</v>
      </c>
      <c r="B10951" s="28"/>
      <c r="C10951" s="3" t="s">
        <v>3</v>
      </c>
    </row>
    <row r="10952" spans="1:3" ht="13.5" thickBot="1" x14ac:dyDescent="0.25">
      <c r="A10952" s="3">
        <v>7652</v>
      </c>
      <c r="B10952" s="28"/>
      <c r="C10952" s="3" t="s">
        <v>6</v>
      </c>
    </row>
    <row r="10953" spans="1:3" ht="13.5" thickBot="1" x14ac:dyDescent="0.25">
      <c r="A10953" s="3">
        <v>1801</v>
      </c>
      <c r="B10953" s="28"/>
      <c r="C10953" s="3" t="s">
        <v>3</v>
      </c>
    </row>
    <row r="10954" spans="1:3" ht="13.5" thickBot="1" x14ac:dyDescent="0.25">
      <c r="A10954" s="3">
        <v>6358</v>
      </c>
      <c r="B10954" s="28"/>
      <c r="C10954" s="3" t="s">
        <v>3</v>
      </c>
    </row>
    <row r="10955" spans="1:3" ht="13.5" thickBot="1" x14ac:dyDescent="0.25">
      <c r="A10955" s="3">
        <v>6762</v>
      </c>
      <c r="B10955" s="28"/>
      <c r="C10955" s="3" t="s">
        <v>3</v>
      </c>
    </row>
    <row r="10956" spans="1:3" ht="13.5" thickBot="1" x14ac:dyDescent="0.25">
      <c r="A10956" s="3">
        <v>562</v>
      </c>
      <c r="B10956" s="28"/>
      <c r="C10956" s="3" t="s">
        <v>6</v>
      </c>
    </row>
    <row r="10957" spans="1:3" ht="13.5" thickBot="1" x14ac:dyDescent="0.25">
      <c r="A10957" s="3">
        <v>5949</v>
      </c>
      <c r="B10957" s="28"/>
      <c r="C10957" s="3" t="s">
        <v>3</v>
      </c>
    </row>
    <row r="10958" spans="1:3" ht="13.5" thickBot="1" x14ac:dyDescent="0.25">
      <c r="A10958" s="3">
        <v>4016</v>
      </c>
      <c r="B10958" s="28"/>
      <c r="C10958" s="3" t="s">
        <v>4</v>
      </c>
    </row>
    <row r="10959" spans="1:3" ht="13.5" thickBot="1" x14ac:dyDescent="0.25">
      <c r="A10959" s="3">
        <v>6631</v>
      </c>
      <c r="B10959" s="28"/>
      <c r="C10959" s="3" t="s">
        <v>7</v>
      </c>
    </row>
    <row r="10960" spans="1:3" ht="13.5" thickBot="1" x14ac:dyDescent="0.25">
      <c r="A10960" s="3">
        <v>3504</v>
      </c>
      <c r="B10960" s="28"/>
      <c r="C10960" s="3" t="s">
        <v>4</v>
      </c>
    </row>
    <row r="10961" spans="1:3" ht="13.5" thickBot="1" x14ac:dyDescent="0.25">
      <c r="A10961" s="3">
        <v>6056</v>
      </c>
      <c r="B10961" s="28"/>
      <c r="C10961" s="3" t="s">
        <v>7</v>
      </c>
    </row>
    <row r="10962" spans="1:3" ht="13.5" thickBot="1" x14ac:dyDescent="0.25">
      <c r="A10962" s="3">
        <v>6437</v>
      </c>
      <c r="B10962" s="28"/>
      <c r="C10962" s="3" t="s">
        <v>4</v>
      </c>
    </row>
    <row r="10963" spans="1:3" ht="13.5" thickBot="1" x14ac:dyDescent="0.25">
      <c r="A10963" s="3">
        <v>5627</v>
      </c>
      <c r="B10963" s="28"/>
      <c r="C10963" s="3" t="s">
        <v>3</v>
      </c>
    </row>
    <row r="10964" spans="1:3" ht="13.5" thickBot="1" x14ac:dyDescent="0.25">
      <c r="A10964" s="3">
        <v>1045</v>
      </c>
      <c r="B10964" s="28"/>
      <c r="C10964" s="3" t="s">
        <v>4</v>
      </c>
    </row>
    <row r="10965" spans="1:3" ht="13.5" thickBot="1" x14ac:dyDescent="0.25">
      <c r="A10965" s="3">
        <v>5878</v>
      </c>
      <c r="B10965" s="28"/>
      <c r="C10965" s="3" t="s">
        <v>3</v>
      </c>
    </row>
    <row r="10966" spans="1:3" ht="13.5" thickBot="1" x14ac:dyDescent="0.25">
      <c r="A10966" s="3">
        <v>4443</v>
      </c>
      <c r="B10966" s="28"/>
      <c r="C10966" s="3" t="s">
        <v>6</v>
      </c>
    </row>
    <row r="10967" spans="1:3" ht="13.5" thickBot="1" x14ac:dyDescent="0.25">
      <c r="A10967" s="3">
        <v>7867</v>
      </c>
      <c r="B10967" s="28"/>
      <c r="C10967" s="3" t="s">
        <v>4</v>
      </c>
    </row>
    <row r="10968" spans="1:3" ht="13.5" thickBot="1" x14ac:dyDescent="0.25">
      <c r="A10968" s="3">
        <v>1315</v>
      </c>
      <c r="B10968" s="28"/>
      <c r="C10968" s="3" t="s">
        <v>3</v>
      </c>
    </row>
    <row r="10969" spans="1:3" ht="13.5" thickBot="1" x14ac:dyDescent="0.25">
      <c r="A10969" s="3">
        <v>7175</v>
      </c>
      <c r="B10969" s="28"/>
      <c r="C10969" s="3" t="s">
        <v>5</v>
      </c>
    </row>
    <row r="10970" spans="1:3" ht="13.5" thickBot="1" x14ac:dyDescent="0.25">
      <c r="A10970" s="3">
        <v>744</v>
      </c>
      <c r="B10970" s="28"/>
      <c r="C10970" s="3" t="s">
        <v>3</v>
      </c>
    </row>
    <row r="10971" spans="1:3" ht="13.5" thickBot="1" x14ac:dyDescent="0.25">
      <c r="A10971" s="3">
        <v>7550</v>
      </c>
      <c r="B10971" s="28"/>
      <c r="C10971" s="3" t="s">
        <v>4</v>
      </c>
    </row>
    <row r="10972" spans="1:3" ht="13.5" thickBot="1" x14ac:dyDescent="0.25">
      <c r="A10972" s="3">
        <v>2983</v>
      </c>
      <c r="B10972" s="28"/>
      <c r="C10972" s="3" t="s">
        <v>3</v>
      </c>
    </row>
    <row r="10973" spans="1:3" ht="13.5" thickBot="1" x14ac:dyDescent="0.25">
      <c r="A10973" s="3">
        <v>2650</v>
      </c>
      <c r="B10973" s="28"/>
      <c r="C10973" s="3" t="s">
        <v>4</v>
      </c>
    </row>
    <row r="10974" spans="1:3" ht="13.5" thickBot="1" x14ac:dyDescent="0.25">
      <c r="A10974" s="3">
        <v>143</v>
      </c>
      <c r="B10974" s="28"/>
      <c r="C10974" s="3" t="s">
        <v>4</v>
      </c>
    </row>
    <row r="10975" spans="1:3" ht="13.5" thickBot="1" x14ac:dyDescent="0.25">
      <c r="A10975" s="3">
        <v>6822</v>
      </c>
      <c r="B10975" s="28"/>
      <c r="C10975" s="3" t="s">
        <v>3</v>
      </c>
    </row>
    <row r="10976" spans="1:3" ht="13.5" thickBot="1" x14ac:dyDescent="0.25">
      <c r="A10976" s="3">
        <v>2179</v>
      </c>
      <c r="B10976" s="28"/>
      <c r="C10976" s="3" t="s">
        <v>6</v>
      </c>
    </row>
    <row r="10977" spans="1:3" ht="13.5" thickBot="1" x14ac:dyDescent="0.25">
      <c r="A10977" s="3">
        <v>3985</v>
      </c>
      <c r="B10977" s="28"/>
      <c r="C10977" s="3" t="s">
        <v>5</v>
      </c>
    </row>
    <row r="10978" spans="1:3" ht="13.5" thickBot="1" x14ac:dyDescent="0.25">
      <c r="A10978" s="3">
        <v>1597</v>
      </c>
      <c r="B10978" s="28"/>
      <c r="C10978" s="3" t="s">
        <v>3</v>
      </c>
    </row>
    <row r="10979" spans="1:3" ht="13.5" thickBot="1" x14ac:dyDescent="0.25">
      <c r="A10979" s="3">
        <v>2836</v>
      </c>
      <c r="B10979" s="28"/>
      <c r="C10979" s="3" t="s">
        <v>6</v>
      </c>
    </row>
    <row r="10980" spans="1:3" ht="13.5" thickBot="1" x14ac:dyDescent="0.25">
      <c r="A10980" s="3">
        <v>4290</v>
      </c>
      <c r="B10980" s="28"/>
      <c r="C10980" s="3" t="s">
        <v>3</v>
      </c>
    </row>
    <row r="10981" spans="1:3" ht="13.5" thickBot="1" x14ac:dyDescent="0.25">
      <c r="A10981" s="3">
        <v>3536</v>
      </c>
      <c r="B10981" s="28"/>
      <c r="C10981" s="3" t="s">
        <v>5</v>
      </c>
    </row>
    <row r="10982" spans="1:3" ht="13.5" thickBot="1" x14ac:dyDescent="0.25">
      <c r="A10982" s="3">
        <v>5220</v>
      </c>
      <c r="B10982" s="28"/>
      <c r="C10982" s="3" t="s">
        <v>4</v>
      </c>
    </row>
    <row r="10983" spans="1:3" ht="13.5" thickBot="1" x14ac:dyDescent="0.25">
      <c r="A10983" s="3">
        <v>4696</v>
      </c>
      <c r="B10983" s="28"/>
      <c r="C10983" s="3" t="s">
        <v>4</v>
      </c>
    </row>
    <row r="10984" spans="1:3" ht="13.5" thickBot="1" x14ac:dyDescent="0.25">
      <c r="A10984" s="3">
        <v>6587</v>
      </c>
      <c r="B10984" s="28"/>
      <c r="C10984" s="3" t="s">
        <v>3</v>
      </c>
    </row>
    <row r="10985" spans="1:3" ht="13.5" thickBot="1" x14ac:dyDescent="0.25">
      <c r="A10985" s="3">
        <v>7344</v>
      </c>
      <c r="B10985" s="28"/>
      <c r="C10985" s="3" t="s">
        <v>4</v>
      </c>
    </row>
    <row r="10986" spans="1:3" ht="13.5" thickBot="1" x14ac:dyDescent="0.25">
      <c r="A10986" s="3">
        <v>5365</v>
      </c>
      <c r="B10986" s="28"/>
      <c r="C10986" s="3" t="s">
        <v>6</v>
      </c>
    </row>
    <row r="10987" spans="1:3" ht="13.5" thickBot="1" x14ac:dyDescent="0.25">
      <c r="A10987" s="3">
        <v>5039</v>
      </c>
      <c r="B10987" s="28"/>
      <c r="C10987" s="3" t="s">
        <v>3</v>
      </c>
    </row>
    <row r="10988" spans="1:3" ht="13.5" thickBot="1" x14ac:dyDescent="0.25">
      <c r="A10988" s="3">
        <v>7550</v>
      </c>
      <c r="B10988" s="28"/>
      <c r="C10988" s="3" t="s">
        <v>3</v>
      </c>
    </row>
    <row r="10989" spans="1:3" ht="13.5" thickBot="1" x14ac:dyDescent="0.25">
      <c r="A10989" s="3">
        <v>923</v>
      </c>
      <c r="B10989" s="28"/>
      <c r="C10989" s="3" t="s">
        <v>3</v>
      </c>
    </row>
    <row r="10990" spans="1:3" ht="13.5" thickBot="1" x14ac:dyDescent="0.25">
      <c r="A10990" s="3">
        <v>5691</v>
      </c>
      <c r="B10990" s="28"/>
      <c r="C10990" s="3" t="s">
        <v>4</v>
      </c>
    </row>
    <row r="10991" spans="1:3" ht="13.5" thickBot="1" x14ac:dyDescent="0.25">
      <c r="A10991" s="3">
        <v>6358</v>
      </c>
      <c r="B10991" s="28"/>
      <c r="C10991" s="3" t="s">
        <v>4</v>
      </c>
    </row>
    <row r="10992" spans="1:3" ht="13.5" thickBot="1" x14ac:dyDescent="0.25">
      <c r="A10992" s="3">
        <v>7871</v>
      </c>
      <c r="B10992" s="28"/>
      <c r="C10992" s="3" t="s">
        <v>5</v>
      </c>
    </row>
    <row r="10993" spans="1:3" ht="13.5" thickBot="1" x14ac:dyDescent="0.25">
      <c r="A10993" s="3">
        <v>6631</v>
      </c>
      <c r="B10993" s="28"/>
      <c r="C10993" s="3" t="s">
        <v>5</v>
      </c>
    </row>
    <row r="10994" spans="1:3" ht="13.5" thickBot="1" x14ac:dyDescent="0.25">
      <c r="A10994" s="3">
        <v>2257</v>
      </c>
      <c r="B10994" s="28"/>
      <c r="C10994" s="3" t="s">
        <v>3</v>
      </c>
    </row>
    <row r="10995" spans="1:3" ht="13.5" thickBot="1" x14ac:dyDescent="0.25">
      <c r="A10995" s="3">
        <v>2116</v>
      </c>
      <c r="B10995" s="28"/>
      <c r="C10995" s="3" t="s">
        <v>7</v>
      </c>
    </row>
    <row r="10996" spans="1:3" ht="13.5" thickBot="1" x14ac:dyDescent="0.25">
      <c r="A10996" s="3">
        <v>6187</v>
      </c>
      <c r="B10996" s="28"/>
      <c r="C10996" s="3" t="s">
        <v>3</v>
      </c>
    </row>
    <row r="10997" spans="1:3" ht="13.5" thickBot="1" x14ac:dyDescent="0.25">
      <c r="A10997" s="3">
        <v>6324</v>
      </c>
      <c r="B10997" s="28"/>
      <c r="C10997" s="3" t="s">
        <v>5</v>
      </c>
    </row>
    <row r="10998" spans="1:3" ht="13.5" thickBot="1" x14ac:dyDescent="0.25">
      <c r="A10998" s="3">
        <v>4656</v>
      </c>
      <c r="B10998" s="28"/>
      <c r="C10998" s="3" t="s">
        <v>3</v>
      </c>
    </row>
    <row r="10999" spans="1:3" ht="13.5" thickBot="1" x14ac:dyDescent="0.25">
      <c r="A10999" s="3">
        <v>7368</v>
      </c>
      <c r="B10999" s="28"/>
      <c r="C10999" s="3" t="s">
        <v>4</v>
      </c>
    </row>
    <row r="11000" spans="1:3" ht="13.5" thickBot="1" x14ac:dyDescent="0.25">
      <c r="A11000" s="3">
        <v>3453</v>
      </c>
      <c r="B11000" s="28"/>
      <c r="C11000" s="3" t="s">
        <v>3</v>
      </c>
    </row>
    <row r="11001" spans="1:3" ht="13.5" thickBot="1" x14ac:dyDescent="0.25">
      <c r="A11001" s="3">
        <v>3857</v>
      </c>
      <c r="B11001" s="28"/>
      <c r="C11001" s="3" t="s">
        <v>3</v>
      </c>
    </row>
    <row r="11002" spans="1:3" ht="13.5" thickBot="1" x14ac:dyDescent="0.25">
      <c r="A11002" s="3">
        <v>744</v>
      </c>
      <c r="B11002" s="28"/>
      <c r="C11002" s="3" t="s">
        <v>4</v>
      </c>
    </row>
    <row r="11003" spans="1:3" ht="13.5" thickBot="1" x14ac:dyDescent="0.25">
      <c r="A11003" s="3">
        <v>3107</v>
      </c>
      <c r="B11003" s="28"/>
      <c r="C11003" s="3" t="s">
        <v>4</v>
      </c>
    </row>
    <row r="11004" spans="1:3" ht="13.5" thickBot="1" x14ac:dyDescent="0.25">
      <c r="A11004" s="3">
        <v>7105</v>
      </c>
      <c r="B11004" s="28"/>
      <c r="C11004" s="3" t="s">
        <v>4</v>
      </c>
    </row>
    <row r="11005" spans="1:3" ht="13.5" thickBot="1" x14ac:dyDescent="0.25">
      <c r="A11005" s="3">
        <v>2284</v>
      </c>
      <c r="B11005" s="28"/>
      <c r="C11005" s="3" t="s">
        <v>6</v>
      </c>
    </row>
    <row r="11006" spans="1:3" ht="13.5" thickBot="1" x14ac:dyDescent="0.25">
      <c r="A11006" s="3">
        <v>4418</v>
      </c>
      <c r="B11006" s="28"/>
      <c r="C11006" s="3" t="s">
        <v>7</v>
      </c>
    </row>
    <row r="11007" spans="1:3" ht="13.5" thickBot="1" x14ac:dyDescent="0.25">
      <c r="A11007" s="3">
        <v>3857</v>
      </c>
      <c r="B11007" s="28"/>
      <c r="C11007" s="3" t="s">
        <v>6</v>
      </c>
    </row>
    <row r="11008" spans="1:3" ht="13.5" thickBot="1" x14ac:dyDescent="0.25">
      <c r="A11008" s="3">
        <v>3164</v>
      </c>
      <c r="B11008" s="28"/>
      <c r="C11008" s="3" t="s">
        <v>3</v>
      </c>
    </row>
    <row r="11009" spans="1:3" ht="13.5" thickBot="1" x14ac:dyDescent="0.25">
      <c r="A11009" s="3">
        <v>3112</v>
      </c>
      <c r="B11009" s="28"/>
      <c r="C11009" s="3" t="s">
        <v>3</v>
      </c>
    </row>
    <row r="11010" spans="1:3" ht="13.5" thickBot="1" x14ac:dyDescent="0.25">
      <c r="A11010" s="3">
        <v>4505</v>
      </c>
      <c r="B11010" s="28"/>
      <c r="C11010" s="3" t="s">
        <v>6</v>
      </c>
    </row>
    <row r="11011" spans="1:3" ht="13.5" thickBot="1" x14ac:dyDescent="0.25">
      <c r="A11011" s="3">
        <v>466</v>
      </c>
      <c r="B11011" s="28"/>
      <c r="C11011" s="3" t="s">
        <v>3</v>
      </c>
    </row>
    <row r="11012" spans="1:3" ht="13.5" thickBot="1" x14ac:dyDescent="0.25">
      <c r="A11012" s="3">
        <v>4982</v>
      </c>
      <c r="B11012" s="28"/>
      <c r="C11012" s="3" t="s">
        <v>7</v>
      </c>
    </row>
    <row r="11013" spans="1:3" ht="13.5" thickBot="1" x14ac:dyDescent="0.25">
      <c r="A11013" s="3">
        <v>744</v>
      </c>
      <c r="B11013" s="28"/>
      <c r="C11013" s="3" t="s">
        <v>6</v>
      </c>
    </row>
    <row r="11014" spans="1:3" ht="13.5" thickBot="1" x14ac:dyDescent="0.25">
      <c r="A11014" s="3">
        <v>1154</v>
      </c>
      <c r="B11014" s="28"/>
      <c r="C11014" s="3" t="s">
        <v>3</v>
      </c>
    </row>
    <row r="11015" spans="1:3" ht="13.5" thickBot="1" x14ac:dyDescent="0.25">
      <c r="A11015" s="3">
        <v>4016</v>
      </c>
      <c r="B11015" s="28"/>
      <c r="C11015" s="3" t="s">
        <v>5</v>
      </c>
    </row>
    <row r="11016" spans="1:3" ht="13.5" thickBot="1" x14ac:dyDescent="0.25">
      <c r="A11016" s="3">
        <v>94</v>
      </c>
      <c r="B11016" s="28"/>
      <c r="C11016" s="3" t="s">
        <v>6</v>
      </c>
    </row>
    <row r="11017" spans="1:3" ht="13.5" thickBot="1" x14ac:dyDescent="0.25">
      <c r="A11017" s="3">
        <v>5220</v>
      </c>
      <c r="B11017" s="28"/>
      <c r="C11017" s="3" t="s">
        <v>5</v>
      </c>
    </row>
    <row r="11018" spans="1:3" ht="13.5" thickBot="1" x14ac:dyDescent="0.25">
      <c r="A11018" s="3">
        <v>5557</v>
      </c>
      <c r="B11018" s="28"/>
      <c r="C11018" s="3" t="s">
        <v>3</v>
      </c>
    </row>
    <row r="11019" spans="1:3" ht="13.5" thickBot="1" x14ac:dyDescent="0.25">
      <c r="A11019" s="3">
        <v>3985</v>
      </c>
      <c r="B11019" s="28"/>
      <c r="C11019" s="3" t="s">
        <v>6</v>
      </c>
    </row>
    <row r="11020" spans="1:3" ht="13.5" thickBot="1" x14ac:dyDescent="0.25">
      <c r="A11020" s="3">
        <v>7879</v>
      </c>
      <c r="B11020" s="28"/>
      <c r="C11020" s="3" t="s">
        <v>6</v>
      </c>
    </row>
    <row r="11021" spans="1:3" ht="13.5" thickBot="1" x14ac:dyDescent="0.25">
      <c r="A11021" s="3">
        <v>6608</v>
      </c>
      <c r="B11021" s="28"/>
      <c r="C11021" s="3" t="s">
        <v>4</v>
      </c>
    </row>
    <row r="11022" spans="1:3" ht="13.5" thickBot="1" x14ac:dyDescent="0.25">
      <c r="A11022" s="3">
        <v>450</v>
      </c>
      <c r="B11022" s="28"/>
      <c r="C11022" s="3" t="s">
        <v>3</v>
      </c>
    </row>
    <row r="11023" spans="1:3" ht="13.5" thickBot="1" x14ac:dyDescent="0.25">
      <c r="A11023" s="3">
        <v>6608</v>
      </c>
      <c r="B11023" s="28"/>
      <c r="C11023" s="3" t="s">
        <v>3</v>
      </c>
    </row>
    <row r="11024" spans="1:3" ht="13.5" thickBot="1" x14ac:dyDescent="0.25">
      <c r="A11024" s="3">
        <v>4270</v>
      </c>
      <c r="B11024" s="28"/>
      <c r="C11024" s="3" t="s">
        <v>3</v>
      </c>
    </row>
    <row r="11025" spans="1:3" ht="13.5" thickBot="1" x14ac:dyDescent="0.25">
      <c r="A11025" s="3">
        <v>3857</v>
      </c>
      <c r="B11025" s="28"/>
      <c r="C11025" s="3" t="s">
        <v>7</v>
      </c>
    </row>
    <row r="11026" spans="1:3" ht="13.5" thickBot="1" x14ac:dyDescent="0.25">
      <c r="A11026" s="3">
        <v>1273</v>
      </c>
      <c r="B11026" s="28"/>
      <c r="C11026" s="3" t="s">
        <v>3</v>
      </c>
    </row>
    <row r="11027" spans="1:3" ht="13.5" thickBot="1" x14ac:dyDescent="0.25">
      <c r="A11027" s="3">
        <v>6885</v>
      </c>
      <c r="B11027" s="28"/>
      <c r="C11027" s="3" t="s">
        <v>3</v>
      </c>
    </row>
    <row r="11028" spans="1:3" ht="13.5" thickBot="1" x14ac:dyDescent="0.25">
      <c r="A11028" s="3">
        <v>1963</v>
      </c>
      <c r="B11028" s="28"/>
      <c r="C11028" s="3" t="s">
        <v>3</v>
      </c>
    </row>
    <row r="11029" spans="1:3" ht="13.5" thickBot="1" x14ac:dyDescent="0.25">
      <c r="A11029" s="3">
        <v>3295</v>
      </c>
      <c r="B11029" s="28"/>
      <c r="C11029" s="3" t="s">
        <v>3</v>
      </c>
    </row>
    <row r="11030" spans="1:3" ht="13.5" thickBot="1" x14ac:dyDescent="0.25">
      <c r="A11030" s="3">
        <v>2541</v>
      </c>
      <c r="B11030" s="28"/>
      <c r="C11030" s="3" t="s">
        <v>6</v>
      </c>
    </row>
    <row r="11031" spans="1:3" ht="13.5" thickBot="1" x14ac:dyDescent="0.25">
      <c r="A11031" s="3">
        <v>4696</v>
      </c>
      <c r="B11031" s="28"/>
      <c r="C11031" s="3" t="s">
        <v>5</v>
      </c>
    </row>
    <row r="11032" spans="1:3" ht="13.5" thickBot="1" x14ac:dyDescent="0.25">
      <c r="A11032" s="3">
        <v>5536</v>
      </c>
      <c r="B11032" s="28"/>
      <c r="C11032" s="3" t="s">
        <v>3</v>
      </c>
    </row>
    <row r="11033" spans="1:3" ht="13.5" thickBot="1" x14ac:dyDescent="0.25">
      <c r="A11033" s="3">
        <v>7175</v>
      </c>
      <c r="B11033" s="28"/>
      <c r="C11033" s="3" t="s">
        <v>7</v>
      </c>
    </row>
    <row r="11034" spans="1:3" ht="13.5" thickBot="1" x14ac:dyDescent="0.25">
      <c r="A11034" s="3">
        <v>4734</v>
      </c>
      <c r="B11034" s="28"/>
      <c r="C11034" s="3" t="s">
        <v>3</v>
      </c>
    </row>
    <row r="11035" spans="1:3" ht="13.5" thickBot="1" x14ac:dyDescent="0.25">
      <c r="A11035" s="3">
        <v>2526</v>
      </c>
      <c r="B11035" s="28"/>
      <c r="C11035" s="3" t="s">
        <v>3</v>
      </c>
    </row>
    <row r="11036" spans="1:3" ht="13.5" thickBot="1" x14ac:dyDescent="0.25">
      <c r="A11036" s="3">
        <v>6051</v>
      </c>
      <c r="B11036" s="28"/>
      <c r="C11036" s="3" t="s">
        <v>6</v>
      </c>
    </row>
    <row r="11037" spans="1:3" ht="13.5" thickBot="1" x14ac:dyDescent="0.25">
      <c r="A11037" s="3">
        <v>5537</v>
      </c>
      <c r="B11037" s="28"/>
      <c r="C11037" s="3" t="s">
        <v>3</v>
      </c>
    </row>
    <row r="11038" spans="1:3" ht="13.5" thickBot="1" x14ac:dyDescent="0.25">
      <c r="A11038" s="3">
        <v>1104</v>
      </c>
      <c r="B11038" s="28"/>
      <c r="C11038" s="3" t="s">
        <v>6</v>
      </c>
    </row>
    <row r="11039" spans="1:3" ht="13.5" thickBot="1" x14ac:dyDescent="0.25">
      <c r="A11039" s="3">
        <v>168</v>
      </c>
      <c r="B11039" s="28"/>
      <c r="C11039" s="3" t="s">
        <v>6</v>
      </c>
    </row>
    <row r="11040" spans="1:3" ht="13.5" thickBot="1" x14ac:dyDescent="0.25">
      <c r="A11040" s="3">
        <v>7568</v>
      </c>
      <c r="B11040" s="28"/>
      <c r="C11040" s="3" t="s">
        <v>6</v>
      </c>
    </row>
    <row r="11041" spans="1:3" ht="13.5" thickBot="1" x14ac:dyDescent="0.25">
      <c r="A11041" s="3">
        <v>4302</v>
      </c>
      <c r="B11041" s="28"/>
      <c r="C11041" s="3" t="s">
        <v>5</v>
      </c>
    </row>
    <row r="11042" spans="1:3" ht="13.5" thickBot="1" x14ac:dyDescent="0.25">
      <c r="A11042" s="3">
        <v>7493</v>
      </c>
      <c r="B11042" s="28"/>
      <c r="C11042" s="3" t="s">
        <v>3</v>
      </c>
    </row>
    <row r="11043" spans="1:3" ht="13.5" thickBot="1" x14ac:dyDescent="0.25">
      <c r="A11043" s="3">
        <v>5571</v>
      </c>
      <c r="B11043" s="28"/>
      <c r="C11043" s="3" t="s">
        <v>4</v>
      </c>
    </row>
    <row r="11044" spans="1:3" ht="13.5" thickBot="1" x14ac:dyDescent="0.25">
      <c r="A11044" s="3">
        <v>233</v>
      </c>
      <c r="B11044" s="28"/>
      <c r="C11044" s="3" t="s">
        <v>3</v>
      </c>
    </row>
    <row r="11045" spans="1:3" ht="13.5" thickBot="1" x14ac:dyDescent="0.25">
      <c r="A11045" s="3">
        <v>4656</v>
      </c>
      <c r="B11045" s="28"/>
      <c r="C11045" s="3" t="s">
        <v>4</v>
      </c>
    </row>
    <row r="11046" spans="1:3" ht="13.5" thickBot="1" x14ac:dyDescent="0.25">
      <c r="A11046" s="3">
        <v>835</v>
      </c>
      <c r="B11046" s="28"/>
      <c r="C11046" s="3" t="s">
        <v>3</v>
      </c>
    </row>
    <row r="11047" spans="1:3" ht="13.5" thickBot="1" x14ac:dyDescent="0.25">
      <c r="A11047" s="3">
        <v>4770</v>
      </c>
      <c r="B11047" s="28"/>
      <c r="C11047" s="3" t="s">
        <v>6</v>
      </c>
    </row>
    <row r="11048" spans="1:3" ht="13.5" thickBot="1" x14ac:dyDescent="0.25">
      <c r="A11048" s="3">
        <v>1273</v>
      </c>
      <c r="B11048" s="28"/>
      <c r="C11048" s="3" t="s">
        <v>4</v>
      </c>
    </row>
    <row r="11049" spans="1:3" ht="13.5" thickBot="1" x14ac:dyDescent="0.25">
      <c r="A11049" s="3">
        <v>7883</v>
      </c>
      <c r="B11049" s="28"/>
      <c r="C11049" s="3" t="s">
        <v>5</v>
      </c>
    </row>
    <row r="11050" spans="1:3" ht="13.5" thickBot="1" x14ac:dyDescent="0.25">
      <c r="A11050" s="3">
        <v>642</v>
      </c>
      <c r="B11050" s="28"/>
      <c r="C11050" s="3" t="s">
        <v>3</v>
      </c>
    </row>
    <row r="11051" spans="1:3" ht="13.5" thickBot="1" x14ac:dyDescent="0.25">
      <c r="A11051" s="3">
        <v>4669</v>
      </c>
      <c r="B11051" s="28"/>
      <c r="C11051" s="3" t="s">
        <v>3</v>
      </c>
    </row>
    <row r="11052" spans="1:3" ht="13.5" thickBot="1" x14ac:dyDescent="0.25">
      <c r="A11052" s="3">
        <v>2145</v>
      </c>
      <c r="B11052" s="28"/>
      <c r="C11052" s="3" t="s">
        <v>3</v>
      </c>
    </row>
    <row r="11053" spans="1:3" ht="13.5" thickBot="1" x14ac:dyDescent="0.25">
      <c r="A11053" s="3">
        <v>4696</v>
      </c>
      <c r="B11053" s="28"/>
      <c r="C11053" s="3" t="s">
        <v>7</v>
      </c>
    </row>
    <row r="11054" spans="1:3" ht="13.5" thickBot="1" x14ac:dyDescent="0.25">
      <c r="A11054" s="3">
        <v>5039</v>
      </c>
      <c r="B11054" s="28"/>
      <c r="C11054" s="3" t="s">
        <v>4</v>
      </c>
    </row>
    <row r="11055" spans="1:3" ht="13.5" thickBot="1" x14ac:dyDescent="0.25">
      <c r="A11055" s="3">
        <v>2654</v>
      </c>
      <c r="B11055" s="28"/>
      <c r="C11055" s="3" t="s">
        <v>3</v>
      </c>
    </row>
    <row r="11056" spans="1:3" ht="13.5" thickBot="1" x14ac:dyDescent="0.25">
      <c r="A11056" s="3">
        <v>6966</v>
      </c>
      <c r="B11056" s="28"/>
      <c r="C11056" s="3" t="s">
        <v>7</v>
      </c>
    </row>
    <row r="11057" spans="1:3" ht="13.5" thickBot="1" x14ac:dyDescent="0.25">
      <c r="A11057" s="3">
        <v>1045</v>
      </c>
      <c r="B11057" s="28"/>
      <c r="C11057" s="3" t="s">
        <v>5</v>
      </c>
    </row>
    <row r="11058" spans="1:3" ht="13.5" thickBot="1" x14ac:dyDescent="0.25">
      <c r="A11058" s="3">
        <v>6437</v>
      </c>
      <c r="B11058" s="28"/>
      <c r="C11058" s="3" t="s">
        <v>6</v>
      </c>
    </row>
    <row r="11059" spans="1:3" ht="13.5" thickBot="1" x14ac:dyDescent="0.25">
      <c r="A11059" s="3">
        <v>1302</v>
      </c>
      <c r="B11059" s="28"/>
      <c r="C11059" s="3" t="s">
        <v>3</v>
      </c>
    </row>
    <row r="11060" spans="1:3" ht="13.5" thickBot="1" x14ac:dyDescent="0.25">
      <c r="A11060" s="3">
        <v>3304</v>
      </c>
      <c r="B11060" s="28"/>
      <c r="C11060" s="3" t="s">
        <v>5</v>
      </c>
    </row>
    <row r="11061" spans="1:3" ht="13.5" thickBot="1" x14ac:dyDescent="0.25">
      <c r="A11061" s="3">
        <v>1582</v>
      </c>
      <c r="B11061" s="28"/>
      <c r="C11061" s="3" t="s">
        <v>4</v>
      </c>
    </row>
    <row r="11062" spans="1:3" ht="13.5" thickBot="1" x14ac:dyDescent="0.25">
      <c r="A11062" s="3">
        <v>171</v>
      </c>
      <c r="B11062" s="28"/>
      <c r="C11062" s="3" t="s">
        <v>3</v>
      </c>
    </row>
    <row r="11063" spans="1:3" ht="13.5" thickBot="1" x14ac:dyDescent="0.25">
      <c r="A11063" s="3">
        <v>7125</v>
      </c>
      <c r="B11063" s="28"/>
      <c r="C11063" s="3" t="s">
        <v>3</v>
      </c>
    </row>
    <row r="11064" spans="1:3" ht="13.5" thickBot="1" x14ac:dyDescent="0.25">
      <c r="A11064" s="3">
        <v>2497</v>
      </c>
      <c r="B11064" s="28"/>
      <c r="C11064" s="3" t="s">
        <v>3</v>
      </c>
    </row>
    <row r="11065" spans="1:3" ht="13.5" thickBot="1" x14ac:dyDescent="0.25">
      <c r="A11065" s="3">
        <v>6885</v>
      </c>
      <c r="B11065" s="28"/>
      <c r="C11065" s="3" t="s">
        <v>4</v>
      </c>
    </row>
    <row r="11066" spans="1:3" ht="13.5" thickBot="1" x14ac:dyDescent="0.25">
      <c r="A11066" s="3">
        <v>6587</v>
      </c>
      <c r="B11066" s="28"/>
      <c r="C11066" s="3" t="s">
        <v>4</v>
      </c>
    </row>
    <row r="11067" spans="1:3" ht="13.5" thickBot="1" x14ac:dyDescent="0.25">
      <c r="A11067" s="3">
        <v>5537</v>
      </c>
      <c r="B11067" s="28"/>
      <c r="C11067" s="3" t="s">
        <v>4</v>
      </c>
    </row>
    <row r="11068" spans="1:3" ht="13.5" thickBot="1" x14ac:dyDescent="0.25">
      <c r="A11068" s="3">
        <v>6523</v>
      </c>
      <c r="B11068" s="28"/>
      <c r="C11068" s="3" t="s">
        <v>3</v>
      </c>
    </row>
    <row r="11069" spans="1:3" ht="13.5" thickBot="1" x14ac:dyDescent="0.25">
      <c r="A11069" s="3">
        <v>1607</v>
      </c>
      <c r="B11069" s="28"/>
      <c r="C11069" s="3" t="s">
        <v>5</v>
      </c>
    </row>
    <row r="11070" spans="1:3" ht="13.5" thickBot="1" x14ac:dyDescent="0.25">
      <c r="A11070" s="3">
        <v>5237</v>
      </c>
      <c r="B11070" s="28"/>
      <c r="C11070" s="3" t="s">
        <v>3</v>
      </c>
    </row>
    <row r="11071" spans="1:3" ht="13.5" thickBot="1" x14ac:dyDescent="0.25">
      <c r="A11071" s="3">
        <v>3815</v>
      </c>
      <c r="B11071" s="28"/>
      <c r="C11071" s="3" t="s">
        <v>3</v>
      </c>
    </row>
    <row r="11072" spans="1:3" ht="13.5" thickBot="1" x14ac:dyDescent="0.25">
      <c r="A11072" s="3">
        <v>5211</v>
      </c>
      <c r="B11072" s="28"/>
      <c r="C11072" s="3" t="s">
        <v>6</v>
      </c>
    </row>
    <row r="11073" spans="1:3" ht="13.5" thickBot="1" x14ac:dyDescent="0.25">
      <c r="A11073" s="3">
        <v>7733</v>
      </c>
      <c r="B11073" s="28"/>
      <c r="C11073" s="3" t="s">
        <v>6</v>
      </c>
    </row>
    <row r="11074" spans="1:3" ht="13.5" thickBot="1" x14ac:dyDescent="0.25">
      <c r="A11074" s="3">
        <v>7493</v>
      </c>
      <c r="B11074" s="28"/>
      <c r="C11074" s="3" t="s">
        <v>4</v>
      </c>
    </row>
    <row r="11075" spans="1:3" ht="13.5" thickBot="1" x14ac:dyDescent="0.25">
      <c r="A11075" s="3">
        <v>819</v>
      </c>
      <c r="B11075" s="28"/>
      <c r="C11075" s="3" t="s">
        <v>3</v>
      </c>
    </row>
    <row r="11076" spans="1:3" ht="13.5" thickBot="1" x14ac:dyDescent="0.25">
      <c r="A11076" s="3">
        <v>2541</v>
      </c>
      <c r="B11076" s="28"/>
      <c r="C11076" s="3" t="s">
        <v>5</v>
      </c>
    </row>
    <row r="11077" spans="1:3" ht="13.5" thickBot="1" x14ac:dyDescent="0.25">
      <c r="A11077" s="3">
        <v>5037</v>
      </c>
      <c r="B11077" s="28"/>
      <c r="C11077" s="3" t="s">
        <v>5</v>
      </c>
    </row>
    <row r="11078" spans="1:3" ht="13.5" thickBot="1" x14ac:dyDescent="0.25">
      <c r="A11078" s="3">
        <v>7930</v>
      </c>
      <c r="B11078" s="28"/>
      <c r="C11078" s="3" t="s">
        <v>3</v>
      </c>
    </row>
    <row r="11079" spans="1:3" ht="13.5" thickBot="1" x14ac:dyDescent="0.25">
      <c r="A11079" s="3">
        <v>5934</v>
      </c>
      <c r="B11079" s="28"/>
      <c r="C11079" s="3" t="s">
        <v>5</v>
      </c>
    </row>
    <row r="11080" spans="1:3" ht="13.5" thickBot="1" x14ac:dyDescent="0.25">
      <c r="A11080" s="3">
        <v>3164</v>
      </c>
      <c r="B11080" s="28"/>
      <c r="C11080" s="3" t="s">
        <v>5</v>
      </c>
    </row>
    <row r="11081" spans="1:3" ht="13.5" thickBot="1" x14ac:dyDescent="0.25">
      <c r="A11081" s="3">
        <v>5834</v>
      </c>
      <c r="B11081" s="28"/>
      <c r="C11081" s="3" t="s">
        <v>6</v>
      </c>
    </row>
    <row r="11082" spans="1:3" ht="13.5" thickBot="1" x14ac:dyDescent="0.25">
      <c r="A11082" s="3">
        <v>5870</v>
      </c>
      <c r="B11082" s="28"/>
      <c r="C11082" s="3" t="s">
        <v>3</v>
      </c>
    </row>
    <row r="11083" spans="1:3" ht="13.5" thickBot="1" x14ac:dyDescent="0.25">
      <c r="A11083" s="3">
        <v>3170</v>
      </c>
      <c r="B11083" s="28"/>
      <c r="C11083" s="3" t="s">
        <v>3</v>
      </c>
    </row>
    <row r="11084" spans="1:3" ht="13.5" thickBot="1" x14ac:dyDescent="0.25">
      <c r="A11084" s="3">
        <v>6214</v>
      </c>
      <c r="B11084" s="28"/>
      <c r="C11084" s="3" t="s">
        <v>6</v>
      </c>
    </row>
    <row r="11085" spans="1:3" ht="13.5" thickBot="1" x14ac:dyDescent="0.25">
      <c r="A11085" s="3">
        <v>2654</v>
      </c>
      <c r="B11085" s="28"/>
      <c r="C11085" s="3" t="s">
        <v>4</v>
      </c>
    </row>
    <row r="11086" spans="1:3" ht="13.5" thickBot="1" x14ac:dyDescent="0.25">
      <c r="A11086" s="3">
        <v>466</v>
      </c>
      <c r="B11086" s="28"/>
      <c r="C11086" s="3" t="s">
        <v>6</v>
      </c>
    </row>
    <row r="11087" spans="1:3" ht="13.5" thickBot="1" x14ac:dyDescent="0.25">
      <c r="A11087" s="3">
        <v>1154</v>
      </c>
      <c r="B11087" s="28"/>
      <c r="C11087" s="3" t="s">
        <v>4</v>
      </c>
    </row>
    <row r="11088" spans="1:3" ht="13.5" thickBot="1" x14ac:dyDescent="0.25">
      <c r="A11088" s="3">
        <v>4235</v>
      </c>
      <c r="B11088" s="28"/>
      <c r="C11088" s="3" t="s">
        <v>3</v>
      </c>
    </row>
    <row r="11089" spans="1:3" ht="13.5" thickBot="1" x14ac:dyDescent="0.25">
      <c r="A11089" s="3">
        <v>2496</v>
      </c>
      <c r="B11089" s="28"/>
      <c r="C11089" s="3" t="s">
        <v>6</v>
      </c>
    </row>
    <row r="11090" spans="1:3" ht="13.5" thickBot="1" x14ac:dyDescent="0.25">
      <c r="A11090" s="3">
        <v>6762</v>
      </c>
      <c r="B11090" s="28"/>
      <c r="C11090" s="3" t="s">
        <v>4</v>
      </c>
    </row>
    <row r="11091" spans="1:3" ht="13.5" thickBot="1" x14ac:dyDescent="0.25">
      <c r="A11091" s="3">
        <v>5573</v>
      </c>
      <c r="B11091" s="28"/>
      <c r="C11091" s="3" t="s">
        <v>3</v>
      </c>
    </row>
    <row r="11092" spans="1:3" ht="13.5" thickBot="1" x14ac:dyDescent="0.25">
      <c r="A11092" s="3">
        <v>642</v>
      </c>
      <c r="B11092" s="28"/>
      <c r="C11092" s="3" t="s">
        <v>7</v>
      </c>
    </row>
    <row r="11093" spans="1:3" ht="13.5" thickBot="1" x14ac:dyDescent="0.25">
      <c r="A11093" s="3">
        <v>3050</v>
      </c>
      <c r="B11093" s="28"/>
      <c r="C11093" s="3" t="s">
        <v>3</v>
      </c>
    </row>
    <row r="11094" spans="1:3" ht="13.5" thickBot="1" x14ac:dyDescent="0.25">
      <c r="A11094" s="3">
        <v>5934</v>
      </c>
      <c r="B11094" s="28"/>
      <c r="C11094" s="3" t="s">
        <v>3</v>
      </c>
    </row>
    <row r="11095" spans="1:3" ht="13.5" thickBot="1" x14ac:dyDescent="0.25">
      <c r="A11095" s="3">
        <v>2831</v>
      </c>
      <c r="B11095" s="28"/>
      <c r="C11095" s="3" t="s">
        <v>3</v>
      </c>
    </row>
    <row r="11096" spans="1:3" ht="13.5" thickBot="1" x14ac:dyDescent="0.25">
      <c r="A11096" s="3">
        <v>532</v>
      </c>
      <c r="B11096" s="28"/>
      <c r="C11096" s="3" t="s">
        <v>3</v>
      </c>
    </row>
    <row r="11097" spans="1:3" ht="13.5" thickBot="1" x14ac:dyDescent="0.25">
      <c r="A11097" s="3">
        <v>1643</v>
      </c>
      <c r="B11097" s="28"/>
      <c r="C11097" s="3" t="s">
        <v>3</v>
      </c>
    </row>
    <row r="11098" spans="1:3" ht="13.5" thickBot="1" x14ac:dyDescent="0.25">
      <c r="A11098" s="3">
        <v>6513</v>
      </c>
      <c r="B11098" s="28"/>
      <c r="C11098" s="3" t="s">
        <v>4</v>
      </c>
    </row>
    <row r="11099" spans="1:3" ht="13.5" thickBot="1" x14ac:dyDescent="0.25">
      <c r="A11099" s="3">
        <v>4636</v>
      </c>
      <c r="B11099" s="28"/>
      <c r="C11099" s="3" t="s">
        <v>3</v>
      </c>
    </row>
    <row r="11100" spans="1:3" ht="13.5" thickBot="1" x14ac:dyDescent="0.25">
      <c r="A11100" s="3">
        <v>1507</v>
      </c>
      <c r="B11100" s="28"/>
      <c r="C11100" s="3" t="s">
        <v>3</v>
      </c>
    </row>
    <row r="11101" spans="1:3" ht="13.5" thickBot="1" x14ac:dyDescent="0.25">
      <c r="A11101" s="3">
        <v>4668</v>
      </c>
      <c r="B11101" s="28"/>
      <c r="C11101" s="3" t="s">
        <v>3</v>
      </c>
    </row>
    <row r="11102" spans="1:3" ht="13.5" thickBot="1" x14ac:dyDescent="0.25">
      <c r="A11102" s="3">
        <v>6054</v>
      </c>
      <c r="B11102" s="28"/>
      <c r="C11102" s="3" t="s">
        <v>3</v>
      </c>
    </row>
    <row r="11103" spans="1:3" ht="13.5" thickBot="1" x14ac:dyDescent="0.25">
      <c r="A11103" s="3">
        <v>6523</v>
      </c>
      <c r="B11103" s="28"/>
      <c r="C11103" s="3" t="s">
        <v>4</v>
      </c>
    </row>
    <row r="11104" spans="1:3" ht="13.5" thickBot="1" x14ac:dyDescent="0.25">
      <c r="A11104" s="3">
        <v>2508</v>
      </c>
      <c r="B11104" s="28"/>
      <c r="C11104" s="3" t="s">
        <v>4</v>
      </c>
    </row>
    <row r="11105" spans="1:3" ht="13.5" thickBot="1" x14ac:dyDescent="0.25">
      <c r="A11105" s="3">
        <v>6414</v>
      </c>
      <c r="B11105" s="28"/>
      <c r="C11105" s="3" t="s">
        <v>3</v>
      </c>
    </row>
    <row r="11106" spans="1:3" ht="13.5" thickBot="1" x14ac:dyDescent="0.25">
      <c r="A11106" s="3">
        <v>4257</v>
      </c>
      <c r="B11106" s="28"/>
      <c r="C11106" s="3" t="s">
        <v>3</v>
      </c>
    </row>
    <row r="11107" spans="1:3" ht="13.5" thickBot="1" x14ac:dyDescent="0.25">
      <c r="A11107" s="3">
        <v>7883</v>
      </c>
      <c r="B11107" s="28"/>
      <c r="C11107" s="3" t="s">
        <v>4</v>
      </c>
    </row>
    <row r="11108" spans="1:3" ht="13.5" thickBot="1" x14ac:dyDescent="0.25">
      <c r="A11108" s="3">
        <v>3304</v>
      </c>
      <c r="B11108" s="28"/>
      <c r="C11108" s="3" t="s">
        <v>3</v>
      </c>
    </row>
    <row r="11109" spans="1:3" ht="13.5" thickBot="1" x14ac:dyDescent="0.25">
      <c r="A11109" s="3">
        <v>466</v>
      </c>
      <c r="B11109" s="28"/>
      <c r="C11109" s="3" t="s">
        <v>4</v>
      </c>
    </row>
    <row r="11110" spans="1:3" ht="13.5" thickBot="1" x14ac:dyDescent="0.25">
      <c r="A11110" s="3">
        <v>7118</v>
      </c>
      <c r="B11110" s="28"/>
      <c r="C11110" s="3" t="s">
        <v>3</v>
      </c>
    </row>
    <row r="11111" spans="1:3" ht="13.5" thickBot="1" x14ac:dyDescent="0.25">
      <c r="A11111" s="3">
        <v>4669</v>
      </c>
      <c r="B11111" s="28"/>
      <c r="C11111" s="3" t="s">
        <v>6</v>
      </c>
    </row>
    <row r="11112" spans="1:3" ht="13.5" thickBot="1" x14ac:dyDescent="0.25">
      <c r="A11112" s="3">
        <v>6271</v>
      </c>
      <c r="B11112" s="28"/>
      <c r="C11112" s="3" t="s">
        <v>6</v>
      </c>
    </row>
    <row r="11113" spans="1:3" ht="13.5" thickBot="1" x14ac:dyDescent="0.25">
      <c r="A11113" s="3">
        <v>4669</v>
      </c>
      <c r="B11113" s="28"/>
      <c r="C11113" s="3" t="s">
        <v>4</v>
      </c>
    </row>
    <row r="11114" spans="1:3" ht="13.5" thickBot="1" x14ac:dyDescent="0.25">
      <c r="A11114" s="3">
        <v>7531</v>
      </c>
      <c r="B11114" s="28"/>
      <c r="C11114" s="3" t="s">
        <v>6</v>
      </c>
    </row>
    <row r="11115" spans="1:3" ht="13.5" thickBot="1" x14ac:dyDescent="0.25">
      <c r="A11115" s="3">
        <v>6172</v>
      </c>
      <c r="B11115" s="28"/>
      <c r="C11115" s="3" t="s">
        <v>3</v>
      </c>
    </row>
    <row r="11116" spans="1:3" ht="13.5" thickBot="1" x14ac:dyDescent="0.25">
      <c r="A11116" s="3">
        <v>3807</v>
      </c>
      <c r="B11116" s="28"/>
      <c r="C11116" s="3" t="s">
        <v>3</v>
      </c>
    </row>
    <row r="11117" spans="1:3" ht="13.5" thickBot="1" x14ac:dyDescent="0.25">
      <c r="A11117" s="3">
        <v>7493</v>
      </c>
      <c r="B11117" s="28"/>
      <c r="C11117" s="3" t="s">
        <v>7</v>
      </c>
    </row>
    <row r="11118" spans="1:3" ht="13.5" thickBot="1" x14ac:dyDescent="0.25">
      <c r="A11118" s="3">
        <v>4235</v>
      </c>
      <c r="B11118" s="28"/>
      <c r="C11118" s="3" t="s">
        <v>4</v>
      </c>
    </row>
    <row r="11119" spans="1:3" ht="13.5" thickBot="1" x14ac:dyDescent="0.25">
      <c r="A11119" s="3">
        <v>7238</v>
      </c>
      <c r="B11119" s="28"/>
      <c r="C11119" s="3" t="s">
        <v>3</v>
      </c>
    </row>
    <row r="11120" spans="1:3" ht="13.5" thickBot="1" x14ac:dyDescent="0.25">
      <c r="A11120" s="3">
        <v>1507</v>
      </c>
      <c r="B11120" s="28"/>
      <c r="C11120" s="3" t="s">
        <v>4</v>
      </c>
    </row>
    <row r="11121" spans="1:3" ht="13.5" thickBot="1" x14ac:dyDescent="0.25">
      <c r="A11121" s="3">
        <v>3492</v>
      </c>
      <c r="B11121" s="28"/>
      <c r="C11121" s="3" t="s">
        <v>6</v>
      </c>
    </row>
    <row r="11122" spans="1:3" ht="13.5" thickBot="1" x14ac:dyDescent="0.25">
      <c r="A11122" s="3">
        <v>4039</v>
      </c>
      <c r="B11122" s="28"/>
      <c r="C11122" s="3" t="s">
        <v>6</v>
      </c>
    </row>
    <row r="11123" spans="1:3" ht="13.5" thickBot="1" x14ac:dyDescent="0.25">
      <c r="A11123" s="3">
        <v>3453</v>
      </c>
      <c r="B11123" s="28"/>
      <c r="C11123" s="3" t="s">
        <v>4</v>
      </c>
    </row>
    <row r="11124" spans="1:3" ht="13.5" thickBot="1" x14ac:dyDescent="0.25">
      <c r="A11124" s="3">
        <v>6688</v>
      </c>
      <c r="B11124" s="28"/>
      <c r="C11124" s="3" t="s">
        <v>6</v>
      </c>
    </row>
    <row r="11125" spans="1:3" ht="13.5" thickBot="1" x14ac:dyDescent="0.25">
      <c r="A11125" s="3">
        <v>3899</v>
      </c>
      <c r="B11125" s="28"/>
      <c r="C11125" s="3" t="s">
        <v>6</v>
      </c>
    </row>
    <row r="11126" spans="1:3" ht="13.5" thickBot="1" x14ac:dyDescent="0.25">
      <c r="A11126" s="3">
        <v>5739</v>
      </c>
      <c r="B11126" s="28"/>
      <c r="C11126" s="3" t="s">
        <v>6</v>
      </c>
    </row>
    <row r="11127" spans="1:3" ht="13.5" thickBot="1" x14ac:dyDescent="0.25">
      <c r="A11127" s="3">
        <v>2277</v>
      </c>
      <c r="B11127" s="28"/>
      <c r="C11127" s="3" t="s">
        <v>3</v>
      </c>
    </row>
    <row r="11128" spans="1:3" ht="13.5" thickBot="1" x14ac:dyDescent="0.25">
      <c r="A11128" s="3">
        <v>5734</v>
      </c>
      <c r="B11128" s="28"/>
      <c r="C11128" s="3" t="s">
        <v>3</v>
      </c>
    </row>
    <row r="11129" spans="1:3" ht="13.5" thickBot="1" x14ac:dyDescent="0.25">
      <c r="A11129" s="3">
        <v>1373</v>
      </c>
      <c r="B11129" s="28"/>
      <c r="C11129" s="3" t="s">
        <v>6</v>
      </c>
    </row>
    <row r="11130" spans="1:3" ht="13.5" thickBot="1" x14ac:dyDescent="0.25">
      <c r="A11130" s="3">
        <v>2651</v>
      </c>
      <c r="B11130" s="28"/>
      <c r="C11130" s="3" t="s">
        <v>3</v>
      </c>
    </row>
    <row r="11131" spans="1:3" ht="13.5" thickBot="1" x14ac:dyDescent="0.25">
      <c r="A11131" s="3">
        <v>1380</v>
      </c>
      <c r="B11131" s="28"/>
      <c r="C11131" s="3" t="s">
        <v>3</v>
      </c>
    </row>
    <row r="11132" spans="1:3" ht="13.5" thickBot="1" x14ac:dyDescent="0.25">
      <c r="A11132" s="3">
        <v>6437</v>
      </c>
      <c r="B11132" s="28"/>
      <c r="C11132" s="3" t="s">
        <v>7</v>
      </c>
    </row>
    <row r="11133" spans="1:3" ht="13.5" thickBot="1" x14ac:dyDescent="0.25">
      <c r="A11133" s="3">
        <v>1876</v>
      </c>
      <c r="B11133" s="28"/>
      <c r="C11133" s="3" t="s">
        <v>3</v>
      </c>
    </row>
    <row r="11134" spans="1:3" ht="13.5" thickBot="1" x14ac:dyDescent="0.25">
      <c r="A11134" s="3">
        <v>6358</v>
      </c>
      <c r="B11134" s="28"/>
      <c r="C11134" s="3" t="s">
        <v>5</v>
      </c>
    </row>
    <row r="11135" spans="1:3" ht="13.5" thickBot="1" x14ac:dyDescent="0.25">
      <c r="A11135" s="3">
        <v>7118</v>
      </c>
      <c r="B11135" s="28"/>
      <c r="C11135" s="3" t="s">
        <v>5</v>
      </c>
    </row>
    <row r="11136" spans="1:3" ht="13.5" thickBot="1" x14ac:dyDescent="0.25">
      <c r="A11136" s="3">
        <v>642</v>
      </c>
      <c r="B11136" s="28"/>
      <c r="C11136" s="3" t="s">
        <v>4</v>
      </c>
    </row>
    <row r="11137" spans="1:3" ht="13.5" thickBot="1" x14ac:dyDescent="0.25">
      <c r="A11137" s="3">
        <v>859</v>
      </c>
      <c r="B11137" s="28"/>
      <c r="C11137" s="3" t="s">
        <v>3</v>
      </c>
    </row>
    <row r="11138" spans="1:3" ht="13.5" thickBot="1" x14ac:dyDescent="0.25">
      <c r="A11138" s="3">
        <v>3202</v>
      </c>
      <c r="B11138" s="28"/>
      <c r="C11138" s="3" t="s">
        <v>3</v>
      </c>
    </row>
    <row r="11139" spans="1:3" ht="13.5" thickBot="1" x14ac:dyDescent="0.25">
      <c r="A11139" s="3">
        <v>744</v>
      </c>
      <c r="B11139" s="28"/>
      <c r="C11139" s="3" t="s">
        <v>5</v>
      </c>
    </row>
    <row r="11140" spans="1:3" ht="13.5" thickBot="1" x14ac:dyDescent="0.25">
      <c r="A11140" s="3">
        <v>1143</v>
      </c>
      <c r="B11140" s="28"/>
      <c r="C11140" s="3" t="s">
        <v>5</v>
      </c>
    </row>
    <row r="11141" spans="1:3" ht="13.5" thickBot="1" x14ac:dyDescent="0.25">
      <c r="A11141" s="3">
        <v>5743</v>
      </c>
      <c r="B11141" s="28"/>
      <c r="C11141" s="3" t="s">
        <v>3</v>
      </c>
    </row>
    <row r="11142" spans="1:3" ht="13.5" thickBot="1" x14ac:dyDescent="0.25">
      <c r="A11142" s="3">
        <v>3050</v>
      </c>
      <c r="B11142" s="28"/>
      <c r="C11142" s="3" t="s">
        <v>7</v>
      </c>
    </row>
    <row r="11143" spans="1:3" ht="13.5" thickBot="1" x14ac:dyDescent="0.25">
      <c r="A11143" s="3">
        <v>1217</v>
      </c>
      <c r="B11143" s="28"/>
      <c r="C11143" s="3" t="s">
        <v>3</v>
      </c>
    </row>
    <row r="11144" spans="1:3" ht="13.5" thickBot="1" x14ac:dyDescent="0.25">
      <c r="A11144" s="3">
        <v>1331</v>
      </c>
      <c r="B11144" s="28"/>
      <c r="C11144" s="3" t="s">
        <v>3</v>
      </c>
    </row>
    <row r="11145" spans="1:3" ht="13.5" thickBot="1" x14ac:dyDescent="0.25">
      <c r="A11145" s="3">
        <v>6422</v>
      </c>
      <c r="B11145" s="28"/>
      <c r="C11145" s="3" t="s">
        <v>6</v>
      </c>
    </row>
    <row r="11146" spans="1:3" ht="13.5" thickBot="1" x14ac:dyDescent="0.25">
      <c r="A11146" s="3">
        <v>5573</v>
      </c>
      <c r="B11146" s="28"/>
      <c r="C11146" s="3" t="s">
        <v>4</v>
      </c>
    </row>
    <row r="11147" spans="1:3" ht="13.5" thickBot="1" x14ac:dyDescent="0.25">
      <c r="A11147" s="3">
        <v>1499</v>
      </c>
      <c r="B11147" s="28"/>
      <c r="C11147" s="3" t="s">
        <v>6</v>
      </c>
    </row>
    <row r="11148" spans="1:3" ht="13.5" thickBot="1" x14ac:dyDescent="0.25">
      <c r="A11148" s="3">
        <v>1491</v>
      </c>
      <c r="B11148" s="28"/>
      <c r="C11148" s="3" t="s">
        <v>3</v>
      </c>
    </row>
    <row r="11149" spans="1:3" ht="13.5" thickBot="1" x14ac:dyDescent="0.25">
      <c r="A11149" s="3">
        <v>4696</v>
      </c>
      <c r="B11149" s="28"/>
      <c r="C11149" s="3" t="s">
        <v>6</v>
      </c>
    </row>
    <row r="11150" spans="1:3" ht="13.5" thickBot="1" x14ac:dyDescent="0.25">
      <c r="A11150" s="3">
        <v>5037</v>
      </c>
      <c r="B11150" s="28"/>
      <c r="C11150" s="3" t="s">
        <v>6</v>
      </c>
    </row>
    <row r="11151" spans="1:3" ht="13.5" thickBot="1" x14ac:dyDescent="0.25">
      <c r="A11151" s="3">
        <v>6111</v>
      </c>
      <c r="B11151" s="28"/>
      <c r="C11151" s="3" t="s">
        <v>3</v>
      </c>
    </row>
    <row r="11152" spans="1:3" ht="13.5" thickBot="1" x14ac:dyDescent="0.25">
      <c r="A11152" s="3">
        <v>539</v>
      </c>
      <c r="B11152" s="28"/>
      <c r="C11152" s="3" t="s">
        <v>4</v>
      </c>
    </row>
    <row r="11153" spans="1:3" ht="13.5" thickBot="1" x14ac:dyDescent="0.25">
      <c r="A11153" s="3">
        <v>6140</v>
      </c>
      <c r="B11153" s="28"/>
      <c r="C11153" s="3" t="s">
        <v>6</v>
      </c>
    </row>
    <row r="11154" spans="1:3" ht="13.5" thickBot="1" x14ac:dyDescent="0.25">
      <c r="A11154" s="3">
        <v>15</v>
      </c>
      <c r="B11154" s="28"/>
      <c r="C11154" s="3" t="s">
        <v>5</v>
      </c>
    </row>
    <row r="11155" spans="1:3" ht="13.5" thickBot="1" x14ac:dyDescent="0.25">
      <c r="A11155" s="3">
        <v>1008</v>
      </c>
      <c r="B11155" s="28"/>
      <c r="C11155" s="3" t="s">
        <v>3</v>
      </c>
    </row>
    <row r="11156" spans="1:3" ht="13.5" thickBot="1" x14ac:dyDescent="0.25">
      <c r="A11156" s="3">
        <v>4801</v>
      </c>
      <c r="B11156" s="28"/>
      <c r="C11156" s="3" t="s">
        <v>3</v>
      </c>
    </row>
    <row r="11157" spans="1:3" ht="13.5" thickBot="1" x14ac:dyDescent="0.25">
      <c r="A11157" s="3">
        <v>6587</v>
      </c>
      <c r="B11157" s="28"/>
      <c r="C11157" s="3" t="s">
        <v>5</v>
      </c>
    </row>
    <row r="11158" spans="1:3" ht="13.5" thickBot="1" x14ac:dyDescent="0.25">
      <c r="A11158" s="3">
        <v>892</v>
      </c>
      <c r="B11158" s="28"/>
      <c r="C11158" s="3" t="s">
        <v>3</v>
      </c>
    </row>
    <row r="11159" spans="1:3" ht="13.5" thickBot="1" x14ac:dyDescent="0.25">
      <c r="A11159" s="3">
        <v>642</v>
      </c>
      <c r="B11159" s="28"/>
      <c r="C11159" s="3" t="s">
        <v>5</v>
      </c>
    </row>
    <row r="11160" spans="1:3" ht="13.5" thickBot="1" x14ac:dyDescent="0.25">
      <c r="A11160" s="3">
        <v>5203</v>
      </c>
      <c r="B11160" s="28"/>
      <c r="C11160" s="3" t="s">
        <v>6</v>
      </c>
    </row>
    <row r="11161" spans="1:3" ht="13.5" thickBot="1" x14ac:dyDescent="0.25">
      <c r="A11161" s="3">
        <v>653</v>
      </c>
      <c r="B11161" s="28"/>
      <c r="C11161" s="3" t="s">
        <v>3</v>
      </c>
    </row>
    <row r="11162" spans="1:3" ht="13.5" thickBot="1" x14ac:dyDescent="0.25">
      <c r="A11162" s="3">
        <v>6288</v>
      </c>
      <c r="B11162" s="28"/>
      <c r="C11162" s="3" t="s">
        <v>3</v>
      </c>
    </row>
    <row r="11163" spans="1:3" ht="13.5" thickBot="1" x14ac:dyDescent="0.25">
      <c r="A11163" s="3">
        <v>2318</v>
      </c>
      <c r="B11163" s="28"/>
      <c r="C11163" s="3" t="s">
        <v>3</v>
      </c>
    </row>
    <row r="11164" spans="1:3" ht="13.5" thickBot="1" x14ac:dyDescent="0.25">
      <c r="A11164" s="3">
        <v>6198</v>
      </c>
      <c r="B11164" s="28"/>
      <c r="C11164" s="3" t="s">
        <v>3</v>
      </c>
    </row>
    <row r="11165" spans="1:3" ht="13.5" thickBot="1" x14ac:dyDescent="0.25">
      <c r="A11165" s="3">
        <v>4619</v>
      </c>
      <c r="B11165" s="28"/>
      <c r="C11165" s="3" t="s">
        <v>7</v>
      </c>
    </row>
    <row r="11166" spans="1:3" ht="13.5" thickBot="1" x14ac:dyDescent="0.25">
      <c r="A11166" s="3">
        <v>59</v>
      </c>
      <c r="B11166" s="28"/>
      <c r="C11166" s="3" t="s">
        <v>3</v>
      </c>
    </row>
    <row r="11167" spans="1:3" ht="13.5" thickBot="1" x14ac:dyDescent="0.25">
      <c r="A11167" s="3">
        <v>1499</v>
      </c>
      <c r="B11167" s="28"/>
      <c r="C11167" s="3" t="s">
        <v>7</v>
      </c>
    </row>
    <row r="11168" spans="1:3" ht="13.5" thickBot="1" x14ac:dyDescent="0.25">
      <c r="A11168" s="3">
        <v>1143</v>
      </c>
      <c r="B11168" s="28"/>
      <c r="C11168" s="3" t="s">
        <v>3</v>
      </c>
    </row>
    <row r="11169" spans="1:3" ht="13.5" thickBot="1" x14ac:dyDescent="0.25">
      <c r="A11169" s="3">
        <v>539</v>
      </c>
      <c r="B11169" s="28"/>
      <c r="C11169" s="3" t="s">
        <v>3</v>
      </c>
    </row>
    <row r="11170" spans="1:3" ht="13.5" thickBot="1" x14ac:dyDescent="0.25">
      <c r="A11170" s="3">
        <v>1124</v>
      </c>
      <c r="B11170" s="28"/>
      <c r="C11170" s="3" t="s">
        <v>6</v>
      </c>
    </row>
    <row r="11171" spans="1:3" ht="13.5" thickBot="1" x14ac:dyDescent="0.25">
      <c r="A11171" s="3">
        <v>282</v>
      </c>
      <c r="B11171" s="28"/>
      <c r="C11171" s="3" t="s">
        <v>3</v>
      </c>
    </row>
    <row r="11172" spans="1:3" ht="13.5" thickBot="1" x14ac:dyDescent="0.25">
      <c r="A11172" s="3">
        <v>7925</v>
      </c>
      <c r="B11172" s="28"/>
      <c r="C11172" s="3" t="s">
        <v>7</v>
      </c>
    </row>
    <row r="11173" spans="1:3" ht="13.5" thickBot="1" x14ac:dyDescent="0.25">
      <c r="A11173" s="3">
        <v>3440</v>
      </c>
      <c r="B11173" s="28"/>
      <c r="C11173" s="3" t="s">
        <v>3</v>
      </c>
    </row>
    <row r="11174" spans="1:3" ht="13.5" thickBot="1" x14ac:dyDescent="0.25">
      <c r="A11174" s="3">
        <v>2654</v>
      </c>
      <c r="B11174" s="28"/>
      <c r="C11174" s="3" t="s">
        <v>7</v>
      </c>
    </row>
    <row r="11175" spans="1:3" ht="13.5" thickBot="1" x14ac:dyDescent="0.25">
      <c r="A11175" s="3">
        <v>6358</v>
      </c>
      <c r="B11175" s="28"/>
      <c r="C11175" s="3" t="s">
        <v>6</v>
      </c>
    </row>
    <row r="11176" spans="1:3" ht="13.5" thickBot="1" x14ac:dyDescent="0.25">
      <c r="A11176" s="3">
        <v>1154</v>
      </c>
      <c r="B11176" s="28"/>
      <c r="C11176" s="3" t="s">
        <v>5</v>
      </c>
    </row>
    <row r="11177" spans="1:3" ht="13.5" thickBot="1" x14ac:dyDescent="0.25">
      <c r="A11177" s="3">
        <v>15</v>
      </c>
      <c r="B11177" s="28"/>
      <c r="C11177" s="3" t="s">
        <v>3</v>
      </c>
    </row>
    <row r="11178" spans="1:3" ht="13.5" thickBot="1" x14ac:dyDescent="0.25">
      <c r="A11178" s="3">
        <v>6172</v>
      </c>
      <c r="B11178" s="28"/>
      <c r="C11178" s="3" t="s">
        <v>4</v>
      </c>
    </row>
    <row r="11179" spans="1:3" ht="13.5" thickBot="1" x14ac:dyDescent="0.25">
      <c r="A11179" s="3">
        <v>59</v>
      </c>
      <c r="B11179" s="28"/>
      <c r="C11179" s="3" t="s">
        <v>4</v>
      </c>
    </row>
    <row r="11180" spans="1:3" ht="13.5" thickBot="1" x14ac:dyDescent="0.25">
      <c r="A11180" s="3">
        <v>3050</v>
      </c>
      <c r="B11180" s="28"/>
      <c r="C11180" s="3" t="s">
        <v>4</v>
      </c>
    </row>
    <row r="11181" spans="1:3" ht="13.5" thickBot="1" x14ac:dyDescent="0.25">
      <c r="A11181" s="3">
        <v>6886</v>
      </c>
      <c r="B11181" s="28"/>
      <c r="C11181" s="3" t="s">
        <v>6</v>
      </c>
    </row>
    <row r="11182" spans="1:3" ht="13.5" thickBot="1" x14ac:dyDescent="0.25">
      <c r="A11182" s="3">
        <v>5037</v>
      </c>
      <c r="B11182" s="28"/>
      <c r="C11182" s="3" t="s">
        <v>7</v>
      </c>
    </row>
    <row r="11183" spans="1:3" ht="13.5" thickBot="1" x14ac:dyDescent="0.25">
      <c r="A11183" s="3">
        <v>5934</v>
      </c>
      <c r="B11183" s="28"/>
      <c r="C11183" s="3" t="s">
        <v>6</v>
      </c>
    </row>
    <row r="11184" spans="1:3" ht="13.5" thickBot="1" x14ac:dyDescent="0.25">
      <c r="A11184" s="3">
        <v>7118</v>
      </c>
      <c r="B11184" s="28"/>
      <c r="C11184" s="3" t="s">
        <v>7</v>
      </c>
    </row>
    <row r="11185" spans="1:3" ht="13.5" thickBot="1" x14ac:dyDescent="0.25">
      <c r="A11185" s="3">
        <v>3522</v>
      </c>
      <c r="B11185" s="28"/>
      <c r="C11185" s="3" t="s">
        <v>3</v>
      </c>
    </row>
    <row r="11186" spans="1:3" ht="13.5" thickBot="1" x14ac:dyDescent="0.25">
      <c r="A11186" s="3">
        <v>3911</v>
      </c>
      <c r="B11186" s="28"/>
      <c r="C11186" s="3" t="s">
        <v>6</v>
      </c>
    </row>
    <row r="11187" spans="1:3" ht="13.5" thickBot="1" x14ac:dyDescent="0.25">
      <c r="A11187" s="3">
        <v>5030</v>
      </c>
      <c r="B11187" s="28"/>
      <c r="C11187" s="3" t="s">
        <v>3</v>
      </c>
    </row>
    <row r="11188" spans="1:3" ht="13.5" thickBot="1" x14ac:dyDescent="0.25">
      <c r="A11188" s="3">
        <v>2968</v>
      </c>
      <c r="B11188" s="28"/>
      <c r="C11188" s="3" t="s">
        <v>3</v>
      </c>
    </row>
    <row r="11189" spans="1:3" ht="13.5" thickBot="1" x14ac:dyDescent="0.25">
      <c r="A11189" s="3">
        <v>1143</v>
      </c>
      <c r="B11189" s="28"/>
      <c r="C11189" s="3" t="s">
        <v>4</v>
      </c>
    </row>
    <row r="11190" spans="1:3" ht="13.5" thickBot="1" x14ac:dyDescent="0.25">
      <c r="A11190" s="3">
        <v>4418</v>
      </c>
      <c r="B11190" s="28"/>
      <c r="C11190" s="3" t="s">
        <v>6</v>
      </c>
    </row>
    <row r="11191" spans="1:3" ht="13.5" thickBot="1" x14ac:dyDescent="0.25">
      <c r="A11191" s="3">
        <v>6054</v>
      </c>
      <c r="B11191" s="28"/>
      <c r="C11191" s="3" t="s">
        <v>5</v>
      </c>
    </row>
    <row r="11192" spans="1:3" ht="13.5" thickBot="1" x14ac:dyDescent="0.25">
      <c r="A11192" s="3">
        <v>5734</v>
      </c>
      <c r="B11192" s="28"/>
      <c r="C11192" s="3" t="s">
        <v>5</v>
      </c>
    </row>
    <row r="11193" spans="1:3" ht="13.5" thickBot="1" x14ac:dyDescent="0.25">
      <c r="A11193" s="3">
        <v>4398</v>
      </c>
      <c r="B11193" s="28"/>
      <c r="C11193" s="3" t="s">
        <v>3</v>
      </c>
    </row>
    <row r="11194" spans="1:3" ht="13.5" thickBot="1" x14ac:dyDescent="0.25">
      <c r="A11194" s="3">
        <v>890</v>
      </c>
      <c r="B11194" s="28"/>
      <c r="C11194" s="3" t="s">
        <v>4</v>
      </c>
    </row>
    <row r="11195" spans="1:3" ht="13.5" thickBot="1" x14ac:dyDescent="0.25">
      <c r="A11195" s="3">
        <v>6587</v>
      </c>
      <c r="B11195" s="28"/>
      <c r="C11195" s="3" t="s">
        <v>7</v>
      </c>
    </row>
    <row r="11196" spans="1:3" ht="13.5" thickBot="1" x14ac:dyDescent="0.25">
      <c r="A11196" s="3">
        <v>7883</v>
      </c>
      <c r="B11196" s="28"/>
      <c r="C11196" s="3" t="s">
        <v>6</v>
      </c>
    </row>
    <row r="11197" spans="1:3" ht="13.5" thickBot="1" x14ac:dyDescent="0.25">
      <c r="A11197" s="3">
        <v>6441</v>
      </c>
      <c r="B11197" s="28"/>
      <c r="C11197" s="3" t="s">
        <v>3</v>
      </c>
    </row>
    <row r="11198" spans="1:3" ht="13.5" thickBot="1" x14ac:dyDescent="0.25">
      <c r="A11198" s="3">
        <v>6885</v>
      </c>
      <c r="B11198" s="28"/>
      <c r="C11198" s="3" t="s">
        <v>5</v>
      </c>
    </row>
    <row r="11199" spans="1:3" ht="13.5" thickBot="1" x14ac:dyDescent="0.25">
      <c r="A11199" s="3">
        <v>5133</v>
      </c>
      <c r="B11199" s="28"/>
      <c r="C11199" s="3" t="s">
        <v>4</v>
      </c>
    </row>
    <row r="11200" spans="1:3" ht="13.5" thickBot="1" x14ac:dyDescent="0.25">
      <c r="A11200" s="3">
        <v>1104</v>
      </c>
      <c r="B11200" s="28"/>
      <c r="C11200" s="3" t="s">
        <v>7</v>
      </c>
    </row>
    <row r="11201" spans="1:3" ht="13.5" thickBot="1" x14ac:dyDescent="0.25">
      <c r="A11201" s="3">
        <v>4217</v>
      </c>
      <c r="B11201" s="28"/>
      <c r="C11201" s="3" t="s">
        <v>4</v>
      </c>
    </row>
    <row r="11202" spans="1:3" ht="13.5" thickBot="1" x14ac:dyDescent="0.25">
      <c r="A11202" s="3">
        <v>7118</v>
      </c>
      <c r="B11202" s="28"/>
      <c r="C11202" s="3" t="s">
        <v>4</v>
      </c>
    </row>
    <row r="11203" spans="1:3" ht="13.5" thickBot="1" x14ac:dyDescent="0.25">
      <c r="A11203" s="3">
        <v>7118</v>
      </c>
      <c r="B11203" s="28"/>
      <c r="C11203" s="3" t="s">
        <v>6</v>
      </c>
    </row>
    <row r="11204" spans="1:3" ht="13.5" thickBot="1" x14ac:dyDescent="0.25">
      <c r="A11204" s="3">
        <v>6535</v>
      </c>
      <c r="B11204" s="28"/>
      <c r="C11204" s="3" t="s">
        <v>3</v>
      </c>
    </row>
    <row r="11205" spans="1:3" ht="13.5" thickBot="1" x14ac:dyDescent="0.25">
      <c r="A11205" s="3">
        <v>1045</v>
      </c>
      <c r="B11205" s="28"/>
      <c r="C11205" s="3" t="s">
        <v>6</v>
      </c>
    </row>
    <row r="11206" spans="1:3" ht="13.5" thickBot="1" x14ac:dyDescent="0.25">
      <c r="A11206" s="3">
        <v>5934</v>
      </c>
      <c r="B11206" s="28"/>
      <c r="C11206" s="3" t="s">
        <v>4</v>
      </c>
    </row>
    <row r="11207" spans="1:3" ht="13.5" thickBot="1" x14ac:dyDescent="0.25">
      <c r="A11207" s="3">
        <v>4112</v>
      </c>
      <c r="B11207" s="28"/>
      <c r="C11207" s="3" t="s">
        <v>3</v>
      </c>
    </row>
    <row r="11208" spans="1:3" ht="13.5" thickBot="1" x14ac:dyDescent="0.25">
      <c r="A11208" s="3">
        <v>1045</v>
      </c>
      <c r="B11208" s="28"/>
      <c r="C11208" s="3" t="s">
        <v>7</v>
      </c>
    </row>
    <row r="11209" spans="1:3" ht="13.5" thickBot="1" x14ac:dyDescent="0.25">
      <c r="A11209" s="3">
        <v>6288</v>
      </c>
      <c r="B11209" s="28"/>
      <c r="C11209" s="3" t="s">
        <v>4</v>
      </c>
    </row>
    <row r="11210" spans="1:3" ht="13.5" thickBot="1" x14ac:dyDescent="0.25">
      <c r="A11210" s="3">
        <v>4664</v>
      </c>
      <c r="B11210" s="28"/>
      <c r="C11210" s="3" t="s">
        <v>3</v>
      </c>
    </row>
    <row r="11211" spans="1:3" ht="13.5" thickBot="1" x14ac:dyDescent="0.25">
      <c r="A11211" s="3">
        <v>6754</v>
      </c>
      <c r="B11211" s="28"/>
      <c r="C11211" s="3" t="s">
        <v>3</v>
      </c>
    </row>
    <row r="11212" spans="1:3" ht="13.5" thickBot="1" x14ac:dyDescent="0.25">
      <c r="A11212" s="3">
        <v>1331</v>
      </c>
      <c r="B11212" s="28"/>
      <c r="C11212" s="3" t="s">
        <v>6</v>
      </c>
    </row>
    <row r="11213" spans="1:3" ht="13.5" thickBot="1" x14ac:dyDescent="0.25">
      <c r="A11213" s="3">
        <v>3304</v>
      </c>
      <c r="B11213" s="28"/>
      <c r="C11213" s="3" t="s">
        <v>4</v>
      </c>
    </row>
    <row r="11214" spans="1:3" ht="13.5" thickBot="1" x14ac:dyDescent="0.25">
      <c r="A11214" s="3">
        <v>7732</v>
      </c>
      <c r="B11214" s="28"/>
      <c r="C11214" s="3" t="s">
        <v>7</v>
      </c>
    </row>
    <row r="11215" spans="1:3" ht="13.5" thickBot="1" x14ac:dyDescent="0.25">
      <c r="A11215" s="3">
        <v>2252</v>
      </c>
      <c r="B11215" s="28"/>
      <c r="C11215" s="3" t="s">
        <v>3</v>
      </c>
    </row>
    <row r="11216" spans="1:3" ht="13.5" thickBot="1" x14ac:dyDescent="0.25">
      <c r="A11216" s="3">
        <v>4362</v>
      </c>
      <c r="B11216" s="28"/>
      <c r="C11216" s="3" t="s">
        <v>3</v>
      </c>
    </row>
    <row r="11217" spans="1:3" ht="13.5" thickBot="1" x14ac:dyDescent="0.25">
      <c r="A11217" s="3">
        <v>5814</v>
      </c>
      <c r="B11217" s="28"/>
      <c r="C11217" s="3" t="s">
        <v>6</v>
      </c>
    </row>
    <row r="11218" spans="1:3" ht="13.5" thickBot="1" x14ac:dyDescent="0.25">
      <c r="A11218" s="3">
        <v>2541</v>
      </c>
      <c r="B11218" s="28"/>
      <c r="C11218" s="3" t="s">
        <v>7</v>
      </c>
    </row>
    <row r="11219" spans="1:3" ht="13.5" thickBot="1" x14ac:dyDescent="0.25">
      <c r="A11219" s="3">
        <v>5932</v>
      </c>
      <c r="B11219" s="28"/>
      <c r="C11219" s="3" t="s">
        <v>3</v>
      </c>
    </row>
    <row r="11220" spans="1:3" ht="13.5" thickBot="1" x14ac:dyDescent="0.25">
      <c r="A11220" s="3">
        <v>124</v>
      </c>
      <c r="B11220" s="28"/>
      <c r="C11220" s="3" t="s">
        <v>3</v>
      </c>
    </row>
    <row r="11221" spans="1:3" ht="13.5" thickBot="1" x14ac:dyDescent="0.25">
      <c r="A11221" s="3">
        <v>4619</v>
      </c>
      <c r="B11221" s="28"/>
      <c r="C11221" s="3" t="s">
        <v>6</v>
      </c>
    </row>
    <row r="11222" spans="1:3" ht="13.5" thickBot="1" x14ac:dyDescent="0.25">
      <c r="A11222" s="3">
        <v>4636</v>
      </c>
      <c r="B11222" s="28"/>
      <c r="C11222" s="3" t="s">
        <v>7</v>
      </c>
    </row>
    <row r="11223" spans="1:3" ht="13.5" thickBot="1" x14ac:dyDescent="0.25">
      <c r="A11223" s="3">
        <v>15</v>
      </c>
      <c r="B11223" s="28"/>
      <c r="C11223" s="3" t="s">
        <v>4</v>
      </c>
    </row>
    <row r="11224" spans="1:3" ht="13.5" thickBot="1" x14ac:dyDescent="0.25">
      <c r="A11224" s="3">
        <v>5938</v>
      </c>
      <c r="B11224" s="28"/>
      <c r="C11224" s="3" t="s">
        <v>3</v>
      </c>
    </row>
    <row r="11225" spans="1:3" ht="13.5" thickBot="1" x14ac:dyDescent="0.25">
      <c r="A11225" s="3">
        <v>1607</v>
      </c>
      <c r="B11225" s="28"/>
      <c r="C11225" s="3" t="s">
        <v>6</v>
      </c>
    </row>
    <row r="11226" spans="1:3" ht="13.5" thickBot="1" x14ac:dyDescent="0.25">
      <c r="A11226" s="3">
        <v>5133</v>
      </c>
      <c r="B11226" s="28"/>
      <c r="C11226" s="3" t="s">
        <v>3</v>
      </c>
    </row>
    <row r="11227" spans="1:3" ht="13.5" thickBot="1" x14ac:dyDescent="0.25">
      <c r="A11227" s="3">
        <v>1656</v>
      </c>
      <c r="B11227" s="28"/>
      <c r="C11227" s="3" t="s">
        <v>3</v>
      </c>
    </row>
    <row r="11228" spans="1:3" ht="13.5" thickBot="1" x14ac:dyDescent="0.25">
      <c r="A11228" s="3">
        <v>6449</v>
      </c>
      <c r="B11228" s="28"/>
      <c r="C11228" s="3" t="s">
        <v>3</v>
      </c>
    </row>
    <row r="11229" spans="1:3" ht="13.5" thickBot="1" x14ac:dyDescent="0.25">
      <c r="A11229" s="3">
        <v>6054</v>
      </c>
      <c r="B11229" s="28"/>
      <c r="C11229" s="3" t="s">
        <v>4</v>
      </c>
    </row>
    <row r="11230" spans="1:3" ht="13.5" thickBot="1" x14ac:dyDescent="0.25">
      <c r="A11230" s="3">
        <v>6111</v>
      </c>
      <c r="B11230" s="28"/>
      <c r="C11230" s="3" t="s">
        <v>7</v>
      </c>
    </row>
    <row r="11231" spans="1:3" ht="13.5" thickBot="1" x14ac:dyDescent="0.25">
      <c r="A11231" s="3">
        <v>3733</v>
      </c>
      <c r="B11231" s="28"/>
      <c r="C11231" s="3" t="s">
        <v>3</v>
      </c>
    </row>
    <row r="11232" spans="1:3" ht="13.5" thickBot="1" x14ac:dyDescent="0.25">
      <c r="A11232" s="3">
        <v>4217</v>
      </c>
      <c r="B11232" s="28"/>
      <c r="C11232" s="3" t="s">
        <v>3</v>
      </c>
    </row>
    <row r="11233" spans="1:3" ht="13.5" thickBot="1" x14ac:dyDescent="0.25">
      <c r="A11233" s="3">
        <v>7973</v>
      </c>
      <c r="B11233" s="28"/>
      <c r="C11233" s="3" t="s">
        <v>3</v>
      </c>
    </row>
    <row r="11234" spans="1:3" ht="13.5" thickBot="1" x14ac:dyDescent="0.25">
      <c r="A11234" s="3">
        <v>1901</v>
      </c>
      <c r="B11234" s="28"/>
      <c r="C11234" s="3" t="s">
        <v>3</v>
      </c>
    </row>
    <row r="11235" spans="1:3" ht="13.5" thickBot="1" x14ac:dyDescent="0.25">
      <c r="A11235" s="3">
        <v>3397</v>
      </c>
      <c r="B11235" s="28"/>
      <c r="C11235" s="3" t="s">
        <v>3</v>
      </c>
    </row>
    <row r="11236" spans="1:3" ht="13.5" thickBot="1" x14ac:dyDescent="0.25">
      <c r="A11236" s="3">
        <v>1095</v>
      </c>
      <c r="B11236" s="28"/>
      <c r="C11236" s="3" t="s">
        <v>3</v>
      </c>
    </row>
    <row r="11237" spans="1:3" ht="13.5" thickBot="1" x14ac:dyDescent="0.25">
      <c r="A11237" s="3">
        <v>7493</v>
      </c>
      <c r="B11237" s="28"/>
      <c r="C11237" s="3" t="s">
        <v>5</v>
      </c>
    </row>
    <row r="11238" spans="1:3" ht="13.5" thickBot="1" x14ac:dyDescent="0.25">
      <c r="A11238" s="3">
        <v>5734</v>
      </c>
      <c r="B11238" s="28"/>
      <c r="C11238" s="3" t="s">
        <v>4</v>
      </c>
    </row>
    <row r="11239" spans="1:3" ht="13.5" thickBot="1" x14ac:dyDescent="0.25">
      <c r="A11239" s="3">
        <v>6587</v>
      </c>
      <c r="B11239" s="28"/>
      <c r="C11239" s="3" t="s">
        <v>6</v>
      </c>
    </row>
    <row r="11240" spans="1:3" ht="13.5" thickBot="1" x14ac:dyDescent="0.25">
      <c r="A11240" s="3">
        <v>6661</v>
      </c>
      <c r="B11240" s="28"/>
      <c r="C11240" s="3" t="s">
        <v>4</v>
      </c>
    </row>
    <row r="11241" spans="1:3" ht="13.5" thickBot="1" x14ac:dyDescent="0.25">
      <c r="A11241" s="3">
        <v>3857</v>
      </c>
      <c r="B11241" s="28"/>
      <c r="C11241" s="3" t="s">
        <v>5</v>
      </c>
    </row>
    <row r="11242" spans="1:3" ht="13.5" thickBot="1" x14ac:dyDescent="0.25">
      <c r="A11242" s="3">
        <v>818</v>
      </c>
      <c r="B11242" s="28"/>
      <c r="C11242" s="3" t="s">
        <v>3</v>
      </c>
    </row>
    <row r="11243" spans="1:3" ht="13.5" thickBot="1" x14ac:dyDescent="0.25">
      <c r="A11243" s="3">
        <v>6661</v>
      </c>
      <c r="B11243" s="28"/>
      <c r="C11243" s="3" t="s">
        <v>3</v>
      </c>
    </row>
    <row r="11244" spans="1:3" ht="13.5" thickBot="1" x14ac:dyDescent="0.25">
      <c r="A11244" s="3">
        <v>1378</v>
      </c>
      <c r="B11244" s="28"/>
      <c r="C11244" s="3" t="s">
        <v>4</v>
      </c>
    </row>
    <row r="11245" spans="1:3" ht="13.5" thickBot="1" x14ac:dyDescent="0.25">
      <c r="A11245" s="3">
        <v>4016</v>
      </c>
      <c r="B11245" s="28"/>
      <c r="C11245" s="3" t="s">
        <v>6</v>
      </c>
    </row>
    <row r="11246" spans="1:3" ht="13.5" thickBot="1" x14ac:dyDescent="0.25">
      <c r="A11246" s="3">
        <v>539</v>
      </c>
      <c r="B11246" s="28"/>
      <c r="C11246" s="3" t="s">
        <v>7</v>
      </c>
    </row>
    <row r="11247" spans="1:3" ht="13.5" thickBot="1" x14ac:dyDescent="0.25">
      <c r="A11247" s="3">
        <v>890</v>
      </c>
      <c r="B11247" s="28"/>
      <c r="C11247" s="3" t="s">
        <v>3</v>
      </c>
    </row>
    <row r="11248" spans="1:3" ht="13.5" thickBot="1" x14ac:dyDescent="0.25">
      <c r="A11248" s="3">
        <v>6966</v>
      </c>
      <c r="B11248" s="28"/>
      <c r="C11248" s="3" t="s">
        <v>6</v>
      </c>
    </row>
    <row r="11249" spans="1:3" ht="13.5" thickBot="1" x14ac:dyDescent="0.25">
      <c r="A11249" s="3">
        <v>2318</v>
      </c>
      <c r="B11249" s="28"/>
      <c r="C11249" s="3" t="s">
        <v>4</v>
      </c>
    </row>
    <row r="11250" spans="1:3" ht="13.5" thickBot="1" x14ac:dyDescent="0.25">
      <c r="A11250" s="3">
        <v>4669</v>
      </c>
      <c r="B11250" s="28"/>
      <c r="C11250" s="3" t="s">
        <v>7</v>
      </c>
    </row>
    <row r="11251" spans="1:3" ht="13.5" thickBot="1" x14ac:dyDescent="0.25">
      <c r="A11251" s="3">
        <v>6187</v>
      </c>
      <c r="B11251" s="28"/>
      <c r="C11251" s="3" t="s">
        <v>5</v>
      </c>
    </row>
    <row r="11252" spans="1:3" ht="13.5" thickBot="1" x14ac:dyDescent="0.25">
      <c r="A11252" s="3">
        <v>1656</v>
      </c>
      <c r="B11252" s="28"/>
      <c r="C11252" s="3" t="s">
        <v>4</v>
      </c>
    </row>
    <row r="11253" spans="1:3" ht="13.5" thickBot="1" x14ac:dyDescent="0.25">
      <c r="A11253" s="3">
        <v>859</v>
      </c>
      <c r="B11253" s="28"/>
      <c r="C11253" s="3" t="s">
        <v>5</v>
      </c>
    </row>
    <row r="11254" spans="1:3" ht="13.5" thickBot="1" x14ac:dyDescent="0.25">
      <c r="A11254" s="3">
        <v>2889</v>
      </c>
      <c r="B11254" s="28"/>
      <c r="C11254" s="3" t="s">
        <v>3</v>
      </c>
    </row>
    <row r="11255" spans="1:3" ht="13.5" thickBot="1" x14ac:dyDescent="0.25">
      <c r="A11255" s="3">
        <v>4885</v>
      </c>
      <c r="B11255" s="28"/>
      <c r="C11255" s="3" t="s">
        <v>4</v>
      </c>
    </row>
    <row r="11256" spans="1:3" ht="13.5" thickBot="1" x14ac:dyDescent="0.25">
      <c r="A11256" s="3">
        <v>1559</v>
      </c>
      <c r="B11256" s="28"/>
      <c r="C11256" s="3" t="s">
        <v>3</v>
      </c>
    </row>
    <row r="11257" spans="1:3" ht="13.5" thickBot="1" x14ac:dyDescent="0.25">
      <c r="A11257" s="3">
        <v>6523</v>
      </c>
      <c r="B11257" s="28"/>
      <c r="C11257" s="3" t="s">
        <v>5</v>
      </c>
    </row>
    <row r="11258" spans="1:3" ht="13.5" thickBot="1" x14ac:dyDescent="0.25">
      <c r="A11258" s="3">
        <v>3115</v>
      </c>
      <c r="B11258" s="28"/>
      <c r="C11258" s="3" t="s">
        <v>3</v>
      </c>
    </row>
    <row r="11259" spans="1:3" ht="13.5" thickBot="1" x14ac:dyDescent="0.25">
      <c r="A11259" s="3">
        <v>3440</v>
      </c>
      <c r="B11259" s="28"/>
      <c r="C11259" s="3" t="s">
        <v>4</v>
      </c>
    </row>
    <row r="11260" spans="1:3" ht="13.5" thickBot="1" x14ac:dyDescent="0.25">
      <c r="A11260" s="3">
        <v>539</v>
      </c>
      <c r="B11260" s="28"/>
      <c r="C11260" s="3" t="s">
        <v>5</v>
      </c>
    </row>
    <row r="11261" spans="1:3" ht="13.5" thickBot="1" x14ac:dyDescent="0.25">
      <c r="A11261" s="3">
        <v>1154</v>
      </c>
      <c r="B11261" s="28"/>
      <c r="C11261" s="3" t="s">
        <v>7</v>
      </c>
    </row>
    <row r="11262" spans="1:3" ht="13.5" thickBot="1" x14ac:dyDescent="0.25">
      <c r="A11262" s="3">
        <v>6111</v>
      </c>
      <c r="B11262" s="28"/>
      <c r="C11262" s="3" t="s">
        <v>4</v>
      </c>
    </row>
    <row r="11263" spans="1:3" ht="13.5" thickBot="1" x14ac:dyDescent="0.25">
      <c r="A11263" s="3">
        <v>6754</v>
      </c>
      <c r="B11263" s="28"/>
      <c r="C11263" s="3" t="s">
        <v>7</v>
      </c>
    </row>
    <row r="11264" spans="1:3" ht="13.5" thickBot="1" x14ac:dyDescent="0.25">
      <c r="A11264" s="3">
        <v>4667</v>
      </c>
      <c r="B11264" s="28"/>
      <c r="C11264" s="3" t="s">
        <v>3</v>
      </c>
    </row>
    <row r="11265" spans="1:3" ht="13.5" thickBot="1" x14ac:dyDescent="0.25">
      <c r="A11265" s="3">
        <v>7925</v>
      </c>
      <c r="B11265" s="28"/>
      <c r="C11265" s="3" t="s">
        <v>6</v>
      </c>
    </row>
    <row r="11266" spans="1:3" ht="13.5" thickBot="1" x14ac:dyDescent="0.25">
      <c r="A11266" s="3">
        <v>233</v>
      </c>
      <c r="B11266" s="28"/>
      <c r="C11266" s="3" t="s">
        <v>4</v>
      </c>
    </row>
    <row r="11267" spans="1:3" ht="13.5" thickBot="1" x14ac:dyDescent="0.25">
      <c r="A11267" s="3">
        <v>1265</v>
      </c>
      <c r="B11267" s="28"/>
      <c r="C11267" s="3" t="s">
        <v>3</v>
      </c>
    </row>
    <row r="11268" spans="1:3" ht="13.5" thickBot="1" x14ac:dyDescent="0.25">
      <c r="A11268" s="3">
        <v>7493</v>
      </c>
      <c r="B11268" s="28"/>
      <c r="C11268" s="3" t="s">
        <v>6</v>
      </c>
    </row>
    <row r="11269" spans="1:3" ht="13.5" thickBot="1" x14ac:dyDescent="0.25">
      <c r="A11269" s="3">
        <v>2252</v>
      </c>
      <c r="B11269" s="28"/>
      <c r="C11269" s="3" t="s">
        <v>4</v>
      </c>
    </row>
    <row r="11270" spans="1:3" ht="13.5" thickBot="1" x14ac:dyDescent="0.25">
      <c r="A11270" s="3">
        <v>4099</v>
      </c>
      <c r="B11270" s="28"/>
      <c r="C11270" s="3" t="s">
        <v>5</v>
      </c>
    </row>
    <row r="11271" spans="1:3" ht="13.5" thickBot="1" x14ac:dyDescent="0.25">
      <c r="A11271" s="3">
        <v>4630</v>
      </c>
      <c r="B11271" s="28"/>
      <c r="C11271" s="3" t="s">
        <v>3</v>
      </c>
    </row>
    <row r="11272" spans="1:3" ht="13.5" thickBot="1" x14ac:dyDescent="0.25">
      <c r="A11272" s="3">
        <v>7867</v>
      </c>
      <c r="B11272" s="28"/>
      <c r="C11272" s="3" t="s">
        <v>6</v>
      </c>
    </row>
    <row r="11273" spans="1:3" ht="13.5" thickBot="1" x14ac:dyDescent="0.25">
      <c r="A11273" s="3">
        <v>468</v>
      </c>
      <c r="B11273" s="28"/>
      <c r="C11273" s="3" t="s">
        <v>3</v>
      </c>
    </row>
    <row r="11274" spans="1:3" ht="13.5" thickBot="1" x14ac:dyDescent="0.25">
      <c r="A11274" s="3">
        <v>7732</v>
      </c>
      <c r="B11274" s="28"/>
      <c r="C11274" s="3" t="s">
        <v>6</v>
      </c>
    </row>
    <row r="11275" spans="1:3" ht="13.5" thickBot="1" x14ac:dyDescent="0.25">
      <c r="A11275" s="3">
        <v>4801</v>
      </c>
      <c r="B11275" s="28"/>
      <c r="C11275" s="3" t="s">
        <v>4</v>
      </c>
    </row>
    <row r="11276" spans="1:3" ht="13.5" thickBot="1" x14ac:dyDescent="0.25">
      <c r="A11276" s="3">
        <v>2466</v>
      </c>
      <c r="B11276" s="28"/>
      <c r="C11276" s="3" t="s">
        <v>3</v>
      </c>
    </row>
    <row r="11277" spans="1:3" ht="13.5" thickBot="1" x14ac:dyDescent="0.25">
      <c r="A11277" s="3">
        <v>3473</v>
      </c>
      <c r="B11277" s="28"/>
      <c r="C11277" s="3" t="s">
        <v>3</v>
      </c>
    </row>
    <row r="11278" spans="1:3" ht="13.5" thickBot="1" x14ac:dyDescent="0.25">
      <c r="A11278" s="3">
        <v>1331</v>
      </c>
      <c r="B11278" s="28"/>
      <c r="C11278" s="3" t="s">
        <v>5</v>
      </c>
    </row>
    <row r="11279" spans="1:3" ht="13.5" thickBot="1" x14ac:dyDescent="0.25">
      <c r="A11279" s="3">
        <v>4443</v>
      </c>
      <c r="B11279" s="28"/>
      <c r="C11279" s="3" t="s">
        <v>7</v>
      </c>
    </row>
    <row r="11280" spans="1:3" ht="13.5" thickBot="1" x14ac:dyDescent="0.25">
      <c r="A11280" s="3">
        <v>4099</v>
      </c>
      <c r="B11280" s="28"/>
      <c r="C11280" s="3" t="s">
        <v>3</v>
      </c>
    </row>
    <row r="11281" spans="1:3" ht="13.5" thickBot="1" x14ac:dyDescent="0.25">
      <c r="A11281" s="3">
        <v>653</v>
      </c>
      <c r="B11281" s="28"/>
      <c r="C11281" s="3" t="s">
        <v>5</v>
      </c>
    </row>
    <row r="11282" spans="1:3" ht="13.5" thickBot="1" x14ac:dyDescent="0.25">
      <c r="A11282" s="3">
        <v>6054</v>
      </c>
      <c r="B11282" s="28"/>
      <c r="C11282" s="3" t="s">
        <v>6</v>
      </c>
    </row>
    <row r="11283" spans="1:3" ht="13.5" thickBot="1" x14ac:dyDescent="0.25">
      <c r="A11283" s="3">
        <v>4179</v>
      </c>
      <c r="B11283" s="28"/>
      <c r="C11283" s="3" t="s">
        <v>3</v>
      </c>
    </row>
    <row r="11284" spans="1:3" ht="13.5" thickBot="1" x14ac:dyDescent="0.25">
      <c r="A11284" s="3">
        <v>7088</v>
      </c>
      <c r="B11284" s="28"/>
      <c r="C11284" s="3" t="s">
        <v>3</v>
      </c>
    </row>
    <row r="11285" spans="1:3" ht="13.5" thickBot="1" x14ac:dyDescent="0.25">
      <c r="A11285" s="3">
        <v>6754</v>
      </c>
      <c r="B11285" s="28"/>
      <c r="C11285" s="3" t="s">
        <v>4</v>
      </c>
    </row>
    <row r="11286" spans="1:3" ht="13.5" thickBot="1" x14ac:dyDescent="0.25">
      <c r="A11286" s="3">
        <v>4620</v>
      </c>
      <c r="B11286" s="28"/>
      <c r="C11286" s="3" t="s">
        <v>3</v>
      </c>
    </row>
    <row r="11287" spans="1:3" ht="13.5" thickBot="1" x14ac:dyDescent="0.25">
      <c r="A11287" s="3">
        <v>3793</v>
      </c>
      <c r="B11287" s="28"/>
      <c r="C11287" s="3" t="s">
        <v>3</v>
      </c>
    </row>
    <row r="11288" spans="1:3" ht="13.5" thickBot="1" x14ac:dyDescent="0.25">
      <c r="A11288" s="3">
        <v>3170</v>
      </c>
      <c r="B11288" s="28"/>
      <c r="C11288" s="3" t="s">
        <v>4</v>
      </c>
    </row>
    <row r="11289" spans="1:3" ht="13.5" thickBot="1" x14ac:dyDescent="0.25">
      <c r="A11289" s="3">
        <v>3397</v>
      </c>
      <c r="B11289" s="28"/>
      <c r="C11289" s="3" t="s">
        <v>6</v>
      </c>
    </row>
    <row r="11290" spans="1:3" ht="13.5" thickBot="1" x14ac:dyDescent="0.25">
      <c r="A11290" s="3">
        <v>1331</v>
      </c>
      <c r="B11290" s="28"/>
      <c r="C11290" s="3" t="s">
        <v>7</v>
      </c>
    </row>
    <row r="11291" spans="1:3" ht="13.5" thickBot="1" x14ac:dyDescent="0.25">
      <c r="A11291" s="3">
        <v>4668</v>
      </c>
      <c r="B11291" s="28"/>
      <c r="C11291" s="3" t="s">
        <v>5</v>
      </c>
    </row>
    <row r="11292" spans="1:3" ht="13.5" thickBot="1" x14ac:dyDescent="0.25">
      <c r="A11292" s="3">
        <v>2526</v>
      </c>
      <c r="B11292" s="28"/>
      <c r="C11292" s="3" t="s">
        <v>4</v>
      </c>
    </row>
    <row r="11293" spans="1:3" ht="13.5" thickBot="1" x14ac:dyDescent="0.25">
      <c r="A11293" s="3">
        <v>3440</v>
      </c>
      <c r="B11293" s="28"/>
      <c r="C11293" s="3" t="s">
        <v>5</v>
      </c>
    </row>
    <row r="11294" spans="1:3" ht="13.5" thickBot="1" x14ac:dyDescent="0.25">
      <c r="A11294" s="3">
        <v>2651</v>
      </c>
      <c r="B11294" s="28"/>
      <c r="C11294" s="3" t="s">
        <v>4</v>
      </c>
    </row>
    <row r="11295" spans="1:3" ht="13.5" thickBot="1" x14ac:dyDescent="0.25">
      <c r="A11295" s="3">
        <v>2801</v>
      </c>
      <c r="B11295" s="28"/>
      <c r="C11295" s="3" t="s">
        <v>3</v>
      </c>
    </row>
    <row r="11296" spans="1:3" ht="13.5" thickBot="1" x14ac:dyDescent="0.25">
      <c r="A11296" s="3">
        <v>4885</v>
      </c>
      <c r="B11296" s="28"/>
      <c r="C11296" s="3" t="s">
        <v>3</v>
      </c>
    </row>
    <row r="11297" spans="1:3" ht="13.5" thickBot="1" x14ac:dyDescent="0.25">
      <c r="A11297" s="3">
        <v>3115</v>
      </c>
      <c r="B11297" s="28"/>
      <c r="C11297" s="3" t="s">
        <v>4</v>
      </c>
    </row>
    <row r="11298" spans="1:3" ht="13.5" thickBot="1" x14ac:dyDescent="0.25">
      <c r="A11298" s="3">
        <v>7490</v>
      </c>
      <c r="B11298" s="28"/>
      <c r="C11298" s="3" t="s">
        <v>3</v>
      </c>
    </row>
    <row r="11299" spans="1:3" ht="13.5" thickBot="1" x14ac:dyDescent="0.25">
      <c r="A11299" s="3">
        <v>3824</v>
      </c>
      <c r="B11299" s="28"/>
      <c r="C11299" s="3" t="s">
        <v>3</v>
      </c>
    </row>
    <row r="11300" spans="1:3" ht="13.5" thickBot="1" x14ac:dyDescent="0.25">
      <c r="A11300" s="3">
        <v>7295</v>
      </c>
      <c r="B11300" s="28"/>
      <c r="C11300" s="3" t="s">
        <v>3</v>
      </c>
    </row>
    <row r="11301" spans="1:3" ht="13.5" thickBot="1" x14ac:dyDescent="0.25">
      <c r="A11301" s="3">
        <v>6661</v>
      </c>
      <c r="B11301" s="28"/>
      <c r="C11301" s="3" t="s">
        <v>5</v>
      </c>
    </row>
    <row r="11302" spans="1:3" ht="13.5" thickBot="1" x14ac:dyDescent="0.25">
      <c r="A11302" s="3">
        <v>481</v>
      </c>
      <c r="B11302" s="28"/>
      <c r="C11302" s="3" t="s">
        <v>3</v>
      </c>
    </row>
    <row r="11303" spans="1:3" ht="13.5" thickBot="1" x14ac:dyDescent="0.25">
      <c r="A11303" s="3">
        <v>3303</v>
      </c>
      <c r="B11303" s="28"/>
      <c r="C11303" s="3" t="s">
        <v>3</v>
      </c>
    </row>
    <row r="11304" spans="1:3" ht="13.5" thickBot="1" x14ac:dyDescent="0.25">
      <c r="A11304" s="3">
        <v>2654</v>
      </c>
      <c r="B11304" s="28"/>
      <c r="C11304" s="3" t="s">
        <v>6</v>
      </c>
    </row>
    <row r="11305" spans="1:3" ht="13.5" thickBot="1" x14ac:dyDescent="0.25">
      <c r="A11305" s="3">
        <v>450</v>
      </c>
      <c r="B11305" s="28"/>
      <c r="C11305" s="3" t="s">
        <v>4</v>
      </c>
    </row>
    <row r="11306" spans="1:3" ht="13.5" thickBot="1" x14ac:dyDescent="0.25">
      <c r="A11306" s="3">
        <v>4664</v>
      </c>
      <c r="B11306" s="28"/>
      <c r="C11306" s="3" t="s">
        <v>4</v>
      </c>
    </row>
    <row r="11307" spans="1:3" ht="13.5" thickBot="1" x14ac:dyDescent="0.25">
      <c r="A11307" s="3">
        <v>2748</v>
      </c>
      <c r="B11307" s="28"/>
      <c r="C11307" s="3" t="s">
        <v>3</v>
      </c>
    </row>
    <row r="11308" spans="1:3" ht="13.5" thickBot="1" x14ac:dyDescent="0.25">
      <c r="A11308" s="3">
        <v>1643</v>
      </c>
      <c r="B11308" s="28"/>
      <c r="C11308" s="3" t="s">
        <v>4</v>
      </c>
    </row>
    <row r="11309" spans="1:3" ht="13.5" thickBot="1" x14ac:dyDescent="0.25">
      <c r="A11309" s="3">
        <v>1949</v>
      </c>
      <c r="B11309" s="28"/>
      <c r="C11309" s="3" t="s">
        <v>3</v>
      </c>
    </row>
    <row r="11310" spans="1:3" ht="13.5" thickBot="1" x14ac:dyDescent="0.25">
      <c r="A11310" s="3">
        <v>6758</v>
      </c>
      <c r="B11310" s="28"/>
      <c r="C11310" s="3" t="s">
        <v>3</v>
      </c>
    </row>
    <row r="11311" spans="1:3" ht="13.5" thickBot="1" x14ac:dyDescent="0.25">
      <c r="A11311" s="3">
        <v>653</v>
      </c>
      <c r="B11311" s="28"/>
      <c r="C11311" s="3" t="s">
        <v>7</v>
      </c>
    </row>
    <row r="11312" spans="1:3" ht="13.5" thickBot="1" x14ac:dyDescent="0.25">
      <c r="A11312" s="3">
        <v>6441</v>
      </c>
      <c r="B11312" s="28"/>
      <c r="C11312" s="3" t="s">
        <v>4</v>
      </c>
    </row>
    <row r="11313" spans="1:3" ht="13.5" thickBot="1" x14ac:dyDescent="0.25">
      <c r="A11313" s="3">
        <v>270</v>
      </c>
      <c r="B11313" s="28"/>
      <c r="C11313" s="3" t="s">
        <v>3</v>
      </c>
    </row>
    <row r="11314" spans="1:3" ht="13.5" thickBot="1" x14ac:dyDescent="0.25">
      <c r="A11314" s="3">
        <v>3440</v>
      </c>
      <c r="B11314" s="28"/>
      <c r="C11314" s="3" t="s">
        <v>6</v>
      </c>
    </row>
    <row r="11315" spans="1:3" ht="13.5" thickBot="1" x14ac:dyDescent="0.25">
      <c r="A11315" s="3">
        <v>4801</v>
      </c>
      <c r="B11315" s="28"/>
      <c r="C11315" s="3" t="s">
        <v>5</v>
      </c>
    </row>
    <row r="11316" spans="1:3" ht="13.5" thickBot="1" x14ac:dyDescent="0.25">
      <c r="A11316" s="3">
        <v>7726</v>
      </c>
      <c r="B11316" s="28"/>
      <c r="C11316" s="3" t="s">
        <v>3</v>
      </c>
    </row>
    <row r="11317" spans="1:3" ht="13.5" thickBot="1" x14ac:dyDescent="0.25">
      <c r="A11317" s="3">
        <v>5938</v>
      </c>
      <c r="B11317" s="28"/>
      <c r="C11317" s="3" t="s">
        <v>4</v>
      </c>
    </row>
    <row r="11318" spans="1:3" ht="13.5" thickBot="1" x14ac:dyDescent="0.25">
      <c r="A11318" s="3">
        <v>5338</v>
      </c>
      <c r="B11318" s="28"/>
      <c r="C11318" s="3" t="s">
        <v>3</v>
      </c>
    </row>
    <row r="11319" spans="1:3" ht="13.5" thickBot="1" x14ac:dyDescent="0.25">
      <c r="A11319" s="3">
        <v>5722</v>
      </c>
      <c r="B11319" s="28"/>
      <c r="C11319" s="3" t="s">
        <v>4</v>
      </c>
    </row>
    <row r="11320" spans="1:3" ht="13.5" thickBot="1" x14ac:dyDescent="0.25">
      <c r="A11320" s="3">
        <v>42</v>
      </c>
      <c r="B11320" s="28"/>
      <c r="C11320" s="3" t="s">
        <v>3</v>
      </c>
    </row>
    <row r="11321" spans="1:3" ht="13.5" thickBot="1" x14ac:dyDescent="0.25">
      <c r="A11321" s="3">
        <v>6981</v>
      </c>
      <c r="B11321" s="28"/>
      <c r="C11321" s="3" t="s">
        <v>3</v>
      </c>
    </row>
    <row r="11322" spans="1:3" ht="13.5" thickBot="1" x14ac:dyDescent="0.25">
      <c r="A11322" s="3">
        <v>7693</v>
      </c>
      <c r="B11322" s="28"/>
      <c r="C11322" s="3" t="s">
        <v>3</v>
      </c>
    </row>
    <row r="11323" spans="1:3" ht="13.5" thickBot="1" x14ac:dyDescent="0.25">
      <c r="A11323" s="3">
        <v>4983</v>
      </c>
      <c r="B11323" s="28"/>
      <c r="C11323" s="3" t="s">
        <v>3</v>
      </c>
    </row>
    <row r="11324" spans="1:3" ht="13.5" thickBot="1" x14ac:dyDescent="0.25">
      <c r="A11324" s="3">
        <v>3150</v>
      </c>
      <c r="B11324" s="28"/>
      <c r="C11324" s="3" t="s">
        <v>3</v>
      </c>
    </row>
    <row r="11325" spans="1:3" ht="13.5" thickBot="1" x14ac:dyDescent="0.25">
      <c r="A11325" s="3">
        <v>5870</v>
      </c>
      <c r="B11325" s="28"/>
      <c r="C11325" s="3" t="s">
        <v>4</v>
      </c>
    </row>
    <row r="11326" spans="1:3" ht="13.5" thickBot="1" x14ac:dyDescent="0.25">
      <c r="A11326" s="3">
        <v>431</v>
      </c>
      <c r="B11326" s="28"/>
      <c r="C11326" s="3" t="s">
        <v>3</v>
      </c>
    </row>
    <row r="11327" spans="1:3" ht="13.5" thickBot="1" x14ac:dyDescent="0.25">
      <c r="A11327" s="3">
        <v>6312</v>
      </c>
      <c r="B11327" s="28"/>
      <c r="C11327" s="3" t="s">
        <v>3</v>
      </c>
    </row>
    <row r="11328" spans="1:3" ht="13.5" thickBot="1" x14ac:dyDescent="0.25">
      <c r="A11328" s="3">
        <v>5338</v>
      </c>
      <c r="B11328" s="28"/>
      <c r="C11328" s="3" t="s">
        <v>4</v>
      </c>
    </row>
    <row r="11329" spans="1:3" ht="13.5" thickBot="1" x14ac:dyDescent="0.25">
      <c r="A11329" s="3">
        <v>7593</v>
      </c>
      <c r="B11329" s="28"/>
      <c r="C11329" s="3" t="s">
        <v>4</v>
      </c>
    </row>
    <row r="11330" spans="1:3" ht="13.5" thickBot="1" x14ac:dyDescent="0.25">
      <c r="A11330" s="3">
        <v>6981</v>
      </c>
      <c r="B11330" s="28"/>
      <c r="C11330" s="3" t="s">
        <v>4</v>
      </c>
    </row>
    <row r="11331" spans="1:3" ht="13.5" thickBot="1" x14ac:dyDescent="0.25">
      <c r="A11331" s="3">
        <v>59</v>
      </c>
      <c r="B11331" s="28"/>
      <c r="C11331" s="3" t="s">
        <v>7</v>
      </c>
    </row>
    <row r="11332" spans="1:3" ht="13.5" thickBot="1" x14ac:dyDescent="0.25">
      <c r="A11332" s="3">
        <v>4957</v>
      </c>
      <c r="B11332" s="28"/>
      <c r="C11332" s="3" t="s">
        <v>3</v>
      </c>
    </row>
    <row r="11333" spans="1:3" ht="13.5" thickBot="1" x14ac:dyDescent="0.25">
      <c r="A11333" s="3">
        <v>948</v>
      </c>
      <c r="B11333" s="28"/>
      <c r="C11333" s="3" t="s">
        <v>3</v>
      </c>
    </row>
    <row r="11334" spans="1:3" ht="13.5" thickBot="1" x14ac:dyDescent="0.25">
      <c r="A11334" s="3">
        <v>1610</v>
      </c>
      <c r="B11334" s="28"/>
      <c r="C11334" s="3" t="s">
        <v>3</v>
      </c>
    </row>
    <row r="11335" spans="1:3" ht="13.5" thickBot="1" x14ac:dyDescent="0.25">
      <c r="A11335" s="3">
        <v>5237</v>
      </c>
      <c r="B11335" s="28"/>
      <c r="C11335" s="3" t="s">
        <v>4</v>
      </c>
    </row>
    <row r="11336" spans="1:3" ht="13.5" thickBot="1" x14ac:dyDescent="0.25">
      <c r="A11336" s="3">
        <v>2111</v>
      </c>
      <c r="B11336" s="28"/>
      <c r="C11336" s="3" t="s">
        <v>3</v>
      </c>
    </row>
    <row r="11337" spans="1:3" ht="13.5" thickBot="1" x14ac:dyDescent="0.25">
      <c r="A11337" s="3">
        <v>7812</v>
      </c>
      <c r="B11337" s="28"/>
      <c r="C11337" s="3" t="s">
        <v>6</v>
      </c>
    </row>
    <row r="11338" spans="1:3" ht="13.5" thickBot="1" x14ac:dyDescent="0.25">
      <c r="A11338" s="3">
        <v>1979</v>
      </c>
      <c r="B11338" s="28"/>
      <c r="C11338" s="3" t="s">
        <v>3</v>
      </c>
    </row>
    <row r="11339" spans="1:3" ht="13.5" thickBot="1" x14ac:dyDescent="0.25">
      <c r="A11339" s="3">
        <v>4099</v>
      </c>
      <c r="B11339" s="28"/>
      <c r="C11339" s="3" t="s">
        <v>4</v>
      </c>
    </row>
    <row r="11340" spans="1:3" ht="13.5" thickBot="1" x14ac:dyDescent="0.25">
      <c r="A11340" s="3">
        <v>3050</v>
      </c>
      <c r="B11340" s="28"/>
      <c r="C11340" s="3" t="s">
        <v>6</v>
      </c>
    </row>
    <row r="11341" spans="1:3" ht="13.5" thickBot="1" x14ac:dyDescent="0.25">
      <c r="A11341" s="3">
        <v>2466</v>
      </c>
      <c r="B11341" s="28"/>
      <c r="C11341" s="3" t="s">
        <v>4</v>
      </c>
    </row>
    <row r="11342" spans="1:3" ht="13.5" thickBot="1" x14ac:dyDescent="0.25">
      <c r="A11342" s="3">
        <v>5723</v>
      </c>
      <c r="B11342" s="28"/>
      <c r="C11342" s="3" t="s">
        <v>3</v>
      </c>
    </row>
    <row r="11343" spans="1:3" ht="13.5" thickBot="1" x14ac:dyDescent="0.25">
      <c r="A11343" s="3">
        <v>744</v>
      </c>
      <c r="B11343" s="28"/>
      <c r="C11343" s="3" t="s">
        <v>7</v>
      </c>
    </row>
    <row r="11344" spans="1:3" ht="13.5" thickBot="1" x14ac:dyDescent="0.25">
      <c r="A11344" s="3">
        <v>1559</v>
      </c>
      <c r="B11344" s="28"/>
      <c r="C11344" s="3" t="s">
        <v>5</v>
      </c>
    </row>
    <row r="11345" spans="1:3" ht="13.5" thickBot="1" x14ac:dyDescent="0.25">
      <c r="A11345" s="3">
        <v>1559</v>
      </c>
      <c r="B11345" s="28"/>
      <c r="C11345" s="3" t="s">
        <v>6</v>
      </c>
    </row>
    <row r="11346" spans="1:3" ht="13.5" thickBot="1" x14ac:dyDescent="0.25">
      <c r="A11346" s="3">
        <v>4292</v>
      </c>
      <c r="B11346" s="28"/>
      <c r="C11346" s="3" t="s">
        <v>6</v>
      </c>
    </row>
    <row r="11347" spans="1:3" ht="13.5" thickBot="1" x14ac:dyDescent="0.25">
      <c r="A11347" s="3">
        <v>2633</v>
      </c>
      <c r="B11347" s="28"/>
      <c r="C11347" s="3" t="s">
        <v>3</v>
      </c>
    </row>
    <row r="11348" spans="1:3" ht="13.5" thickBot="1" x14ac:dyDescent="0.25">
      <c r="A11348" s="3">
        <v>5723</v>
      </c>
      <c r="B11348" s="28"/>
      <c r="C11348" s="3" t="s">
        <v>4</v>
      </c>
    </row>
    <row r="11349" spans="1:3" ht="13.5" thickBot="1" x14ac:dyDescent="0.25">
      <c r="A11349" s="3">
        <v>7394</v>
      </c>
      <c r="B11349" s="28"/>
      <c r="C11349" s="3" t="s">
        <v>4</v>
      </c>
    </row>
    <row r="11350" spans="1:3" ht="13.5" thickBot="1" x14ac:dyDescent="0.25">
      <c r="A11350" s="3">
        <v>7973</v>
      </c>
      <c r="B11350" s="28"/>
      <c r="C11350" s="3" t="s">
        <v>4</v>
      </c>
    </row>
    <row r="11351" spans="1:3" ht="13.5" thickBot="1" x14ac:dyDescent="0.25">
      <c r="A11351" s="3">
        <v>3150</v>
      </c>
      <c r="B11351" s="28"/>
      <c r="C11351" s="3" t="s">
        <v>4</v>
      </c>
    </row>
    <row r="11352" spans="1:3" ht="13.5" thickBot="1" x14ac:dyDescent="0.25">
      <c r="A11352" s="3">
        <v>3397</v>
      </c>
      <c r="B11352" s="28"/>
      <c r="C11352" s="3" t="s">
        <v>4</v>
      </c>
    </row>
    <row r="11353" spans="1:3" ht="13.5" thickBot="1" x14ac:dyDescent="0.25">
      <c r="A11353" s="3">
        <v>2651</v>
      </c>
      <c r="B11353" s="28"/>
      <c r="C11353" s="3" t="s">
        <v>5</v>
      </c>
    </row>
    <row r="11354" spans="1:3" ht="13.5" thickBot="1" x14ac:dyDescent="0.25">
      <c r="A11354" s="3">
        <v>5501</v>
      </c>
      <c r="B11354" s="28"/>
      <c r="C11354" s="3" t="s">
        <v>3</v>
      </c>
    </row>
    <row r="11355" spans="1:3" ht="13.5" thickBot="1" x14ac:dyDescent="0.25">
      <c r="A11355" s="3">
        <v>2318</v>
      </c>
      <c r="B11355" s="28"/>
      <c r="C11355" s="3" t="s">
        <v>5</v>
      </c>
    </row>
    <row r="11356" spans="1:3" ht="13.5" thickBot="1" x14ac:dyDescent="0.25">
      <c r="A11356" s="3">
        <v>4584</v>
      </c>
      <c r="B11356" s="28"/>
      <c r="C11356" s="3" t="s">
        <v>3</v>
      </c>
    </row>
    <row r="11357" spans="1:3" ht="13.5" thickBot="1" x14ac:dyDescent="0.25">
      <c r="A11357" s="3">
        <v>6885</v>
      </c>
      <c r="B11357" s="28"/>
      <c r="C11357" s="3" t="s">
        <v>7</v>
      </c>
    </row>
    <row r="11358" spans="1:3" ht="13.5" thickBot="1" x14ac:dyDescent="0.25">
      <c r="A11358" s="3">
        <v>4983</v>
      </c>
      <c r="B11358" s="28"/>
      <c r="C11358" s="3" t="s">
        <v>5</v>
      </c>
    </row>
    <row r="11359" spans="1:3" ht="13.5" thickBot="1" x14ac:dyDescent="0.25">
      <c r="A11359" s="3">
        <v>7593</v>
      </c>
      <c r="B11359" s="28"/>
      <c r="C11359" s="3" t="s">
        <v>3</v>
      </c>
    </row>
    <row r="11360" spans="1:3" ht="13.5" thickBot="1" x14ac:dyDescent="0.25">
      <c r="A11360" s="3">
        <v>5039</v>
      </c>
      <c r="B11360" s="28"/>
      <c r="C11360" s="3" t="s">
        <v>6</v>
      </c>
    </row>
    <row r="11361" spans="1:3" ht="13.5" thickBot="1" x14ac:dyDescent="0.25">
      <c r="A11361" s="3">
        <v>1193</v>
      </c>
      <c r="B11361" s="28"/>
      <c r="C11361" s="3" t="s">
        <v>3</v>
      </c>
    </row>
    <row r="11362" spans="1:3" ht="13.5" thickBot="1" x14ac:dyDescent="0.25">
      <c r="A11362" s="3">
        <v>3733</v>
      </c>
      <c r="B11362" s="28"/>
      <c r="C11362" s="3" t="s">
        <v>4</v>
      </c>
    </row>
    <row r="11363" spans="1:3" ht="13.5" thickBot="1" x14ac:dyDescent="0.25">
      <c r="A11363" s="3">
        <v>2318</v>
      </c>
      <c r="B11363" s="28"/>
      <c r="C11363" s="3" t="s">
        <v>6</v>
      </c>
    </row>
    <row r="11364" spans="1:3" ht="13.5" thickBot="1" x14ac:dyDescent="0.25">
      <c r="A11364" s="3">
        <v>3536</v>
      </c>
      <c r="B11364" s="28"/>
      <c r="C11364" s="3" t="s">
        <v>6</v>
      </c>
    </row>
    <row r="11365" spans="1:3" ht="13.5" thickBot="1" x14ac:dyDescent="0.25">
      <c r="A11365" s="3">
        <v>6441</v>
      </c>
      <c r="B11365" s="28"/>
      <c r="C11365" s="3" t="s">
        <v>7</v>
      </c>
    </row>
    <row r="11366" spans="1:3" ht="13.5" thickBot="1" x14ac:dyDescent="0.25">
      <c r="A11366" s="3">
        <v>7394</v>
      </c>
      <c r="B11366" s="28"/>
      <c r="C11366" s="3" t="s">
        <v>3</v>
      </c>
    </row>
    <row r="11367" spans="1:3" ht="13.5" thickBot="1" x14ac:dyDescent="0.25">
      <c r="A11367" s="3">
        <v>4630</v>
      </c>
      <c r="B11367" s="28"/>
      <c r="C11367" s="3" t="s">
        <v>7</v>
      </c>
    </row>
    <row r="11368" spans="1:3" ht="13.5" thickBot="1" x14ac:dyDescent="0.25">
      <c r="A11368" s="3">
        <v>5722</v>
      </c>
      <c r="B11368" s="28"/>
      <c r="C11368" s="3" t="s">
        <v>3</v>
      </c>
    </row>
    <row r="11369" spans="1:3" ht="13.5" thickBot="1" x14ac:dyDescent="0.25">
      <c r="A11369" s="3">
        <v>2263</v>
      </c>
      <c r="B11369" s="28"/>
      <c r="C11369" s="3" t="s">
        <v>3</v>
      </c>
    </row>
    <row r="11370" spans="1:3" ht="13.5" thickBot="1" x14ac:dyDescent="0.25">
      <c r="A11370" s="3">
        <v>4182</v>
      </c>
      <c r="B11370" s="28"/>
      <c r="C11370" s="3" t="s">
        <v>3</v>
      </c>
    </row>
    <row r="11371" spans="1:3" ht="13.5" thickBot="1" x14ac:dyDescent="0.25">
      <c r="A11371" s="3">
        <v>419</v>
      </c>
      <c r="B11371" s="28"/>
      <c r="C11371" s="3" t="s">
        <v>3</v>
      </c>
    </row>
    <row r="11372" spans="1:3" ht="13.5" thickBot="1" x14ac:dyDescent="0.25">
      <c r="A11372" s="3">
        <v>3150</v>
      </c>
      <c r="B11372" s="28"/>
      <c r="C11372" s="3" t="s">
        <v>7</v>
      </c>
    </row>
    <row r="11373" spans="1:3" ht="13.5" thickBot="1" x14ac:dyDescent="0.25">
      <c r="A11373" s="3">
        <v>2252</v>
      </c>
      <c r="B11373" s="28"/>
      <c r="C11373" s="3" t="s">
        <v>5</v>
      </c>
    </row>
    <row r="11374" spans="1:3" ht="13.5" thickBot="1" x14ac:dyDescent="0.25">
      <c r="A11374" s="3">
        <v>7593</v>
      </c>
      <c r="B11374" s="28"/>
      <c r="C11374" s="3" t="s">
        <v>5</v>
      </c>
    </row>
    <row r="11375" spans="1:3" ht="13.5" thickBot="1" x14ac:dyDescent="0.25">
      <c r="A11375" s="3">
        <v>5352</v>
      </c>
      <c r="B11375" s="28"/>
      <c r="C11375" s="3" t="s">
        <v>3</v>
      </c>
    </row>
    <row r="11376" spans="1:3" ht="13.5" thickBot="1" x14ac:dyDescent="0.25">
      <c r="A11376" s="3">
        <v>890</v>
      </c>
      <c r="B11376" s="28"/>
      <c r="C11376" s="3" t="s">
        <v>7</v>
      </c>
    </row>
    <row r="11377" spans="1:3" ht="13.5" thickBot="1" x14ac:dyDescent="0.25">
      <c r="A11377" s="3">
        <v>6395</v>
      </c>
      <c r="B11377" s="28"/>
      <c r="C11377" s="3" t="s">
        <v>3</v>
      </c>
    </row>
    <row r="11378" spans="1:3" ht="13.5" thickBot="1" x14ac:dyDescent="0.25">
      <c r="A11378" s="3">
        <v>6106</v>
      </c>
      <c r="B11378" s="28"/>
      <c r="C11378" s="3" t="s">
        <v>3</v>
      </c>
    </row>
    <row r="11379" spans="1:3" ht="13.5" thickBot="1" x14ac:dyDescent="0.25">
      <c r="A11379" s="3">
        <v>5133</v>
      </c>
      <c r="B11379" s="28"/>
      <c r="C11379" s="3" t="s">
        <v>5</v>
      </c>
    </row>
    <row r="11380" spans="1:3" ht="13.5" thickBot="1" x14ac:dyDescent="0.25">
      <c r="A11380" s="3">
        <v>6187</v>
      </c>
      <c r="B11380" s="28"/>
      <c r="C11380" s="3" t="s">
        <v>6</v>
      </c>
    </row>
    <row r="11381" spans="1:3" ht="13.5" thickBot="1" x14ac:dyDescent="0.25">
      <c r="A11381" s="3">
        <v>5723</v>
      </c>
      <c r="B11381" s="28"/>
      <c r="C11381" s="3" t="s">
        <v>5</v>
      </c>
    </row>
    <row r="11382" spans="1:3" ht="13.5" thickBot="1" x14ac:dyDescent="0.25">
      <c r="A11382" s="3">
        <v>3202</v>
      </c>
      <c r="B11382" s="28"/>
      <c r="C11382" s="3" t="s">
        <v>4</v>
      </c>
    </row>
    <row r="11383" spans="1:3" ht="13.5" thickBot="1" x14ac:dyDescent="0.25">
      <c r="A11383" s="3">
        <v>5288</v>
      </c>
      <c r="B11383" s="28"/>
      <c r="C11383" s="3" t="s">
        <v>3</v>
      </c>
    </row>
    <row r="11384" spans="1:3" ht="13.5" thickBot="1" x14ac:dyDescent="0.25">
      <c r="A11384" s="3">
        <v>2104</v>
      </c>
      <c r="B11384" s="28"/>
      <c r="C11384" s="3" t="s">
        <v>3</v>
      </c>
    </row>
    <row r="11385" spans="1:3" ht="13.5" thickBot="1" x14ac:dyDescent="0.25">
      <c r="A11385" s="3">
        <v>6523</v>
      </c>
      <c r="B11385" s="28"/>
      <c r="C11385" s="3" t="s">
        <v>7</v>
      </c>
    </row>
    <row r="11386" spans="1:3" ht="13.5" thickBot="1" x14ac:dyDescent="0.25">
      <c r="A11386" s="3">
        <v>1160</v>
      </c>
      <c r="B11386" s="28"/>
      <c r="C11386" s="3" t="s">
        <v>3</v>
      </c>
    </row>
    <row r="11387" spans="1:3" ht="13.5" thickBot="1" x14ac:dyDescent="0.25">
      <c r="A11387" s="3">
        <v>4476</v>
      </c>
      <c r="B11387" s="28"/>
      <c r="C11387" s="3" t="s">
        <v>3</v>
      </c>
    </row>
    <row r="11388" spans="1:3" ht="13.5" thickBot="1" x14ac:dyDescent="0.25">
      <c r="A11388" s="3">
        <v>2111</v>
      </c>
      <c r="B11388" s="28"/>
      <c r="C11388" s="3" t="s">
        <v>4</v>
      </c>
    </row>
    <row r="11389" spans="1:3" ht="13.5" thickBot="1" x14ac:dyDescent="0.25">
      <c r="A11389" s="3">
        <v>7295</v>
      </c>
      <c r="B11389" s="28"/>
      <c r="C11389" s="3" t="s">
        <v>4</v>
      </c>
    </row>
    <row r="11390" spans="1:3" ht="13.5" thickBot="1" x14ac:dyDescent="0.25">
      <c r="A11390" s="3">
        <v>1445</v>
      </c>
      <c r="B11390" s="28"/>
      <c r="C11390" s="3" t="s">
        <v>3</v>
      </c>
    </row>
    <row r="11391" spans="1:3" ht="13.5" thickBot="1" x14ac:dyDescent="0.25">
      <c r="A11391" s="3">
        <v>3164</v>
      </c>
      <c r="B11391" s="28"/>
      <c r="C11391" s="3" t="s">
        <v>7</v>
      </c>
    </row>
    <row r="11392" spans="1:3" ht="13.5" thickBot="1" x14ac:dyDescent="0.25">
      <c r="A11392" s="3">
        <v>3164</v>
      </c>
      <c r="B11392" s="28"/>
      <c r="C11392" s="3" t="s">
        <v>6</v>
      </c>
    </row>
    <row r="11393" spans="1:3" ht="13.5" thickBot="1" x14ac:dyDescent="0.25">
      <c r="A11393" s="3">
        <v>5454</v>
      </c>
      <c r="B11393" s="28"/>
      <c r="C11393" s="3" t="s">
        <v>3</v>
      </c>
    </row>
    <row r="11394" spans="1:3" ht="13.5" thickBot="1" x14ac:dyDescent="0.25">
      <c r="A11394" s="3">
        <v>6111</v>
      </c>
      <c r="B11394" s="28"/>
      <c r="C11394" s="3" t="s">
        <v>5</v>
      </c>
    </row>
    <row r="11395" spans="1:3" ht="13.5" thickBot="1" x14ac:dyDescent="0.25">
      <c r="A11395" s="3">
        <v>1911</v>
      </c>
      <c r="B11395" s="28"/>
      <c r="C11395" s="3" t="s">
        <v>4</v>
      </c>
    </row>
    <row r="11396" spans="1:3" ht="13.5" thickBot="1" x14ac:dyDescent="0.25">
      <c r="A11396" s="3">
        <v>4664</v>
      </c>
      <c r="B11396" s="28"/>
      <c r="C11396" s="3" t="s">
        <v>7</v>
      </c>
    </row>
    <row r="11397" spans="1:3" ht="13.5" thickBot="1" x14ac:dyDescent="0.25">
      <c r="A11397" s="3">
        <v>5338</v>
      </c>
      <c r="B11397" s="28"/>
      <c r="C11397" s="3" t="s">
        <v>6</v>
      </c>
    </row>
    <row r="11398" spans="1:3" ht="13.5" thickBot="1" x14ac:dyDescent="0.25">
      <c r="A11398" s="3">
        <v>6661</v>
      </c>
      <c r="B11398" s="28"/>
      <c r="C11398" s="3" t="s">
        <v>7</v>
      </c>
    </row>
    <row r="11399" spans="1:3" ht="13.5" thickBot="1" x14ac:dyDescent="0.25">
      <c r="A11399" s="3">
        <v>801</v>
      </c>
      <c r="B11399" s="28"/>
      <c r="C11399" s="3" t="s">
        <v>3</v>
      </c>
    </row>
    <row r="11400" spans="1:3" ht="13.5" thickBot="1" x14ac:dyDescent="0.25">
      <c r="A11400" s="3">
        <v>7871</v>
      </c>
      <c r="B11400" s="28"/>
      <c r="C11400" s="3" t="s">
        <v>6</v>
      </c>
    </row>
    <row r="11401" spans="1:3" ht="13.5" thickBot="1" x14ac:dyDescent="0.25">
      <c r="A11401" s="3">
        <v>3440</v>
      </c>
      <c r="B11401" s="28"/>
      <c r="C11401" s="3" t="s">
        <v>7</v>
      </c>
    </row>
    <row r="11402" spans="1:3" ht="13.5" thickBot="1" x14ac:dyDescent="0.25">
      <c r="A11402" s="3">
        <v>1559</v>
      </c>
      <c r="B11402" s="28"/>
      <c r="C11402" s="3" t="s">
        <v>7</v>
      </c>
    </row>
    <row r="11403" spans="1:3" ht="13.5" thickBot="1" x14ac:dyDescent="0.25">
      <c r="A11403" s="3">
        <v>2747</v>
      </c>
      <c r="B11403" s="28"/>
      <c r="C11403" s="3" t="s">
        <v>3</v>
      </c>
    </row>
    <row r="11404" spans="1:3" ht="13.5" thickBot="1" x14ac:dyDescent="0.25">
      <c r="A11404" s="3">
        <v>4362</v>
      </c>
      <c r="B11404" s="28"/>
      <c r="C11404" s="3" t="s">
        <v>4</v>
      </c>
    </row>
    <row r="11405" spans="1:3" ht="13.5" thickBot="1" x14ac:dyDescent="0.25">
      <c r="A11405" s="3">
        <v>5571</v>
      </c>
      <c r="B11405" s="28"/>
      <c r="C11405" s="3" t="s">
        <v>6</v>
      </c>
    </row>
    <row r="11406" spans="1:3" ht="13.5" thickBot="1" x14ac:dyDescent="0.25">
      <c r="A11406" s="3">
        <v>5827</v>
      </c>
      <c r="B11406" s="28"/>
      <c r="C11406" s="3" t="s">
        <v>5</v>
      </c>
    </row>
    <row r="11407" spans="1:3" ht="13.5" thickBot="1" x14ac:dyDescent="0.25">
      <c r="A11407" s="3">
        <v>5405</v>
      </c>
      <c r="B11407" s="28"/>
      <c r="C11407" s="3" t="s">
        <v>3</v>
      </c>
    </row>
    <row r="11408" spans="1:3" ht="13.5" thickBot="1" x14ac:dyDescent="0.25">
      <c r="A11408" s="3">
        <v>5938</v>
      </c>
      <c r="B11408" s="28"/>
      <c r="C11408" s="3" t="s">
        <v>6</v>
      </c>
    </row>
    <row r="11409" spans="1:3" ht="13.5" thickBot="1" x14ac:dyDescent="0.25">
      <c r="A11409" s="3">
        <v>1668</v>
      </c>
      <c r="B11409" s="28"/>
      <c r="C11409" s="3" t="s">
        <v>3</v>
      </c>
    </row>
    <row r="11410" spans="1:3" ht="13.5" thickBot="1" x14ac:dyDescent="0.25">
      <c r="A11410" s="3">
        <v>3397</v>
      </c>
      <c r="B11410" s="28"/>
      <c r="C11410" s="3" t="s">
        <v>7</v>
      </c>
    </row>
    <row r="11411" spans="1:3" ht="13.5" thickBot="1" x14ac:dyDescent="0.25">
      <c r="A11411" s="3">
        <v>107</v>
      </c>
      <c r="B11411" s="28"/>
      <c r="C11411" s="3" t="s">
        <v>3</v>
      </c>
    </row>
    <row r="11412" spans="1:3" ht="13.5" thickBot="1" x14ac:dyDescent="0.25">
      <c r="A11412" s="3">
        <v>1911</v>
      </c>
      <c r="B11412" s="28"/>
      <c r="C11412" s="3" t="s">
        <v>3</v>
      </c>
    </row>
    <row r="11413" spans="1:3" ht="13.5" thickBot="1" x14ac:dyDescent="0.25">
      <c r="A11413" s="3">
        <v>5827</v>
      </c>
      <c r="B11413" s="28"/>
      <c r="C11413" s="3" t="s">
        <v>3</v>
      </c>
    </row>
    <row r="11414" spans="1:3" ht="13.5" thickBot="1" x14ac:dyDescent="0.25">
      <c r="A11414" s="3">
        <v>4754</v>
      </c>
      <c r="B11414" s="28"/>
      <c r="C11414" s="3" t="s">
        <v>3</v>
      </c>
    </row>
    <row r="11415" spans="1:3" ht="13.5" thickBot="1" x14ac:dyDescent="0.25">
      <c r="A11415" s="3">
        <v>1979</v>
      </c>
      <c r="B11415" s="28"/>
      <c r="C11415" s="3" t="s">
        <v>5</v>
      </c>
    </row>
    <row r="11416" spans="1:3" ht="13.5" thickBot="1" x14ac:dyDescent="0.25">
      <c r="A11416" s="3">
        <v>2111</v>
      </c>
      <c r="B11416" s="28"/>
      <c r="C11416" s="3" t="s">
        <v>5</v>
      </c>
    </row>
    <row r="11417" spans="1:3" ht="13.5" thickBot="1" x14ac:dyDescent="0.25">
      <c r="A11417" s="3">
        <v>2747</v>
      </c>
      <c r="B11417" s="28"/>
      <c r="C11417" s="3" t="s">
        <v>4</v>
      </c>
    </row>
    <row r="11418" spans="1:3" ht="13.5" thickBot="1" x14ac:dyDescent="0.25">
      <c r="A11418" s="3">
        <v>5934</v>
      </c>
      <c r="B11418" s="28"/>
      <c r="C11418" s="3" t="s">
        <v>7</v>
      </c>
    </row>
    <row r="11419" spans="1:3" ht="13.5" thickBot="1" x14ac:dyDescent="0.25">
      <c r="A11419" s="3">
        <v>2651</v>
      </c>
      <c r="B11419" s="28"/>
      <c r="C11419" s="3" t="s">
        <v>6</v>
      </c>
    </row>
    <row r="11420" spans="1:3" ht="13.5" thickBot="1" x14ac:dyDescent="0.25">
      <c r="A11420" s="3">
        <v>2318</v>
      </c>
      <c r="B11420" s="28"/>
      <c r="C11420" s="3" t="s">
        <v>7</v>
      </c>
    </row>
    <row r="11421" spans="1:3" ht="13.5" thickBot="1" x14ac:dyDescent="0.25">
      <c r="A11421" s="3">
        <v>1559</v>
      </c>
      <c r="B11421" s="28"/>
      <c r="C11421" s="3" t="s">
        <v>4</v>
      </c>
    </row>
    <row r="11422" spans="1:3" ht="13.5" thickBot="1" x14ac:dyDescent="0.25">
      <c r="A11422" s="3">
        <v>2748</v>
      </c>
      <c r="B11422" s="28"/>
      <c r="C11422" s="3" t="s">
        <v>4</v>
      </c>
    </row>
    <row r="11423" spans="1:3" ht="13.5" thickBot="1" x14ac:dyDescent="0.25">
      <c r="A11423" s="3">
        <v>1505</v>
      </c>
      <c r="B11423" s="28"/>
      <c r="C11423" s="3" t="s">
        <v>3</v>
      </c>
    </row>
    <row r="11424" spans="1:3" ht="13.5" thickBot="1" x14ac:dyDescent="0.25">
      <c r="A11424" s="3">
        <v>3115</v>
      </c>
      <c r="B11424" s="28"/>
      <c r="C11424" s="3" t="s">
        <v>5</v>
      </c>
    </row>
    <row r="11425" spans="1:3" ht="13.5" thickBot="1" x14ac:dyDescent="0.25">
      <c r="A11425" s="3">
        <v>3053</v>
      </c>
      <c r="B11425" s="28"/>
      <c r="C11425" s="3" t="s">
        <v>3</v>
      </c>
    </row>
    <row r="11426" spans="1:3" ht="13.5" thickBot="1" x14ac:dyDescent="0.25">
      <c r="A11426" s="3">
        <v>5183</v>
      </c>
      <c r="B11426" s="28"/>
      <c r="C11426" s="3" t="s">
        <v>3</v>
      </c>
    </row>
    <row r="11427" spans="1:3" ht="13.5" thickBot="1" x14ac:dyDescent="0.25">
      <c r="A11427" s="3">
        <v>6523</v>
      </c>
      <c r="B11427" s="28"/>
      <c r="C11427" s="3" t="s">
        <v>6</v>
      </c>
    </row>
    <row r="11428" spans="1:3" ht="13.5" thickBot="1" x14ac:dyDescent="0.25">
      <c r="A11428" s="3">
        <v>4983</v>
      </c>
      <c r="B11428" s="28"/>
      <c r="C11428" s="3" t="s">
        <v>4</v>
      </c>
    </row>
    <row r="11429" spans="1:3" ht="13.5" thickBot="1" x14ac:dyDescent="0.25">
      <c r="A11429" s="3">
        <v>3229</v>
      </c>
      <c r="B11429" s="28"/>
      <c r="C11429" s="3" t="s">
        <v>3</v>
      </c>
    </row>
    <row r="11430" spans="1:3" ht="13.5" thickBot="1" x14ac:dyDescent="0.25">
      <c r="A11430" s="3">
        <v>6198</v>
      </c>
      <c r="B11430" s="28"/>
      <c r="C11430" s="3" t="s">
        <v>4</v>
      </c>
    </row>
    <row r="11431" spans="1:3" ht="13.5" thickBot="1" x14ac:dyDescent="0.25">
      <c r="A11431" s="3">
        <v>4630</v>
      </c>
      <c r="B11431" s="28"/>
      <c r="C11431" s="3" t="s">
        <v>4</v>
      </c>
    </row>
    <row r="11432" spans="1:3" ht="13.5" thickBot="1" x14ac:dyDescent="0.25">
      <c r="A11432" s="3">
        <v>1356</v>
      </c>
      <c r="B11432" s="28"/>
      <c r="C11432" s="3" t="s">
        <v>3</v>
      </c>
    </row>
    <row r="11433" spans="1:3" ht="13.5" thickBot="1" x14ac:dyDescent="0.25">
      <c r="A11433" s="3">
        <v>801</v>
      </c>
      <c r="B11433" s="28"/>
      <c r="C11433" s="3" t="s">
        <v>4</v>
      </c>
    </row>
    <row r="11434" spans="1:3" ht="13.5" thickBot="1" x14ac:dyDescent="0.25">
      <c r="A11434" s="3">
        <v>7558</v>
      </c>
      <c r="B11434" s="28"/>
      <c r="C11434" s="3" t="s">
        <v>3</v>
      </c>
    </row>
    <row r="11435" spans="1:3" ht="13.5" thickBot="1" x14ac:dyDescent="0.25">
      <c r="A11435" s="3">
        <v>890</v>
      </c>
      <c r="B11435" s="28"/>
      <c r="C11435" s="3" t="s">
        <v>6</v>
      </c>
    </row>
    <row r="11436" spans="1:3" ht="13.5" thickBot="1" x14ac:dyDescent="0.25">
      <c r="A11436" s="3">
        <v>3304</v>
      </c>
      <c r="B11436" s="28"/>
      <c r="C11436" s="3" t="s">
        <v>7</v>
      </c>
    </row>
    <row r="11437" spans="1:3" ht="13.5" thickBot="1" x14ac:dyDescent="0.25">
      <c r="A11437" s="3">
        <v>3520</v>
      </c>
      <c r="B11437" s="28"/>
      <c r="C11437" s="3" t="s">
        <v>3</v>
      </c>
    </row>
    <row r="11438" spans="1:3" ht="13.5" thickBot="1" x14ac:dyDescent="0.25">
      <c r="A11438" s="3">
        <v>3804</v>
      </c>
      <c r="B11438" s="28"/>
      <c r="C11438" s="3" t="s">
        <v>3</v>
      </c>
    </row>
    <row r="11439" spans="1:3" ht="13.5" thickBot="1" x14ac:dyDescent="0.25">
      <c r="A11439" s="3">
        <v>7230</v>
      </c>
      <c r="B11439" s="28"/>
      <c r="C11439" s="3" t="s">
        <v>3</v>
      </c>
    </row>
    <row r="11440" spans="1:3" ht="13.5" thickBot="1" x14ac:dyDescent="0.25">
      <c r="A11440" s="3">
        <v>340</v>
      </c>
      <c r="B11440" s="28"/>
      <c r="C11440" s="3" t="s">
        <v>4</v>
      </c>
    </row>
    <row r="11441" spans="1:3" ht="13.5" thickBot="1" x14ac:dyDescent="0.25">
      <c r="A11441" s="3">
        <v>5617</v>
      </c>
      <c r="B11441" s="28"/>
      <c r="C11441" s="3" t="s">
        <v>3</v>
      </c>
    </row>
    <row r="11442" spans="1:3" ht="13.5" thickBot="1" x14ac:dyDescent="0.25">
      <c r="A11442" s="3">
        <v>6449</v>
      </c>
      <c r="B11442" s="28"/>
      <c r="C11442" s="3" t="s">
        <v>4</v>
      </c>
    </row>
    <row r="11443" spans="1:3" ht="13.5" thickBot="1" x14ac:dyDescent="0.25">
      <c r="A11443" s="3">
        <v>666</v>
      </c>
      <c r="B11443" s="28"/>
      <c r="C11443" s="3" t="s">
        <v>3</v>
      </c>
    </row>
    <row r="11444" spans="1:3" ht="13.5" thickBot="1" x14ac:dyDescent="0.25">
      <c r="A11444" s="3">
        <v>1979</v>
      </c>
      <c r="B11444" s="28"/>
      <c r="C11444" s="3" t="s">
        <v>4</v>
      </c>
    </row>
    <row r="11445" spans="1:3" ht="13.5" thickBot="1" x14ac:dyDescent="0.25">
      <c r="A11445" s="3">
        <v>5338</v>
      </c>
      <c r="B11445" s="28"/>
      <c r="C11445" s="3" t="s">
        <v>5</v>
      </c>
    </row>
    <row r="11446" spans="1:3" ht="13.5" thickBot="1" x14ac:dyDescent="0.25">
      <c r="A11446" s="3">
        <v>5827</v>
      </c>
      <c r="B11446" s="28"/>
      <c r="C11446" s="3" t="s">
        <v>4</v>
      </c>
    </row>
    <row r="11447" spans="1:3" ht="13.5" thickBot="1" x14ac:dyDescent="0.25">
      <c r="A11447" s="3">
        <v>3557</v>
      </c>
      <c r="B11447" s="28"/>
      <c r="C11447" s="3" t="s">
        <v>3</v>
      </c>
    </row>
    <row r="11448" spans="1:3" ht="13.5" thickBot="1" x14ac:dyDescent="0.25">
      <c r="A11448" s="3">
        <v>3107</v>
      </c>
      <c r="B11448" s="28"/>
      <c r="C11448" s="3" t="s">
        <v>6</v>
      </c>
    </row>
    <row r="11449" spans="1:3" ht="13.5" thickBot="1" x14ac:dyDescent="0.25">
      <c r="A11449" s="3">
        <v>5734</v>
      </c>
      <c r="B11449" s="28"/>
      <c r="C11449" s="3" t="s">
        <v>7</v>
      </c>
    </row>
    <row r="11450" spans="1:3" ht="13.5" thickBot="1" x14ac:dyDescent="0.25">
      <c r="A11450" s="3">
        <v>5938</v>
      </c>
      <c r="B11450" s="28"/>
      <c r="C11450" s="3" t="s">
        <v>5</v>
      </c>
    </row>
    <row r="11451" spans="1:3" ht="13.5" thickBot="1" x14ac:dyDescent="0.25">
      <c r="A11451" s="3">
        <v>5649</v>
      </c>
      <c r="B11451" s="28"/>
      <c r="C11451" s="3" t="s">
        <v>3</v>
      </c>
    </row>
    <row r="11452" spans="1:3" ht="13.5" thickBot="1" x14ac:dyDescent="0.25">
      <c r="A11452" s="3">
        <v>432</v>
      </c>
      <c r="B11452" s="28"/>
      <c r="C11452" s="3" t="s">
        <v>3</v>
      </c>
    </row>
    <row r="11453" spans="1:3" ht="13.5" thickBot="1" x14ac:dyDescent="0.25">
      <c r="A11453" s="3">
        <v>7175</v>
      </c>
      <c r="B11453" s="28"/>
      <c r="C11453" s="3" t="s">
        <v>6</v>
      </c>
    </row>
    <row r="11454" spans="1:3" ht="13.5" thickBot="1" x14ac:dyDescent="0.25">
      <c r="A11454" s="3">
        <v>4664</v>
      </c>
      <c r="B11454" s="28"/>
      <c r="C11454" s="3" t="s">
        <v>5</v>
      </c>
    </row>
    <row r="11455" spans="1:3" ht="13.5" thickBot="1" x14ac:dyDescent="0.25">
      <c r="A11455" s="3">
        <v>7918</v>
      </c>
      <c r="B11455" s="28"/>
      <c r="C11455" s="3" t="s">
        <v>3</v>
      </c>
    </row>
    <row r="11456" spans="1:3" ht="13.5" thickBot="1" x14ac:dyDescent="0.25">
      <c r="A11456" s="3">
        <v>3303</v>
      </c>
      <c r="B11456" s="28"/>
      <c r="C11456" s="3" t="s">
        <v>4</v>
      </c>
    </row>
    <row r="11457" spans="1:3" ht="13.5" thickBot="1" x14ac:dyDescent="0.25">
      <c r="A11457" s="3">
        <v>409</v>
      </c>
      <c r="B11457" s="28"/>
      <c r="C11457" s="3" t="s">
        <v>3</v>
      </c>
    </row>
    <row r="11458" spans="1:3" ht="13.5" thickBot="1" x14ac:dyDescent="0.25">
      <c r="A11458" s="3">
        <v>5649</v>
      </c>
      <c r="B11458" s="28"/>
      <c r="C11458" s="3" t="s">
        <v>4</v>
      </c>
    </row>
    <row r="11459" spans="1:3" ht="13.5" thickBot="1" x14ac:dyDescent="0.25">
      <c r="A11459" s="3">
        <v>114</v>
      </c>
      <c r="B11459" s="28"/>
      <c r="C11459" s="3" t="s">
        <v>3</v>
      </c>
    </row>
    <row r="11460" spans="1:3" ht="13.5" thickBot="1" x14ac:dyDescent="0.25">
      <c r="A11460" s="3">
        <v>6441</v>
      </c>
      <c r="B11460" s="28"/>
      <c r="C11460" s="3" t="s">
        <v>5</v>
      </c>
    </row>
    <row r="11461" spans="1:3" ht="13.5" thickBot="1" x14ac:dyDescent="0.25">
      <c r="A11461" s="3">
        <v>6776</v>
      </c>
      <c r="B11461" s="28"/>
      <c r="C11461" s="3" t="s">
        <v>4</v>
      </c>
    </row>
    <row r="11462" spans="1:3" ht="13.5" thickBot="1" x14ac:dyDescent="0.25">
      <c r="A11462" s="3">
        <v>2104</v>
      </c>
      <c r="B11462" s="28"/>
      <c r="C11462" s="3" t="s">
        <v>4</v>
      </c>
    </row>
    <row r="11463" spans="1:3" ht="13.5" thickBot="1" x14ac:dyDescent="0.25">
      <c r="A11463" s="3">
        <v>759</v>
      </c>
      <c r="B11463" s="28"/>
      <c r="C11463" s="3" t="s">
        <v>3</v>
      </c>
    </row>
    <row r="11464" spans="1:3" ht="13.5" thickBot="1" x14ac:dyDescent="0.25">
      <c r="A11464" s="3">
        <v>6054</v>
      </c>
      <c r="B11464" s="28"/>
      <c r="C11464" s="3" t="s">
        <v>7</v>
      </c>
    </row>
    <row r="11465" spans="1:3" ht="13.5" thickBot="1" x14ac:dyDescent="0.25">
      <c r="A11465" s="3">
        <v>5525</v>
      </c>
      <c r="B11465" s="28"/>
      <c r="C11465" s="3" t="s">
        <v>3</v>
      </c>
    </row>
    <row r="11466" spans="1:3" ht="13.5" thickBot="1" x14ac:dyDescent="0.25">
      <c r="A11466" s="3">
        <v>7295</v>
      </c>
      <c r="B11466" s="28"/>
      <c r="C11466" s="3" t="s">
        <v>6</v>
      </c>
    </row>
    <row r="11467" spans="1:3" ht="13.5" thickBot="1" x14ac:dyDescent="0.25">
      <c r="A11467" s="3">
        <v>3520</v>
      </c>
      <c r="B11467" s="28"/>
      <c r="C11467" s="3" t="s">
        <v>4</v>
      </c>
    </row>
    <row r="11468" spans="1:3" ht="13.5" thickBot="1" x14ac:dyDescent="0.25">
      <c r="A11468" s="3">
        <v>340</v>
      </c>
      <c r="B11468" s="28"/>
      <c r="C11468" s="3" t="s">
        <v>3</v>
      </c>
    </row>
    <row r="11469" spans="1:3" ht="13.5" thickBot="1" x14ac:dyDescent="0.25">
      <c r="A11469" s="3">
        <v>6776</v>
      </c>
      <c r="B11469" s="28"/>
      <c r="C11469" s="3" t="s">
        <v>3</v>
      </c>
    </row>
    <row r="11470" spans="1:3" ht="13.5" thickBot="1" x14ac:dyDescent="0.25">
      <c r="A11470" s="3">
        <v>642</v>
      </c>
      <c r="B11470" s="28"/>
      <c r="C11470" s="3" t="s">
        <v>6</v>
      </c>
    </row>
    <row r="11471" spans="1:3" ht="13.5" thickBot="1" x14ac:dyDescent="0.25">
      <c r="A11471" s="3">
        <v>4801</v>
      </c>
      <c r="B11471" s="28"/>
      <c r="C11471" s="3" t="s">
        <v>7</v>
      </c>
    </row>
    <row r="11472" spans="1:3" ht="13.5" thickBot="1" x14ac:dyDescent="0.25">
      <c r="A11472" s="3">
        <v>3807</v>
      </c>
      <c r="B11472" s="28"/>
      <c r="C11472" s="3" t="s">
        <v>7</v>
      </c>
    </row>
    <row r="11473" spans="1:3" ht="13.5" thickBot="1" x14ac:dyDescent="0.25">
      <c r="A11473" s="3">
        <v>444</v>
      </c>
      <c r="B11473" s="28"/>
      <c r="C11473" s="3" t="s">
        <v>3</v>
      </c>
    </row>
    <row r="11474" spans="1:3" ht="13.5" thickBot="1" x14ac:dyDescent="0.25">
      <c r="A11474" s="3">
        <v>6747</v>
      </c>
      <c r="B11474" s="28"/>
      <c r="C11474" s="3" t="s">
        <v>3</v>
      </c>
    </row>
    <row r="11475" spans="1:3" ht="13.5" thickBot="1" x14ac:dyDescent="0.25">
      <c r="A11475" s="3">
        <v>846</v>
      </c>
      <c r="B11475" s="28"/>
      <c r="C11475" s="3" t="s">
        <v>3</v>
      </c>
    </row>
    <row r="11476" spans="1:3" ht="13.5" thickBot="1" x14ac:dyDescent="0.25">
      <c r="A11476" s="3">
        <v>419</v>
      </c>
      <c r="B11476" s="28"/>
      <c r="C11476" s="3" t="s">
        <v>4</v>
      </c>
    </row>
    <row r="11477" spans="1:3" ht="13.5" thickBot="1" x14ac:dyDescent="0.25">
      <c r="A11477" s="3">
        <v>2466</v>
      </c>
      <c r="B11477" s="28"/>
      <c r="C11477" s="3" t="s">
        <v>6</v>
      </c>
    </row>
    <row r="11478" spans="1:3" ht="13.5" thickBot="1" x14ac:dyDescent="0.25">
      <c r="A11478" s="3">
        <v>3520</v>
      </c>
      <c r="B11478" s="28"/>
      <c r="C11478" s="3" t="s">
        <v>5</v>
      </c>
    </row>
    <row r="11479" spans="1:3" ht="13.5" thickBot="1" x14ac:dyDescent="0.25">
      <c r="A11479" s="3">
        <v>2083</v>
      </c>
      <c r="B11479" s="28"/>
      <c r="C11479" s="3" t="s">
        <v>3</v>
      </c>
    </row>
    <row r="11480" spans="1:3" ht="13.5" thickBot="1" x14ac:dyDescent="0.25">
      <c r="A11480" s="3">
        <v>481</v>
      </c>
      <c r="B11480" s="28"/>
      <c r="C11480" s="3" t="s">
        <v>4</v>
      </c>
    </row>
    <row r="11481" spans="1:3" ht="13.5" thickBot="1" x14ac:dyDescent="0.25">
      <c r="A11481" s="3">
        <v>1193</v>
      </c>
      <c r="B11481" s="28"/>
      <c r="C11481" s="3" t="s">
        <v>7</v>
      </c>
    </row>
    <row r="11482" spans="1:3" ht="13.5" thickBot="1" x14ac:dyDescent="0.25">
      <c r="A11482" s="3">
        <v>163</v>
      </c>
      <c r="B11482" s="28"/>
      <c r="C11482" s="3" t="s">
        <v>3</v>
      </c>
    </row>
    <row r="11483" spans="1:3" ht="13.5" thickBot="1" x14ac:dyDescent="0.25">
      <c r="A11483" s="3">
        <v>3115</v>
      </c>
      <c r="B11483" s="28"/>
      <c r="C11483" s="3" t="s">
        <v>6</v>
      </c>
    </row>
    <row r="11484" spans="1:3" ht="13.5" thickBot="1" x14ac:dyDescent="0.25">
      <c r="A11484" s="3">
        <v>7328</v>
      </c>
      <c r="B11484" s="28"/>
      <c r="C11484" s="3" t="s">
        <v>3</v>
      </c>
    </row>
    <row r="11485" spans="1:3" ht="13.5" thickBot="1" x14ac:dyDescent="0.25">
      <c r="A11485" s="3">
        <v>1445</v>
      </c>
      <c r="B11485" s="28"/>
      <c r="C11485" s="3" t="s">
        <v>4</v>
      </c>
    </row>
    <row r="11486" spans="1:3" ht="13.5" thickBot="1" x14ac:dyDescent="0.25">
      <c r="A11486" s="3">
        <v>903</v>
      </c>
      <c r="B11486" s="28"/>
      <c r="C11486" s="3" t="s">
        <v>3</v>
      </c>
    </row>
    <row r="11487" spans="1:3" ht="13.5" thickBot="1" x14ac:dyDescent="0.25">
      <c r="A11487" s="3">
        <v>4115</v>
      </c>
      <c r="B11487" s="28"/>
      <c r="C11487" s="3" t="s">
        <v>3</v>
      </c>
    </row>
    <row r="11488" spans="1:3" ht="13.5" thickBot="1" x14ac:dyDescent="0.25">
      <c r="A11488" s="3">
        <v>2277</v>
      </c>
      <c r="B11488" s="28"/>
      <c r="C11488" s="3" t="s">
        <v>6</v>
      </c>
    </row>
    <row r="11489" spans="1:3" ht="13.5" thickBot="1" x14ac:dyDescent="0.25">
      <c r="A11489" s="3">
        <v>7505</v>
      </c>
      <c r="B11489" s="28"/>
      <c r="C11489" s="3" t="s">
        <v>3</v>
      </c>
    </row>
    <row r="11490" spans="1:3" ht="13.5" thickBot="1" x14ac:dyDescent="0.25">
      <c r="A11490" s="3">
        <v>7604</v>
      </c>
      <c r="B11490" s="28"/>
      <c r="C11490" s="3" t="s">
        <v>3</v>
      </c>
    </row>
    <row r="11491" spans="1:3" ht="13.5" thickBot="1" x14ac:dyDescent="0.25">
      <c r="A11491" s="3">
        <v>5501</v>
      </c>
      <c r="B11491" s="28"/>
      <c r="C11491" s="3" t="s">
        <v>4</v>
      </c>
    </row>
    <row r="11492" spans="1:3" ht="13.5" thickBot="1" x14ac:dyDescent="0.25">
      <c r="A11492" s="3">
        <v>3304</v>
      </c>
      <c r="B11492" s="28"/>
      <c r="C11492" s="3" t="s">
        <v>6</v>
      </c>
    </row>
    <row r="11493" spans="1:3" ht="13.5" thickBot="1" x14ac:dyDescent="0.25">
      <c r="A11493" s="3">
        <v>452</v>
      </c>
      <c r="B11493" s="28"/>
      <c r="C11493" s="3" t="s">
        <v>3</v>
      </c>
    </row>
    <row r="11494" spans="1:3" ht="13.5" thickBot="1" x14ac:dyDescent="0.25">
      <c r="A11494" s="3">
        <v>6981</v>
      </c>
      <c r="B11494" s="28"/>
      <c r="C11494" s="3" t="s">
        <v>5</v>
      </c>
    </row>
    <row r="11495" spans="1:3" ht="13.5" thickBot="1" x14ac:dyDescent="0.25">
      <c r="A11495" s="3">
        <v>419</v>
      </c>
      <c r="B11495" s="28"/>
      <c r="C11495" s="3" t="s">
        <v>7</v>
      </c>
    </row>
    <row r="11496" spans="1:3" ht="13.5" thickBot="1" x14ac:dyDescent="0.25">
      <c r="A11496" s="3">
        <v>666</v>
      </c>
      <c r="B11496" s="28"/>
      <c r="C11496" s="3" t="s">
        <v>4</v>
      </c>
    </row>
    <row r="11497" spans="1:3" ht="13.5" thickBot="1" x14ac:dyDescent="0.25">
      <c r="A11497" s="3">
        <v>3176</v>
      </c>
      <c r="B11497" s="28"/>
      <c r="C11497" s="3" t="s">
        <v>3</v>
      </c>
    </row>
    <row r="11498" spans="1:3" ht="13.5" thickBot="1" x14ac:dyDescent="0.25">
      <c r="A11498" s="3">
        <v>1193</v>
      </c>
      <c r="B11498" s="28"/>
      <c r="C11498" s="3" t="s">
        <v>4</v>
      </c>
    </row>
    <row r="11499" spans="1:3" ht="13.5" thickBot="1" x14ac:dyDescent="0.25">
      <c r="A11499" s="3">
        <v>4373</v>
      </c>
      <c r="B11499" s="28"/>
      <c r="C11499" s="3" t="s">
        <v>3</v>
      </c>
    </row>
    <row r="11500" spans="1:3" ht="13.5" thickBot="1" x14ac:dyDescent="0.25">
      <c r="A11500" s="3">
        <v>6382</v>
      </c>
      <c r="B11500" s="28"/>
      <c r="C11500" s="3" t="s">
        <v>3</v>
      </c>
    </row>
    <row r="11501" spans="1:3" ht="13.5" thickBot="1" x14ac:dyDescent="0.25">
      <c r="A11501" s="3">
        <v>801</v>
      </c>
      <c r="B11501" s="28"/>
      <c r="C11501" s="3" t="s">
        <v>5</v>
      </c>
    </row>
    <row r="11502" spans="1:3" ht="13.5" thickBot="1" x14ac:dyDescent="0.25">
      <c r="A11502" s="3">
        <v>2889</v>
      </c>
      <c r="B11502" s="28"/>
      <c r="C11502" s="3" t="s">
        <v>4</v>
      </c>
    </row>
    <row r="11503" spans="1:3" ht="13.5" thickBot="1" x14ac:dyDescent="0.25">
      <c r="A11503" s="3">
        <v>1120</v>
      </c>
      <c r="B11503" s="28"/>
      <c r="C11503" s="3" t="s">
        <v>3</v>
      </c>
    </row>
    <row r="11504" spans="1:3" ht="13.5" thickBot="1" x14ac:dyDescent="0.25">
      <c r="A11504" s="3">
        <v>7351</v>
      </c>
      <c r="B11504" s="28"/>
      <c r="C11504" s="3" t="s">
        <v>3</v>
      </c>
    </row>
    <row r="11505" spans="1:3" ht="13.5" thickBot="1" x14ac:dyDescent="0.25">
      <c r="A11505" s="3">
        <v>1265</v>
      </c>
      <c r="B11505" s="28"/>
      <c r="C11505" s="3" t="s">
        <v>4</v>
      </c>
    </row>
    <row r="11506" spans="1:3" ht="13.5" thickBot="1" x14ac:dyDescent="0.25">
      <c r="A11506" s="3">
        <v>1635</v>
      </c>
      <c r="B11506" s="28"/>
      <c r="C11506" s="3" t="s">
        <v>3</v>
      </c>
    </row>
    <row r="11507" spans="1:3" ht="13.5" thickBot="1" x14ac:dyDescent="0.25">
      <c r="A11507" s="3">
        <v>4732</v>
      </c>
      <c r="B11507" s="28"/>
      <c r="C11507" s="3" t="s">
        <v>3</v>
      </c>
    </row>
    <row r="11508" spans="1:3" ht="13.5" thickBot="1" x14ac:dyDescent="0.25">
      <c r="A11508" s="3">
        <v>15</v>
      </c>
      <c r="B11508" s="28"/>
      <c r="C11508" s="3" t="s">
        <v>7</v>
      </c>
    </row>
    <row r="11509" spans="1:3" ht="13.5" thickBot="1" x14ac:dyDescent="0.25">
      <c r="A11509" s="3">
        <v>4732</v>
      </c>
      <c r="B11509" s="28"/>
      <c r="C11509" s="3" t="s">
        <v>5</v>
      </c>
    </row>
    <row r="11510" spans="1:3" ht="13.5" thickBot="1" x14ac:dyDescent="0.25">
      <c r="A11510" s="3">
        <v>327</v>
      </c>
      <c r="B11510" s="28"/>
      <c r="C11510" s="3" t="s">
        <v>3</v>
      </c>
    </row>
    <row r="11511" spans="1:3" ht="13.5" thickBot="1" x14ac:dyDescent="0.25">
      <c r="A11511" s="3">
        <v>3520</v>
      </c>
      <c r="B11511" s="28"/>
      <c r="C11511" s="3" t="s">
        <v>7</v>
      </c>
    </row>
    <row r="11512" spans="1:3" ht="13.5" thickBot="1" x14ac:dyDescent="0.25">
      <c r="A11512" s="3">
        <v>6638</v>
      </c>
      <c r="B11512" s="28"/>
      <c r="C11512" s="3" t="s">
        <v>3</v>
      </c>
    </row>
    <row r="11513" spans="1:3" ht="13.5" thickBot="1" x14ac:dyDescent="0.25">
      <c r="A11513" s="3">
        <v>899</v>
      </c>
      <c r="B11513" s="28"/>
      <c r="C11513" s="3" t="s">
        <v>3</v>
      </c>
    </row>
    <row r="11514" spans="1:3" ht="13.5" thickBot="1" x14ac:dyDescent="0.25">
      <c r="A11514" s="3">
        <v>6172</v>
      </c>
      <c r="B11514" s="28"/>
      <c r="C11514" s="3" t="s">
        <v>6</v>
      </c>
    </row>
    <row r="11515" spans="1:3" ht="13.5" thickBot="1" x14ac:dyDescent="0.25">
      <c r="A11515" s="3">
        <v>2197</v>
      </c>
      <c r="B11515" s="28"/>
      <c r="C11515" s="3" t="s">
        <v>3</v>
      </c>
    </row>
    <row r="11516" spans="1:3" ht="13.5" thickBot="1" x14ac:dyDescent="0.25">
      <c r="A11516" s="3">
        <v>7558</v>
      </c>
      <c r="B11516" s="28"/>
      <c r="C11516" s="3" t="s">
        <v>4</v>
      </c>
    </row>
    <row r="11517" spans="1:3" ht="13.5" thickBot="1" x14ac:dyDescent="0.25">
      <c r="A11517" s="3">
        <v>1635</v>
      </c>
      <c r="B11517" s="28"/>
      <c r="C11517" s="3" t="s">
        <v>5</v>
      </c>
    </row>
    <row r="11518" spans="1:3" ht="13.5" thickBot="1" x14ac:dyDescent="0.25">
      <c r="A11518" s="3">
        <v>6816</v>
      </c>
      <c r="B11518" s="28"/>
      <c r="C11518" s="3" t="s">
        <v>3</v>
      </c>
    </row>
    <row r="11519" spans="1:3" ht="13.5" thickBot="1" x14ac:dyDescent="0.25">
      <c r="A11519" s="3">
        <v>6776</v>
      </c>
      <c r="B11519" s="28"/>
      <c r="C11519" s="3" t="s">
        <v>7</v>
      </c>
    </row>
    <row r="11520" spans="1:3" ht="13.5" thickBot="1" x14ac:dyDescent="0.25">
      <c r="A11520" s="3">
        <v>3854</v>
      </c>
      <c r="B11520" s="28"/>
      <c r="C11520" s="3" t="s">
        <v>3</v>
      </c>
    </row>
    <row r="11521" spans="1:3" ht="13.5" thickBot="1" x14ac:dyDescent="0.25">
      <c r="A11521" s="3">
        <v>5235</v>
      </c>
      <c r="B11521" s="28"/>
      <c r="C11521" s="3" t="s">
        <v>3</v>
      </c>
    </row>
    <row r="11522" spans="1:3" ht="13.5" thickBot="1" x14ac:dyDescent="0.25">
      <c r="A11522" s="3">
        <v>7505</v>
      </c>
      <c r="B11522" s="28"/>
      <c r="C11522" s="3" t="s">
        <v>4</v>
      </c>
    </row>
    <row r="11523" spans="1:3" ht="13.5" thickBot="1" x14ac:dyDescent="0.25">
      <c r="A11523" s="3">
        <v>2042</v>
      </c>
      <c r="B11523" s="28"/>
      <c r="C11523" s="3" t="s">
        <v>3</v>
      </c>
    </row>
    <row r="11524" spans="1:3" ht="13.5" thickBot="1" x14ac:dyDescent="0.25">
      <c r="A11524" s="3">
        <v>7654</v>
      </c>
      <c r="B11524" s="28"/>
      <c r="C11524" s="3" t="s">
        <v>3</v>
      </c>
    </row>
    <row r="11525" spans="1:3" ht="13.5" thickBot="1" x14ac:dyDescent="0.25">
      <c r="A11525" s="3">
        <v>5359</v>
      </c>
      <c r="B11525" s="28"/>
      <c r="C11525" s="3" t="s">
        <v>3</v>
      </c>
    </row>
    <row r="11526" spans="1:3" ht="13.5" thickBot="1" x14ac:dyDescent="0.25">
      <c r="A11526" s="3">
        <v>4754</v>
      </c>
      <c r="B11526" s="28"/>
      <c r="C11526" s="3" t="s">
        <v>4</v>
      </c>
    </row>
    <row r="11527" spans="1:3" ht="13.5" thickBot="1" x14ac:dyDescent="0.25">
      <c r="A11527" s="3">
        <v>5183</v>
      </c>
      <c r="B11527" s="28"/>
      <c r="C11527" s="3" t="s">
        <v>4</v>
      </c>
    </row>
    <row r="11528" spans="1:3" ht="13.5" thickBot="1" x14ac:dyDescent="0.25">
      <c r="A11528" s="3">
        <v>3063</v>
      </c>
      <c r="B11528" s="28"/>
      <c r="C11528" s="3" t="s">
        <v>4</v>
      </c>
    </row>
    <row r="11529" spans="1:3" ht="13.5" thickBot="1" x14ac:dyDescent="0.25">
      <c r="A11529" s="3">
        <v>419</v>
      </c>
      <c r="B11529" s="28"/>
      <c r="C11529" s="3" t="s">
        <v>5</v>
      </c>
    </row>
    <row r="11530" spans="1:3" ht="13.5" thickBot="1" x14ac:dyDescent="0.25">
      <c r="A11530" s="3">
        <v>3807</v>
      </c>
      <c r="B11530" s="28"/>
      <c r="C11530" s="3" t="s">
        <v>6</v>
      </c>
    </row>
    <row r="11531" spans="1:3" ht="13.5" thickBot="1" x14ac:dyDescent="0.25">
      <c r="A11531" s="3">
        <v>1143</v>
      </c>
      <c r="B11531" s="28"/>
      <c r="C11531" s="3" t="s">
        <v>7</v>
      </c>
    </row>
    <row r="11532" spans="1:3" ht="13.5" thickBot="1" x14ac:dyDescent="0.25">
      <c r="A11532" s="3">
        <v>4732</v>
      </c>
      <c r="B11532" s="28"/>
      <c r="C11532" s="3" t="s">
        <v>4</v>
      </c>
    </row>
    <row r="11533" spans="1:3" ht="13.5" thickBot="1" x14ac:dyDescent="0.25">
      <c r="A11533" s="3">
        <v>7529</v>
      </c>
      <c r="B11533" s="28"/>
      <c r="C11533" s="3" t="s">
        <v>3</v>
      </c>
    </row>
    <row r="11534" spans="1:3" ht="13.5" thickBot="1" x14ac:dyDescent="0.25">
      <c r="A11534" s="3">
        <v>737</v>
      </c>
      <c r="B11534" s="28"/>
      <c r="C11534" s="3" t="s">
        <v>4</v>
      </c>
    </row>
    <row r="11535" spans="1:3" ht="13.5" thickBot="1" x14ac:dyDescent="0.25">
      <c r="A11535" s="3">
        <v>2466</v>
      </c>
      <c r="B11535" s="28"/>
      <c r="C11535" s="3" t="s">
        <v>5</v>
      </c>
    </row>
    <row r="11536" spans="1:3" ht="13.5" thickBot="1" x14ac:dyDescent="0.25">
      <c r="A11536" s="3">
        <v>1445</v>
      </c>
      <c r="B11536" s="28"/>
      <c r="C11536" s="3" t="s">
        <v>7</v>
      </c>
    </row>
    <row r="11537" spans="1:3" ht="13.5" thickBot="1" x14ac:dyDescent="0.25">
      <c r="A11537" s="3">
        <v>1979</v>
      </c>
      <c r="B11537" s="28"/>
      <c r="C11537" s="3" t="s">
        <v>7</v>
      </c>
    </row>
    <row r="11538" spans="1:3" ht="13.5" thickBot="1" x14ac:dyDescent="0.25">
      <c r="A11538" s="3">
        <v>7657</v>
      </c>
      <c r="B11538" s="28"/>
      <c r="C11538" s="3" t="s">
        <v>3</v>
      </c>
    </row>
    <row r="11539" spans="1:3" ht="13.5" thickBot="1" x14ac:dyDescent="0.25">
      <c r="A11539" s="3">
        <v>1143</v>
      </c>
      <c r="B11539" s="28"/>
      <c r="C11539" s="3" t="s">
        <v>6</v>
      </c>
    </row>
    <row r="11540" spans="1:3" ht="13.5" thickBot="1" x14ac:dyDescent="0.25">
      <c r="A11540" s="3">
        <v>4636</v>
      </c>
      <c r="B11540" s="28"/>
      <c r="C11540" s="3" t="s">
        <v>6</v>
      </c>
    </row>
    <row r="11541" spans="1:3" ht="13.5" thickBot="1" x14ac:dyDescent="0.25">
      <c r="A11541" s="3">
        <v>737</v>
      </c>
      <c r="B11541" s="28"/>
      <c r="C11541" s="3" t="s">
        <v>5</v>
      </c>
    </row>
    <row r="11542" spans="1:3" ht="13.5" thickBot="1" x14ac:dyDescent="0.25">
      <c r="A11542" s="3">
        <v>801</v>
      </c>
      <c r="B11542" s="28"/>
      <c r="C11542" s="3" t="s">
        <v>6</v>
      </c>
    </row>
    <row r="11543" spans="1:3" ht="13.5" thickBot="1" x14ac:dyDescent="0.25">
      <c r="A11543" s="3">
        <v>7295</v>
      </c>
      <c r="B11543" s="28"/>
      <c r="C11543" s="3" t="s">
        <v>5</v>
      </c>
    </row>
    <row r="11544" spans="1:3" ht="13.5" thickBot="1" x14ac:dyDescent="0.25">
      <c r="A11544" s="3">
        <v>6853</v>
      </c>
      <c r="B11544" s="28"/>
      <c r="C11544" s="3" t="s">
        <v>3</v>
      </c>
    </row>
    <row r="11545" spans="1:3" ht="13.5" thickBot="1" x14ac:dyDescent="0.25">
      <c r="A11545" s="3">
        <v>5649</v>
      </c>
      <c r="B11545" s="28"/>
      <c r="C11545" s="3" t="s">
        <v>6</v>
      </c>
    </row>
    <row r="11546" spans="1:3" ht="13.5" thickBot="1" x14ac:dyDescent="0.25">
      <c r="A11546" s="3">
        <v>3063</v>
      </c>
      <c r="B11546" s="28"/>
      <c r="C11546" s="3" t="s">
        <v>3</v>
      </c>
    </row>
    <row r="11547" spans="1:3" ht="13.5" thickBot="1" x14ac:dyDescent="0.25">
      <c r="A11547" s="3">
        <v>737</v>
      </c>
      <c r="B11547" s="28"/>
      <c r="C11547" s="3" t="s">
        <v>3</v>
      </c>
    </row>
    <row r="11548" spans="1:3" ht="13.5" thickBot="1" x14ac:dyDescent="0.25">
      <c r="A11548" s="3">
        <v>6762</v>
      </c>
      <c r="B11548" s="28"/>
      <c r="C11548" s="3" t="s">
        <v>6</v>
      </c>
    </row>
    <row r="11549" spans="1:3" ht="13.5" thickBot="1" x14ac:dyDescent="0.25">
      <c r="A11549" s="3">
        <v>267</v>
      </c>
      <c r="B11549" s="28"/>
      <c r="C11549" s="3" t="s">
        <v>3</v>
      </c>
    </row>
    <row r="11550" spans="1:3" ht="13.5" thickBot="1" x14ac:dyDescent="0.25">
      <c r="A11550" s="3">
        <v>1867</v>
      </c>
      <c r="B11550" s="28"/>
      <c r="C11550" s="3" t="s">
        <v>3</v>
      </c>
    </row>
    <row r="11551" spans="1:3" ht="13.5" thickBot="1" x14ac:dyDescent="0.25">
      <c r="A11551" s="3">
        <v>6117</v>
      </c>
      <c r="B11551" s="28"/>
      <c r="C11551" s="3" t="s">
        <v>3</v>
      </c>
    </row>
    <row r="11552" spans="1:3" ht="13.5" thickBot="1" x14ac:dyDescent="0.25">
      <c r="A11552" s="3">
        <v>6418</v>
      </c>
      <c r="B11552" s="28"/>
      <c r="C11552" s="3" t="s">
        <v>3</v>
      </c>
    </row>
    <row r="11553" spans="1:3" ht="13.5" thickBot="1" x14ac:dyDescent="0.25">
      <c r="A11553" s="3">
        <v>4620</v>
      </c>
      <c r="B11553" s="28"/>
      <c r="C11553" s="3" t="s">
        <v>4</v>
      </c>
    </row>
    <row r="11554" spans="1:3" ht="13.5" thickBot="1" x14ac:dyDescent="0.25">
      <c r="A11554" s="3">
        <v>6316</v>
      </c>
      <c r="B11554" s="28"/>
      <c r="C11554" s="3" t="s">
        <v>3</v>
      </c>
    </row>
    <row r="11555" spans="1:3" ht="13.5" thickBot="1" x14ac:dyDescent="0.25">
      <c r="A11555" s="3">
        <v>2252</v>
      </c>
      <c r="B11555" s="28"/>
      <c r="C11555" s="3" t="s">
        <v>7</v>
      </c>
    </row>
    <row r="11556" spans="1:3" ht="13.5" thickBot="1" x14ac:dyDescent="0.25">
      <c r="A11556" s="3">
        <v>4630</v>
      </c>
      <c r="B11556" s="28"/>
      <c r="C11556" s="3" t="s">
        <v>6</v>
      </c>
    </row>
    <row r="11557" spans="1:3" ht="13.5" thickBot="1" x14ac:dyDescent="0.25">
      <c r="A11557" s="3">
        <v>4664</v>
      </c>
      <c r="B11557" s="28"/>
      <c r="C11557" s="3" t="s">
        <v>6</v>
      </c>
    </row>
    <row r="11558" spans="1:3" ht="13.5" thickBot="1" x14ac:dyDescent="0.25">
      <c r="A11558" s="3">
        <v>3929</v>
      </c>
      <c r="B11558" s="28"/>
      <c r="C11558" s="3" t="s">
        <v>4</v>
      </c>
    </row>
    <row r="11559" spans="1:3" ht="13.5" thickBot="1" x14ac:dyDescent="0.25">
      <c r="A11559" s="3">
        <v>3916</v>
      </c>
      <c r="B11559" s="28"/>
      <c r="C11559" s="3" t="s">
        <v>3</v>
      </c>
    </row>
    <row r="11560" spans="1:3" ht="13.5" thickBot="1" x14ac:dyDescent="0.25">
      <c r="A11560" s="3">
        <v>1439</v>
      </c>
      <c r="B11560" s="28"/>
      <c r="C11560" s="3" t="s">
        <v>3</v>
      </c>
    </row>
    <row r="11561" spans="1:3" ht="13.5" thickBot="1" x14ac:dyDescent="0.25">
      <c r="A11561" s="3">
        <v>3115</v>
      </c>
      <c r="B11561" s="28"/>
      <c r="C11561" s="3" t="s">
        <v>7</v>
      </c>
    </row>
    <row r="11562" spans="1:3" ht="13.5" thickBot="1" x14ac:dyDescent="0.25">
      <c r="A11562" s="3">
        <v>1075</v>
      </c>
      <c r="B11562" s="28"/>
      <c r="C11562" s="3" t="s">
        <v>5</v>
      </c>
    </row>
    <row r="11563" spans="1:3" ht="13.5" thickBot="1" x14ac:dyDescent="0.25">
      <c r="A11563" s="3">
        <v>7928</v>
      </c>
      <c r="B11563" s="28"/>
      <c r="C11563" s="3" t="s">
        <v>3</v>
      </c>
    </row>
    <row r="11564" spans="1:3" ht="13.5" thickBot="1" x14ac:dyDescent="0.25">
      <c r="A11564" s="3">
        <v>5352</v>
      </c>
      <c r="B11564" s="28"/>
      <c r="C11564" s="3" t="s">
        <v>4</v>
      </c>
    </row>
    <row r="11565" spans="1:3" ht="13.5" thickBot="1" x14ac:dyDescent="0.25">
      <c r="A11565" s="3">
        <v>6885</v>
      </c>
      <c r="B11565" s="28"/>
      <c r="C11565" s="3" t="s">
        <v>6</v>
      </c>
    </row>
    <row r="11566" spans="1:3" ht="13.5" thickBot="1" x14ac:dyDescent="0.25">
      <c r="A11566" s="3">
        <v>4409</v>
      </c>
      <c r="B11566" s="28"/>
      <c r="C11566" s="3" t="s">
        <v>3</v>
      </c>
    </row>
    <row r="11567" spans="1:3" ht="13.5" thickBot="1" x14ac:dyDescent="0.25">
      <c r="A11567" s="3">
        <v>666</v>
      </c>
      <c r="B11567" s="28"/>
      <c r="C11567" s="3" t="s">
        <v>6</v>
      </c>
    </row>
    <row r="11568" spans="1:3" ht="13.5" thickBot="1" x14ac:dyDescent="0.25">
      <c r="A11568" s="3">
        <v>7593</v>
      </c>
      <c r="B11568" s="28"/>
      <c r="C11568" s="3" t="s">
        <v>7</v>
      </c>
    </row>
    <row r="11569" spans="1:3" ht="13.5" thickBot="1" x14ac:dyDescent="0.25">
      <c r="A11569" s="3">
        <v>4527</v>
      </c>
      <c r="B11569" s="28"/>
      <c r="C11569" s="3" t="s">
        <v>3</v>
      </c>
    </row>
    <row r="11570" spans="1:3" ht="13.5" thickBot="1" x14ac:dyDescent="0.25">
      <c r="A11570" s="3">
        <v>1608</v>
      </c>
      <c r="B11570" s="28"/>
      <c r="C11570" s="3" t="s">
        <v>3</v>
      </c>
    </row>
    <row r="11571" spans="1:3" ht="13.5" thickBot="1" x14ac:dyDescent="0.25">
      <c r="A11571" s="3">
        <v>42</v>
      </c>
      <c r="B11571" s="28"/>
      <c r="C11571" s="3" t="s">
        <v>5</v>
      </c>
    </row>
    <row r="11572" spans="1:3" ht="13.5" thickBot="1" x14ac:dyDescent="0.25">
      <c r="A11572" s="3">
        <v>1777</v>
      </c>
      <c r="B11572" s="28"/>
      <c r="C11572" s="3" t="s">
        <v>3</v>
      </c>
    </row>
    <row r="11573" spans="1:3" ht="13.5" thickBot="1" x14ac:dyDescent="0.25">
      <c r="A11573" s="3">
        <v>6111</v>
      </c>
      <c r="B11573" s="28"/>
      <c r="C11573" s="3" t="s">
        <v>6</v>
      </c>
    </row>
    <row r="11574" spans="1:3" ht="13.5" thickBot="1" x14ac:dyDescent="0.25">
      <c r="A11574" s="3">
        <v>5406</v>
      </c>
      <c r="B11574" s="28"/>
      <c r="C11574" s="3" t="s">
        <v>3</v>
      </c>
    </row>
    <row r="11575" spans="1:3" ht="13.5" thickBot="1" x14ac:dyDescent="0.25">
      <c r="A11575" s="3">
        <v>4839</v>
      </c>
      <c r="B11575" s="28"/>
      <c r="C11575" s="3" t="s">
        <v>3</v>
      </c>
    </row>
    <row r="11576" spans="1:3" ht="13.5" thickBot="1" x14ac:dyDescent="0.25">
      <c r="A11576" s="3">
        <v>46</v>
      </c>
      <c r="B11576" s="28"/>
      <c r="C11576" s="3" t="s">
        <v>3</v>
      </c>
    </row>
    <row r="11577" spans="1:3" ht="13.5" thickBot="1" x14ac:dyDescent="0.25">
      <c r="A11577" s="3">
        <v>4373</v>
      </c>
      <c r="B11577" s="28"/>
      <c r="C11577" s="3" t="s">
        <v>4</v>
      </c>
    </row>
    <row r="11578" spans="1:3" ht="13.5" thickBot="1" x14ac:dyDescent="0.25">
      <c r="A11578" s="3">
        <v>431</v>
      </c>
      <c r="B11578" s="28"/>
      <c r="C11578" s="3" t="s">
        <v>4</v>
      </c>
    </row>
    <row r="11579" spans="1:3" ht="13.5" thickBot="1" x14ac:dyDescent="0.25">
      <c r="A11579" s="3">
        <v>1743</v>
      </c>
      <c r="B11579" s="28"/>
      <c r="C11579" s="3" t="s">
        <v>3</v>
      </c>
    </row>
    <row r="11580" spans="1:3" ht="13.5" thickBot="1" x14ac:dyDescent="0.25">
      <c r="A11580" s="3">
        <v>5600</v>
      </c>
      <c r="B11580" s="28"/>
      <c r="C11580" s="3" t="s">
        <v>3</v>
      </c>
    </row>
    <row r="11581" spans="1:3" ht="13.5" thickBot="1" x14ac:dyDescent="0.25">
      <c r="A11581" s="3">
        <v>5754</v>
      </c>
      <c r="B11581" s="28"/>
      <c r="C11581" s="3" t="s">
        <v>3</v>
      </c>
    </row>
    <row r="11582" spans="1:3" ht="13.5" thickBot="1" x14ac:dyDescent="0.25">
      <c r="A11582" s="3">
        <v>1075</v>
      </c>
      <c r="B11582" s="28"/>
      <c r="C11582" s="3" t="s">
        <v>3</v>
      </c>
    </row>
    <row r="11583" spans="1:3" ht="13.5" thickBot="1" x14ac:dyDescent="0.25">
      <c r="A11583" s="3">
        <v>4668</v>
      </c>
      <c r="B11583" s="28"/>
      <c r="C11583" s="3" t="s">
        <v>6</v>
      </c>
    </row>
    <row r="11584" spans="1:3" ht="13.5" thickBot="1" x14ac:dyDescent="0.25">
      <c r="A11584" s="3">
        <v>2466</v>
      </c>
      <c r="B11584" s="28"/>
      <c r="C11584" s="3" t="s">
        <v>7</v>
      </c>
    </row>
    <row r="11585" spans="1:3" ht="13.5" thickBot="1" x14ac:dyDescent="0.25">
      <c r="A11585" s="3">
        <v>6807</v>
      </c>
      <c r="B11585" s="28"/>
      <c r="C11585" s="3" t="s">
        <v>3</v>
      </c>
    </row>
    <row r="11586" spans="1:3" ht="13.5" thickBot="1" x14ac:dyDescent="0.25">
      <c r="A11586" s="3">
        <v>340</v>
      </c>
      <c r="B11586" s="28"/>
      <c r="C11586" s="3" t="s">
        <v>5</v>
      </c>
    </row>
    <row r="11587" spans="1:3" ht="13.5" thickBot="1" x14ac:dyDescent="0.25">
      <c r="A11587" s="3">
        <v>1562</v>
      </c>
      <c r="B11587" s="28"/>
      <c r="C11587" s="3" t="s">
        <v>3</v>
      </c>
    </row>
    <row r="11588" spans="1:3" ht="13.5" thickBot="1" x14ac:dyDescent="0.25">
      <c r="A11588" s="3">
        <v>4437</v>
      </c>
      <c r="B11588" s="28"/>
      <c r="C11588" s="3" t="s">
        <v>3</v>
      </c>
    </row>
    <row r="11589" spans="1:3" ht="13.5" thickBot="1" x14ac:dyDescent="0.25">
      <c r="A11589" s="3">
        <v>2133</v>
      </c>
      <c r="B11589" s="28"/>
      <c r="C11589" s="3" t="s">
        <v>3</v>
      </c>
    </row>
    <row r="11590" spans="1:3" ht="13.5" thickBot="1" x14ac:dyDescent="0.25">
      <c r="A11590" s="3">
        <v>7657</v>
      </c>
      <c r="B11590" s="28"/>
      <c r="C11590" s="3" t="s">
        <v>5</v>
      </c>
    </row>
    <row r="11591" spans="1:3" ht="13.5" thickBot="1" x14ac:dyDescent="0.25">
      <c r="A11591" s="3">
        <v>59</v>
      </c>
      <c r="B11591" s="28"/>
      <c r="C11591" s="3" t="s">
        <v>6</v>
      </c>
    </row>
    <row r="11592" spans="1:3" ht="13.5" thickBot="1" x14ac:dyDescent="0.25">
      <c r="A11592" s="3">
        <v>1075</v>
      </c>
      <c r="B11592" s="28"/>
      <c r="C11592" s="3" t="s">
        <v>4</v>
      </c>
    </row>
    <row r="11593" spans="1:3" ht="13.5" thickBot="1" x14ac:dyDescent="0.25">
      <c r="A11593" s="3">
        <v>3938</v>
      </c>
      <c r="B11593" s="28"/>
      <c r="C11593" s="3" t="s">
        <v>3</v>
      </c>
    </row>
    <row r="11594" spans="1:3" ht="13.5" thickBot="1" x14ac:dyDescent="0.25">
      <c r="A11594" s="3">
        <v>4597</v>
      </c>
      <c r="B11594" s="28"/>
      <c r="C11594" s="3" t="s">
        <v>3</v>
      </c>
    </row>
    <row r="11595" spans="1:3" ht="13.5" thickBot="1" x14ac:dyDescent="0.25">
      <c r="A11595" s="3">
        <v>409</v>
      </c>
      <c r="B11595" s="28"/>
      <c r="C11595" s="3" t="s">
        <v>4</v>
      </c>
    </row>
    <row r="11596" spans="1:3" ht="13.5" thickBot="1" x14ac:dyDescent="0.25">
      <c r="A11596" s="3">
        <v>5133</v>
      </c>
      <c r="B11596" s="28"/>
      <c r="C11596" s="3" t="s">
        <v>7</v>
      </c>
    </row>
    <row r="11597" spans="1:3" ht="13.5" thickBot="1" x14ac:dyDescent="0.25">
      <c r="A11597" s="3">
        <v>4754</v>
      </c>
      <c r="B11597" s="28"/>
      <c r="C11597" s="3" t="s">
        <v>6</v>
      </c>
    </row>
    <row r="11598" spans="1:3" ht="13.5" thickBot="1" x14ac:dyDescent="0.25">
      <c r="A11598" s="3">
        <v>7558</v>
      </c>
      <c r="B11598" s="28"/>
      <c r="C11598" s="3" t="s">
        <v>7</v>
      </c>
    </row>
    <row r="11599" spans="1:3" ht="13.5" thickBot="1" x14ac:dyDescent="0.25">
      <c r="A11599" s="3">
        <v>1979</v>
      </c>
      <c r="B11599" s="28"/>
      <c r="C11599" s="3" t="s">
        <v>6</v>
      </c>
    </row>
    <row r="11600" spans="1:3" ht="13.5" thickBot="1" x14ac:dyDescent="0.25">
      <c r="A11600" s="3">
        <v>4434</v>
      </c>
      <c r="B11600" s="28"/>
      <c r="C11600" s="3" t="s">
        <v>3</v>
      </c>
    </row>
    <row r="11601" spans="1:3" ht="13.5" thickBot="1" x14ac:dyDescent="0.25">
      <c r="A11601" s="3">
        <v>7604</v>
      </c>
      <c r="B11601" s="28"/>
      <c r="C11601" s="3" t="s">
        <v>4</v>
      </c>
    </row>
    <row r="11602" spans="1:3" ht="13.5" thickBot="1" x14ac:dyDescent="0.25">
      <c r="A11602" s="3">
        <v>3267</v>
      </c>
      <c r="B11602" s="28"/>
      <c r="C11602" s="3" t="s">
        <v>3</v>
      </c>
    </row>
    <row r="11603" spans="1:3" ht="13.5" thickBot="1" x14ac:dyDescent="0.25">
      <c r="A11603" s="3">
        <v>4754</v>
      </c>
      <c r="B11603" s="28"/>
      <c r="C11603" s="3" t="s">
        <v>5</v>
      </c>
    </row>
    <row r="11604" spans="1:3" ht="13.5" thickBot="1" x14ac:dyDescent="0.25">
      <c r="A11604" s="3">
        <v>3929</v>
      </c>
      <c r="B11604" s="28"/>
      <c r="C11604" s="3" t="s">
        <v>3</v>
      </c>
    </row>
    <row r="11605" spans="1:3" ht="13.5" thickBot="1" x14ac:dyDescent="0.25">
      <c r="A11605" s="3">
        <v>2133</v>
      </c>
      <c r="B11605" s="28"/>
      <c r="C11605" s="3" t="s">
        <v>4</v>
      </c>
    </row>
    <row r="11606" spans="1:3" ht="13.5" thickBot="1" x14ac:dyDescent="0.25">
      <c r="A11606" s="3">
        <v>5736</v>
      </c>
      <c r="B11606" s="28"/>
      <c r="C11606" s="3" t="s">
        <v>3</v>
      </c>
    </row>
    <row r="11607" spans="1:3" ht="13.5" thickBot="1" x14ac:dyDescent="0.25">
      <c r="A11607" s="3">
        <v>2747</v>
      </c>
      <c r="B11607" s="28"/>
      <c r="C11607" s="3" t="s">
        <v>5</v>
      </c>
    </row>
    <row r="11608" spans="1:3" ht="13.5" thickBot="1" x14ac:dyDescent="0.25">
      <c r="A11608" s="3">
        <v>1154</v>
      </c>
      <c r="B11608" s="28"/>
      <c r="C11608" s="3" t="s">
        <v>6</v>
      </c>
    </row>
    <row r="11609" spans="1:3" ht="13.5" thickBot="1" x14ac:dyDescent="0.25">
      <c r="A11609" s="3">
        <v>584</v>
      </c>
      <c r="B11609" s="28"/>
      <c r="C11609" s="3" t="s">
        <v>3</v>
      </c>
    </row>
    <row r="11610" spans="1:3" ht="13.5" thickBot="1" x14ac:dyDescent="0.25">
      <c r="A11610" s="3">
        <v>1193</v>
      </c>
      <c r="B11610" s="28"/>
      <c r="C11610" s="3" t="s">
        <v>6</v>
      </c>
    </row>
    <row r="11611" spans="1:3" ht="13.5" thickBot="1" x14ac:dyDescent="0.25">
      <c r="A11611" s="3">
        <v>2070</v>
      </c>
      <c r="B11611" s="28"/>
      <c r="C11611" s="3" t="s">
        <v>3</v>
      </c>
    </row>
    <row r="11612" spans="1:3" ht="13.5" thickBot="1" x14ac:dyDescent="0.25">
      <c r="A11612" s="3">
        <v>4682</v>
      </c>
      <c r="B11612" s="28"/>
      <c r="C11612" s="3" t="s">
        <v>3</v>
      </c>
    </row>
    <row r="11613" spans="1:3" ht="13.5" thickBot="1" x14ac:dyDescent="0.25">
      <c r="A11613" s="3">
        <v>2994</v>
      </c>
      <c r="B11613" s="28"/>
      <c r="C11613" s="3" t="s">
        <v>3</v>
      </c>
    </row>
    <row r="11614" spans="1:3" ht="13.5" thickBot="1" x14ac:dyDescent="0.25">
      <c r="A11614" s="3">
        <v>4732</v>
      </c>
      <c r="B11614" s="28"/>
      <c r="C11614" s="3" t="s">
        <v>6</v>
      </c>
    </row>
    <row r="11615" spans="1:3" ht="13.5" thickBot="1" x14ac:dyDescent="0.25">
      <c r="A11615" s="3">
        <v>666</v>
      </c>
      <c r="B11615" s="28"/>
      <c r="C11615" s="3" t="s">
        <v>7</v>
      </c>
    </row>
    <row r="11616" spans="1:3" ht="13.5" thickBot="1" x14ac:dyDescent="0.25">
      <c r="A11616" s="3">
        <v>7692</v>
      </c>
      <c r="B11616" s="28"/>
      <c r="C11616" s="3" t="s">
        <v>3</v>
      </c>
    </row>
    <row r="11617" spans="1:3" ht="13.5" thickBot="1" x14ac:dyDescent="0.25">
      <c r="A11617" s="3">
        <v>107</v>
      </c>
      <c r="B11617" s="28"/>
      <c r="C11617" s="3" t="s">
        <v>6</v>
      </c>
    </row>
    <row r="11618" spans="1:3" ht="13.5" thickBot="1" x14ac:dyDescent="0.25">
      <c r="A11618" s="3">
        <v>1181</v>
      </c>
      <c r="B11618" s="28"/>
      <c r="C11618" s="3" t="s">
        <v>3</v>
      </c>
    </row>
    <row r="11619" spans="1:3" ht="13.5" thickBot="1" x14ac:dyDescent="0.25">
      <c r="A11619" s="3">
        <v>7351</v>
      </c>
      <c r="B11619" s="28"/>
      <c r="C11619" s="3" t="s">
        <v>4</v>
      </c>
    </row>
    <row r="11620" spans="1:3" ht="13.5" thickBot="1" x14ac:dyDescent="0.25">
      <c r="A11620" s="3">
        <v>3263</v>
      </c>
      <c r="B11620" s="28"/>
      <c r="C11620" s="3" t="s">
        <v>5</v>
      </c>
    </row>
    <row r="11621" spans="1:3" ht="13.5" thickBot="1" x14ac:dyDescent="0.25">
      <c r="A11621" s="3">
        <v>5525</v>
      </c>
      <c r="B11621" s="28"/>
      <c r="C11621" s="3" t="s">
        <v>4</v>
      </c>
    </row>
    <row r="11622" spans="1:3" ht="13.5" thickBot="1" x14ac:dyDescent="0.25">
      <c r="A11622" s="3">
        <v>2724</v>
      </c>
      <c r="B11622" s="28"/>
      <c r="C11622" s="3" t="s">
        <v>3</v>
      </c>
    </row>
    <row r="11623" spans="1:3" ht="13.5" thickBot="1" x14ac:dyDescent="0.25">
      <c r="A11623" s="3">
        <v>3150</v>
      </c>
      <c r="B11623" s="28"/>
      <c r="C11623" s="3" t="s">
        <v>6</v>
      </c>
    </row>
    <row r="11624" spans="1:3" ht="13.5" thickBot="1" x14ac:dyDescent="0.25">
      <c r="A11624" s="3">
        <v>15</v>
      </c>
      <c r="B11624" s="28"/>
      <c r="C11624" s="3" t="s">
        <v>6</v>
      </c>
    </row>
    <row r="11625" spans="1:3" ht="13.5" thickBot="1" x14ac:dyDescent="0.25">
      <c r="A11625" s="3">
        <v>4794</v>
      </c>
      <c r="B11625" s="28"/>
      <c r="C11625" s="3" t="s">
        <v>4</v>
      </c>
    </row>
    <row r="11626" spans="1:3" ht="13.5" thickBot="1" x14ac:dyDescent="0.25">
      <c r="A11626" s="3">
        <v>6638</v>
      </c>
      <c r="B11626" s="28"/>
      <c r="C11626" s="3" t="s">
        <v>4</v>
      </c>
    </row>
    <row r="11627" spans="1:3" ht="13.5" thickBot="1" x14ac:dyDescent="0.25">
      <c r="A11627" s="3">
        <v>6853</v>
      </c>
      <c r="B11627" s="28"/>
      <c r="C11627" s="3" t="s">
        <v>4</v>
      </c>
    </row>
    <row r="11628" spans="1:3" ht="13.5" thickBot="1" x14ac:dyDescent="0.25">
      <c r="A11628" s="3">
        <v>961</v>
      </c>
      <c r="B11628" s="28"/>
      <c r="C11628" s="3" t="s">
        <v>3</v>
      </c>
    </row>
    <row r="11629" spans="1:3" ht="13.5" thickBot="1" x14ac:dyDescent="0.25">
      <c r="A11629" s="3">
        <v>7558</v>
      </c>
      <c r="B11629" s="28"/>
      <c r="C11629" s="3" t="s">
        <v>5</v>
      </c>
    </row>
    <row r="11630" spans="1:3" ht="13.5" thickBot="1" x14ac:dyDescent="0.25">
      <c r="A11630" s="3">
        <v>7482</v>
      </c>
      <c r="B11630" s="28"/>
      <c r="C11630" s="3" t="s">
        <v>3</v>
      </c>
    </row>
    <row r="11631" spans="1:3" ht="13.5" thickBot="1" x14ac:dyDescent="0.25">
      <c r="A11631" s="3">
        <v>1159</v>
      </c>
      <c r="B11631" s="28"/>
      <c r="C11631" s="3" t="s">
        <v>4</v>
      </c>
    </row>
    <row r="11632" spans="1:3" ht="13.5" thickBot="1" x14ac:dyDescent="0.25">
      <c r="A11632" s="3">
        <v>7505</v>
      </c>
      <c r="B11632" s="28"/>
      <c r="C11632" s="3" t="s">
        <v>5</v>
      </c>
    </row>
    <row r="11633" spans="1:3" ht="13.5" thickBot="1" x14ac:dyDescent="0.25">
      <c r="A11633" s="3">
        <v>4476</v>
      </c>
      <c r="B11633" s="28"/>
      <c r="C11633" s="3" t="s">
        <v>6</v>
      </c>
    </row>
    <row r="11634" spans="1:3" ht="13.5" thickBot="1" x14ac:dyDescent="0.25">
      <c r="A11634" s="3">
        <v>1159</v>
      </c>
      <c r="B11634" s="28"/>
      <c r="C11634" s="3" t="s">
        <v>5</v>
      </c>
    </row>
    <row r="11635" spans="1:3" ht="13.5" thickBot="1" x14ac:dyDescent="0.25">
      <c r="A11635" s="3">
        <v>1070</v>
      </c>
      <c r="B11635" s="28"/>
      <c r="C11635" s="3" t="s">
        <v>3</v>
      </c>
    </row>
    <row r="11636" spans="1:3" ht="13.5" thickBot="1" x14ac:dyDescent="0.25">
      <c r="A11636" s="3">
        <v>900</v>
      </c>
      <c r="B11636" s="28"/>
      <c r="C11636" s="3" t="s">
        <v>3</v>
      </c>
    </row>
    <row r="11637" spans="1:3" ht="13.5" thickBot="1" x14ac:dyDescent="0.25">
      <c r="A11637" s="3">
        <v>3263</v>
      </c>
      <c r="B11637" s="28"/>
      <c r="C11637" s="3" t="s">
        <v>4</v>
      </c>
    </row>
    <row r="11638" spans="1:3" ht="13.5" thickBot="1" x14ac:dyDescent="0.25">
      <c r="A11638" s="3">
        <v>941</v>
      </c>
      <c r="B11638" s="28"/>
      <c r="C11638" s="3" t="s">
        <v>3</v>
      </c>
    </row>
    <row r="11639" spans="1:3" ht="13.5" thickBot="1" x14ac:dyDescent="0.25">
      <c r="A11639" s="3">
        <v>5754</v>
      </c>
      <c r="B11639" s="28"/>
      <c r="C11639" s="3" t="s">
        <v>4</v>
      </c>
    </row>
    <row r="11640" spans="1:3" ht="13.5" thickBot="1" x14ac:dyDescent="0.25">
      <c r="A11640" s="3">
        <v>393</v>
      </c>
      <c r="B11640" s="28"/>
      <c r="C11640" s="3" t="s">
        <v>3</v>
      </c>
    </row>
    <row r="11641" spans="1:3" ht="13.5" thickBot="1" x14ac:dyDescent="0.25">
      <c r="A11641" s="3">
        <v>6853</v>
      </c>
      <c r="B11641" s="28"/>
      <c r="C11641" s="3" t="s">
        <v>5</v>
      </c>
    </row>
    <row r="11642" spans="1:3" ht="13.5" thickBot="1" x14ac:dyDescent="0.25">
      <c r="A11642" s="3">
        <v>5854</v>
      </c>
      <c r="B11642" s="28"/>
      <c r="C11642" s="3" t="s">
        <v>3</v>
      </c>
    </row>
    <row r="11643" spans="1:3" ht="13.5" thickBot="1" x14ac:dyDescent="0.25">
      <c r="A11643" s="3">
        <v>1445</v>
      </c>
      <c r="B11643" s="28"/>
      <c r="C11643" s="3" t="s">
        <v>5</v>
      </c>
    </row>
    <row r="11644" spans="1:3" ht="13.5" thickBot="1" x14ac:dyDescent="0.25">
      <c r="A11644" s="3">
        <v>3263</v>
      </c>
      <c r="B11644" s="28"/>
      <c r="C11644" s="3" t="s">
        <v>3</v>
      </c>
    </row>
    <row r="11645" spans="1:3" ht="13.5" thickBot="1" x14ac:dyDescent="0.25">
      <c r="A11645" s="3">
        <v>3916</v>
      </c>
      <c r="B11645" s="28"/>
      <c r="C11645" s="3" t="s">
        <v>4</v>
      </c>
    </row>
    <row r="11646" spans="1:3" ht="13.5" thickBot="1" x14ac:dyDescent="0.25">
      <c r="A11646" s="3">
        <v>6236</v>
      </c>
      <c r="B11646" s="28"/>
      <c r="C11646" s="3" t="s">
        <v>3</v>
      </c>
    </row>
    <row r="11647" spans="1:3" ht="13.5" thickBot="1" x14ac:dyDescent="0.25">
      <c r="A11647" s="3">
        <v>7836</v>
      </c>
      <c r="B11647" s="28"/>
      <c r="C11647" s="3" t="s">
        <v>3</v>
      </c>
    </row>
    <row r="11648" spans="1:3" ht="13.5" thickBot="1" x14ac:dyDescent="0.25">
      <c r="A11648" s="3">
        <v>7295</v>
      </c>
      <c r="B11648" s="28"/>
      <c r="C11648" s="3" t="s">
        <v>7</v>
      </c>
    </row>
    <row r="11649" spans="1:3" ht="13.5" thickBot="1" x14ac:dyDescent="0.25">
      <c r="A11649" s="3">
        <v>327</v>
      </c>
      <c r="B11649" s="28"/>
      <c r="C11649" s="3" t="s">
        <v>4</v>
      </c>
    </row>
    <row r="11650" spans="1:3" ht="13.5" thickBot="1" x14ac:dyDescent="0.25">
      <c r="A11650" s="3">
        <v>7463</v>
      </c>
      <c r="B11650" s="28"/>
      <c r="C11650" s="3" t="s">
        <v>3</v>
      </c>
    </row>
    <row r="11651" spans="1:3" ht="13.5" thickBot="1" x14ac:dyDescent="0.25">
      <c r="A11651" s="3">
        <v>5754</v>
      </c>
      <c r="B11651" s="28"/>
      <c r="C11651" s="3" t="s">
        <v>5</v>
      </c>
    </row>
    <row r="11652" spans="1:3" ht="13.5" thickBot="1" x14ac:dyDescent="0.25">
      <c r="A11652" s="3">
        <v>502</v>
      </c>
      <c r="B11652" s="28"/>
      <c r="C11652" s="3" t="s">
        <v>3</v>
      </c>
    </row>
    <row r="11653" spans="1:3" ht="13.5" thickBot="1" x14ac:dyDescent="0.25">
      <c r="A11653" s="3">
        <v>502</v>
      </c>
      <c r="B11653" s="28"/>
      <c r="C11653" s="3" t="s">
        <v>4</v>
      </c>
    </row>
    <row r="11654" spans="1:3" ht="13.5" thickBot="1" x14ac:dyDescent="0.25">
      <c r="A11654" s="3">
        <v>3652</v>
      </c>
      <c r="B11654" s="28"/>
      <c r="C11654" s="3" t="s">
        <v>3</v>
      </c>
    </row>
    <row r="11655" spans="1:3" ht="13.5" thickBot="1" x14ac:dyDescent="0.25">
      <c r="A11655" s="3">
        <v>666</v>
      </c>
      <c r="B11655" s="28"/>
      <c r="C11655" s="3" t="s">
        <v>5</v>
      </c>
    </row>
    <row r="11656" spans="1:3" ht="13.5" thickBot="1" x14ac:dyDescent="0.25">
      <c r="A11656" s="3">
        <v>2070</v>
      </c>
      <c r="B11656" s="28"/>
      <c r="C11656" s="3" t="s">
        <v>4</v>
      </c>
    </row>
    <row r="11657" spans="1:3" ht="13.5" thickBot="1" x14ac:dyDescent="0.25">
      <c r="A11657" s="3">
        <v>4983</v>
      </c>
      <c r="B11657" s="28"/>
      <c r="C11657" s="3" t="s">
        <v>6</v>
      </c>
    </row>
    <row r="11658" spans="1:3" ht="13.5" thickBot="1" x14ac:dyDescent="0.25">
      <c r="A11658" s="3">
        <v>6776</v>
      </c>
      <c r="B11658" s="28"/>
      <c r="C11658" s="3" t="s">
        <v>6</v>
      </c>
    </row>
    <row r="11659" spans="1:3" ht="13.5" thickBot="1" x14ac:dyDescent="0.25">
      <c r="A11659" s="3">
        <v>107</v>
      </c>
      <c r="B11659" s="28"/>
      <c r="C11659" s="3" t="s">
        <v>5</v>
      </c>
    </row>
    <row r="11660" spans="1:3" ht="13.5" thickBot="1" x14ac:dyDescent="0.25">
      <c r="A11660" s="3">
        <v>3030</v>
      </c>
      <c r="B11660" s="28"/>
      <c r="C11660" s="3" t="s">
        <v>3</v>
      </c>
    </row>
    <row r="11661" spans="1:3" ht="13.5" thickBot="1" x14ac:dyDescent="0.25">
      <c r="A11661" s="3">
        <v>7657</v>
      </c>
      <c r="B11661" s="28"/>
      <c r="C11661" s="3" t="s">
        <v>4</v>
      </c>
    </row>
    <row r="11662" spans="1:3" ht="13.5" thickBot="1" x14ac:dyDescent="0.25">
      <c r="A11662" s="3">
        <v>403</v>
      </c>
      <c r="B11662" s="28"/>
      <c r="C11662" s="3" t="s">
        <v>3</v>
      </c>
    </row>
    <row r="11663" spans="1:3" ht="13.5" thickBot="1" x14ac:dyDescent="0.25">
      <c r="A11663" s="3">
        <v>1159</v>
      </c>
      <c r="B11663" s="28"/>
      <c r="C11663" s="3" t="s">
        <v>3</v>
      </c>
    </row>
    <row r="11664" spans="1:3" ht="13.5" thickBot="1" x14ac:dyDescent="0.25">
      <c r="A11664" s="3">
        <v>4801</v>
      </c>
      <c r="B11664" s="28"/>
      <c r="C11664" s="3" t="s">
        <v>6</v>
      </c>
    </row>
    <row r="11665" spans="1:3" ht="13.5" thickBot="1" x14ac:dyDescent="0.25">
      <c r="A11665" s="3">
        <v>4455</v>
      </c>
      <c r="B11665" s="28"/>
      <c r="C11665" s="3" t="s">
        <v>3</v>
      </c>
    </row>
    <row r="11666" spans="1:3" ht="13.5" thickBot="1" x14ac:dyDescent="0.25">
      <c r="A11666" s="3">
        <v>899</v>
      </c>
      <c r="B11666" s="28"/>
      <c r="C11666" s="3" t="s">
        <v>4</v>
      </c>
    </row>
    <row r="11667" spans="1:3" ht="13.5" thickBot="1" x14ac:dyDescent="0.25">
      <c r="A11667" s="3">
        <v>4794</v>
      </c>
      <c r="B11667" s="28"/>
      <c r="C11667" s="3" t="s">
        <v>3</v>
      </c>
    </row>
    <row r="11668" spans="1:3" ht="13.5" thickBot="1" x14ac:dyDescent="0.25">
      <c r="A11668" s="3">
        <v>1181</v>
      </c>
      <c r="B11668" s="28"/>
      <c r="C11668" s="3" t="s">
        <v>4</v>
      </c>
    </row>
    <row r="11669" spans="1:3" ht="13.5" thickBot="1" x14ac:dyDescent="0.25">
      <c r="A11669" s="3">
        <v>7529</v>
      </c>
      <c r="B11669" s="28"/>
      <c r="C11669" s="3" t="s">
        <v>4</v>
      </c>
    </row>
    <row r="11670" spans="1:3" ht="13.5" thickBot="1" x14ac:dyDescent="0.25">
      <c r="A11670" s="3">
        <v>3916</v>
      </c>
      <c r="B11670" s="28"/>
      <c r="C11670" s="3" t="s">
        <v>5</v>
      </c>
    </row>
    <row r="11671" spans="1:3" ht="13.5" thickBot="1" x14ac:dyDescent="0.25">
      <c r="A11671" s="3">
        <v>6583</v>
      </c>
      <c r="B11671" s="28"/>
      <c r="C11671" s="3" t="s">
        <v>3</v>
      </c>
    </row>
    <row r="11672" spans="1:3" ht="13.5" thickBot="1" x14ac:dyDescent="0.25">
      <c r="A11672" s="3">
        <v>4340</v>
      </c>
      <c r="B11672" s="28"/>
      <c r="C11672" s="3" t="s">
        <v>3</v>
      </c>
    </row>
    <row r="11673" spans="1:3" ht="13.5" thickBot="1" x14ac:dyDescent="0.25">
      <c r="A11673" s="3">
        <v>4182</v>
      </c>
      <c r="B11673" s="28"/>
      <c r="C11673" s="3" t="s">
        <v>4</v>
      </c>
    </row>
    <row r="11674" spans="1:3" ht="13.5" thickBot="1" x14ac:dyDescent="0.25">
      <c r="A11674" s="3">
        <v>409</v>
      </c>
      <c r="B11674" s="28"/>
      <c r="C11674" s="3" t="s">
        <v>5</v>
      </c>
    </row>
    <row r="11675" spans="1:3" ht="13.5" thickBot="1" x14ac:dyDescent="0.25">
      <c r="A11675" s="3">
        <v>340</v>
      </c>
      <c r="B11675" s="28"/>
      <c r="C11675" s="3" t="s">
        <v>7</v>
      </c>
    </row>
    <row r="11676" spans="1:3" ht="13.5" thickBot="1" x14ac:dyDescent="0.25">
      <c r="A11676" s="3">
        <v>961</v>
      </c>
      <c r="B11676" s="28"/>
      <c r="C11676" s="3" t="s">
        <v>5</v>
      </c>
    </row>
    <row r="11677" spans="1:3" ht="13.5" thickBot="1" x14ac:dyDescent="0.25">
      <c r="A11677" s="3">
        <v>1635</v>
      </c>
      <c r="B11677" s="28"/>
      <c r="C11677" s="3" t="s">
        <v>6</v>
      </c>
    </row>
    <row r="11678" spans="1:3" ht="13.5" thickBot="1" x14ac:dyDescent="0.25">
      <c r="A11678" s="3">
        <v>4467</v>
      </c>
      <c r="B11678" s="28"/>
      <c r="C11678" s="3" t="s">
        <v>5</v>
      </c>
    </row>
    <row r="11679" spans="1:3" ht="13.5" thickBot="1" x14ac:dyDescent="0.25">
      <c r="A11679" s="3">
        <v>6441</v>
      </c>
      <c r="B11679" s="28"/>
      <c r="C11679" s="3" t="s">
        <v>6</v>
      </c>
    </row>
    <row r="11680" spans="1:3" ht="13.5" thickBot="1" x14ac:dyDescent="0.25">
      <c r="A11680" s="3">
        <v>1120</v>
      </c>
      <c r="B11680" s="28"/>
      <c r="C11680" s="3" t="s">
        <v>4</v>
      </c>
    </row>
    <row r="11681" spans="1:3" ht="13.5" thickBot="1" x14ac:dyDescent="0.25">
      <c r="A11681" s="3">
        <v>894</v>
      </c>
      <c r="B11681" s="28"/>
      <c r="C11681" s="3" t="s">
        <v>3</v>
      </c>
    </row>
    <row r="11682" spans="1:3" ht="13.5" thickBot="1" x14ac:dyDescent="0.25">
      <c r="A11682" s="3">
        <v>246</v>
      </c>
      <c r="B11682" s="28"/>
      <c r="C11682" s="3" t="s">
        <v>3</v>
      </c>
    </row>
    <row r="11683" spans="1:3" ht="13.5" thickBot="1" x14ac:dyDescent="0.25">
      <c r="A11683" s="3">
        <v>2172</v>
      </c>
      <c r="B11683" s="28"/>
      <c r="C11683" s="3" t="s">
        <v>3</v>
      </c>
    </row>
    <row r="11684" spans="1:3" ht="13.5" thickBot="1" x14ac:dyDescent="0.25">
      <c r="A11684" s="3">
        <v>474</v>
      </c>
      <c r="B11684" s="28"/>
      <c r="C11684" s="3" t="s">
        <v>3</v>
      </c>
    </row>
    <row r="11685" spans="1:3" ht="13.5" thickBot="1" x14ac:dyDescent="0.25">
      <c r="A11685" s="3">
        <v>6695</v>
      </c>
      <c r="B11685" s="28"/>
      <c r="C11685" s="3" t="s">
        <v>3</v>
      </c>
    </row>
    <row r="11686" spans="1:3" ht="13.5" thickBot="1" x14ac:dyDescent="0.25">
      <c r="A11686" s="3">
        <v>653</v>
      </c>
      <c r="B11686" s="28"/>
      <c r="C11686" s="3" t="s">
        <v>6</v>
      </c>
    </row>
    <row r="11687" spans="1:3" ht="13.5" thickBot="1" x14ac:dyDescent="0.25">
      <c r="A11687" s="3">
        <v>539</v>
      </c>
      <c r="B11687" s="28"/>
      <c r="C11687" s="3" t="s">
        <v>6</v>
      </c>
    </row>
    <row r="11688" spans="1:3" ht="13.5" thickBot="1" x14ac:dyDescent="0.25">
      <c r="A11688" s="3">
        <v>6813</v>
      </c>
      <c r="B11688" s="28"/>
      <c r="C11688" s="3" t="s">
        <v>3</v>
      </c>
    </row>
    <row r="11689" spans="1:3" ht="13.5" thickBot="1" x14ac:dyDescent="0.25">
      <c r="A11689" s="3">
        <v>5649</v>
      </c>
      <c r="B11689" s="28"/>
      <c r="C11689" s="3" t="s">
        <v>5</v>
      </c>
    </row>
    <row r="11690" spans="1:3" ht="13.5" thickBot="1" x14ac:dyDescent="0.25">
      <c r="A11690" s="3">
        <v>7836</v>
      </c>
      <c r="B11690" s="28"/>
      <c r="C11690" s="3" t="s">
        <v>5</v>
      </c>
    </row>
    <row r="11691" spans="1:3" ht="13.5" thickBot="1" x14ac:dyDescent="0.25">
      <c r="A11691" s="3">
        <v>941</v>
      </c>
      <c r="B11691" s="28"/>
      <c r="C11691" s="3" t="s">
        <v>6</v>
      </c>
    </row>
    <row r="11692" spans="1:3" ht="13.5" thickBot="1" x14ac:dyDescent="0.25">
      <c r="A11692" s="3">
        <v>42</v>
      </c>
      <c r="B11692" s="28"/>
      <c r="C11692" s="3" t="s">
        <v>6</v>
      </c>
    </row>
    <row r="11693" spans="1:3" ht="13.5" thickBot="1" x14ac:dyDescent="0.25">
      <c r="A11693" s="3">
        <v>941</v>
      </c>
      <c r="B11693" s="28"/>
      <c r="C11693" s="3" t="s">
        <v>4</v>
      </c>
    </row>
    <row r="11694" spans="1:3" ht="13.5" thickBot="1" x14ac:dyDescent="0.25">
      <c r="A11694" s="3">
        <v>156</v>
      </c>
      <c r="B11694" s="28"/>
      <c r="C11694" s="3" t="s">
        <v>3</v>
      </c>
    </row>
    <row r="11695" spans="1:3" ht="13.5" thickBot="1" x14ac:dyDescent="0.25">
      <c r="A11695" s="3">
        <v>692</v>
      </c>
      <c r="B11695" s="28"/>
      <c r="C11695" s="3" t="s">
        <v>3</v>
      </c>
    </row>
    <row r="11696" spans="1:3" ht="13.5" thickBot="1" x14ac:dyDescent="0.25">
      <c r="A11696" s="3">
        <v>5133</v>
      </c>
      <c r="B11696" s="28"/>
      <c r="C11696" s="3" t="s">
        <v>6</v>
      </c>
    </row>
    <row r="11697" spans="1:3" ht="13.5" thickBot="1" x14ac:dyDescent="0.25">
      <c r="A11697" s="3">
        <v>107</v>
      </c>
      <c r="B11697" s="28"/>
      <c r="C11697" s="3" t="s">
        <v>7</v>
      </c>
    </row>
    <row r="11698" spans="1:3" ht="13.5" thickBot="1" x14ac:dyDescent="0.25">
      <c r="A11698" s="3">
        <v>5338</v>
      </c>
      <c r="B11698" s="28"/>
      <c r="C11698" s="3" t="s">
        <v>7</v>
      </c>
    </row>
    <row r="11699" spans="1:3" ht="13.5" thickBot="1" x14ac:dyDescent="0.25">
      <c r="A11699" s="3">
        <v>894</v>
      </c>
      <c r="B11699" s="28"/>
      <c r="C11699" s="3" t="s">
        <v>5</v>
      </c>
    </row>
    <row r="11700" spans="1:3" ht="13.5" thickBot="1" x14ac:dyDescent="0.25">
      <c r="A11700" s="3">
        <v>5993</v>
      </c>
      <c r="B11700" s="28"/>
      <c r="C11700" s="3" t="s">
        <v>3</v>
      </c>
    </row>
    <row r="11701" spans="1:3" ht="13.5" thickBot="1" x14ac:dyDescent="0.25">
      <c r="A11701" s="3">
        <v>3909</v>
      </c>
      <c r="B11701" s="28"/>
      <c r="C11701" s="3" t="s">
        <v>3</v>
      </c>
    </row>
    <row r="11702" spans="1:3" ht="13.5" thickBot="1" x14ac:dyDescent="0.25">
      <c r="A11702" s="3">
        <v>6981</v>
      </c>
      <c r="B11702" s="28"/>
      <c r="C11702" s="3" t="s">
        <v>7</v>
      </c>
    </row>
    <row r="11703" spans="1:3" ht="13.5" thickBot="1" x14ac:dyDescent="0.25">
      <c r="A11703" s="3">
        <v>4633</v>
      </c>
      <c r="B11703" s="28"/>
      <c r="C11703" s="3" t="s">
        <v>3</v>
      </c>
    </row>
    <row r="11704" spans="1:3" ht="13.5" thickBot="1" x14ac:dyDescent="0.25">
      <c r="A11704" s="3">
        <v>6527</v>
      </c>
      <c r="B11704" s="28"/>
      <c r="C11704" s="3" t="s">
        <v>3</v>
      </c>
    </row>
    <row r="11705" spans="1:3" ht="13.5" thickBot="1" x14ac:dyDescent="0.25">
      <c r="A11705" s="3">
        <v>4467</v>
      </c>
      <c r="B11705" s="28"/>
      <c r="C11705" s="3" t="s">
        <v>3</v>
      </c>
    </row>
    <row r="11706" spans="1:3" ht="13.5" thickBot="1" x14ac:dyDescent="0.25">
      <c r="A11706" s="3">
        <v>4455</v>
      </c>
      <c r="B11706" s="28"/>
      <c r="C11706" s="3" t="s">
        <v>7</v>
      </c>
    </row>
    <row r="11707" spans="1:3" ht="13.5" thickBot="1" x14ac:dyDescent="0.25">
      <c r="A11707" s="3">
        <v>3520</v>
      </c>
      <c r="B11707" s="28"/>
      <c r="C11707" s="3" t="s">
        <v>6</v>
      </c>
    </row>
    <row r="11708" spans="1:3" ht="13.5" thickBot="1" x14ac:dyDescent="0.25">
      <c r="A11708" s="3">
        <v>549</v>
      </c>
      <c r="B11708" s="28"/>
      <c r="C11708" s="3" t="s">
        <v>3</v>
      </c>
    </row>
    <row r="11709" spans="1:3" ht="13.5" thickBot="1" x14ac:dyDescent="0.25">
      <c r="A11709" s="3">
        <v>3211</v>
      </c>
      <c r="B11709" s="28"/>
      <c r="C11709" s="3" t="s">
        <v>4</v>
      </c>
    </row>
    <row r="11710" spans="1:3" ht="13.5" thickBot="1" x14ac:dyDescent="0.25">
      <c r="A11710" s="3">
        <v>7021</v>
      </c>
      <c r="B11710" s="28"/>
      <c r="C11710" s="3" t="s">
        <v>5</v>
      </c>
    </row>
    <row r="11711" spans="1:3" ht="13.5" thickBot="1" x14ac:dyDescent="0.25">
      <c r="A11711" s="3">
        <v>1126</v>
      </c>
      <c r="B11711" s="28"/>
      <c r="C11711" s="3" t="s">
        <v>3</v>
      </c>
    </row>
    <row r="11712" spans="1:3" ht="13.5" thickBot="1" x14ac:dyDescent="0.25">
      <c r="A11712" s="3">
        <v>1405</v>
      </c>
      <c r="B11712" s="28"/>
      <c r="C11712" s="3" t="s">
        <v>3</v>
      </c>
    </row>
    <row r="11713" spans="1:3" ht="13.5" thickBot="1" x14ac:dyDescent="0.25">
      <c r="A11713" s="3">
        <v>419</v>
      </c>
      <c r="B11713" s="28"/>
      <c r="C11713" s="3" t="s">
        <v>6</v>
      </c>
    </row>
    <row r="11714" spans="1:3" ht="13.5" thickBot="1" x14ac:dyDescent="0.25">
      <c r="A11714" s="3">
        <v>859</v>
      </c>
      <c r="B11714" s="28"/>
      <c r="C11714" s="3" t="s">
        <v>6</v>
      </c>
    </row>
    <row r="11715" spans="1:3" ht="13.5" thickBot="1" x14ac:dyDescent="0.25">
      <c r="A11715" s="3">
        <v>7351</v>
      </c>
      <c r="B11715" s="28"/>
      <c r="C11715" s="3" t="s">
        <v>6</v>
      </c>
    </row>
    <row r="11716" spans="1:3" ht="13.5" thickBot="1" x14ac:dyDescent="0.25">
      <c r="A11716" s="3">
        <v>3909</v>
      </c>
      <c r="B11716" s="28"/>
      <c r="C11716" s="3" t="s">
        <v>5</v>
      </c>
    </row>
    <row r="11717" spans="1:3" ht="13.5" thickBot="1" x14ac:dyDescent="0.25">
      <c r="A11717" s="3">
        <v>1964</v>
      </c>
      <c r="B11717" s="28"/>
      <c r="C11717" s="3" t="s">
        <v>3</v>
      </c>
    </row>
    <row r="11718" spans="1:3" ht="13.5" thickBot="1" x14ac:dyDescent="0.25">
      <c r="A11718" s="3">
        <v>5734</v>
      </c>
      <c r="B11718" s="28"/>
      <c r="C11718" s="3" t="s">
        <v>6</v>
      </c>
    </row>
    <row r="11719" spans="1:3" ht="13.5" thickBot="1" x14ac:dyDescent="0.25">
      <c r="A11719" s="3">
        <v>46</v>
      </c>
      <c r="B11719" s="28"/>
      <c r="C11719" s="3" t="s">
        <v>6</v>
      </c>
    </row>
    <row r="11720" spans="1:3" ht="13.5" thickBot="1" x14ac:dyDescent="0.25">
      <c r="A11720" s="3">
        <v>46</v>
      </c>
      <c r="B11720" s="28"/>
      <c r="C11720" s="3" t="s">
        <v>5</v>
      </c>
    </row>
    <row r="11721" spans="1:3" ht="13.5" thickBot="1" x14ac:dyDescent="0.25">
      <c r="A11721" s="3">
        <v>7341</v>
      </c>
      <c r="B11721" s="28"/>
      <c r="C11721" s="3" t="s">
        <v>3</v>
      </c>
    </row>
    <row r="11722" spans="1:3" ht="13.5" thickBot="1" x14ac:dyDescent="0.25">
      <c r="A11722" s="3">
        <v>6638</v>
      </c>
      <c r="B11722" s="28"/>
      <c r="C11722" s="3" t="s">
        <v>5</v>
      </c>
    </row>
    <row r="11723" spans="1:3" ht="13.5" thickBot="1" x14ac:dyDescent="0.25">
      <c r="A11723" s="3">
        <v>1075</v>
      </c>
      <c r="B11723" s="28"/>
      <c r="C11723" s="3" t="s">
        <v>6</v>
      </c>
    </row>
    <row r="11724" spans="1:3" ht="13.5" thickBot="1" x14ac:dyDescent="0.25">
      <c r="A11724" s="3">
        <v>3079</v>
      </c>
      <c r="B11724" s="28"/>
      <c r="C11724" s="3" t="s">
        <v>3</v>
      </c>
    </row>
    <row r="11725" spans="1:3" ht="13.5" thickBot="1" x14ac:dyDescent="0.25">
      <c r="A11725" s="3">
        <v>114</v>
      </c>
      <c r="B11725" s="28"/>
      <c r="C11725" s="3" t="s">
        <v>4</v>
      </c>
    </row>
    <row r="11726" spans="1:3" ht="13.5" thickBot="1" x14ac:dyDescent="0.25">
      <c r="A11726" s="3">
        <v>5617</v>
      </c>
      <c r="B11726" s="28"/>
      <c r="C11726" s="3" t="s">
        <v>4</v>
      </c>
    </row>
    <row r="11727" spans="1:3" ht="13.5" thickBot="1" x14ac:dyDescent="0.25">
      <c r="A11727" s="3">
        <v>7558</v>
      </c>
      <c r="B11727" s="28"/>
      <c r="C11727" s="3" t="s">
        <v>6</v>
      </c>
    </row>
    <row r="11728" spans="1:3" ht="13.5" thickBot="1" x14ac:dyDescent="0.25">
      <c r="A11728" s="3">
        <v>6754</v>
      </c>
      <c r="B11728" s="28"/>
      <c r="C11728" s="3" t="s">
        <v>6</v>
      </c>
    </row>
    <row r="11729" spans="1:3" ht="13.5" thickBot="1" x14ac:dyDescent="0.25">
      <c r="A11729" s="3">
        <v>4527</v>
      </c>
      <c r="B11729" s="28"/>
      <c r="C11729" s="3" t="s">
        <v>4</v>
      </c>
    </row>
    <row r="11730" spans="1:3" ht="13.5" thickBot="1" x14ac:dyDescent="0.25">
      <c r="A11730" s="3">
        <v>3168</v>
      </c>
      <c r="B11730" s="28"/>
      <c r="C11730" s="3" t="s">
        <v>3</v>
      </c>
    </row>
    <row r="11731" spans="1:3" ht="13.5" thickBot="1" x14ac:dyDescent="0.25">
      <c r="A11731" s="3">
        <v>4638</v>
      </c>
      <c r="B11731" s="28"/>
      <c r="C11731" s="3" t="s">
        <v>3</v>
      </c>
    </row>
    <row r="11732" spans="1:3" ht="13.5" thickBot="1" x14ac:dyDescent="0.25">
      <c r="A11732" s="3">
        <v>7692</v>
      </c>
      <c r="B11732" s="28"/>
      <c r="C11732" s="3" t="s">
        <v>4</v>
      </c>
    </row>
    <row r="11733" spans="1:3" ht="13.5" thickBot="1" x14ac:dyDescent="0.25">
      <c r="A11733" s="3">
        <v>5168</v>
      </c>
      <c r="B11733" s="28"/>
      <c r="C11733" s="3" t="s">
        <v>3</v>
      </c>
    </row>
    <row r="11734" spans="1:3" ht="13.5" thickBot="1" x14ac:dyDescent="0.25">
      <c r="A11734" s="3">
        <v>7021</v>
      </c>
      <c r="B11734" s="28"/>
      <c r="C11734" s="3" t="s">
        <v>3</v>
      </c>
    </row>
    <row r="11735" spans="1:3" ht="13.5" thickBot="1" x14ac:dyDescent="0.25">
      <c r="A11735" s="3">
        <v>3211</v>
      </c>
      <c r="B11735" s="28"/>
      <c r="C11735" s="3" t="s">
        <v>3</v>
      </c>
    </row>
    <row r="11736" spans="1:3" ht="13.5" thickBot="1" x14ac:dyDescent="0.25">
      <c r="A11736" s="3">
        <v>7505</v>
      </c>
      <c r="B11736" s="28"/>
      <c r="C11736" s="3" t="s">
        <v>6</v>
      </c>
    </row>
    <row r="11737" spans="1:3" ht="13.5" thickBot="1" x14ac:dyDescent="0.25">
      <c r="A11737" s="3">
        <v>338</v>
      </c>
      <c r="B11737" s="28"/>
      <c r="C11737" s="3" t="s">
        <v>3</v>
      </c>
    </row>
    <row r="11738" spans="1:3" ht="13.5" thickBot="1" x14ac:dyDescent="0.25">
      <c r="A11738" s="3">
        <v>4467</v>
      </c>
      <c r="B11738" s="28"/>
      <c r="C11738" s="3" t="s">
        <v>4</v>
      </c>
    </row>
    <row r="11739" spans="1:3" ht="13.5" thickBot="1" x14ac:dyDescent="0.25">
      <c r="A11739" s="3">
        <v>340</v>
      </c>
      <c r="B11739" s="28"/>
      <c r="C11739" s="3" t="s">
        <v>6</v>
      </c>
    </row>
    <row r="11740" spans="1:3" ht="13.5" thickBot="1" x14ac:dyDescent="0.25">
      <c r="A11740" s="3">
        <v>4340</v>
      </c>
      <c r="B11740" s="28"/>
      <c r="C11740" s="3" t="s">
        <v>4</v>
      </c>
    </row>
    <row r="11741" spans="1:3" ht="13.5" thickBot="1" x14ac:dyDescent="0.25">
      <c r="A11741" s="3">
        <v>908</v>
      </c>
      <c r="B11741" s="28"/>
      <c r="C11741" s="3" t="s">
        <v>3</v>
      </c>
    </row>
    <row r="11742" spans="1:3" ht="13.5" thickBot="1" x14ac:dyDescent="0.25">
      <c r="A11742" s="3">
        <v>5827</v>
      </c>
      <c r="B11742" s="28"/>
      <c r="C11742" s="3" t="s">
        <v>7</v>
      </c>
    </row>
    <row r="11743" spans="1:3" ht="13.5" thickBot="1" x14ac:dyDescent="0.25">
      <c r="A11743" s="3">
        <v>4434</v>
      </c>
      <c r="B11743" s="28"/>
      <c r="C11743" s="3" t="s">
        <v>4</v>
      </c>
    </row>
    <row r="11744" spans="1:3" ht="13.5" thickBot="1" x14ac:dyDescent="0.25">
      <c r="A11744" s="3">
        <v>938</v>
      </c>
      <c r="B11744" s="28"/>
      <c r="C11744" s="3" t="s">
        <v>3</v>
      </c>
    </row>
    <row r="11745" spans="1:3" ht="13.5" thickBot="1" x14ac:dyDescent="0.25">
      <c r="A11745" s="3">
        <v>474</v>
      </c>
      <c r="B11745" s="28"/>
      <c r="C11745" s="3" t="s">
        <v>4</v>
      </c>
    </row>
    <row r="11746" spans="1:3" ht="13.5" thickBot="1" x14ac:dyDescent="0.25">
      <c r="A11746" s="3">
        <v>4467</v>
      </c>
      <c r="B11746" s="28"/>
      <c r="C11746" s="3" t="s">
        <v>7</v>
      </c>
    </row>
    <row r="11747" spans="1:3" ht="13.5" thickBot="1" x14ac:dyDescent="0.25">
      <c r="A11747" s="3">
        <v>961</v>
      </c>
      <c r="B11747" s="28"/>
      <c r="C11747" s="3" t="s">
        <v>4</v>
      </c>
    </row>
    <row r="11748" spans="1:3" ht="13.5" thickBot="1" x14ac:dyDescent="0.25">
      <c r="A11748" s="3">
        <v>7692</v>
      </c>
      <c r="B11748" s="28"/>
      <c r="C11748" s="3" t="s">
        <v>7</v>
      </c>
    </row>
    <row r="11749" spans="1:3" ht="13.5" thickBot="1" x14ac:dyDescent="0.25">
      <c r="A11749" s="3">
        <v>1562</v>
      </c>
      <c r="B11749" s="28"/>
      <c r="C11749" s="3" t="s">
        <v>5</v>
      </c>
    </row>
    <row r="11750" spans="1:3" ht="13.5" thickBot="1" x14ac:dyDescent="0.25">
      <c r="A11750" s="3">
        <v>7417</v>
      </c>
      <c r="B11750" s="28"/>
      <c r="C11750" s="3" t="s">
        <v>5</v>
      </c>
    </row>
    <row r="11751" spans="1:3" ht="13.5" thickBot="1" x14ac:dyDescent="0.25">
      <c r="A11751" s="3">
        <v>6638</v>
      </c>
      <c r="B11751" s="28"/>
      <c r="C11751" s="3" t="s">
        <v>7</v>
      </c>
    </row>
    <row r="11752" spans="1:3" ht="13.5" thickBot="1" x14ac:dyDescent="0.25">
      <c r="A11752" s="3">
        <v>4217</v>
      </c>
      <c r="B11752" s="28"/>
      <c r="C11752" s="3" t="s">
        <v>6</v>
      </c>
    </row>
    <row r="11753" spans="1:3" ht="13.5" thickBot="1" x14ac:dyDescent="0.25">
      <c r="A11753" s="3">
        <v>246</v>
      </c>
      <c r="B11753" s="28"/>
      <c r="C11753" s="3" t="s">
        <v>4</v>
      </c>
    </row>
    <row r="11754" spans="1:3" ht="13.5" thickBot="1" x14ac:dyDescent="0.25">
      <c r="A11754" s="3">
        <v>4520</v>
      </c>
      <c r="B11754" s="28"/>
      <c r="C11754" s="3" t="s">
        <v>3</v>
      </c>
    </row>
    <row r="11755" spans="1:3" ht="13.5" thickBot="1" x14ac:dyDescent="0.25">
      <c r="A11755" s="3">
        <v>7214</v>
      </c>
      <c r="B11755" s="28"/>
      <c r="C11755" s="3" t="s">
        <v>3</v>
      </c>
    </row>
    <row r="11756" spans="1:3" ht="13.5" thickBot="1" x14ac:dyDescent="0.25">
      <c r="A11756" s="3">
        <v>41</v>
      </c>
      <c r="B11756" s="28"/>
      <c r="C11756" s="3" t="s">
        <v>4</v>
      </c>
    </row>
    <row r="11757" spans="1:3" ht="13.5" thickBot="1" x14ac:dyDescent="0.25">
      <c r="A11757" s="3">
        <v>2287</v>
      </c>
      <c r="B11757" s="28"/>
      <c r="C11757" s="3" t="s">
        <v>3</v>
      </c>
    </row>
    <row r="11758" spans="1:3" ht="13.5" thickBot="1" x14ac:dyDescent="0.25">
      <c r="A11758" s="3">
        <v>7593</v>
      </c>
      <c r="B11758" s="28"/>
      <c r="C11758" s="3" t="s">
        <v>6</v>
      </c>
    </row>
    <row r="11759" spans="1:3" ht="13.5" thickBot="1" x14ac:dyDescent="0.25">
      <c r="A11759" s="3">
        <v>959</v>
      </c>
      <c r="B11759" s="28"/>
      <c r="C11759" s="3" t="s">
        <v>4</v>
      </c>
    </row>
    <row r="11760" spans="1:3" ht="13.5" thickBot="1" x14ac:dyDescent="0.25">
      <c r="A11760" s="3">
        <v>6396</v>
      </c>
      <c r="B11760" s="28"/>
      <c r="C11760" s="3" t="s">
        <v>3</v>
      </c>
    </row>
    <row r="11761" spans="1:3" ht="13.5" thickBot="1" x14ac:dyDescent="0.25">
      <c r="A11761" s="3">
        <v>2070</v>
      </c>
      <c r="B11761" s="28"/>
      <c r="C11761" s="3" t="s">
        <v>5</v>
      </c>
    </row>
    <row r="11762" spans="1:3" ht="13.5" thickBot="1" x14ac:dyDescent="0.25">
      <c r="A11762" s="3">
        <v>1426</v>
      </c>
      <c r="B11762" s="28"/>
      <c r="C11762" s="3" t="s">
        <v>4</v>
      </c>
    </row>
    <row r="11763" spans="1:3" ht="13.5" thickBot="1" x14ac:dyDescent="0.25">
      <c r="A11763" s="3">
        <v>2447</v>
      </c>
      <c r="B11763" s="28"/>
      <c r="C11763" s="3" t="s">
        <v>3</v>
      </c>
    </row>
    <row r="11764" spans="1:3" ht="13.5" thickBot="1" x14ac:dyDescent="0.25">
      <c r="A11764" s="3">
        <v>1371</v>
      </c>
      <c r="B11764" s="28"/>
      <c r="C11764" s="3" t="s">
        <v>3</v>
      </c>
    </row>
    <row r="11765" spans="1:3" ht="13.5" thickBot="1" x14ac:dyDescent="0.25">
      <c r="A11765" s="3">
        <v>3430</v>
      </c>
      <c r="B11765" s="28"/>
      <c r="C11765" s="3" t="s">
        <v>4</v>
      </c>
    </row>
    <row r="11766" spans="1:3" ht="13.5" thickBot="1" x14ac:dyDescent="0.25">
      <c r="A11766" s="3">
        <v>7529</v>
      </c>
      <c r="B11766" s="28"/>
      <c r="C11766" s="3" t="s">
        <v>7</v>
      </c>
    </row>
    <row r="11767" spans="1:3" ht="13.5" thickBot="1" x14ac:dyDescent="0.25">
      <c r="A11767" s="3">
        <v>4752</v>
      </c>
      <c r="B11767" s="28"/>
      <c r="C11767" s="3" t="s">
        <v>3</v>
      </c>
    </row>
    <row r="11768" spans="1:3" ht="13.5" thickBot="1" x14ac:dyDescent="0.25">
      <c r="A11768" s="3">
        <v>3300</v>
      </c>
      <c r="B11768" s="28"/>
      <c r="C11768" s="3" t="s">
        <v>3</v>
      </c>
    </row>
    <row r="11769" spans="1:3" ht="13.5" thickBot="1" x14ac:dyDescent="0.25">
      <c r="A11769" s="3">
        <v>6815</v>
      </c>
      <c r="B11769" s="28"/>
      <c r="C11769" s="3" t="s">
        <v>3</v>
      </c>
    </row>
    <row r="11770" spans="1:3" ht="13.5" thickBot="1" x14ac:dyDescent="0.25">
      <c r="A11770" s="3">
        <v>959</v>
      </c>
      <c r="B11770" s="28"/>
      <c r="C11770" s="3" t="s">
        <v>3</v>
      </c>
    </row>
    <row r="11771" spans="1:3" ht="13.5" thickBot="1" x14ac:dyDescent="0.25">
      <c r="A11771" s="3">
        <v>6396</v>
      </c>
      <c r="B11771" s="28"/>
      <c r="C11771" s="3" t="s">
        <v>4</v>
      </c>
    </row>
    <row r="11772" spans="1:3" ht="13.5" thickBot="1" x14ac:dyDescent="0.25">
      <c r="A11772" s="3">
        <v>7963</v>
      </c>
      <c r="B11772" s="28"/>
      <c r="C11772" s="3" t="s">
        <v>3</v>
      </c>
    </row>
    <row r="11773" spans="1:3" ht="13.5" thickBot="1" x14ac:dyDescent="0.25">
      <c r="A11773" s="3">
        <v>2070</v>
      </c>
      <c r="B11773" s="28"/>
      <c r="C11773" s="3" t="s">
        <v>7</v>
      </c>
    </row>
    <row r="11774" spans="1:3" ht="13.5" thickBot="1" x14ac:dyDescent="0.25">
      <c r="A11774" s="3">
        <v>2345</v>
      </c>
      <c r="B11774" s="28"/>
      <c r="C11774" s="3" t="s">
        <v>3</v>
      </c>
    </row>
    <row r="11775" spans="1:3" ht="13.5" thickBot="1" x14ac:dyDescent="0.25">
      <c r="A11775" s="3">
        <v>7417</v>
      </c>
      <c r="B11775" s="28"/>
      <c r="C11775" s="3" t="s">
        <v>3</v>
      </c>
    </row>
    <row r="11776" spans="1:3" ht="13.5" thickBot="1" x14ac:dyDescent="0.25">
      <c r="A11776" s="3">
        <v>1159</v>
      </c>
      <c r="B11776" s="28"/>
      <c r="C11776" s="3" t="s">
        <v>7</v>
      </c>
    </row>
    <row r="11777" spans="1:3" ht="13.5" thickBot="1" x14ac:dyDescent="0.25">
      <c r="A11777" s="3">
        <v>7351</v>
      </c>
      <c r="B11777" s="28"/>
      <c r="C11777" s="3" t="s">
        <v>5</v>
      </c>
    </row>
    <row r="11778" spans="1:3" ht="13.5" thickBot="1" x14ac:dyDescent="0.25">
      <c r="A11778" s="3">
        <v>5150</v>
      </c>
      <c r="B11778" s="28"/>
      <c r="C11778" s="3" t="s">
        <v>3</v>
      </c>
    </row>
    <row r="11779" spans="1:3" ht="13.5" thickBot="1" x14ac:dyDescent="0.25">
      <c r="A11779" s="3">
        <v>1594</v>
      </c>
      <c r="B11779" s="28"/>
      <c r="C11779" s="3" t="s">
        <v>4</v>
      </c>
    </row>
    <row r="11780" spans="1:3" ht="13.5" thickBot="1" x14ac:dyDescent="0.25">
      <c r="A11780" s="3">
        <v>6813</v>
      </c>
      <c r="B11780" s="28"/>
      <c r="C11780" s="3" t="s">
        <v>4</v>
      </c>
    </row>
    <row r="11781" spans="1:3" ht="13.5" thickBot="1" x14ac:dyDescent="0.25">
      <c r="A11781" s="3">
        <v>5723</v>
      </c>
      <c r="B11781" s="28"/>
      <c r="C11781" s="3" t="s">
        <v>6</v>
      </c>
    </row>
    <row r="11782" spans="1:3" ht="13.5" thickBot="1" x14ac:dyDescent="0.25">
      <c r="A11782" s="3">
        <v>4794</v>
      </c>
      <c r="B11782" s="28"/>
      <c r="C11782" s="3" t="s">
        <v>7</v>
      </c>
    </row>
    <row r="11783" spans="1:3" ht="13.5" thickBot="1" x14ac:dyDescent="0.25">
      <c r="A11783" s="3">
        <v>1594</v>
      </c>
      <c r="B11783" s="28"/>
      <c r="C11783" s="3" t="s">
        <v>3</v>
      </c>
    </row>
    <row r="11784" spans="1:3" ht="13.5" thickBot="1" x14ac:dyDescent="0.25">
      <c r="A11784" s="3">
        <v>3267</v>
      </c>
      <c r="B11784" s="28"/>
      <c r="C11784" s="3" t="s">
        <v>4</v>
      </c>
    </row>
    <row r="11785" spans="1:3" ht="13.5" thickBot="1" x14ac:dyDescent="0.25">
      <c r="A11785" s="3">
        <v>6813</v>
      </c>
      <c r="B11785" s="28"/>
      <c r="C11785" s="3" t="s">
        <v>7</v>
      </c>
    </row>
    <row r="11786" spans="1:3" ht="13.5" thickBot="1" x14ac:dyDescent="0.25">
      <c r="A11786" s="3">
        <v>766</v>
      </c>
      <c r="B11786" s="28"/>
      <c r="C11786" s="3" t="s">
        <v>3</v>
      </c>
    </row>
    <row r="11787" spans="1:3" ht="13.5" thickBot="1" x14ac:dyDescent="0.25">
      <c r="A11787" s="3">
        <v>6661</v>
      </c>
      <c r="B11787" s="28"/>
      <c r="C11787" s="3" t="s">
        <v>6</v>
      </c>
    </row>
    <row r="11788" spans="1:3" ht="13.5" thickBot="1" x14ac:dyDescent="0.25">
      <c r="A11788" s="3">
        <v>1021</v>
      </c>
      <c r="B11788" s="28"/>
      <c r="C11788" s="3" t="s">
        <v>3</v>
      </c>
    </row>
    <row r="11789" spans="1:3" ht="13.5" thickBot="1" x14ac:dyDescent="0.25">
      <c r="A11789" s="3">
        <v>1635</v>
      </c>
      <c r="B11789" s="28"/>
      <c r="C11789" s="3" t="s">
        <v>7</v>
      </c>
    </row>
    <row r="11790" spans="1:3" ht="13.5" thickBot="1" x14ac:dyDescent="0.25">
      <c r="A11790" s="3">
        <v>2218</v>
      </c>
      <c r="B11790" s="28"/>
      <c r="C11790" s="3" t="s">
        <v>3</v>
      </c>
    </row>
    <row r="11791" spans="1:3" ht="13.5" thickBot="1" x14ac:dyDescent="0.25">
      <c r="A11791" s="3">
        <v>2345</v>
      </c>
      <c r="B11791" s="28"/>
      <c r="C11791" s="3" t="s">
        <v>4</v>
      </c>
    </row>
    <row r="11792" spans="1:3" ht="13.5" thickBot="1" x14ac:dyDescent="0.25">
      <c r="A11792" s="3">
        <v>5150</v>
      </c>
      <c r="B11792" s="28"/>
      <c r="C11792" s="3" t="s">
        <v>4</v>
      </c>
    </row>
    <row r="11793" spans="1:3" ht="13.5" thickBot="1" x14ac:dyDescent="0.25">
      <c r="A11793" s="3">
        <v>5235</v>
      </c>
      <c r="B11793" s="28"/>
      <c r="C11793" s="3" t="s">
        <v>5</v>
      </c>
    </row>
    <row r="11794" spans="1:3" ht="13.5" thickBot="1" x14ac:dyDescent="0.25">
      <c r="A11794" s="3">
        <v>1266</v>
      </c>
      <c r="B11794" s="28"/>
      <c r="C11794" s="3" t="s">
        <v>3</v>
      </c>
    </row>
    <row r="11795" spans="1:3" ht="13.5" thickBot="1" x14ac:dyDescent="0.25">
      <c r="A11795" s="3">
        <v>7836</v>
      </c>
      <c r="B11795" s="28"/>
      <c r="C11795" s="3" t="s">
        <v>4</v>
      </c>
    </row>
    <row r="11796" spans="1:3" ht="13.5" thickBot="1" x14ac:dyDescent="0.25">
      <c r="A11796" s="3">
        <v>1426</v>
      </c>
      <c r="B11796" s="28"/>
      <c r="C11796" s="3" t="s">
        <v>3</v>
      </c>
    </row>
    <row r="11797" spans="1:3" ht="13.5" thickBot="1" x14ac:dyDescent="0.25">
      <c r="A11797" s="3">
        <v>1996</v>
      </c>
      <c r="B11797" s="28"/>
      <c r="C11797" s="3" t="s">
        <v>3</v>
      </c>
    </row>
    <row r="11798" spans="1:3" ht="13.5" thickBot="1" x14ac:dyDescent="0.25">
      <c r="A11798" s="3">
        <v>5450</v>
      </c>
      <c r="B11798" s="28"/>
      <c r="C11798" s="3" t="s">
        <v>3</v>
      </c>
    </row>
    <row r="11799" spans="1:3" ht="13.5" thickBot="1" x14ac:dyDescent="0.25">
      <c r="A11799" s="3">
        <v>5511</v>
      </c>
      <c r="B11799" s="28"/>
      <c r="C11799" s="3" t="s">
        <v>3</v>
      </c>
    </row>
    <row r="11800" spans="1:3" ht="13.5" thickBot="1" x14ac:dyDescent="0.25">
      <c r="A11800" s="3">
        <v>3079</v>
      </c>
      <c r="B11800" s="28"/>
      <c r="C11800" s="3" t="s">
        <v>4</v>
      </c>
    </row>
    <row r="11801" spans="1:3" ht="13.5" thickBot="1" x14ac:dyDescent="0.25">
      <c r="A11801" s="3">
        <v>894</v>
      </c>
      <c r="B11801" s="28"/>
      <c r="C11801" s="3" t="s">
        <v>4</v>
      </c>
    </row>
    <row r="11802" spans="1:3" ht="13.5" thickBot="1" x14ac:dyDescent="0.25">
      <c r="A11802" s="3">
        <v>5649</v>
      </c>
      <c r="B11802" s="28"/>
      <c r="C11802" s="3" t="s">
        <v>7</v>
      </c>
    </row>
    <row r="11803" spans="1:3" ht="13.5" thickBot="1" x14ac:dyDescent="0.25">
      <c r="A11803" s="3">
        <v>4455</v>
      </c>
      <c r="B11803" s="28"/>
      <c r="C11803" s="3" t="s">
        <v>4</v>
      </c>
    </row>
    <row r="11804" spans="1:3" ht="13.5" thickBot="1" x14ac:dyDescent="0.25">
      <c r="A11804" s="3">
        <v>3300</v>
      </c>
      <c r="B11804" s="28"/>
      <c r="C11804" s="3" t="s">
        <v>4</v>
      </c>
    </row>
    <row r="11805" spans="1:3" ht="13.5" thickBot="1" x14ac:dyDescent="0.25">
      <c r="A11805" s="3">
        <v>3430</v>
      </c>
      <c r="B11805" s="28"/>
      <c r="C11805" s="3" t="s">
        <v>3</v>
      </c>
    </row>
    <row r="11806" spans="1:3" ht="13.5" thickBot="1" x14ac:dyDescent="0.25">
      <c r="A11806" s="3">
        <v>4527</v>
      </c>
      <c r="B11806" s="28"/>
      <c r="C11806" s="3" t="s">
        <v>5</v>
      </c>
    </row>
    <row r="11807" spans="1:3" ht="13.5" thickBot="1" x14ac:dyDescent="0.25">
      <c r="A11807" s="3">
        <v>6009</v>
      </c>
      <c r="B11807" s="28"/>
      <c r="C11807" s="3" t="s">
        <v>3</v>
      </c>
    </row>
    <row r="11808" spans="1:3" ht="13.5" thickBot="1" x14ac:dyDescent="0.25">
      <c r="A11808" s="3">
        <v>4527</v>
      </c>
      <c r="B11808" s="28"/>
      <c r="C11808" s="3" t="s">
        <v>6</v>
      </c>
    </row>
    <row r="11809" spans="1:3" ht="13.5" thickBot="1" x14ac:dyDescent="0.25">
      <c r="A11809" s="3">
        <v>41</v>
      </c>
      <c r="B11809" s="28"/>
      <c r="C11809" s="3" t="s">
        <v>3</v>
      </c>
    </row>
    <row r="11810" spans="1:3" ht="13.5" thickBot="1" x14ac:dyDescent="0.25">
      <c r="A11810" s="3">
        <v>2747</v>
      </c>
      <c r="B11810" s="28"/>
      <c r="C11810" s="3" t="s">
        <v>6</v>
      </c>
    </row>
    <row r="11811" spans="1:3" ht="13.5" thickBot="1" x14ac:dyDescent="0.25">
      <c r="A11811" s="3">
        <v>502</v>
      </c>
      <c r="B11811" s="28"/>
      <c r="C11811" s="3" t="s">
        <v>5</v>
      </c>
    </row>
    <row r="11812" spans="1:3" ht="13.5" thickBot="1" x14ac:dyDescent="0.25">
      <c r="A11812" s="3">
        <v>2252</v>
      </c>
      <c r="B11812" s="28"/>
      <c r="C11812" s="3" t="s">
        <v>6</v>
      </c>
    </row>
    <row r="11813" spans="1:3" ht="13.5" thickBot="1" x14ac:dyDescent="0.25">
      <c r="A11813" s="3">
        <v>2471</v>
      </c>
      <c r="B11813" s="28"/>
      <c r="C11813" s="3" t="s">
        <v>3</v>
      </c>
    </row>
    <row r="11814" spans="1:3" ht="13.5" thickBot="1" x14ac:dyDescent="0.25">
      <c r="A11814" s="3">
        <v>1439</v>
      </c>
      <c r="B11814" s="28"/>
      <c r="C11814" s="3" t="s">
        <v>7</v>
      </c>
    </row>
    <row r="11815" spans="1:3" ht="13.5" thickBot="1" x14ac:dyDescent="0.25">
      <c r="A11815" s="3">
        <v>4099</v>
      </c>
      <c r="B11815" s="28"/>
      <c r="C11815" s="3" t="s">
        <v>6</v>
      </c>
    </row>
    <row r="11816" spans="1:3" ht="13.5" thickBot="1" x14ac:dyDescent="0.25">
      <c r="A11816" s="3">
        <v>2923</v>
      </c>
      <c r="B11816" s="28"/>
      <c r="C11816" s="3" t="s">
        <v>3</v>
      </c>
    </row>
    <row r="11817" spans="1:3" ht="13.5" thickBot="1" x14ac:dyDescent="0.25">
      <c r="A11817" s="3">
        <v>549</v>
      </c>
      <c r="B11817" s="28"/>
      <c r="C11817" s="3" t="s">
        <v>7</v>
      </c>
    </row>
    <row r="11818" spans="1:3" ht="13.5" thickBot="1" x14ac:dyDescent="0.25">
      <c r="A11818" s="3">
        <v>6207</v>
      </c>
      <c r="B11818" s="28"/>
      <c r="C11818" s="3" t="s">
        <v>3</v>
      </c>
    </row>
    <row r="11819" spans="1:3" ht="13.5" thickBot="1" x14ac:dyDescent="0.25">
      <c r="A11819" s="3">
        <v>3149</v>
      </c>
      <c r="B11819" s="28"/>
      <c r="C11819" s="3" t="s">
        <v>3</v>
      </c>
    </row>
    <row r="11820" spans="1:3" ht="13.5" thickBot="1" x14ac:dyDescent="0.25">
      <c r="A11820" s="3">
        <v>941</v>
      </c>
      <c r="B11820" s="28"/>
      <c r="C11820" s="3" t="s">
        <v>7</v>
      </c>
    </row>
    <row r="11821" spans="1:3" ht="13.5" thickBot="1" x14ac:dyDescent="0.25">
      <c r="A11821" s="3">
        <v>5591</v>
      </c>
      <c r="B11821" s="28"/>
      <c r="C11821" s="3" t="s">
        <v>3</v>
      </c>
    </row>
    <row r="11822" spans="1:3" ht="13.5" thickBot="1" x14ac:dyDescent="0.25">
      <c r="A11822" s="3">
        <v>7214</v>
      </c>
      <c r="B11822" s="28"/>
      <c r="C11822" s="3" t="s">
        <v>7</v>
      </c>
    </row>
    <row r="11823" spans="1:3" ht="13.5" thickBot="1" x14ac:dyDescent="0.25">
      <c r="A11823" s="3">
        <v>5595</v>
      </c>
      <c r="B11823" s="28"/>
      <c r="C11823" s="3" t="s">
        <v>3</v>
      </c>
    </row>
    <row r="11824" spans="1:3" ht="13.5" thickBot="1" x14ac:dyDescent="0.25">
      <c r="A11824" s="3">
        <v>780</v>
      </c>
      <c r="B11824" s="28"/>
      <c r="C11824" s="3" t="s">
        <v>3</v>
      </c>
    </row>
    <row r="11825" spans="1:3" ht="13.5" thickBot="1" x14ac:dyDescent="0.25">
      <c r="A11825" s="3">
        <v>4961</v>
      </c>
      <c r="B11825" s="28"/>
      <c r="C11825" s="3" t="s">
        <v>3</v>
      </c>
    </row>
    <row r="11826" spans="1:3" ht="13.5" thickBot="1" x14ac:dyDescent="0.25">
      <c r="A11826" s="3">
        <v>2885</v>
      </c>
      <c r="B11826" s="28"/>
      <c r="C11826" s="3" t="s">
        <v>3</v>
      </c>
    </row>
    <row r="11827" spans="1:3" ht="13.5" thickBot="1" x14ac:dyDescent="0.25">
      <c r="A11827" s="3">
        <v>6813</v>
      </c>
      <c r="B11827" s="28"/>
      <c r="C11827" s="3" t="s">
        <v>5</v>
      </c>
    </row>
    <row r="11828" spans="1:3" ht="13.5" thickBot="1" x14ac:dyDescent="0.25">
      <c r="A11828" s="3">
        <v>2010</v>
      </c>
      <c r="B11828" s="28"/>
      <c r="C11828" s="3" t="s">
        <v>3</v>
      </c>
    </row>
    <row r="11829" spans="1:3" ht="13.5" thickBot="1" x14ac:dyDescent="0.25">
      <c r="A11829" s="3">
        <v>2724</v>
      </c>
      <c r="B11829" s="28"/>
      <c r="C11829" s="3" t="s">
        <v>4</v>
      </c>
    </row>
    <row r="11830" spans="1:3" ht="13.5" thickBot="1" x14ac:dyDescent="0.25">
      <c r="A11830" s="3">
        <v>4138</v>
      </c>
      <c r="B11830" s="28"/>
      <c r="C11830" s="3" t="s">
        <v>3</v>
      </c>
    </row>
    <row r="11831" spans="1:3" ht="13.5" thickBot="1" x14ac:dyDescent="0.25">
      <c r="A11831" s="3">
        <v>5993</v>
      </c>
      <c r="B11831" s="28"/>
      <c r="C11831" s="3" t="s">
        <v>4</v>
      </c>
    </row>
    <row r="11832" spans="1:3" ht="13.5" thickBot="1" x14ac:dyDescent="0.25">
      <c r="A11832" s="3">
        <v>242</v>
      </c>
      <c r="B11832" s="28"/>
      <c r="C11832" s="3" t="s">
        <v>3</v>
      </c>
    </row>
    <row r="11833" spans="1:3" ht="13.5" thickBot="1" x14ac:dyDescent="0.25">
      <c r="A11833" s="3">
        <v>1488</v>
      </c>
      <c r="B11833" s="28"/>
      <c r="C11833" s="3" t="s">
        <v>3</v>
      </c>
    </row>
    <row r="11834" spans="1:3" ht="13.5" thickBot="1" x14ac:dyDescent="0.25">
      <c r="A11834" s="3">
        <v>1740</v>
      </c>
      <c r="B11834" s="28"/>
      <c r="C11834" s="3" t="s">
        <v>3</v>
      </c>
    </row>
    <row r="11835" spans="1:3" ht="13.5" thickBot="1" x14ac:dyDescent="0.25">
      <c r="A11835" s="3">
        <v>7214</v>
      </c>
      <c r="B11835" s="28"/>
      <c r="C11835" s="3" t="s">
        <v>6</v>
      </c>
    </row>
    <row r="11836" spans="1:3" ht="13.5" thickBot="1" x14ac:dyDescent="0.25">
      <c r="A11836" s="3">
        <v>46</v>
      </c>
      <c r="B11836" s="28"/>
      <c r="C11836" s="3" t="s">
        <v>7</v>
      </c>
    </row>
    <row r="11837" spans="1:3" ht="13.5" thickBot="1" x14ac:dyDescent="0.25">
      <c r="A11837" s="3">
        <v>3514</v>
      </c>
      <c r="B11837" s="28"/>
      <c r="C11837" s="3" t="s">
        <v>3</v>
      </c>
    </row>
    <row r="11838" spans="1:3" ht="13.5" thickBot="1" x14ac:dyDescent="0.25">
      <c r="A11838" s="3">
        <v>5452</v>
      </c>
      <c r="B11838" s="28"/>
      <c r="C11838" s="3" t="s">
        <v>3</v>
      </c>
    </row>
    <row r="11839" spans="1:3" ht="13.5" thickBot="1" x14ac:dyDescent="0.25">
      <c r="A11839" s="3">
        <v>894</v>
      </c>
      <c r="B11839" s="28"/>
      <c r="C11839" s="3" t="s">
        <v>6</v>
      </c>
    </row>
    <row r="11840" spans="1:3" ht="13.5" thickBot="1" x14ac:dyDescent="0.25">
      <c r="A11840" s="3">
        <v>549</v>
      </c>
      <c r="B11840" s="28"/>
      <c r="C11840" s="3" t="s">
        <v>5</v>
      </c>
    </row>
    <row r="11841" spans="1:3" ht="13.5" thickBot="1" x14ac:dyDescent="0.25">
      <c r="A11841" s="3">
        <v>4672</v>
      </c>
      <c r="B11841" s="28"/>
      <c r="C11841" s="3" t="s">
        <v>5</v>
      </c>
    </row>
    <row r="11842" spans="1:3" ht="13.5" thickBot="1" x14ac:dyDescent="0.25">
      <c r="A11842" s="3">
        <v>3909</v>
      </c>
      <c r="B11842" s="28"/>
      <c r="C11842" s="3" t="s">
        <v>6</v>
      </c>
    </row>
    <row r="11843" spans="1:3" ht="13.5" thickBot="1" x14ac:dyDescent="0.25">
      <c r="A11843" s="3">
        <v>7288</v>
      </c>
      <c r="B11843" s="28"/>
      <c r="C11843" s="3" t="s">
        <v>3</v>
      </c>
    </row>
    <row r="11844" spans="1:3" ht="13.5" thickBot="1" x14ac:dyDescent="0.25">
      <c r="A11844" s="3">
        <v>6805</v>
      </c>
      <c r="B11844" s="28"/>
      <c r="C11844" s="3" t="s">
        <v>3</v>
      </c>
    </row>
    <row r="11845" spans="1:3" ht="13.5" thickBot="1" x14ac:dyDescent="0.25">
      <c r="A11845" s="3">
        <v>426</v>
      </c>
      <c r="B11845" s="28"/>
      <c r="C11845" s="3" t="s">
        <v>3</v>
      </c>
    </row>
    <row r="11846" spans="1:3" ht="13.5" thickBot="1" x14ac:dyDescent="0.25">
      <c r="A11846" s="3">
        <v>125</v>
      </c>
      <c r="B11846" s="28"/>
      <c r="C11846" s="3" t="s">
        <v>3</v>
      </c>
    </row>
    <row r="11847" spans="1:3" ht="13.5" thickBot="1" x14ac:dyDescent="0.25">
      <c r="A11847" s="3">
        <v>4672</v>
      </c>
      <c r="B11847" s="28"/>
      <c r="C11847" s="3" t="s">
        <v>3</v>
      </c>
    </row>
    <row r="11848" spans="1:3" ht="13.5" thickBot="1" x14ac:dyDescent="0.25">
      <c r="A11848" s="3">
        <v>6527</v>
      </c>
      <c r="B11848" s="28"/>
      <c r="C11848" s="3" t="s">
        <v>4</v>
      </c>
    </row>
    <row r="11849" spans="1:3" ht="13.5" thickBot="1" x14ac:dyDescent="0.25">
      <c r="A11849" s="3">
        <v>7936</v>
      </c>
      <c r="B11849" s="28"/>
      <c r="C11849" s="3" t="s">
        <v>5</v>
      </c>
    </row>
    <row r="11850" spans="1:3" ht="13.5" thickBot="1" x14ac:dyDescent="0.25">
      <c r="A11850" s="3">
        <v>7194</v>
      </c>
      <c r="B11850" s="28"/>
      <c r="C11850" s="3" t="s">
        <v>3</v>
      </c>
    </row>
    <row r="11851" spans="1:3" ht="13.5" thickBot="1" x14ac:dyDescent="0.25">
      <c r="A11851" s="3">
        <v>6207</v>
      </c>
      <c r="B11851" s="28"/>
      <c r="C11851" s="3" t="s">
        <v>4</v>
      </c>
    </row>
    <row r="11852" spans="1:3" ht="13.5" thickBot="1" x14ac:dyDescent="0.25">
      <c r="A11852" s="3">
        <v>5827</v>
      </c>
      <c r="B11852" s="28"/>
      <c r="C11852" s="3" t="s">
        <v>6</v>
      </c>
    </row>
    <row r="11853" spans="1:3" ht="13.5" thickBot="1" x14ac:dyDescent="0.25">
      <c r="A11853" s="3">
        <v>2133</v>
      </c>
      <c r="B11853" s="28"/>
      <c r="C11853" s="3" t="s">
        <v>5</v>
      </c>
    </row>
    <row r="11854" spans="1:3" ht="13.5" thickBot="1" x14ac:dyDescent="0.25">
      <c r="A11854" s="3">
        <v>2355</v>
      </c>
      <c r="B11854" s="28"/>
      <c r="C11854" s="3" t="s">
        <v>3</v>
      </c>
    </row>
    <row r="11855" spans="1:3" ht="13.5" thickBot="1" x14ac:dyDescent="0.25">
      <c r="A11855" s="3">
        <v>4732</v>
      </c>
      <c r="B11855" s="28"/>
      <c r="C11855" s="3" t="s">
        <v>7</v>
      </c>
    </row>
    <row r="11856" spans="1:3" ht="13.5" thickBot="1" x14ac:dyDescent="0.25">
      <c r="A11856" s="3">
        <v>7482</v>
      </c>
      <c r="B11856" s="28"/>
      <c r="C11856" s="3" t="s">
        <v>4</v>
      </c>
    </row>
    <row r="11857" spans="1:3" ht="13.5" thickBot="1" x14ac:dyDescent="0.25">
      <c r="A11857" s="3">
        <v>4455</v>
      </c>
      <c r="B11857" s="28"/>
      <c r="C11857" s="3" t="s">
        <v>5</v>
      </c>
    </row>
    <row r="11858" spans="1:3" ht="13.5" thickBot="1" x14ac:dyDescent="0.25">
      <c r="A11858" s="3">
        <v>7936</v>
      </c>
      <c r="B11858" s="28"/>
      <c r="C11858" s="3" t="s">
        <v>3</v>
      </c>
    </row>
    <row r="11859" spans="1:3" ht="13.5" thickBot="1" x14ac:dyDescent="0.25">
      <c r="A11859" s="3">
        <v>5754</v>
      </c>
      <c r="B11859" s="28"/>
      <c r="C11859" s="3" t="s">
        <v>7</v>
      </c>
    </row>
    <row r="11860" spans="1:3" ht="13.5" thickBot="1" x14ac:dyDescent="0.25">
      <c r="A11860" s="3">
        <v>4752</v>
      </c>
      <c r="B11860" s="28"/>
      <c r="C11860" s="3" t="s">
        <v>4</v>
      </c>
    </row>
    <row r="11861" spans="1:3" ht="13.5" thickBot="1" x14ac:dyDescent="0.25">
      <c r="A11861" s="3">
        <v>737</v>
      </c>
      <c r="B11861" s="28"/>
      <c r="C11861" s="3" t="s">
        <v>6</v>
      </c>
    </row>
    <row r="11862" spans="1:3" ht="13.5" thickBot="1" x14ac:dyDescent="0.25">
      <c r="A11862" s="3">
        <v>239</v>
      </c>
      <c r="B11862" s="28"/>
      <c r="C11862" s="3" t="s">
        <v>3</v>
      </c>
    </row>
    <row r="11863" spans="1:3" ht="13.5" thickBot="1" x14ac:dyDescent="0.25">
      <c r="A11863" s="3">
        <v>4329</v>
      </c>
      <c r="B11863" s="28"/>
      <c r="C11863" s="3" t="s">
        <v>3</v>
      </c>
    </row>
    <row r="11864" spans="1:3" ht="13.5" thickBot="1" x14ac:dyDescent="0.25">
      <c r="A11864" s="3">
        <v>5993</v>
      </c>
      <c r="B11864" s="28"/>
      <c r="C11864" s="3" t="s">
        <v>5</v>
      </c>
    </row>
    <row r="11865" spans="1:3" ht="13.5" thickBot="1" x14ac:dyDescent="0.25">
      <c r="A11865" s="3">
        <v>1488</v>
      </c>
      <c r="B11865" s="28"/>
      <c r="C11865" s="3" t="s">
        <v>5</v>
      </c>
    </row>
    <row r="11866" spans="1:3" ht="13.5" thickBot="1" x14ac:dyDescent="0.25">
      <c r="A11866" s="3">
        <v>3211</v>
      </c>
      <c r="B11866" s="28"/>
      <c r="C11866" s="3" t="s">
        <v>5</v>
      </c>
    </row>
    <row r="11867" spans="1:3" ht="13.5" thickBot="1" x14ac:dyDescent="0.25">
      <c r="A11867" s="3">
        <v>7526</v>
      </c>
      <c r="B11867" s="28"/>
      <c r="C11867" s="3" t="s">
        <v>3</v>
      </c>
    </row>
    <row r="11868" spans="1:3" ht="13.5" thickBot="1" x14ac:dyDescent="0.25">
      <c r="A11868" s="3">
        <v>6067</v>
      </c>
      <c r="B11868" s="28"/>
      <c r="C11868" s="3" t="s">
        <v>3</v>
      </c>
    </row>
    <row r="11869" spans="1:3" ht="13.5" thickBot="1" x14ac:dyDescent="0.25">
      <c r="A11869" s="3">
        <v>2133</v>
      </c>
      <c r="B11869" s="28"/>
      <c r="C11869" s="3" t="s">
        <v>6</v>
      </c>
    </row>
    <row r="11870" spans="1:3" ht="13.5" thickBot="1" x14ac:dyDescent="0.25">
      <c r="A11870" s="3">
        <v>2923</v>
      </c>
      <c r="B11870" s="28"/>
      <c r="C11870" s="3" t="s">
        <v>4</v>
      </c>
    </row>
    <row r="11871" spans="1:3" ht="13.5" thickBot="1" x14ac:dyDescent="0.25">
      <c r="A11871" s="3">
        <v>156</v>
      </c>
      <c r="B11871" s="28"/>
      <c r="C11871" s="3" t="s">
        <v>4</v>
      </c>
    </row>
    <row r="11872" spans="1:3" ht="13.5" thickBot="1" x14ac:dyDescent="0.25">
      <c r="A11872" s="3">
        <v>3300</v>
      </c>
      <c r="B11872" s="28"/>
      <c r="C11872" s="3" t="s">
        <v>7</v>
      </c>
    </row>
    <row r="11873" spans="1:3" ht="13.5" thickBot="1" x14ac:dyDescent="0.25">
      <c r="A11873" s="3">
        <v>1719</v>
      </c>
      <c r="B11873" s="28"/>
      <c r="C11873" s="3" t="s">
        <v>3</v>
      </c>
    </row>
    <row r="11874" spans="1:3" ht="13.5" thickBot="1" x14ac:dyDescent="0.25">
      <c r="A11874" s="3">
        <v>900</v>
      </c>
      <c r="B11874" s="28"/>
      <c r="C11874" s="3" t="s">
        <v>4</v>
      </c>
    </row>
    <row r="11875" spans="1:3" ht="13.5" thickBot="1" x14ac:dyDescent="0.25">
      <c r="A11875" s="3">
        <v>7529</v>
      </c>
      <c r="B11875" s="28"/>
      <c r="C11875" s="3" t="s">
        <v>6</v>
      </c>
    </row>
    <row r="11876" spans="1:3" ht="13.5" thickBot="1" x14ac:dyDescent="0.25">
      <c r="A11876" s="3">
        <v>246</v>
      </c>
      <c r="B11876" s="28"/>
      <c r="C11876" s="3" t="s">
        <v>5</v>
      </c>
    </row>
    <row r="11877" spans="1:3" ht="13.5" thickBot="1" x14ac:dyDescent="0.25">
      <c r="A11877" s="3">
        <v>4638</v>
      </c>
      <c r="B11877" s="28"/>
      <c r="C11877" s="3" t="s">
        <v>4</v>
      </c>
    </row>
    <row r="11878" spans="1:3" ht="13.5" thickBot="1" x14ac:dyDescent="0.25">
      <c r="A11878" s="3">
        <v>621</v>
      </c>
      <c r="B11878" s="28"/>
      <c r="C11878" s="3" t="s">
        <v>3</v>
      </c>
    </row>
    <row r="11879" spans="1:3" ht="13.5" thickBot="1" x14ac:dyDescent="0.25">
      <c r="A11879" s="3">
        <v>2355</v>
      </c>
      <c r="B11879" s="28"/>
      <c r="C11879" s="3" t="s">
        <v>5</v>
      </c>
    </row>
    <row r="11880" spans="1:3" ht="13.5" thickBot="1" x14ac:dyDescent="0.25">
      <c r="A11880" s="3">
        <v>6583</v>
      </c>
      <c r="B11880" s="28"/>
      <c r="C11880" s="3" t="s">
        <v>6</v>
      </c>
    </row>
    <row r="11881" spans="1:3" ht="13.5" thickBot="1" x14ac:dyDescent="0.25">
      <c r="A11881" s="3">
        <v>7692</v>
      </c>
      <c r="B11881" s="28"/>
      <c r="C11881" s="3" t="s">
        <v>5</v>
      </c>
    </row>
    <row r="11882" spans="1:3" ht="13.5" thickBot="1" x14ac:dyDescent="0.25">
      <c r="A11882" s="3">
        <v>1117</v>
      </c>
      <c r="B11882" s="28"/>
      <c r="C11882" s="3" t="s">
        <v>3</v>
      </c>
    </row>
    <row r="11883" spans="1:3" ht="13.5" thickBot="1" x14ac:dyDescent="0.25">
      <c r="A11883" s="3">
        <v>1719</v>
      </c>
      <c r="B11883" s="28"/>
      <c r="C11883" s="3" t="s">
        <v>5</v>
      </c>
    </row>
    <row r="11884" spans="1:3" ht="13.5" thickBot="1" x14ac:dyDescent="0.25">
      <c r="A11884" s="3">
        <v>5217</v>
      </c>
      <c r="B11884" s="28"/>
      <c r="C11884" s="3" t="s">
        <v>3</v>
      </c>
    </row>
    <row r="11885" spans="1:3" ht="13.5" thickBot="1" x14ac:dyDescent="0.25">
      <c r="A11885" s="3">
        <v>938</v>
      </c>
      <c r="B11885" s="28"/>
      <c r="C11885" s="3" t="s">
        <v>4</v>
      </c>
    </row>
    <row r="11886" spans="1:3" ht="13.5" thickBot="1" x14ac:dyDescent="0.25">
      <c r="A11886" s="3">
        <v>3949</v>
      </c>
      <c r="B11886" s="28"/>
      <c r="C11886" s="3" t="s">
        <v>4</v>
      </c>
    </row>
    <row r="11887" spans="1:3" ht="13.5" thickBot="1" x14ac:dyDescent="0.25">
      <c r="A11887" s="3">
        <v>6527</v>
      </c>
      <c r="B11887" s="28"/>
      <c r="C11887" s="3" t="s">
        <v>5</v>
      </c>
    </row>
    <row r="11888" spans="1:3" ht="13.5" thickBot="1" x14ac:dyDescent="0.25">
      <c r="A11888" s="3">
        <v>2960</v>
      </c>
      <c r="B11888" s="28"/>
      <c r="C11888" s="3" t="s">
        <v>3</v>
      </c>
    </row>
    <row r="11889" spans="1:3" ht="13.5" thickBot="1" x14ac:dyDescent="0.25">
      <c r="A11889" s="3">
        <v>161</v>
      </c>
      <c r="B11889" s="28"/>
      <c r="C11889" s="3" t="s">
        <v>3</v>
      </c>
    </row>
    <row r="11890" spans="1:3" ht="13.5" thickBot="1" x14ac:dyDescent="0.25">
      <c r="A11890" s="3">
        <v>1181</v>
      </c>
      <c r="B11890" s="28"/>
      <c r="C11890" s="3" t="s">
        <v>7</v>
      </c>
    </row>
    <row r="11891" spans="1:3" ht="13.5" thickBot="1" x14ac:dyDescent="0.25">
      <c r="A11891" s="3">
        <v>1198</v>
      </c>
      <c r="B11891" s="28"/>
      <c r="C11891" s="3" t="s">
        <v>3</v>
      </c>
    </row>
    <row r="11892" spans="1:3" ht="13.5" thickBot="1" x14ac:dyDescent="0.25">
      <c r="A11892" s="3">
        <v>2192</v>
      </c>
      <c r="B11892" s="28"/>
      <c r="C11892" s="3" t="s">
        <v>3</v>
      </c>
    </row>
    <row r="11893" spans="1:3" ht="13.5" thickBot="1" x14ac:dyDescent="0.25">
      <c r="A11893" s="3">
        <v>884</v>
      </c>
      <c r="B11893" s="28"/>
      <c r="C11893" s="3" t="s">
        <v>3</v>
      </c>
    </row>
    <row r="11894" spans="1:3" ht="13.5" thickBot="1" x14ac:dyDescent="0.25">
      <c r="A11894" s="3">
        <v>621</v>
      </c>
      <c r="B11894" s="28"/>
      <c r="C11894" s="3" t="s">
        <v>4</v>
      </c>
    </row>
    <row r="11895" spans="1:3" ht="13.5" thickBot="1" x14ac:dyDescent="0.25">
      <c r="A11895" s="3">
        <v>1466</v>
      </c>
      <c r="B11895" s="28"/>
      <c r="C11895" s="3" t="s">
        <v>3</v>
      </c>
    </row>
    <row r="11896" spans="1:3" ht="13.5" thickBot="1" x14ac:dyDescent="0.25">
      <c r="A11896" s="3">
        <v>4961</v>
      </c>
      <c r="B11896" s="28"/>
      <c r="C11896" s="3" t="s">
        <v>4</v>
      </c>
    </row>
    <row r="11897" spans="1:3" ht="13.5" thickBot="1" x14ac:dyDescent="0.25">
      <c r="A11897" s="3">
        <v>7384</v>
      </c>
      <c r="B11897" s="28"/>
      <c r="C11897" s="3" t="s">
        <v>3</v>
      </c>
    </row>
    <row r="11898" spans="1:3" ht="13.5" thickBot="1" x14ac:dyDescent="0.25">
      <c r="A11898" s="3">
        <v>426</v>
      </c>
      <c r="B11898" s="28"/>
      <c r="C11898" s="3" t="s">
        <v>4</v>
      </c>
    </row>
    <row r="11899" spans="1:3" ht="13.5" thickBot="1" x14ac:dyDescent="0.25">
      <c r="A11899" s="3">
        <v>1719</v>
      </c>
      <c r="B11899" s="28"/>
      <c r="C11899" s="3" t="s">
        <v>4</v>
      </c>
    </row>
    <row r="11900" spans="1:3" ht="13.5" thickBot="1" x14ac:dyDescent="0.25">
      <c r="A11900" s="3">
        <v>2464</v>
      </c>
      <c r="B11900" s="28"/>
      <c r="C11900" s="3" t="s">
        <v>3</v>
      </c>
    </row>
    <row r="11901" spans="1:3" ht="13.5" thickBot="1" x14ac:dyDescent="0.25">
      <c r="A11901" s="3">
        <v>3514</v>
      </c>
      <c r="B11901" s="28"/>
      <c r="C11901" s="3" t="s">
        <v>4</v>
      </c>
    </row>
    <row r="11902" spans="1:3" ht="13.5" thickBot="1" x14ac:dyDescent="0.25">
      <c r="A11902" s="3">
        <v>5242</v>
      </c>
      <c r="B11902" s="28"/>
      <c r="C11902" s="3" t="s">
        <v>3</v>
      </c>
    </row>
    <row r="11903" spans="1:3" ht="13.5" thickBot="1" x14ac:dyDescent="0.25">
      <c r="A11903" s="3">
        <v>2355</v>
      </c>
      <c r="B11903" s="28"/>
      <c r="C11903" s="3" t="s">
        <v>4</v>
      </c>
    </row>
    <row r="11904" spans="1:3" ht="13.5" thickBot="1" x14ac:dyDescent="0.25">
      <c r="A11904" s="3">
        <v>3401</v>
      </c>
      <c r="B11904" s="28"/>
      <c r="C11904" s="3" t="s">
        <v>3</v>
      </c>
    </row>
    <row r="11905" spans="1:3" ht="13.5" thickBot="1" x14ac:dyDescent="0.25">
      <c r="A11905" s="3">
        <v>231</v>
      </c>
      <c r="B11905" s="28"/>
      <c r="C11905" s="3" t="s">
        <v>3</v>
      </c>
    </row>
    <row r="11906" spans="1:3" ht="13.5" thickBot="1" x14ac:dyDescent="0.25">
      <c r="A11906" s="3">
        <v>6059</v>
      </c>
      <c r="B11906" s="28"/>
      <c r="C11906" s="3" t="s">
        <v>4</v>
      </c>
    </row>
    <row r="11907" spans="1:3" ht="13.5" thickBot="1" x14ac:dyDescent="0.25">
      <c r="A11907" s="3">
        <v>4329</v>
      </c>
      <c r="B11907" s="28"/>
      <c r="C11907" s="3" t="s">
        <v>4</v>
      </c>
    </row>
    <row r="11908" spans="1:3" ht="13.5" thickBot="1" x14ac:dyDescent="0.25">
      <c r="A11908" s="3">
        <v>7021</v>
      </c>
      <c r="B11908" s="28"/>
      <c r="C11908" s="3" t="s">
        <v>6</v>
      </c>
    </row>
    <row r="11909" spans="1:3" ht="13.5" thickBot="1" x14ac:dyDescent="0.25">
      <c r="A11909" s="3">
        <v>7100</v>
      </c>
      <c r="B11909" s="28"/>
      <c r="C11909" s="3" t="s">
        <v>3</v>
      </c>
    </row>
    <row r="11910" spans="1:3" ht="13.5" thickBot="1" x14ac:dyDescent="0.25">
      <c r="A11910" s="3">
        <v>474</v>
      </c>
      <c r="B11910" s="28"/>
      <c r="C11910" s="3" t="s">
        <v>7</v>
      </c>
    </row>
    <row r="11911" spans="1:3" ht="13.5" thickBot="1" x14ac:dyDescent="0.25">
      <c r="A11911" s="3">
        <v>5450</v>
      </c>
      <c r="B11911" s="28"/>
      <c r="C11911" s="3" t="s">
        <v>4</v>
      </c>
    </row>
    <row r="11912" spans="1:3" ht="13.5" thickBot="1" x14ac:dyDescent="0.25">
      <c r="A11912" s="3">
        <v>1742</v>
      </c>
      <c r="B11912" s="28"/>
      <c r="C11912" s="3" t="s">
        <v>3</v>
      </c>
    </row>
    <row r="11913" spans="1:3" ht="13.5" thickBot="1" x14ac:dyDescent="0.25">
      <c r="A11913" s="3">
        <v>5216</v>
      </c>
      <c r="B11913" s="28"/>
      <c r="C11913" s="3" t="s">
        <v>3</v>
      </c>
    </row>
    <row r="11914" spans="1:3" ht="13.5" thickBot="1" x14ac:dyDescent="0.25">
      <c r="A11914" s="3">
        <v>6207</v>
      </c>
      <c r="B11914" s="28"/>
      <c r="C11914" s="3" t="s">
        <v>5</v>
      </c>
    </row>
    <row r="11915" spans="1:3" ht="13.5" thickBot="1" x14ac:dyDescent="0.25">
      <c r="A11915" s="3">
        <v>1740</v>
      </c>
      <c r="B11915" s="28"/>
      <c r="C11915" s="3" t="s">
        <v>4</v>
      </c>
    </row>
    <row r="11916" spans="1:3" ht="13.5" thickBot="1" x14ac:dyDescent="0.25">
      <c r="A11916" s="3">
        <v>2587</v>
      </c>
      <c r="B11916" s="28"/>
      <c r="C11916" s="3" t="s">
        <v>3</v>
      </c>
    </row>
    <row r="11917" spans="1:3" ht="13.5" thickBot="1" x14ac:dyDescent="0.25">
      <c r="A11917" s="3">
        <v>6981</v>
      </c>
      <c r="B11917" s="28"/>
      <c r="C11917" s="3" t="s">
        <v>6</v>
      </c>
    </row>
    <row r="11918" spans="1:3" ht="13.5" thickBot="1" x14ac:dyDescent="0.25">
      <c r="A11918" s="3">
        <v>1021</v>
      </c>
      <c r="B11918" s="28"/>
      <c r="C11918" s="3" t="s">
        <v>4</v>
      </c>
    </row>
    <row r="11919" spans="1:3" ht="13.5" thickBot="1" x14ac:dyDescent="0.25">
      <c r="A11919" s="3">
        <v>7936</v>
      </c>
      <c r="B11919" s="28"/>
      <c r="C11919" s="3" t="s">
        <v>4</v>
      </c>
    </row>
    <row r="11920" spans="1:3" ht="13.5" thickBot="1" x14ac:dyDescent="0.25">
      <c r="A11920" s="3">
        <v>297</v>
      </c>
      <c r="B11920" s="28"/>
      <c r="C11920" s="3" t="s">
        <v>3</v>
      </c>
    </row>
    <row r="11921" spans="1:3" ht="13.5" thickBot="1" x14ac:dyDescent="0.25">
      <c r="A11921" s="3">
        <v>4961</v>
      </c>
      <c r="B11921" s="28"/>
      <c r="C11921" s="3" t="s">
        <v>5</v>
      </c>
    </row>
    <row r="11922" spans="1:3" ht="13.5" thickBot="1" x14ac:dyDescent="0.25">
      <c r="A11922" s="3">
        <v>403</v>
      </c>
      <c r="B11922" s="28"/>
      <c r="C11922" s="3" t="s">
        <v>4</v>
      </c>
    </row>
    <row r="11923" spans="1:3" ht="13.5" thickBot="1" x14ac:dyDescent="0.25">
      <c r="A11923" s="3">
        <v>1594</v>
      </c>
      <c r="B11923" s="28"/>
      <c r="C11923" s="3" t="s">
        <v>7</v>
      </c>
    </row>
    <row r="11924" spans="1:3" ht="13.5" thickBot="1" x14ac:dyDescent="0.25">
      <c r="A11924" s="3">
        <v>7526</v>
      </c>
      <c r="B11924" s="28"/>
      <c r="C11924" s="3" t="s">
        <v>4</v>
      </c>
    </row>
    <row r="11925" spans="1:3" ht="13.5" thickBot="1" x14ac:dyDescent="0.25">
      <c r="A11925" s="3">
        <v>2192</v>
      </c>
      <c r="B11925" s="28"/>
      <c r="C11925" s="3" t="s">
        <v>4</v>
      </c>
    </row>
    <row r="11926" spans="1:3" ht="13.5" thickBot="1" x14ac:dyDescent="0.25">
      <c r="A11926" s="3">
        <v>502</v>
      </c>
      <c r="B11926" s="28"/>
      <c r="C11926" s="3" t="s">
        <v>6</v>
      </c>
    </row>
    <row r="11927" spans="1:3" ht="13.5" thickBot="1" x14ac:dyDescent="0.25">
      <c r="A11927" s="3">
        <v>246</v>
      </c>
      <c r="B11927" s="28"/>
      <c r="C11927" s="3" t="s">
        <v>6</v>
      </c>
    </row>
    <row r="11928" spans="1:3" ht="13.5" thickBot="1" x14ac:dyDescent="0.25">
      <c r="A11928" s="3">
        <v>5236</v>
      </c>
      <c r="B11928" s="28"/>
      <c r="C11928" s="3" t="s">
        <v>4</v>
      </c>
    </row>
    <row r="11929" spans="1:3" ht="13.5" thickBot="1" x14ac:dyDescent="0.25">
      <c r="A11929" s="3">
        <v>1181</v>
      </c>
      <c r="B11929" s="28"/>
      <c r="C11929" s="3" t="s">
        <v>5</v>
      </c>
    </row>
    <row r="11930" spans="1:3" ht="13.5" thickBot="1" x14ac:dyDescent="0.25">
      <c r="A11930" s="3">
        <v>3444</v>
      </c>
      <c r="B11930" s="28"/>
      <c r="C11930" s="3" t="s">
        <v>3</v>
      </c>
    </row>
    <row r="11931" spans="1:3" ht="13.5" thickBot="1" x14ac:dyDescent="0.25">
      <c r="A11931" s="3">
        <v>1996</v>
      </c>
      <c r="B11931" s="28"/>
      <c r="C11931" s="3" t="s">
        <v>5</v>
      </c>
    </row>
    <row r="11932" spans="1:3" ht="13.5" thickBot="1" x14ac:dyDescent="0.25">
      <c r="A11932" s="3">
        <v>1220</v>
      </c>
      <c r="B11932" s="28"/>
      <c r="C11932" s="3" t="s">
        <v>3</v>
      </c>
    </row>
    <row r="11933" spans="1:3" ht="13.5" thickBot="1" x14ac:dyDescent="0.25">
      <c r="A11933" s="3">
        <v>4245</v>
      </c>
      <c r="B11933" s="28"/>
      <c r="C11933" s="3" t="s">
        <v>3</v>
      </c>
    </row>
    <row r="11934" spans="1:3" ht="13.5" thickBot="1" x14ac:dyDescent="0.25">
      <c r="A11934" s="3">
        <v>2345</v>
      </c>
      <c r="B11934" s="28"/>
      <c r="C11934" s="3" t="s">
        <v>6</v>
      </c>
    </row>
    <row r="11935" spans="1:3" ht="13.5" thickBot="1" x14ac:dyDescent="0.25">
      <c r="A11935" s="3">
        <v>7214</v>
      </c>
      <c r="B11935" s="28"/>
      <c r="C11935" s="3" t="s">
        <v>4</v>
      </c>
    </row>
    <row r="11936" spans="1:3" ht="13.5" thickBot="1" x14ac:dyDescent="0.25">
      <c r="A11936" s="3">
        <v>2130</v>
      </c>
      <c r="B11936" s="28"/>
      <c r="C11936" s="3" t="s">
        <v>3</v>
      </c>
    </row>
    <row r="11937" spans="1:3" ht="13.5" thickBot="1" x14ac:dyDescent="0.25">
      <c r="A11937" s="3">
        <v>2111</v>
      </c>
      <c r="B11937" s="28"/>
      <c r="C11937" s="3" t="s">
        <v>6</v>
      </c>
    </row>
    <row r="11938" spans="1:3" ht="13.5" thickBot="1" x14ac:dyDescent="0.25">
      <c r="A11938" s="3">
        <v>5754</v>
      </c>
      <c r="B11938" s="28"/>
      <c r="C11938" s="3" t="s">
        <v>6</v>
      </c>
    </row>
    <row r="11939" spans="1:3" ht="13.5" thickBot="1" x14ac:dyDescent="0.25">
      <c r="A11939" s="3">
        <v>2133</v>
      </c>
      <c r="B11939" s="28"/>
      <c r="C11939" s="3" t="s">
        <v>7</v>
      </c>
    </row>
    <row r="11940" spans="1:3" ht="13.5" thickBot="1" x14ac:dyDescent="0.25">
      <c r="A11940" s="3">
        <v>7341</v>
      </c>
      <c r="B11940" s="28"/>
      <c r="C11940" s="3" t="s">
        <v>4</v>
      </c>
    </row>
    <row r="11941" spans="1:3" ht="13.5" thickBot="1" x14ac:dyDescent="0.25">
      <c r="A11941" s="3">
        <v>3949</v>
      </c>
      <c r="B11941" s="28"/>
      <c r="C11941" s="3" t="s">
        <v>3</v>
      </c>
    </row>
    <row r="11942" spans="1:3" ht="13.5" thickBot="1" x14ac:dyDescent="0.25">
      <c r="A11942" s="3">
        <v>5150</v>
      </c>
      <c r="B11942" s="28"/>
      <c r="C11942" s="3" t="s">
        <v>5</v>
      </c>
    </row>
    <row r="11943" spans="1:3" ht="13.5" thickBot="1" x14ac:dyDescent="0.25">
      <c r="A11943" s="3">
        <v>3995</v>
      </c>
      <c r="B11943" s="28"/>
      <c r="C11943" s="3" t="s">
        <v>3</v>
      </c>
    </row>
    <row r="11944" spans="1:3" ht="13.5" thickBot="1" x14ac:dyDescent="0.25">
      <c r="A11944" s="3">
        <v>4045</v>
      </c>
      <c r="B11944" s="28"/>
      <c r="C11944" s="3" t="s">
        <v>3</v>
      </c>
    </row>
    <row r="11945" spans="1:3" ht="13.5" thickBot="1" x14ac:dyDescent="0.25">
      <c r="A11945" s="3">
        <v>1220</v>
      </c>
      <c r="B11945" s="28"/>
      <c r="C11945" s="3" t="s">
        <v>4</v>
      </c>
    </row>
    <row r="11946" spans="1:3" ht="13.5" thickBot="1" x14ac:dyDescent="0.25">
      <c r="A11946" s="3">
        <v>5236</v>
      </c>
      <c r="B11946" s="28"/>
      <c r="C11946" s="3" t="s">
        <v>3</v>
      </c>
    </row>
    <row r="11947" spans="1:3" ht="13.5" thickBot="1" x14ac:dyDescent="0.25">
      <c r="A11947" s="3">
        <v>4455</v>
      </c>
      <c r="B11947" s="28"/>
      <c r="C11947" s="3" t="s">
        <v>6</v>
      </c>
    </row>
    <row r="11948" spans="1:3" ht="13.5" thickBot="1" x14ac:dyDescent="0.25">
      <c r="A11948" s="3">
        <v>3514</v>
      </c>
      <c r="B11948" s="28"/>
      <c r="C11948" s="3" t="s">
        <v>6</v>
      </c>
    </row>
    <row r="11949" spans="1:3" ht="13.5" thickBot="1" x14ac:dyDescent="0.25">
      <c r="A11949" s="3">
        <v>7657</v>
      </c>
      <c r="B11949" s="28"/>
      <c r="C11949" s="3" t="s">
        <v>6</v>
      </c>
    </row>
    <row r="11950" spans="1:3" ht="13.5" thickBot="1" x14ac:dyDescent="0.25">
      <c r="A11950" s="3">
        <v>3333</v>
      </c>
      <c r="B11950" s="28"/>
      <c r="C11950" s="3" t="s">
        <v>3</v>
      </c>
    </row>
    <row r="11951" spans="1:3" ht="13.5" thickBot="1" x14ac:dyDescent="0.25">
      <c r="A11951" s="3">
        <v>3333</v>
      </c>
      <c r="B11951" s="28"/>
      <c r="C11951" s="3" t="s">
        <v>4</v>
      </c>
    </row>
    <row r="11952" spans="1:3" ht="13.5" thickBot="1" x14ac:dyDescent="0.25">
      <c r="A11952" s="3">
        <v>2212</v>
      </c>
      <c r="B11952" s="28"/>
      <c r="C11952" s="3" t="s">
        <v>3</v>
      </c>
    </row>
    <row r="11953" spans="1:3" ht="13.5" thickBot="1" x14ac:dyDescent="0.25">
      <c r="A11953" s="3">
        <v>6059</v>
      </c>
      <c r="B11953" s="28"/>
      <c r="C11953" s="3" t="s">
        <v>3</v>
      </c>
    </row>
    <row r="11954" spans="1:3" ht="13.5" thickBot="1" x14ac:dyDescent="0.25">
      <c r="A11954" s="3">
        <v>961</v>
      </c>
      <c r="B11954" s="28"/>
      <c r="C11954" s="3" t="s">
        <v>7</v>
      </c>
    </row>
    <row r="11955" spans="1:3" ht="13.5" thickBot="1" x14ac:dyDescent="0.25">
      <c r="A11955" s="3">
        <v>7963</v>
      </c>
      <c r="B11955" s="28"/>
      <c r="C11955" s="3" t="s">
        <v>5</v>
      </c>
    </row>
    <row r="11956" spans="1:3" ht="13.5" thickBot="1" x14ac:dyDescent="0.25">
      <c r="A11956" s="3">
        <v>7384</v>
      </c>
      <c r="B11956" s="28"/>
      <c r="C11956" s="3" t="s">
        <v>5</v>
      </c>
    </row>
    <row r="11957" spans="1:3" ht="13.5" thickBot="1" x14ac:dyDescent="0.25">
      <c r="A11957" s="3">
        <v>2923</v>
      </c>
      <c r="B11957" s="28"/>
      <c r="C11957" s="3" t="s">
        <v>6</v>
      </c>
    </row>
    <row r="11958" spans="1:3" ht="13.5" thickBot="1" x14ac:dyDescent="0.25">
      <c r="A11958" s="3">
        <v>4466</v>
      </c>
      <c r="B11958" s="28"/>
      <c r="C11958" s="3" t="s">
        <v>3</v>
      </c>
    </row>
    <row r="11959" spans="1:3" ht="13.5" thickBot="1" x14ac:dyDescent="0.25">
      <c r="A11959" s="3">
        <v>3430</v>
      </c>
      <c r="B11959" s="28"/>
      <c r="C11959" s="3" t="s">
        <v>6</v>
      </c>
    </row>
    <row r="11960" spans="1:3" ht="13.5" thickBot="1" x14ac:dyDescent="0.25">
      <c r="A11960" s="3">
        <v>1040</v>
      </c>
      <c r="B11960" s="28"/>
      <c r="C11960" s="3" t="s">
        <v>3</v>
      </c>
    </row>
    <row r="11961" spans="1:3" ht="13.5" thickBot="1" x14ac:dyDescent="0.25">
      <c r="A11961" s="3">
        <v>7711</v>
      </c>
      <c r="B11961" s="28"/>
      <c r="C11961" s="3" t="s">
        <v>3</v>
      </c>
    </row>
    <row r="11962" spans="1:3" ht="13.5" thickBot="1" x14ac:dyDescent="0.25">
      <c r="A11962" s="3">
        <v>2447</v>
      </c>
      <c r="B11962" s="28"/>
      <c r="C11962" s="3" t="s">
        <v>4</v>
      </c>
    </row>
    <row r="11963" spans="1:3" ht="13.5" thickBot="1" x14ac:dyDescent="0.25">
      <c r="A11963" s="3">
        <v>4497</v>
      </c>
      <c r="B11963" s="28"/>
      <c r="C11963" s="3" t="s">
        <v>3</v>
      </c>
    </row>
    <row r="11964" spans="1:3" ht="13.5" thickBot="1" x14ac:dyDescent="0.25">
      <c r="A11964" s="3">
        <v>1941</v>
      </c>
      <c r="B11964" s="28"/>
      <c r="C11964" s="3" t="s">
        <v>4</v>
      </c>
    </row>
    <row r="11965" spans="1:3" ht="13.5" thickBot="1" x14ac:dyDescent="0.25">
      <c r="A11965" s="3">
        <v>297</v>
      </c>
      <c r="B11965" s="28"/>
      <c r="C11965" s="3" t="s">
        <v>4</v>
      </c>
    </row>
    <row r="11966" spans="1:3" ht="13.5" thickBot="1" x14ac:dyDescent="0.25">
      <c r="A11966" s="3">
        <v>4793</v>
      </c>
      <c r="B11966" s="28"/>
      <c r="C11966" s="3" t="s">
        <v>3</v>
      </c>
    </row>
    <row r="11967" spans="1:3" ht="13.5" thickBot="1" x14ac:dyDescent="0.25">
      <c r="A11967" s="3">
        <v>5389</v>
      </c>
      <c r="B11967" s="28"/>
      <c r="C11967" s="3" t="s">
        <v>3</v>
      </c>
    </row>
    <row r="11968" spans="1:3" ht="13.5" thickBot="1" x14ac:dyDescent="0.25">
      <c r="A11968" s="3">
        <v>2582</v>
      </c>
      <c r="B11968" s="28"/>
      <c r="C11968" s="3" t="s">
        <v>3</v>
      </c>
    </row>
    <row r="11969" spans="1:3" ht="13.5" thickBot="1" x14ac:dyDescent="0.25">
      <c r="A11969" s="3">
        <v>1955</v>
      </c>
      <c r="B11969" s="28"/>
      <c r="C11969" s="3" t="s">
        <v>3</v>
      </c>
    </row>
    <row r="11970" spans="1:3" ht="13.5" thickBot="1" x14ac:dyDescent="0.25">
      <c r="A11970" s="3">
        <v>4329</v>
      </c>
      <c r="B11970" s="28"/>
      <c r="C11970" s="3" t="s">
        <v>6</v>
      </c>
    </row>
    <row r="11971" spans="1:3" ht="13.5" thickBot="1" x14ac:dyDescent="0.25">
      <c r="A11971" s="3">
        <v>6956</v>
      </c>
      <c r="B11971" s="28"/>
      <c r="C11971" s="3" t="s">
        <v>5</v>
      </c>
    </row>
    <row r="11972" spans="1:3" ht="13.5" thickBot="1" x14ac:dyDescent="0.25">
      <c r="A11972" s="3">
        <v>2885</v>
      </c>
      <c r="B11972" s="28"/>
      <c r="C11972" s="3" t="s">
        <v>4</v>
      </c>
    </row>
    <row r="11973" spans="1:3" ht="13.5" thickBot="1" x14ac:dyDescent="0.25">
      <c r="A11973" s="3">
        <v>3333</v>
      </c>
      <c r="B11973" s="28"/>
      <c r="C11973" s="3" t="s">
        <v>6</v>
      </c>
    </row>
    <row r="11974" spans="1:3" ht="13.5" thickBot="1" x14ac:dyDescent="0.25">
      <c r="A11974" s="3">
        <v>2923</v>
      </c>
      <c r="B11974" s="28"/>
      <c r="C11974" s="3" t="s">
        <v>5</v>
      </c>
    </row>
    <row r="11975" spans="1:3" ht="13.5" thickBot="1" x14ac:dyDescent="0.25">
      <c r="A11975" s="3">
        <v>1562</v>
      </c>
      <c r="B11975" s="28"/>
      <c r="C11975" s="3" t="s">
        <v>6</v>
      </c>
    </row>
    <row r="11976" spans="1:3" ht="13.5" thickBot="1" x14ac:dyDescent="0.25">
      <c r="A11976" s="3">
        <v>3211</v>
      </c>
      <c r="B11976" s="28"/>
      <c r="C11976" s="3" t="s">
        <v>6</v>
      </c>
    </row>
    <row r="11977" spans="1:3" ht="13.5" thickBot="1" x14ac:dyDescent="0.25">
      <c r="A11977" s="3">
        <v>549</v>
      </c>
      <c r="B11977" s="28"/>
      <c r="C11977" s="3" t="s">
        <v>6</v>
      </c>
    </row>
    <row r="11978" spans="1:3" ht="13.5" thickBot="1" x14ac:dyDescent="0.25">
      <c r="A11978" s="3">
        <v>1040</v>
      </c>
      <c r="B11978" s="28"/>
      <c r="C11978" s="3" t="s">
        <v>4</v>
      </c>
    </row>
    <row r="11979" spans="1:3" ht="13.5" thickBot="1" x14ac:dyDescent="0.25">
      <c r="A11979" s="3">
        <v>5993</v>
      </c>
      <c r="B11979" s="28"/>
      <c r="C11979" s="3" t="s">
        <v>6</v>
      </c>
    </row>
    <row r="11980" spans="1:3" ht="13.5" thickBot="1" x14ac:dyDescent="0.25">
      <c r="A11980" s="3">
        <v>1445</v>
      </c>
      <c r="B11980" s="28"/>
      <c r="C11980" s="3" t="s">
        <v>6</v>
      </c>
    </row>
    <row r="11981" spans="1:3" ht="13.5" thickBot="1" x14ac:dyDescent="0.25">
      <c r="A11981" s="3">
        <v>7836</v>
      </c>
      <c r="B11981" s="28"/>
      <c r="C11981" s="3" t="s">
        <v>6</v>
      </c>
    </row>
    <row r="11982" spans="1:3" ht="13.5" thickBot="1" x14ac:dyDescent="0.25">
      <c r="A11982" s="3">
        <v>7053</v>
      </c>
      <c r="B11982" s="28"/>
      <c r="C11982" s="3" t="s">
        <v>3</v>
      </c>
    </row>
    <row r="11983" spans="1:3" ht="13.5" thickBot="1" x14ac:dyDescent="0.25">
      <c r="A11983" s="3">
        <v>7711</v>
      </c>
      <c r="B11983" s="28"/>
      <c r="C11983" s="3" t="s">
        <v>4</v>
      </c>
    </row>
    <row r="11984" spans="1:3" ht="13.5" thickBot="1" x14ac:dyDescent="0.25">
      <c r="A11984" s="3">
        <v>2172</v>
      </c>
      <c r="B11984" s="28"/>
      <c r="C11984" s="3" t="s">
        <v>4</v>
      </c>
    </row>
    <row r="11985" spans="1:3" ht="13.5" thickBot="1" x14ac:dyDescent="0.25">
      <c r="A11985" s="3">
        <v>7288</v>
      </c>
      <c r="B11985" s="28"/>
      <c r="C11985" s="3" t="s">
        <v>4</v>
      </c>
    </row>
    <row r="11986" spans="1:3" ht="13.5" thickBot="1" x14ac:dyDescent="0.25">
      <c r="A11986" s="3">
        <v>7384</v>
      </c>
      <c r="B11986" s="28"/>
      <c r="C11986" s="3" t="s">
        <v>6</v>
      </c>
    </row>
    <row r="11987" spans="1:3" ht="13.5" thickBot="1" x14ac:dyDescent="0.25">
      <c r="A11987" s="3">
        <v>1996</v>
      </c>
      <c r="B11987" s="28"/>
      <c r="C11987" s="3" t="s">
        <v>7</v>
      </c>
    </row>
    <row r="11988" spans="1:3" ht="13.5" thickBot="1" x14ac:dyDescent="0.25">
      <c r="A11988" s="3">
        <v>6636</v>
      </c>
      <c r="B11988" s="28"/>
      <c r="C11988" s="3" t="s">
        <v>3</v>
      </c>
    </row>
    <row r="11989" spans="1:3" ht="13.5" thickBot="1" x14ac:dyDescent="0.25">
      <c r="A11989" s="3">
        <v>1220</v>
      </c>
      <c r="B11989" s="28"/>
      <c r="C11989" s="3" t="s">
        <v>5</v>
      </c>
    </row>
    <row r="11990" spans="1:3" ht="13.5" thickBot="1" x14ac:dyDescent="0.25">
      <c r="A11990" s="3">
        <v>2006</v>
      </c>
      <c r="B11990" s="28"/>
      <c r="C11990" s="3" t="s">
        <v>3</v>
      </c>
    </row>
    <row r="11991" spans="1:3" ht="13.5" thickBot="1" x14ac:dyDescent="0.25">
      <c r="A11991" s="3">
        <v>3300</v>
      </c>
      <c r="B11991" s="28"/>
      <c r="C11991" s="3" t="s">
        <v>5</v>
      </c>
    </row>
    <row r="11992" spans="1:3" ht="13.5" thickBot="1" x14ac:dyDescent="0.25">
      <c r="A11992" s="3">
        <v>1439</v>
      </c>
      <c r="B11992" s="28"/>
      <c r="C11992" s="3" t="s">
        <v>6</v>
      </c>
    </row>
    <row r="11993" spans="1:3" ht="13.5" thickBot="1" x14ac:dyDescent="0.25">
      <c r="A11993" s="3">
        <v>5913</v>
      </c>
      <c r="B11993" s="28"/>
      <c r="C11993" s="3" t="s">
        <v>3</v>
      </c>
    </row>
    <row r="11994" spans="1:3" ht="13.5" thickBot="1" x14ac:dyDescent="0.25">
      <c r="A11994" s="3">
        <v>6956</v>
      </c>
      <c r="B11994" s="28"/>
      <c r="C11994" s="3" t="s">
        <v>3</v>
      </c>
    </row>
    <row r="11995" spans="1:3" ht="13.5" thickBot="1" x14ac:dyDescent="0.25">
      <c r="A11995" s="3">
        <v>1181</v>
      </c>
      <c r="B11995" s="28"/>
      <c r="C11995" s="3" t="s">
        <v>6</v>
      </c>
    </row>
    <row r="11996" spans="1:3" ht="13.5" thickBot="1" x14ac:dyDescent="0.25">
      <c r="A11996" s="3">
        <v>5980</v>
      </c>
      <c r="B11996" s="28"/>
      <c r="C11996" s="3" t="s">
        <v>3</v>
      </c>
    </row>
    <row r="11997" spans="1:3" ht="13.5" thickBot="1" x14ac:dyDescent="0.25">
      <c r="A11997" s="3">
        <v>2586</v>
      </c>
      <c r="B11997" s="28"/>
      <c r="C11997" s="3" t="s">
        <v>4</v>
      </c>
    </row>
    <row r="11998" spans="1:3" ht="13.5" thickBot="1" x14ac:dyDescent="0.25">
      <c r="A11998" s="3">
        <v>3401</v>
      </c>
      <c r="B11998" s="28"/>
      <c r="C11998" s="3" t="s">
        <v>4</v>
      </c>
    </row>
    <row r="11999" spans="1:3" ht="13.5" thickBot="1" x14ac:dyDescent="0.25">
      <c r="A11999" s="3">
        <v>1198</v>
      </c>
      <c r="B11999" s="28"/>
      <c r="C11999" s="3" t="s">
        <v>7</v>
      </c>
    </row>
    <row r="12000" spans="1:3" ht="13.5" thickBot="1" x14ac:dyDescent="0.25">
      <c r="A12000" s="3">
        <v>1405</v>
      </c>
      <c r="B12000" s="28"/>
      <c r="C12000" s="3" t="s">
        <v>4</v>
      </c>
    </row>
    <row r="12001" spans="1:3" ht="13.5" thickBot="1" x14ac:dyDescent="0.25">
      <c r="A12001" s="3">
        <v>4082</v>
      </c>
      <c r="B12001" s="28"/>
      <c r="C12001" s="3" t="s">
        <v>3</v>
      </c>
    </row>
    <row r="12002" spans="1:3" ht="13.5" thickBot="1" x14ac:dyDescent="0.25">
      <c r="A12002" s="3">
        <v>3168</v>
      </c>
      <c r="B12002" s="28"/>
      <c r="C12002" s="3" t="s">
        <v>4</v>
      </c>
    </row>
    <row r="12003" spans="1:3" ht="13.5" thickBot="1" x14ac:dyDescent="0.25">
      <c r="A12003" s="3">
        <v>2586</v>
      </c>
      <c r="B12003" s="28"/>
      <c r="C12003" s="3" t="s">
        <v>3</v>
      </c>
    </row>
    <row r="12004" spans="1:3" ht="13.5" thickBot="1" x14ac:dyDescent="0.25">
      <c r="A12004" s="3">
        <v>5216</v>
      </c>
      <c r="B12004" s="28"/>
      <c r="C12004" s="3" t="s">
        <v>4</v>
      </c>
    </row>
    <row r="12005" spans="1:3" ht="13.5" thickBot="1" x14ac:dyDescent="0.25">
      <c r="A12005" s="3">
        <v>6430</v>
      </c>
      <c r="B12005" s="28"/>
      <c r="C12005" s="3" t="s">
        <v>3</v>
      </c>
    </row>
    <row r="12006" spans="1:3" ht="13.5" thickBot="1" x14ac:dyDescent="0.25">
      <c r="A12006" s="3">
        <v>242</v>
      </c>
      <c r="B12006" s="28"/>
      <c r="C12006" s="3" t="s">
        <v>4</v>
      </c>
    </row>
    <row r="12007" spans="1:3" ht="13.5" thickBot="1" x14ac:dyDescent="0.25">
      <c r="A12007" s="3">
        <v>5491</v>
      </c>
      <c r="B12007" s="28"/>
      <c r="C12007" s="3" t="s">
        <v>3</v>
      </c>
    </row>
    <row r="12008" spans="1:3" ht="13.5" thickBot="1" x14ac:dyDescent="0.25">
      <c r="A12008" s="3">
        <v>5993</v>
      </c>
      <c r="B12008" s="28"/>
      <c r="C12008" s="3" t="s">
        <v>7</v>
      </c>
    </row>
    <row r="12009" spans="1:3" ht="13.5" thickBot="1" x14ac:dyDescent="0.25">
      <c r="A12009" s="3">
        <v>5217</v>
      </c>
      <c r="B12009" s="28"/>
      <c r="C12009" s="3" t="s">
        <v>4</v>
      </c>
    </row>
    <row r="12010" spans="1:3" ht="13.5" thickBot="1" x14ac:dyDescent="0.25">
      <c r="A12010" s="3">
        <v>1941</v>
      </c>
      <c r="B12010" s="28"/>
      <c r="C12010" s="3" t="s">
        <v>3</v>
      </c>
    </row>
    <row r="12011" spans="1:3" ht="13.5" thickBot="1" x14ac:dyDescent="0.25">
      <c r="A12011" s="3">
        <v>5236</v>
      </c>
      <c r="B12011" s="28"/>
      <c r="C12011" s="3" t="s">
        <v>5</v>
      </c>
    </row>
    <row r="12012" spans="1:3" ht="13.5" thickBot="1" x14ac:dyDescent="0.25">
      <c r="A12012" s="3">
        <v>6142</v>
      </c>
      <c r="B12012" s="28"/>
      <c r="C12012" s="3" t="s">
        <v>3</v>
      </c>
    </row>
    <row r="12013" spans="1:3" ht="13.5" thickBot="1" x14ac:dyDescent="0.25">
      <c r="A12013" s="3">
        <v>4081</v>
      </c>
      <c r="B12013" s="28"/>
      <c r="C12013" s="3" t="s">
        <v>3</v>
      </c>
    </row>
    <row r="12014" spans="1:3" ht="13.5" thickBot="1" x14ac:dyDescent="0.25">
      <c r="A12014" s="3">
        <v>426</v>
      </c>
      <c r="B12014" s="28"/>
      <c r="C12014" s="3" t="s">
        <v>6</v>
      </c>
    </row>
    <row r="12015" spans="1:3" ht="13.5" thickBot="1" x14ac:dyDescent="0.25">
      <c r="A12015" s="3">
        <v>5217</v>
      </c>
      <c r="B12015" s="28"/>
      <c r="C12015" s="3" t="s">
        <v>7</v>
      </c>
    </row>
    <row r="12016" spans="1:3" ht="13.5" thickBot="1" x14ac:dyDescent="0.25">
      <c r="A12016" s="3">
        <v>4329</v>
      </c>
      <c r="B12016" s="28"/>
      <c r="C12016" s="3" t="s">
        <v>5</v>
      </c>
    </row>
    <row r="12017" spans="1:3" ht="13.5" thickBot="1" x14ac:dyDescent="0.25">
      <c r="A12017" s="3">
        <v>2437</v>
      </c>
      <c r="B12017" s="28"/>
      <c r="C12017" s="3" t="s">
        <v>4</v>
      </c>
    </row>
    <row r="12018" spans="1:3" ht="13.5" thickBot="1" x14ac:dyDescent="0.25">
      <c r="A12018" s="3">
        <v>7905</v>
      </c>
      <c r="B12018" s="28"/>
      <c r="C12018" s="3" t="s">
        <v>3</v>
      </c>
    </row>
    <row r="12019" spans="1:3" ht="13.5" thickBot="1" x14ac:dyDescent="0.25">
      <c r="A12019" s="3">
        <v>2437</v>
      </c>
      <c r="B12019" s="28"/>
      <c r="C12019" s="3" t="s">
        <v>3</v>
      </c>
    </row>
    <row r="12020" spans="1:3" ht="13.5" thickBot="1" x14ac:dyDescent="0.25">
      <c r="A12020" s="3">
        <v>426</v>
      </c>
      <c r="B12020" s="28"/>
      <c r="C12020" s="3" t="s">
        <v>5</v>
      </c>
    </row>
    <row r="12021" spans="1:3" ht="13.5" thickBot="1" x14ac:dyDescent="0.25">
      <c r="A12021" s="3">
        <v>7043</v>
      </c>
      <c r="B12021" s="28"/>
      <c r="C12021" s="3" t="s">
        <v>3</v>
      </c>
    </row>
    <row r="12022" spans="1:3" ht="13.5" thickBot="1" x14ac:dyDescent="0.25">
      <c r="A12022" s="3">
        <v>7312</v>
      </c>
      <c r="B12022" s="28"/>
      <c r="C12022" s="3" t="s">
        <v>3</v>
      </c>
    </row>
    <row r="12023" spans="1:3" ht="13.5" thickBot="1" x14ac:dyDescent="0.25">
      <c r="A12023" s="3">
        <v>621</v>
      </c>
      <c r="B12023" s="28"/>
      <c r="C12023" s="3" t="s">
        <v>7</v>
      </c>
    </row>
    <row r="12024" spans="1:3" ht="13.5" thickBot="1" x14ac:dyDescent="0.25">
      <c r="A12024" s="3">
        <v>6430</v>
      </c>
      <c r="B12024" s="28"/>
      <c r="C12024" s="3" t="s">
        <v>4</v>
      </c>
    </row>
    <row r="12025" spans="1:3" ht="13.5" thickBot="1" x14ac:dyDescent="0.25">
      <c r="A12025" s="3">
        <v>2885</v>
      </c>
      <c r="B12025" s="28"/>
      <c r="C12025" s="3" t="s">
        <v>7</v>
      </c>
    </row>
    <row r="12026" spans="1:3" ht="13.5" thickBot="1" x14ac:dyDescent="0.25">
      <c r="A12026" s="3">
        <v>5511</v>
      </c>
      <c r="B12026" s="28"/>
      <c r="C12026" s="3" t="s">
        <v>4</v>
      </c>
    </row>
    <row r="12027" spans="1:3" ht="13.5" thickBot="1" x14ac:dyDescent="0.25">
      <c r="A12027" s="3">
        <v>4081</v>
      </c>
      <c r="B12027" s="28"/>
      <c r="C12027" s="3" t="s">
        <v>4</v>
      </c>
    </row>
    <row r="12028" spans="1:3" ht="13.5" thickBot="1" x14ac:dyDescent="0.25">
      <c r="A12028" s="3">
        <v>402</v>
      </c>
      <c r="B12028" s="28"/>
      <c r="C12028" s="3" t="s">
        <v>3</v>
      </c>
    </row>
    <row r="12029" spans="1:3" ht="13.5" thickBot="1" x14ac:dyDescent="0.25">
      <c r="A12029" s="3">
        <v>6877</v>
      </c>
      <c r="B12029" s="28"/>
      <c r="C12029" s="3" t="s">
        <v>3</v>
      </c>
    </row>
    <row r="12030" spans="1:3" ht="13.5" thickBot="1" x14ac:dyDescent="0.25">
      <c r="A12030" s="3">
        <v>7616</v>
      </c>
      <c r="B12030" s="28"/>
      <c r="C12030" s="3" t="s">
        <v>3</v>
      </c>
    </row>
    <row r="12031" spans="1:3" ht="13.5" thickBot="1" x14ac:dyDescent="0.25">
      <c r="A12031" s="3">
        <v>2691</v>
      </c>
      <c r="B12031" s="28"/>
      <c r="C12031" s="3" t="s">
        <v>4</v>
      </c>
    </row>
    <row r="12032" spans="1:3" ht="13.5" thickBot="1" x14ac:dyDescent="0.25">
      <c r="A12032" s="3">
        <v>7051</v>
      </c>
      <c r="B12032" s="28"/>
      <c r="C12032" s="3" t="s">
        <v>4</v>
      </c>
    </row>
    <row r="12033" spans="1:3" ht="13.5" thickBot="1" x14ac:dyDescent="0.25">
      <c r="A12033" s="3">
        <v>5389</v>
      </c>
      <c r="B12033" s="28"/>
      <c r="C12033" s="3" t="s">
        <v>4</v>
      </c>
    </row>
    <row r="12034" spans="1:3" ht="13.5" thickBot="1" x14ac:dyDescent="0.25">
      <c r="A12034" s="3">
        <v>7051</v>
      </c>
      <c r="B12034" s="28"/>
      <c r="C12034" s="3" t="s">
        <v>3</v>
      </c>
    </row>
    <row r="12035" spans="1:3" ht="13.5" thickBot="1" x14ac:dyDescent="0.25">
      <c r="A12035" s="3">
        <v>6638</v>
      </c>
      <c r="B12035" s="28"/>
      <c r="C12035" s="3" t="s">
        <v>6</v>
      </c>
    </row>
    <row r="12036" spans="1:3" ht="13.5" thickBot="1" x14ac:dyDescent="0.25">
      <c r="A12036" s="3">
        <v>6555</v>
      </c>
      <c r="B12036" s="28"/>
      <c r="C12036" s="3" t="s">
        <v>3</v>
      </c>
    </row>
    <row r="12037" spans="1:3" ht="13.5" thickBot="1" x14ac:dyDescent="0.25">
      <c r="A12037" s="3">
        <v>1198</v>
      </c>
      <c r="B12037" s="28"/>
      <c r="C12037" s="3" t="s">
        <v>4</v>
      </c>
    </row>
    <row r="12038" spans="1:3" ht="13.5" thickBot="1" x14ac:dyDescent="0.25">
      <c r="A12038" s="3">
        <v>5328</v>
      </c>
      <c r="B12038" s="28"/>
      <c r="C12038" s="3" t="s">
        <v>3</v>
      </c>
    </row>
    <row r="12039" spans="1:3" ht="13.5" thickBot="1" x14ac:dyDescent="0.25">
      <c r="A12039" s="3">
        <v>3494</v>
      </c>
      <c r="B12039" s="28"/>
      <c r="C12039" s="3" t="s">
        <v>3</v>
      </c>
    </row>
    <row r="12040" spans="1:3" ht="13.5" thickBot="1" x14ac:dyDescent="0.25">
      <c r="A12040" s="3">
        <v>3430</v>
      </c>
      <c r="B12040" s="28"/>
      <c r="C12040" s="3" t="s">
        <v>7</v>
      </c>
    </row>
    <row r="12041" spans="1:3" ht="13.5" thickBot="1" x14ac:dyDescent="0.25">
      <c r="A12041" s="3">
        <v>1040</v>
      </c>
      <c r="B12041" s="28"/>
      <c r="C12041" s="3" t="s">
        <v>5</v>
      </c>
    </row>
    <row r="12042" spans="1:3" ht="13.5" thickBot="1" x14ac:dyDescent="0.25">
      <c r="A12042" s="3">
        <v>4906</v>
      </c>
      <c r="B12042" s="28"/>
      <c r="C12042" s="3" t="s">
        <v>4</v>
      </c>
    </row>
    <row r="12043" spans="1:3" ht="13.5" thickBot="1" x14ac:dyDescent="0.25">
      <c r="A12043" s="3">
        <v>4082</v>
      </c>
      <c r="B12043" s="28"/>
      <c r="C12043" s="3" t="s">
        <v>4</v>
      </c>
    </row>
    <row r="12044" spans="1:3" ht="13.5" thickBot="1" x14ac:dyDescent="0.25">
      <c r="A12044" s="3">
        <v>1941</v>
      </c>
      <c r="B12044" s="28"/>
      <c r="C12044" s="3" t="s">
        <v>6</v>
      </c>
    </row>
    <row r="12045" spans="1:3" ht="13.5" thickBot="1" x14ac:dyDescent="0.25">
      <c r="A12045" s="3">
        <v>4906</v>
      </c>
      <c r="B12045" s="28"/>
      <c r="C12045" s="3" t="s">
        <v>3</v>
      </c>
    </row>
    <row r="12046" spans="1:3" ht="13.5" thickBot="1" x14ac:dyDescent="0.25">
      <c r="A12046" s="3">
        <v>4081</v>
      </c>
      <c r="B12046" s="28"/>
      <c r="C12046" s="3" t="s">
        <v>5</v>
      </c>
    </row>
    <row r="12047" spans="1:3" ht="13.5" thickBot="1" x14ac:dyDescent="0.25">
      <c r="A12047" s="3">
        <v>2587</v>
      </c>
      <c r="B12047" s="28"/>
      <c r="C12047" s="3" t="s">
        <v>7</v>
      </c>
    </row>
    <row r="12048" spans="1:3" ht="13.5" thickBot="1" x14ac:dyDescent="0.25">
      <c r="A12048" s="3">
        <v>409</v>
      </c>
      <c r="B12048" s="28"/>
      <c r="C12048" s="3" t="s">
        <v>6</v>
      </c>
    </row>
    <row r="12049" spans="1:3" ht="13.5" thickBot="1" x14ac:dyDescent="0.25">
      <c r="A12049" s="3">
        <v>1280</v>
      </c>
      <c r="B12049" s="28"/>
      <c r="C12049" s="3" t="s">
        <v>3</v>
      </c>
    </row>
    <row r="12050" spans="1:3" ht="13.5" thickBot="1" x14ac:dyDescent="0.25">
      <c r="A12050" s="3">
        <v>2691</v>
      </c>
      <c r="B12050" s="28"/>
      <c r="C12050" s="3" t="s">
        <v>3</v>
      </c>
    </row>
    <row r="12051" spans="1:3" ht="13.5" thickBot="1" x14ac:dyDescent="0.25">
      <c r="A12051" s="3">
        <v>4367</v>
      </c>
      <c r="B12051" s="28"/>
      <c r="C12051" s="3" t="s">
        <v>3</v>
      </c>
    </row>
    <row r="12052" spans="1:3" ht="13.5" thickBot="1" x14ac:dyDescent="0.25">
      <c r="A12052" s="3">
        <v>6813</v>
      </c>
      <c r="B12052" s="28"/>
      <c r="C12052" s="3" t="s">
        <v>6</v>
      </c>
    </row>
    <row r="12053" spans="1:3" ht="13.5" thickBot="1" x14ac:dyDescent="0.25">
      <c r="A12053" s="3">
        <v>5376</v>
      </c>
      <c r="B12053" s="28"/>
      <c r="C12053" s="3" t="s">
        <v>3</v>
      </c>
    </row>
    <row r="12054" spans="1:3" ht="13.5" thickBot="1" x14ac:dyDescent="0.25">
      <c r="A12054" s="3">
        <v>3040</v>
      </c>
      <c r="B12054" s="28"/>
      <c r="C12054" s="3" t="s">
        <v>3</v>
      </c>
    </row>
    <row r="12055" spans="1:3" ht="13.5" thickBot="1" x14ac:dyDescent="0.25">
      <c r="A12055" s="3">
        <v>97</v>
      </c>
      <c r="B12055" s="28"/>
      <c r="C12055" s="3" t="s">
        <v>3</v>
      </c>
    </row>
    <row r="12056" spans="1:3" ht="13.5" thickBot="1" x14ac:dyDescent="0.25">
      <c r="A12056" s="3">
        <v>5980</v>
      </c>
      <c r="B12056" s="28"/>
      <c r="C12056" s="3" t="s">
        <v>4</v>
      </c>
    </row>
    <row r="12057" spans="1:3" ht="13.5" thickBot="1" x14ac:dyDescent="0.25">
      <c r="A12057" s="3">
        <v>2006</v>
      </c>
      <c r="B12057" s="28"/>
      <c r="C12057" s="3" t="s">
        <v>4</v>
      </c>
    </row>
    <row r="12058" spans="1:3" ht="13.5" thickBot="1" x14ac:dyDescent="0.25">
      <c r="A12058" s="3">
        <v>6207</v>
      </c>
      <c r="B12058" s="28"/>
      <c r="C12058" s="3" t="s">
        <v>7</v>
      </c>
    </row>
    <row r="12059" spans="1:3" ht="13.5" thickBot="1" x14ac:dyDescent="0.25">
      <c r="A12059" s="3">
        <v>1693</v>
      </c>
      <c r="B12059" s="28"/>
      <c r="C12059" s="3" t="s">
        <v>3</v>
      </c>
    </row>
    <row r="12060" spans="1:3" ht="13.5" thickBot="1" x14ac:dyDescent="0.25">
      <c r="A12060" s="3">
        <v>231</v>
      </c>
      <c r="B12060" s="28"/>
      <c r="C12060" s="3" t="s">
        <v>4</v>
      </c>
    </row>
    <row r="12061" spans="1:3" ht="13.5" thickBot="1" x14ac:dyDescent="0.25">
      <c r="A12061" s="3">
        <v>4749</v>
      </c>
      <c r="B12061" s="28"/>
      <c r="C12061" s="3" t="s">
        <v>3</v>
      </c>
    </row>
    <row r="12062" spans="1:3" ht="13.5" thickBot="1" x14ac:dyDescent="0.25">
      <c r="A12062" s="3">
        <v>7288</v>
      </c>
      <c r="B12062" s="28"/>
      <c r="C12062" s="3" t="s">
        <v>5</v>
      </c>
    </row>
    <row r="12063" spans="1:3" ht="13.5" thickBot="1" x14ac:dyDescent="0.25">
      <c r="A12063" s="3">
        <v>7721</v>
      </c>
      <c r="B12063" s="28"/>
      <c r="C12063" s="3" t="s">
        <v>3</v>
      </c>
    </row>
    <row r="12064" spans="1:3" ht="13.5" thickBot="1" x14ac:dyDescent="0.25">
      <c r="A12064" s="3">
        <v>1466</v>
      </c>
      <c r="B12064" s="28"/>
      <c r="C12064" s="3" t="s">
        <v>7</v>
      </c>
    </row>
    <row r="12065" spans="1:3" ht="13.5" thickBot="1" x14ac:dyDescent="0.25">
      <c r="A12065" s="3">
        <v>3040</v>
      </c>
      <c r="B12065" s="28"/>
      <c r="C12065" s="3" t="s">
        <v>4</v>
      </c>
    </row>
    <row r="12066" spans="1:3" ht="13.5" thickBot="1" x14ac:dyDescent="0.25">
      <c r="A12066" s="3">
        <v>422</v>
      </c>
      <c r="B12066" s="28"/>
      <c r="C12066" s="3" t="s">
        <v>3</v>
      </c>
    </row>
    <row r="12067" spans="1:3" ht="13.5" thickBot="1" x14ac:dyDescent="0.25">
      <c r="A12067" s="3">
        <v>1061</v>
      </c>
      <c r="B12067" s="28"/>
      <c r="C12067" s="3" t="s">
        <v>3</v>
      </c>
    </row>
    <row r="12068" spans="1:3" ht="13.5" thickBot="1" x14ac:dyDescent="0.25">
      <c r="A12068" s="3">
        <v>5662</v>
      </c>
      <c r="B12068" s="28"/>
      <c r="C12068" s="3" t="s">
        <v>3</v>
      </c>
    </row>
    <row r="12069" spans="1:3" ht="13.5" thickBot="1" x14ac:dyDescent="0.25">
      <c r="A12069" s="3">
        <v>6321</v>
      </c>
      <c r="B12069" s="28"/>
      <c r="C12069" s="3" t="s">
        <v>3</v>
      </c>
    </row>
    <row r="12070" spans="1:3" ht="13.5" thickBot="1" x14ac:dyDescent="0.25">
      <c r="A12070" s="3">
        <v>1280</v>
      </c>
      <c r="B12070" s="28"/>
      <c r="C12070" s="3" t="s">
        <v>4</v>
      </c>
    </row>
    <row r="12071" spans="1:3" ht="13.5" thickBot="1" x14ac:dyDescent="0.25">
      <c r="A12071" s="3">
        <v>6142</v>
      </c>
      <c r="B12071" s="28"/>
      <c r="C12071" s="3" t="s">
        <v>5</v>
      </c>
    </row>
    <row r="12072" spans="1:3" ht="13.5" thickBot="1" x14ac:dyDescent="0.25">
      <c r="A12072" s="3">
        <v>1371</v>
      </c>
      <c r="B12072" s="28"/>
      <c r="C12072" s="3" t="s">
        <v>6</v>
      </c>
    </row>
    <row r="12073" spans="1:3" ht="13.5" thickBot="1" x14ac:dyDescent="0.25">
      <c r="A12073" s="3">
        <v>1466</v>
      </c>
      <c r="B12073" s="28"/>
      <c r="C12073" s="3" t="s">
        <v>4</v>
      </c>
    </row>
    <row r="12074" spans="1:3" ht="13.5" thickBot="1" x14ac:dyDescent="0.25">
      <c r="A12074" s="3">
        <v>4906</v>
      </c>
      <c r="B12074" s="28"/>
      <c r="C12074" s="3" t="s">
        <v>7</v>
      </c>
    </row>
    <row r="12075" spans="1:3" ht="13.5" thickBot="1" x14ac:dyDescent="0.25">
      <c r="A12075" s="3">
        <v>7417</v>
      </c>
      <c r="B12075" s="28"/>
      <c r="C12075" s="3" t="s">
        <v>7</v>
      </c>
    </row>
    <row r="12076" spans="1:3" ht="13.5" thickBot="1" x14ac:dyDescent="0.25">
      <c r="A12076" s="3">
        <v>1719</v>
      </c>
      <c r="B12076" s="28"/>
      <c r="C12076" s="3" t="s">
        <v>6</v>
      </c>
    </row>
    <row r="12077" spans="1:3" ht="13.5" thickBot="1" x14ac:dyDescent="0.25">
      <c r="A12077" s="3">
        <v>1955</v>
      </c>
      <c r="B12077" s="28"/>
      <c r="C12077" s="3" t="s">
        <v>7</v>
      </c>
    </row>
    <row r="12078" spans="1:3" ht="13.5" thickBot="1" x14ac:dyDescent="0.25">
      <c r="A12078" s="3">
        <v>5217</v>
      </c>
      <c r="B12078" s="28"/>
      <c r="C12078" s="3" t="s">
        <v>5</v>
      </c>
    </row>
    <row r="12079" spans="1:3" ht="13.5" thickBot="1" x14ac:dyDescent="0.25">
      <c r="A12079" s="3">
        <v>3263</v>
      </c>
      <c r="B12079" s="28"/>
      <c r="C12079" s="3" t="s">
        <v>6</v>
      </c>
    </row>
    <row r="12080" spans="1:3" ht="13.5" thickBot="1" x14ac:dyDescent="0.25">
      <c r="A12080" s="3">
        <v>1220</v>
      </c>
      <c r="B12080" s="28"/>
      <c r="C12080" s="3" t="s">
        <v>6</v>
      </c>
    </row>
    <row r="12081" spans="1:3" ht="13.5" thickBot="1" x14ac:dyDescent="0.25">
      <c r="A12081" s="3">
        <v>2192</v>
      </c>
      <c r="B12081" s="28"/>
      <c r="C12081" s="3" t="s">
        <v>6</v>
      </c>
    </row>
    <row r="12082" spans="1:3" ht="13.5" thickBot="1" x14ac:dyDescent="0.25">
      <c r="A12082" s="3">
        <v>2923</v>
      </c>
      <c r="B12082" s="28"/>
      <c r="C12082" s="3" t="s">
        <v>7</v>
      </c>
    </row>
    <row r="12083" spans="1:3" ht="13.5" thickBot="1" x14ac:dyDescent="0.25">
      <c r="A12083" s="3">
        <v>7711</v>
      </c>
      <c r="B12083" s="28"/>
      <c r="C12083" s="3" t="s">
        <v>6</v>
      </c>
    </row>
    <row r="12084" spans="1:3" ht="13.5" thickBot="1" x14ac:dyDescent="0.25">
      <c r="A12084" s="3">
        <v>3040</v>
      </c>
      <c r="B12084" s="28"/>
      <c r="C12084" s="3" t="s">
        <v>7</v>
      </c>
    </row>
    <row r="12085" spans="1:3" ht="13.5" thickBot="1" x14ac:dyDescent="0.25">
      <c r="A12085" s="3">
        <v>4672</v>
      </c>
      <c r="B12085" s="28"/>
      <c r="C12085" s="3" t="s">
        <v>6</v>
      </c>
    </row>
    <row r="12086" spans="1:3" ht="13.5" thickBot="1" x14ac:dyDescent="0.25">
      <c r="A12086" s="3">
        <v>97</v>
      </c>
      <c r="B12086" s="28"/>
      <c r="C12086" s="3" t="s">
        <v>4</v>
      </c>
    </row>
    <row r="12087" spans="1:3" ht="13.5" thickBot="1" x14ac:dyDescent="0.25">
      <c r="A12087" s="3">
        <v>1159</v>
      </c>
      <c r="B12087" s="28"/>
      <c r="C12087" s="3" t="s">
        <v>6</v>
      </c>
    </row>
    <row r="12088" spans="1:3" ht="13.5" thickBot="1" x14ac:dyDescent="0.25">
      <c r="A12088" s="3">
        <v>7312</v>
      </c>
      <c r="B12088" s="28"/>
      <c r="C12088" s="3" t="s">
        <v>4</v>
      </c>
    </row>
    <row r="12089" spans="1:3" ht="13.5" thickBot="1" x14ac:dyDescent="0.25">
      <c r="A12089" s="3">
        <v>3514</v>
      </c>
      <c r="B12089" s="28"/>
      <c r="C12089" s="3" t="s">
        <v>7</v>
      </c>
    </row>
    <row r="12090" spans="1:3" ht="13.5" thickBot="1" x14ac:dyDescent="0.25">
      <c r="A12090" s="3">
        <v>5913</v>
      </c>
      <c r="B12090" s="28"/>
      <c r="C12090" s="3" t="s">
        <v>7</v>
      </c>
    </row>
    <row r="12091" spans="1:3" ht="13.5" thickBot="1" x14ac:dyDescent="0.25">
      <c r="A12091" s="3">
        <v>3916</v>
      </c>
      <c r="B12091" s="28"/>
      <c r="C12091" s="3" t="s">
        <v>6</v>
      </c>
    </row>
    <row r="12092" spans="1:3" ht="13.5" thickBot="1" x14ac:dyDescent="0.25">
      <c r="A12092" s="3">
        <v>2355</v>
      </c>
      <c r="B12092" s="28"/>
      <c r="C12092" s="3" t="s">
        <v>7</v>
      </c>
    </row>
    <row r="12093" spans="1:3" ht="13.5" thickBot="1" x14ac:dyDescent="0.25">
      <c r="A12093" s="3">
        <v>6956</v>
      </c>
      <c r="B12093" s="28"/>
      <c r="C12093" s="3" t="s">
        <v>4</v>
      </c>
    </row>
    <row r="12094" spans="1:3" ht="13.5" thickBot="1" x14ac:dyDescent="0.25">
      <c r="A12094" s="3">
        <v>1594</v>
      </c>
      <c r="B12094" s="28"/>
      <c r="C12094" s="3" t="s">
        <v>6</v>
      </c>
    </row>
    <row r="12095" spans="1:3" ht="13.5" thickBot="1" x14ac:dyDescent="0.25">
      <c r="A12095" s="3">
        <v>1955</v>
      </c>
      <c r="B12095" s="28"/>
      <c r="C12095" s="3" t="s">
        <v>4</v>
      </c>
    </row>
    <row r="12096" spans="1:3" ht="13.5" thickBot="1" x14ac:dyDescent="0.25">
      <c r="A12096" s="3">
        <v>938</v>
      </c>
      <c r="B12096" s="28"/>
      <c r="C12096" s="3" t="s">
        <v>7</v>
      </c>
    </row>
    <row r="12097" spans="1:3" ht="13.5" thickBot="1" x14ac:dyDescent="0.25">
      <c r="A12097" s="3">
        <v>5328</v>
      </c>
      <c r="B12097" s="28"/>
      <c r="C12097" s="3" t="s">
        <v>4</v>
      </c>
    </row>
    <row r="12098" spans="1:3" ht="13.5" thickBot="1" x14ac:dyDescent="0.25">
      <c r="A12098" s="3">
        <v>6853</v>
      </c>
      <c r="B12098" s="28"/>
      <c r="C12098" s="3" t="s">
        <v>6</v>
      </c>
    </row>
    <row r="12099" spans="1:3" ht="13.5" thickBot="1" x14ac:dyDescent="0.25">
      <c r="A12099" s="3">
        <v>7417</v>
      </c>
      <c r="B12099" s="28"/>
      <c r="C12099" s="3" t="s">
        <v>6</v>
      </c>
    </row>
    <row r="12100" spans="1:3" ht="13.5" thickBot="1" x14ac:dyDescent="0.25">
      <c r="A12100" s="3">
        <v>426</v>
      </c>
      <c r="B12100" s="28"/>
      <c r="C12100" s="3" t="s">
        <v>7</v>
      </c>
    </row>
    <row r="12101" spans="1:3" ht="13.5" thickBot="1" x14ac:dyDescent="0.25">
      <c r="A12101" s="3">
        <v>4367</v>
      </c>
      <c r="B12101" s="28"/>
      <c r="C12101" s="3" t="s">
        <v>4</v>
      </c>
    </row>
    <row r="12102" spans="1:3" ht="13.5" thickBot="1" x14ac:dyDescent="0.25">
      <c r="A12102" s="3">
        <v>7043</v>
      </c>
      <c r="B12102" s="28"/>
      <c r="C12102" s="3" t="s">
        <v>4</v>
      </c>
    </row>
    <row r="12103" spans="1:3" ht="13.5" thickBot="1" x14ac:dyDescent="0.25">
      <c r="A12103" s="3">
        <v>2587</v>
      </c>
      <c r="B12103" s="28"/>
      <c r="C12103" s="3" t="s">
        <v>5</v>
      </c>
    </row>
    <row r="12104" spans="1:3" ht="13.5" thickBot="1" x14ac:dyDescent="0.25">
      <c r="A12104" s="3">
        <v>1742</v>
      </c>
      <c r="B12104" s="28"/>
      <c r="C12104" s="3" t="s">
        <v>5</v>
      </c>
    </row>
    <row r="12105" spans="1:3" ht="13.5" thickBot="1" x14ac:dyDescent="0.25">
      <c r="A12105" s="3">
        <v>5235</v>
      </c>
      <c r="B12105" s="28"/>
      <c r="C12105" s="3" t="s">
        <v>6</v>
      </c>
    </row>
    <row r="12106" spans="1:3" ht="13.5" thickBot="1" x14ac:dyDescent="0.25">
      <c r="A12106" s="3">
        <v>4467</v>
      </c>
      <c r="B12106" s="28"/>
      <c r="C12106" s="3" t="s">
        <v>6</v>
      </c>
    </row>
    <row r="12107" spans="1:3" ht="13.5" thickBot="1" x14ac:dyDescent="0.25">
      <c r="A12107" s="3">
        <v>2130</v>
      </c>
      <c r="B12107" s="28"/>
      <c r="C12107" s="3" t="s">
        <v>4</v>
      </c>
    </row>
    <row r="12108" spans="1:3" ht="13.5" thickBot="1" x14ac:dyDescent="0.25">
      <c r="A12108" s="3">
        <v>5328</v>
      </c>
      <c r="B12108" s="28"/>
      <c r="C12108" s="3" t="s">
        <v>7</v>
      </c>
    </row>
    <row r="12109" spans="1:3" ht="13.5" thickBot="1" x14ac:dyDescent="0.25">
      <c r="A12109" s="3">
        <v>7692</v>
      </c>
      <c r="B12109" s="28"/>
      <c r="C12109" s="3" t="s">
        <v>6</v>
      </c>
    </row>
    <row r="12110" spans="1:3" ht="13.5" thickBot="1" x14ac:dyDescent="0.25">
      <c r="A12110" s="3">
        <v>2885</v>
      </c>
      <c r="B12110" s="28"/>
      <c r="C12110" s="3" t="s">
        <v>6</v>
      </c>
    </row>
    <row r="12111" spans="1:3" ht="13.5" thickBot="1" x14ac:dyDescent="0.25">
      <c r="A12111" s="3">
        <v>402</v>
      </c>
      <c r="B12111" s="28"/>
      <c r="C12111" s="3" t="s">
        <v>4</v>
      </c>
    </row>
    <row r="12112" spans="1:3" ht="13.5" thickBot="1" x14ac:dyDescent="0.25">
      <c r="A12112" s="3">
        <v>4793</v>
      </c>
      <c r="B12112" s="28"/>
      <c r="C12112" s="3" t="s">
        <v>4</v>
      </c>
    </row>
    <row r="12113" spans="1:3" ht="13.5" thickBot="1" x14ac:dyDescent="0.25">
      <c r="A12113" s="3">
        <v>5913</v>
      </c>
      <c r="B12113" s="28"/>
      <c r="C12113" s="3" t="s">
        <v>4</v>
      </c>
    </row>
    <row r="12114" spans="1:3" ht="13.5" thickBot="1" x14ac:dyDescent="0.25">
      <c r="A12114" s="3">
        <v>1198</v>
      </c>
      <c r="B12114" s="28"/>
      <c r="C12114" s="3" t="s">
        <v>6</v>
      </c>
    </row>
    <row r="12115" spans="1:3" ht="13.5" thickBot="1" x14ac:dyDescent="0.25">
      <c r="A12115" s="3">
        <v>2070</v>
      </c>
      <c r="B12115" s="28"/>
      <c r="C12115" s="3" t="s">
        <v>6</v>
      </c>
    </row>
    <row r="12116" spans="1:3" ht="13.5" thickBot="1" x14ac:dyDescent="0.25">
      <c r="A12116" s="3">
        <v>6956</v>
      </c>
      <c r="B12116" s="28"/>
      <c r="C12116" s="3" t="s">
        <v>6</v>
      </c>
    </row>
    <row r="12117" spans="1:3" ht="13.5" thickBot="1" x14ac:dyDescent="0.25">
      <c r="A12117" s="3">
        <v>1040</v>
      </c>
      <c r="B12117" s="28"/>
      <c r="C12117" s="3" t="s">
        <v>7</v>
      </c>
    </row>
    <row r="12118" spans="1:3" ht="13.5" thickBot="1" x14ac:dyDescent="0.25">
      <c r="A12118" s="3">
        <v>402</v>
      </c>
      <c r="B12118" s="28"/>
      <c r="C12118" s="3" t="s">
        <v>6</v>
      </c>
    </row>
    <row r="12119" spans="1:3" ht="13.5" thickBot="1" x14ac:dyDescent="0.25">
      <c r="A12119" s="3">
        <v>7936</v>
      </c>
      <c r="B12119" s="28"/>
      <c r="C12119" s="3" t="s">
        <v>7</v>
      </c>
    </row>
    <row r="12120" spans="1:3" ht="13.5" thickBot="1" x14ac:dyDescent="0.25">
      <c r="A12120" s="3">
        <v>4839</v>
      </c>
      <c r="B12120" s="28"/>
      <c r="C12120" s="3" t="s">
        <v>6</v>
      </c>
    </row>
    <row r="12121" spans="1:3" ht="13.5" thickBot="1" x14ac:dyDescent="0.25">
      <c r="A12121" s="3">
        <v>422</v>
      </c>
      <c r="B12121" s="28"/>
      <c r="C12121" s="3" t="s">
        <v>4</v>
      </c>
    </row>
    <row r="12122" spans="1:3" ht="13.5" thickBot="1" x14ac:dyDescent="0.25">
      <c r="A12122" s="3">
        <v>4520</v>
      </c>
      <c r="B12122" s="28"/>
      <c r="C12122" s="3" t="s">
        <v>6</v>
      </c>
    </row>
    <row r="12123" spans="1:3" ht="13.5" thickBot="1" x14ac:dyDescent="0.25">
      <c r="A12123" s="3">
        <v>1466</v>
      </c>
      <c r="B12123" s="28"/>
      <c r="C12123" s="3" t="s">
        <v>6</v>
      </c>
    </row>
    <row r="12124" spans="1:3" ht="13.5" thickBot="1" x14ac:dyDescent="0.25">
      <c r="A12124" s="3">
        <v>161</v>
      </c>
      <c r="B12124" s="28"/>
      <c r="C12124" s="3" t="s">
        <v>4</v>
      </c>
    </row>
    <row r="12125" spans="1:3" ht="13.5" thickBot="1" x14ac:dyDescent="0.25">
      <c r="A12125" s="3">
        <v>6430</v>
      </c>
      <c r="B12125" s="28"/>
      <c r="C12125" s="3" t="s">
        <v>7</v>
      </c>
    </row>
    <row r="12126" spans="1:3" ht="13.5" thickBot="1" x14ac:dyDescent="0.25">
      <c r="A12126" s="3">
        <v>938</v>
      </c>
      <c r="B12126" s="28"/>
      <c r="C12126" s="3" t="s">
        <v>6</v>
      </c>
    </row>
    <row r="12127" spans="1:3" ht="13.5" thickBot="1" x14ac:dyDescent="0.25">
      <c r="A12127" s="3">
        <v>1941</v>
      </c>
      <c r="B12127" s="28"/>
      <c r="C12127" s="3" t="s">
        <v>7</v>
      </c>
    </row>
    <row r="12128" spans="1:3" ht="13.5" thickBot="1" x14ac:dyDescent="0.25">
      <c r="A12128" s="3">
        <v>1426</v>
      </c>
      <c r="B12128" s="28"/>
      <c r="C12128" s="3" t="s">
        <v>6</v>
      </c>
    </row>
    <row r="12129" spans="1:3" ht="13.5" thickBot="1" x14ac:dyDescent="0.25">
      <c r="A12129" s="3">
        <v>6142</v>
      </c>
      <c r="B12129" s="28"/>
      <c r="C12129" s="3" t="s">
        <v>4</v>
      </c>
    </row>
    <row r="12130" spans="1:3" ht="13.5" thickBot="1" x14ac:dyDescent="0.25">
      <c r="A12130" s="3">
        <v>297</v>
      </c>
      <c r="B12130" s="28"/>
      <c r="C12130" s="3" t="s">
        <v>5</v>
      </c>
    </row>
    <row r="12131" spans="1:3" ht="13.5" thickBot="1" x14ac:dyDescent="0.25">
      <c r="A12131" s="3">
        <v>231</v>
      </c>
      <c r="B12131" s="28"/>
      <c r="C12131" s="3" t="s">
        <v>5</v>
      </c>
    </row>
    <row r="12132" spans="1:3" ht="13.5" thickBot="1" x14ac:dyDescent="0.25">
      <c r="A12132" s="3">
        <v>4961</v>
      </c>
      <c r="B12132" s="28"/>
      <c r="C12132" s="3" t="s">
        <v>7</v>
      </c>
    </row>
    <row r="12133" spans="1:3" ht="13.5" thickBot="1" x14ac:dyDescent="0.25">
      <c r="A12133" s="3">
        <v>5150</v>
      </c>
      <c r="B12133" s="28"/>
      <c r="C12133" s="3" t="s">
        <v>7</v>
      </c>
    </row>
    <row r="12134" spans="1:3" ht="13.5" thickBot="1" x14ac:dyDescent="0.25">
      <c r="A12134" s="3">
        <v>7616</v>
      </c>
      <c r="B12134" s="28"/>
      <c r="C12134" s="3" t="s">
        <v>5</v>
      </c>
    </row>
    <row r="12135" spans="1:3" ht="13.5" thickBot="1" x14ac:dyDescent="0.25">
      <c r="A12135" s="3">
        <v>1740</v>
      </c>
      <c r="B12135" s="28"/>
      <c r="C12135" s="3" t="s">
        <v>7</v>
      </c>
    </row>
    <row r="12136" spans="1:3" ht="13.5" thickBot="1" x14ac:dyDescent="0.25">
      <c r="A12136" s="3">
        <v>2586</v>
      </c>
      <c r="B12136" s="28"/>
      <c r="C12136" s="3" t="s">
        <v>6</v>
      </c>
    </row>
    <row r="12137" spans="1:3" ht="13.5" thickBot="1" x14ac:dyDescent="0.25">
      <c r="A12137" s="3">
        <v>4906</v>
      </c>
      <c r="B12137" s="28"/>
      <c r="C12137" s="3" t="s">
        <v>6</v>
      </c>
    </row>
    <row r="12138" spans="1:3" ht="13.5" thickBot="1" x14ac:dyDescent="0.25">
      <c r="A12138" s="3">
        <v>1466</v>
      </c>
      <c r="B12138" s="28"/>
      <c r="C12138" s="3" t="s">
        <v>5</v>
      </c>
    </row>
    <row r="12139" spans="1:3" ht="13.5" thickBot="1" x14ac:dyDescent="0.25">
      <c r="A12139" s="3">
        <v>4520</v>
      </c>
      <c r="B12139" s="28"/>
      <c r="C12139" s="3" t="s">
        <v>7</v>
      </c>
    </row>
    <row r="12140" spans="1:3" ht="13.5" thickBot="1" x14ac:dyDescent="0.25">
      <c r="A12140" s="3">
        <v>6636</v>
      </c>
      <c r="B12140" s="28"/>
      <c r="C12140" s="3" t="s">
        <v>5</v>
      </c>
    </row>
    <row r="12141" spans="1:3" ht="13.5" thickBot="1" x14ac:dyDescent="0.25">
      <c r="A12141" s="3">
        <v>7312</v>
      </c>
      <c r="B12141" s="28"/>
      <c r="C12141" s="3" t="s">
        <v>6</v>
      </c>
    </row>
    <row r="12142" spans="1:3" ht="13.5" thickBot="1" x14ac:dyDescent="0.25">
      <c r="A12142" s="3">
        <v>5913</v>
      </c>
      <c r="B12142" s="28"/>
      <c r="C12142" s="3" t="s">
        <v>5</v>
      </c>
    </row>
    <row r="12143" spans="1:3" ht="13.5" thickBot="1" x14ac:dyDescent="0.25">
      <c r="A12143" s="3">
        <v>2192</v>
      </c>
      <c r="B12143" s="28"/>
      <c r="C12143" s="3" t="s">
        <v>7</v>
      </c>
    </row>
    <row r="12144" spans="1:3" ht="13.5" thickBot="1" x14ac:dyDescent="0.25">
      <c r="A12144" s="3">
        <v>5150</v>
      </c>
      <c r="B12144" s="28"/>
      <c r="C12144" s="3" t="s">
        <v>6</v>
      </c>
    </row>
    <row r="12145" spans="1:3" ht="13.5" thickBot="1" x14ac:dyDescent="0.25">
      <c r="A12145" s="3">
        <v>3494</v>
      </c>
      <c r="B12145" s="28"/>
      <c r="C12145" s="3" t="s">
        <v>4</v>
      </c>
    </row>
    <row r="12146" spans="1:3" ht="13.5" thickBot="1" x14ac:dyDescent="0.25">
      <c r="A12146" s="3">
        <v>6142</v>
      </c>
      <c r="B12146" s="28"/>
      <c r="C12146" s="3" t="s">
        <v>7</v>
      </c>
    </row>
    <row r="12147" spans="1:3" ht="13.5" thickBot="1" x14ac:dyDescent="0.25">
      <c r="A12147" s="3">
        <v>7384</v>
      </c>
      <c r="B12147" s="28"/>
      <c r="C12147" s="3" t="s">
        <v>7</v>
      </c>
    </row>
    <row r="12148" spans="1:3" ht="13.5" thickBot="1" x14ac:dyDescent="0.25">
      <c r="A12148" s="3">
        <v>422</v>
      </c>
      <c r="B12148" s="28"/>
      <c r="C12148" s="3" t="s">
        <v>5</v>
      </c>
    </row>
    <row r="12149" spans="1:3" ht="13.5" thickBot="1" x14ac:dyDescent="0.25">
      <c r="A12149" s="3">
        <v>6396</v>
      </c>
      <c r="B12149" s="28"/>
      <c r="C12149" s="3" t="s">
        <v>7</v>
      </c>
    </row>
    <row r="12150" spans="1:3" ht="13.5" thickBot="1" x14ac:dyDescent="0.25">
      <c r="A12150" s="3">
        <v>4081</v>
      </c>
      <c r="B12150" s="28"/>
      <c r="C12150" s="3" t="s">
        <v>6</v>
      </c>
    </row>
    <row r="12151" spans="1:3" ht="13.5" thickBot="1" x14ac:dyDescent="0.25">
      <c r="A12151" s="3">
        <v>4906</v>
      </c>
      <c r="B12151" s="28"/>
      <c r="C12151" s="3" t="s">
        <v>5</v>
      </c>
    </row>
    <row r="12152" spans="1:3" ht="13.5" thickBot="1" x14ac:dyDescent="0.25">
      <c r="A12152" s="3">
        <v>4794</v>
      </c>
      <c r="B12152" s="28"/>
      <c r="C12152" s="3" t="s">
        <v>6</v>
      </c>
    </row>
    <row r="12153" spans="1:3" ht="13.5" thickBot="1" x14ac:dyDescent="0.25">
      <c r="A12153" s="3">
        <v>4082</v>
      </c>
      <c r="B12153" s="28"/>
      <c r="C12153" s="3" t="s">
        <v>5</v>
      </c>
    </row>
    <row r="12154" spans="1:3" ht="13.5" thickBot="1" x14ac:dyDescent="0.25">
      <c r="A12154" s="3">
        <v>97</v>
      </c>
      <c r="B12154" s="28"/>
      <c r="C12154" s="3" t="s">
        <v>7</v>
      </c>
    </row>
    <row r="12155" spans="1:3" ht="13.5" thickBot="1" x14ac:dyDescent="0.25">
      <c r="A12155" s="3">
        <v>474</v>
      </c>
      <c r="B12155" s="28"/>
      <c r="C12155" s="3" t="s">
        <v>6</v>
      </c>
    </row>
    <row r="12156" spans="1:3" ht="13.5" thickBot="1" x14ac:dyDescent="0.25">
      <c r="A12156" s="3">
        <v>7711</v>
      </c>
      <c r="B12156" s="28"/>
      <c r="C12156" s="3" t="s">
        <v>7</v>
      </c>
    </row>
    <row r="12157" spans="1:3" ht="13.5" thickBot="1" x14ac:dyDescent="0.25">
      <c r="A12157" s="3">
        <v>6430</v>
      </c>
      <c r="B12157" s="28"/>
      <c r="C12157" s="3" t="s">
        <v>6</v>
      </c>
    </row>
    <row r="12158" spans="1:3" ht="13.5" thickBot="1" x14ac:dyDescent="0.25">
      <c r="A12158" s="3">
        <v>5980</v>
      </c>
      <c r="B12158" s="28"/>
      <c r="C12158" s="3" t="s">
        <v>5</v>
      </c>
    </row>
    <row r="12159" spans="1:3" ht="13.5" thickBot="1" x14ac:dyDescent="0.25">
      <c r="A12159" s="3">
        <v>97</v>
      </c>
      <c r="B12159" s="28"/>
      <c r="C12159" s="3" t="s">
        <v>5</v>
      </c>
    </row>
    <row r="12160" spans="1:3" ht="13.5" thickBot="1" x14ac:dyDescent="0.25">
      <c r="A12160" s="3">
        <v>3040</v>
      </c>
      <c r="B12160" s="28"/>
      <c r="C12160" s="3" t="s">
        <v>6</v>
      </c>
    </row>
    <row r="12161" spans="1:3" ht="13.5" thickBot="1" x14ac:dyDescent="0.25">
      <c r="A12161" s="3">
        <v>6527</v>
      </c>
      <c r="B12161" s="28"/>
      <c r="C12161" s="3" t="s">
        <v>6</v>
      </c>
    </row>
    <row r="12162" spans="1:3" ht="13.5" thickBot="1" x14ac:dyDescent="0.25">
      <c r="A12162" s="3">
        <v>2437</v>
      </c>
      <c r="B12162" s="28"/>
      <c r="C12162" s="3" t="s">
        <v>6</v>
      </c>
    </row>
    <row r="12163" spans="1:3" ht="13.5" thickBot="1" x14ac:dyDescent="0.25">
      <c r="A12163" s="3">
        <v>7963</v>
      </c>
      <c r="B12163" s="28"/>
      <c r="C12163" s="3" t="s">
        <v>6</v>
      </c>
    </row>
    <row r="12164" spans="1:3" ht="13.5" thickBot="1" x14ac:dyDescent="0.25">
      <c r="A12164" s="3">
        <v>4672</v>
      </c>
      <c r="B12164" s="28"/>
      <c r="C12164" s="3" t="s">
        <v>7</v>
      </c>
    </row>
    <row r="12165" spans="1:3" ht="13.5" thickBot="1" x14ac:dyDescent="0.25">
      <c r="A12165" s="3">
        <v>5217</v>
      </c>
      <c r="B12165" s="28"/>
      <c r="C12165" s="3" t="s">
        <v>6</v>
      </c>
    </row>
    <row r="12166" spans="1:3" ht="13.5" thickBot="1" x14ac:dyDescent="0.25">
      <c r="A12166" s="3">
        <v>2355</v>
      </c>
      <c r="B12166" s="28"/>
      <c r="C12166" s="3" t="s">
        <v>6</v>
      </c>
    </row>
    <row r="12167" spans="1:3" ht="13.5" thickBot="1" x14ac:dyDescent="0.25">
      <c r="A12167" s="3">
        <v>3333</v>
      </c>
      <c r="B12167" s="28"/>
      <c r="C12167" s="3" t="s">
        <v>7</v>
      </c>
    </row>
    <row r="12168" spans="1:3" ht="13.5" thickBot="1" x14ac:dyDescent="0.25">
      <c r="A12168" s="3">
        <v>961</v>
      </c>
      <c r="B12168" s="28"/>
      <c r="C12168" s="3" t="s">
        <v>6</v>
      </c>
    </row>
    <row r="12169" spans="1:3" ht="13.5" thickBot="1" x14ac:dyDescent="0.25">
      <c r="A12169" s="3">
        <v>422</v>
      </c>
      <c r="B12169" s="28"/>
      <c r="C12169" s="3" t="s">
        <v>7</v>
      </c>
    </row>
    <row r="12170" spans="1:3" ht="13.5" thickBot="1" x14ac:dyDescent="0.25">
      <c r="A12170" s="3">
        <v>7312</v>
      </c>
      <c r="B12170" s="28"/>
      <c r="C12170" s="3" t="s">
        <v>5</v>
      </c>
    </row>
    <row r="12171" spans="1:3" ht="13.5" thickBot="1" x14ac:dyDescent="0.25">
      <c r="A12171" s="3">
        <v>4961</v>
      </c>
      <c r="B12171" s="28"/>
      <c r="C12171" s="3" t="s">
        <v>6</v>
      </c>
    </row>
    <row r="12172" spans="1:3" ht="13.5" thickBot="1" x14ac:dyDescent="0.25">
      <c r="A12172" s="3">
        <v>6956</v>
      </c>
      <c r="B12172" s="28"/>
      <c r="C12172" s="3" t="s">
        <v>7</v>
      </c>
    </row>
    <row r="12173" spans="1:3" ht="13.5" thickBot="1" x14ac:dyDescent="0.25">
      <c r="A12173" s="3">
        <v>6396</v>
      </c>
      <c r="B12173" s="28"/>
      <c r="C12173" s="3" t="s">
        <v>6</v>
      </c>
    </row>
    <row r="12174" spans="1:3" ht="13.5" thickBot="1" x14ac:dyDescent="0.25">
      <c r="A12174" s="3">
        <v>7288</v>
      </c>
      <c r="B12174" s="28"/>
      <c r="C12174" s="3" t="s">
        <v>6</v>
      </c>
    </row>
    <row r="12175" spans="1:3" ht="13.5" thickBot="1" x14ac:dyDescent="0.25">
      <c r="A12175" s="3">
        <v>3079</v>
      </c>
      <c r="B12175" s="28"/>
      <c r="C12175" s="3" t="s">
        <v>6</v>
      </c>
    </row>
    <row r="12176" spans="1:3" ht="13.5" thickBot="1" x14ac:dyDescent="0.25">
      <c r="A12176" s="3">
        <v>6636</v>
      </c>
      <c r="B12176" s="28"/>
      <c r="C12176" s="3" t="s">
        <v>7</v>
      </c>
    </row>
    <row r="12177" spans="1:3" ht="13.5" thickBot="1" x14ac:dyDescent="0.25">
      <c r="A12177" s="3">
        <v>7051</v>
      </c>
      <c r="B12177" s="28"/>
      <c r="C12177" s="3" t="s">
        <v>7</v>
      </c>
    </row>
    <row r="12178" spans="1:3" ht="13.5" thickBot="1" x14ac:dyDescent="0.25">
      <c r="A12178" s="3">
        <v>231</v>
      </c>
      <c r="B12178" s="28"/>
      <c r="C12178" s="3" t="s">
        <v>6</v>
      </c>
    </row>
    <row r="12179" spans="1:3" ht="13.5" thickBot="1" x14ac:dyDescent="0.25">
      <c r="A12179" s="3">
        <v>6142</v>
      </c>
      <c r="B12179" s="28"/>
      <c r="C12179" s="3" t="s">
        <v>6</v>
      </c>
    </row>
    <row r="12180" spans="1:3" ht="13.5" thickBot="1" x14ac:dyDescent="0.25">
      <c r="A12180" s="3">
        <v>1488</v>
      </c>
      <c r="B12180" s="28"/>
      <c r="C12180" s="3" t="s">
        <v>6</v>
      </c>
    </row>
    <row r="12181" spans="1:3" ht="13.5" thickBot="1" x14ac:dyDescent="0.25">
      <c r="A12181" s="3">
        <v>621</v>
      </c>
      <c r="B12181" s="28"/>
      <c r="C12181" s="3" t="s">
        <v>6</v>
      </c>
    </row>
    <row r="12182" spans="1:3" ht="13.5" thickBot="1" x14ac:dyDescent="0.25">
      <c r="A12182" s="3">
        <v>7936</v>
      </c>
      <c r="B12182" s="28"/>
      <c r="C12182" s="3" t="s">
        <v>6</v>
      </c>
    </row>
    <row r="12183" spans="1:3" ht="13.5" thickBot="1" x14ac:dyDescent="0.25">
      <c r="A12183" s="3">
        <v>7043</v>
      </c>
      <c r="B12183" s="28"/>
      <c r="C12183" s="3" t="s">
        <v>6</v>
      </c>
    </row>
    <row r="12184" spans="1:3" ht="13.5" thickBot="1" x14ac:dyDescent="0.25">
      <c r="A12184" s="3">
        <v>1040</v>
      </c>
      <c r="B12184" s="28"/>
      <c r="C12184" s="3" t="s">
        <v>6</v>
      </c>
    </row>
    <row r="12185" spans="1:3" ht="13.5" thickBot="1" x14ac:dyDescent="0.25">
      <c r="A12185" s="3">
        <v>3300</v>
      </c>
      <c r="B12185" s="28"/>
      <c r="C12185" s="3" t="s">
        <v>6</v>
      </c>
    </row>
    <row r="12186" spans="1:3" ht="13.5" thickBot="1" x14ac:dyDescent="0.25">
      <c r="A12186" s="3">
        <v>5980</v>
      </c>
      <c r="B12186" s="28"/>
      <c r="C12186" s="3" t="s">
        <v>7</v>
      </c>
    </row>
    <row r="12187" spans="1:3" ht="13.5" thickBot="1" x14ac:dyDescent="0.25">
      <c r="A12187" s="3">
        <v>1996</v>
      </c>
      <c r="B12187" s="28"/>
      <c r="C12187" s="3" t="s">
        <v>6</v>
      </c>
    </row>
    <row r="12188" spans="1:3" ht="13.5" thickBot="1" x14ac:dyDescent="0.25">
      <c r="A12188" s="3">
        <v>5328</v>
      </c>
      <c r="B12188" s="28"/>
      <c r="C12188" s="3" t="s">
        <v>6</v>
      </c>
    </row>
    <row r="12189" spans="1:3" ht="13.5" thickBot="1" x14ac:dyDescent="0.25">
      <c r="A12189" s="3">
        <v>1021</v>
      </c>
      <c r="B12189" s="28"/>
      <c r="C12189" s="3" t="s">
        <v>6</v>
      </c>
    </row>
    <row r="12190" spans="1:3" ht="13.5" thickBot="1" x14ac:dyDescent="0.25">
      <c r="A12190" s="3">
        <v>6636</v>
      </c>
      <c r="B12190" s="28"/>
      <c r="C12190" s="3" t="s">
        <v>6</v>
      </c>
    </row>
    <row r="12191" spans="1:3" ht="13.5" thickBot="1" x14ac:dyDescent="0.25">
      <c r="A12191" s="3">
        <v>5236</v>
      </c>
      <c r="B12191" s="28"/>
      <c r="C12191" s="3" t="s">
        <v>6</v>
      </c>
    </row>
    <row r="12192" spans="1:3" ht="13.5" thickBot="1" x14ac:dyDescent="0.25">
      <c r="A12192" s="3">
        <v>6207</v>
      </c>
      <c r="B12192" s="28"/>
      <c r="C12192" s="3" t="s">
        <v>6</v>
      </c>
    </row>
    <row r="12193" spans="1:3" ht="13.5" thickBot="1" x14ac:dyDescent="0.25">
      <c r="A12193" s="3">
        <v>297</v>
      </c>
      <c r="B12193" s="28"/>
      <c r="C12193" s="3" t="s">
        <v>6</v>
      </c>
    </row>
    <row r="12194" spans="1:3" ht="13.5" thickBot="1" x14ac:dyDescent="0.25">
      <c r="A12194" s="3">
        <v>2587</v>
      </c>
      <c r="B12194" s="28"/>
      <c r="C12194" s="3" t="s">
        <v>6</v>
      </c>
    </row>
    <row r="12195" spans="1:3" ht="13.5" thickBot="1" x14ac:dyDescent="0.25">
      <c r="A12195" s="3">
        <v>7616</v>
      </c>
      <c r="B12195" s="28"/>
      <c r="C12195" s="3" t="s">
        <v>7</v>
      </c>
    </row>
    <row r="12196" spans="1:3" ht="13.5" thickBot="1" x14ac:dyDescent="0.25">
      <c r="A12196" s="3">
        <v>1740</v>
      </c>
      <c r="B12196" s="28"/>
      <c r="C12196" s="3" t="s">
        <v>6</v>
      </c>
    </row>
    <row r="12197" spans="1:3" ht="13.5" thickBot="1" x14ac:dyDescent="0.25">
      <c r="A12197" s="3">
        <v>4082</v>
      </c>
      <c r="B12197" s="28"/>
      <c r="C12197" s="3" t="s">
        <v>6</v>
      </c>
    </row>
    <row r="12198" spans="1:3" ht="13.5" thickBot="1" x14ac:dyDescent="0.25">
      <c r="A12198" s="3">
        <v>5913</v>
      </c>
      <c r="B12198" s="28"/>
      <c r="C12198" s="3" t="s">
        <v>6</v>
      </c>
    </row>
    <row r="12199" spans="1:3" ht="13.5" thickBot="1" x14ac:dyDescent="0.25">
      <c r="A12199" s="3">
        <v>5980</v>
      </c>
      <c r="B12199" s="28"/>
      <c r="C12199" s="3" t="s">
        <v>6</v>
      </c>
    </row>
    <row r="12200" spans="1:3" ht="13.5" thickBot="1" x14ac:dyDescent="0.25">
      <c r="A12200" s="3">
        <v>7051</v>
      </c>
      <c r="B12200" s="28"/>
      <c r="C12200" s="3" t="s">
        <v>6</v>
      </c>
    </row>
    <row r="12201" spans="1:3" ht="13.5" thickBot="1" x14ac:dyDescent="0.25">
      <c r="A12201" s="3">
        <v>97</v>
      </c>
      <c r="B12201" s="28"/>
      <c r="C12201" s="3" t="s">
        <v>6</v>
      </c>
    </row>
    <row r="12202" spans="1:3" ht="13.5" thickBot="1" x14ac:dyDescent="0.25">
      <c r="A12202" s="3">
        <v>1955</v>
      </c>
      <c r="B12202" s="28"/>
      <c r="C12202" s="3" t="s">
        <v>6</v>
      </c>
    </row>
    <row r="12203" spans="1:3" ht="13.5" thickBot="1" x14ac:dyDescent="0.25">
      <c r="A12203" s="3">
        <v>1742</v>
      </c>
      <c r="B12203" s="28"/>
      <c r="C12203" s="3" t="s">
        <v>6</v>
      </c>
    </row>
    <row r="12204" spans="1:3" ht="13.5" thickBot="1" x14ac:dyDescent="0.25">
      <c r="A12204" s="3">
        <v>422</v>
      </c>
      <c r="B12204" s="28"/>
      <c r="C12204" s="3" t="s">
        <v>6</v>
      </c>
    </row>
    <row r="12205" spans="1:3" ht="13.5" thickBot="1" x14ac:dyDescent="0.25">
      <c r="A12205" s="3">
        <v>4367</v>
      </c>
      <c r="B12205" s="28"/>
      <c r="C12205" s="3" t="s">
        <v>6</v>
      </c>
    </row>
    <row r="12206" spans="1:3" ht="13.5" thickBot="1" x14ac:dyDescent="0.25">
      <c r="A12206" s="3">
        <v>7616</v>
      </c>
      <c r="B12206" s="28"/>
      <c r="C12206" s="3" t="s">
        <v>6</v>
      </c>
    </row>
    <row r="12207" spans="1:3" ht="13.5" thickBot="1" x14ac:dyDescent="0.25">
      <c r="A12207" s="3"/>
      <c r="B12207" s="28"/>
      <c r="C12207" s="3"/>
    </row>
    <row r="12208" spans="1:3" ht="13.5" thickBot="1" x14ac:dyDescent="0.25">
      <c r="A12208" s="3"/>
      <c r="B12208" s="28"/>
      <c r="C12208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4206"/>
  <sheetViews>
    <sheetView workbookViewId="0"/>
  </sheetViews>
  <sheetFormatPr defaultColWidth="12.5703125" defaultRowHeight="15.75" customHeight="1" x14ac:dyDescent="0.2"/>
  <cols>
    <col min="2" max="2" width="15.7109375" customWidth="1"/>
  </cols>
  <sheetData>
    <row r="1" spans="1:26" x14ac:dyDescent="0.2">
      <c r="A1" s="1" t="s">
        <v>0</v>
      </c>
      <c r="B1" s="4" t="s">
        <v>1</v>
      </c>
      <c r="C1" s="1" t="s">
        <v>2</v>
      </c>
      <c r="D1" s="4" t="s">
        <v>8</v>
      </c>
      <c r="E1" s="4" t="s">
        <v>9</v>
      </c>
      <c r="F1" s="4" t="s">
        <v>10</v>
      </c>
      <c r="G1" s="5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3">
        <f ca="1">IFERROR(__xludf.DUMMYFUNCTION("FILTER(onboarding_funnel_dataset!A2:C12206, onboarding_funnel_dataset!C2:C12206 = ""purchase"")
"),6536)</f>
        <v>6536</v>
      </c>
      <c r="B2" s="6">
        <f ca="1">IFERROR(__xludf.DUMMYFUNCTION("""COMPUTED_VALUE"""),45293.2406134259)</f>
        <v>45293.2406134259</v>
      </c>
      <c r="C2" s="3" t="str">
        <f ca="1">IFERROR(__xludf.DUMMYFUNCTION("""COMPUTED_VALUE"""),"purchase")</f>
        <v>purchase</v>
      </c>
      <c r="D2" s="6">
        <f t="shared" ref="D2:D2001" ca="1" si="0">INT(B2)</f>
        <v>45293</v>
      </c>
      <c r="E2" s="6">
        <f t="shared" ref="E2:E2001" ca="1" si="1">D2-WEEKDAY(D2,2)+1</f>
        <v>45292</v>
      </c>
      <c r="F2" s="6">
        <f t="shared" ref="F2:F2001" ca="1" si="2">DATE(YEAR(D2), MONTH(D2), 1)</f>
        <v>45292</v>
      </c>
      <c r="G2" s="7"/>
    </row>
    <row r="3" spans="1:26" x14ac:dyDescent="0.2">
      <c r="A3" s="3">
        <f ca="1">IFERROR(__xludf.DUMMYFUNCTION("""COMPUTED_VALUE"""),510)</f>
        <v>510</v>
      </c>
      <c r="B3" s="6">
        <f ca="1">IFERROR(__xludf.DUMMYFUNCTION("""COMPUTED_VALUE"""),45294.1383680555)</f>
        <v>45294.138368055501</v>
      </c>
      <c r="C3" s="3" t="str">
        <f ca="1">IFERROR(__xludf.DUMMYFUNCTION("""COMPUTED_VALUE"""),"purchase")</f>
        <v>purchase</v>
      </c>
      <c r="D3" s="6">
        <f t="shared" ca="1" si="0"/>
        <v>45294</v>
      </c>
      <c r="E3" s="6">
        <f t="shared" ca="1" si="1"/>
        <v>45292</v>
      </c>
      <c r="F3" s="6">
        <f t="shared" ca="1" si="2"/>
        <v>45292</v>
      </c>
      <c r="G3" s="7"/>
    </row>
    <row r="4" spans="1:26" x14ac:dyDescent="0.2">
      <c r="A4" s="3">
        <f ca="1">IFERROR(__xludf.DUMMYFUNCTION("""COMPUTED_VALUE"""),5872)</f>
        <v>5872</v>
      </c>
      <c r="B4" s="6">
        <f ca="1">IFERROR(__xludf.DUMMYFUNCTION("""COMPUTED_VALUE"""),45294.1801851851)</f>
        <v>45294.180185185098</v>
      </c>
      <c r="C4" s="3" t="str">
        <f ca="1">IFERROR(__xludf.DUMMYFUNCTION("""COMPUTED_VALUE"""),"purchase")</f>
        <v>purchase</v>
      </c>
      <c r="D4" s="6">
        <f t="shared" ca="1" si="0"/>
        <v>45294</v>
      </c>
      <c r="E4" s="6">
        <f t="shared" ca="1" si="1"/>
        <v>45292</v>
      </c>
      <c r="F4" s="6">
        <f t="shared" ca="1" si="2"/>
        <v>45292</v>
      </c>
      <c r="G4" s="7"/>
    </row>
    <row r="5" spans="1:26" x14ac:dyDescent="0.2">
      <c r="A5" s="3">
        <f ca="1">IFERROR(__xludf.DUMMYFUNCTION("""COMPUTED_VALUE"""),6275)</f>
        <v>6275</v>
      </c>
      <c r="B5" s="6">
        <f ca="1">IFERROR(__xludf.DUMMYFUNCTION("""COMPUTED_VALUE"""),45294.6627083333)</f>
        <v>45294.662708333301</v>
      </c>
      <c r="C5" s="3" t="str">
        <f ca="1">IFERROR(__xludf.DUMMYFUNCTION("""COMPUTED_VALUE"""),"purchase")</f>
        <v>purchase</v>
      </c>
      <c r="D5" s="6">
        <f t="shared" ca="1" si="0"/>
        <v>45294</v>
      </c>
      <c r="E5" s="6">
        <f t="shared" ca="1" si="1"/>
        <v>45292</v>
      </c>
      <c r="F5" s="6">
        <f t="shared" ca="1" si="2"/>
        <v>45292</v>
      </c>
      <c r="G5" s="7"/>
    </row>
    <row r="6" spans="1:26" x14ac:dyDescent="0.2">
      <c r="A6" s="3">
        <f ca="1">IFERROR(__xludf.DUMMYFUNCTION("""COMPUTED_VALUE"""),1374)</f>
        <v>1374</v>
      </c>
      <c r="B6" s="6">
        <f ca="1">IFERROR(__xludf.DUMMYFUNCTION("""COMPUTED_VALUE"""),45295.1192708333)</f>
        <v>45295.119270833296</v>
      </c>
      <c r="C6" s="3" t="str">
        <f ca="1">IFERROR(__xludf.DUMMYFUNCTION("""COMPUTED_VALUE"""),"purchase")</f>
        <v>purchase</v>
      </c>
      <c r="D6" s="6">
        <f t="shared" ca="1" si="0"/>
        <v>45295</v>
      </c>
      <c r="E6" s="6">
        <f t="shared" ca="1" si="1"/>
        <v>45292</v>
      </c>
      <c r="F6" s="6">
        <f t="shared" ca="1" si="2"/>
        <v>45292</v>
      </c>
      <c r="G6" s="7"/>
    </row>
    <row r="7" spans="1:26" x14ac:dyDescent="0.2">
      <c r="A7" s="3">
        <f ca="1">IFERROR(__xludf.DUMMYFUNCTION("""COMPUTED_VALUE"""),504)</f>
        <v>504</v>
      </c>
      <c r="B7" s="6">
        <f ca="1">IFERROR(__xludf.DUMMYFUNCTION("""COMPUTED_VALUE"""),45295.2700462962)</f>
        <v>45295.270046296297</v>
      </c>
      <c r="C7" s="3" t="str">
        <f ca="1">IFERROR(__xludf.DUMMYFUNCTION("""COMPUTED_VALUE"""),"purchase")</f>
        <v>purchase</v>
      </c>
      <c r="D7" s="6">
        <f t="shared" ca="1" si="0"/>
        <v>45295</v>
      </c>
      <c r="E7" s="6">
        <f t="shared" ca="1" si="1"/>
        <v>45292</v>
      </c>
      <c r="F7" s="6">
        <f t="shared" ca="1" si="2"/>
        <v>45292</v>
      </c>
      <c r="G7" s="7"/>
    </row>
    <row r="8" spans="1:26" x14ac:dyDescent="0.2">
      <c r="A8" s="3">
        <f ca="1">IFERROR(__xludf.DUMMYFUNCTION("""COMPUTED_VALUE"""),1314)</f>
        <v>1314</v>
      </c>
      <c r="B8" s="6">
        <f ca="1">IFERROR(__xludf.DUMMYFUNCTION("""COMPUTED_VALUE"""),45295.3218518518)</f>
        <v>45295.321851851797</v>
      </c>
      <c r="C8" s="3" t="str">
        <f ca="1">IFERROR(__xludf.DUMMYFUNCTION("""COMPUTED_VALUE"""),"purchase")</f>
        <v>purchase</v>
      </c>
      <c r="D8" s="6">
        <f t="shared" ca="1" si="0"/>
        <v>45295</v>
      </c>
      <c r="E8" s="6">
        <f t="shared" ca="1" si="1"/>
        <v>45292</v>
      </c>
      <c r="F8" s="6">
        <f t="shared" ca="1" si="2"/>
        <v>45292</v>
      </c>
      <c r="G8" s="7"/>
    </row>
    <row r="9" spans="1:26" x14ac:dyDescent="0.2">
      <c r="A9" s="3">
        <f ca="1">IFERROR(__xludf.DUMMYFUNCTION("""COMPUTED_VALUE"""),5888)</f>
        <v>5888</v>
      </c>
      <c r="B9" s="6">
        <f ca="1">IFERROR(__xludf.DUMMYFUNCTION("""COMPUTED_VALUE"""),45295.3429513887)</f>
        <v>45295.342951388797</v>
      </c>
      <c r="C9" s="3" t="str">
        <f ca="1">IFERROR(__xludf.DUMMYFUNCTION("""COMPUTED_VALUE"""),"purchase")</f>
        <v>purchase</v>
      </c>
      <c r="D9" s="6">
        <f t="shared" ca="1" si="0"/>
        <v>45295</v>
      </c>
      <c r="E9" s="6">
        <f t="shared" ca="1" si="1"/>
        <v>45292</v>
      </c>
      <c r="F9" s="6">
        <f t="shared" ca="1" si="2"/>
        <v>45292</v>
      </c>
      <c r="G9" s="7"/>
    </row>
    <row r="10" spans="1:26" x14ac:dyDescent="0.2">
      <c r="A10" s="3">
        <f ca="1">IFERROR(__xludf.DUMMYFUNCTION("""COMPUTED_VALUE"""),1704)</f>
        <v>1704</v>
      </c>
      <c r="B10" s="6">
        <f ca="1">IFERROR(__xludf.DUMMYFUNCTION("""COMPUTED_VALUE"""),45295.4683449074)</f>
        <v>45295.4683449074</v>
      </c>
      <c r="C10" s="3" t="str">
        <f ca="1">IFERROR(__xludf.DUMMYFUNCTION("""COMPUTED_VALUE"""),"purchase")</f>
        <v>purchase</v>
      </c>
      <c r="D10" s="6">
        <f t="shared" ca="1" si="0"/>
        <v>45295</v>
      </c>
      <c r="E10" s="6">
        <f t="shared" ca="1" si="1"/>
        <v>45292</v>
      </c>
      <c r="F10" s="6">
        <f t="shared" ca="1" si="2"/>
        <v>45292</v>
      </c>
      <c r="G10" s="7"/>
    </row>
    <row r="11" spans="1:26" x14ac:dyDescent="0.2">
      <c r="A11" s="3">
        <f ca="1">IFERROR(__xludf.DUMMYFUNCTION("""COMPUTED_VALUE"""),3575)</f>
        <v>3575</v>
      </c>
      <c r="B11" s="6">
        <f ca="1">IFERROR(__xludf.DUMMYFUNCTION("""COMPUTED_VALUE"""),45295.5886458333)</f>
        <v>45295.588645833297</v>
      </c>
      <c r="C11" s="3" t="str">
        <f ca="1">IFERROR(__xludf.DUMMYFUNCTION("""COMPUTED_VALUE"""),"purchase")</f>
        <v>purchase</v>
      </c>
      <c r="D11" s="6">
        <f t="shared" ca="1" si="0"/>
        <v>45295</v>
      </c>
      <c r="E11" s="6">
        <f t="shared" ca="1" si="1"/>
        <v>45292</v>
      </c>
      <c r="F11" s="6">
        <f t="shared" ca="1" si="2"/>
        <v>45292</v>
      </c>
      <c r="G11" s="7"/>
    </row>
    <row r="12" spans="1:26" x14ac:dyDescent="0.2">
      <c r="A12" s="3">
        <f ca="1">IFERROR(__xludf.DUMMYFUNCTION("""COMPUTED_VALUE"""),5565)</f>
        <v>5565</v>
      </c>
      <c r="B12" s="6">
        <f ca="1">IFERROR(__xludf.DUMMYFUNCTION("""COMPUTED_VALUE"""),45295.8714583333)</f>
        <v>45295.871458333299</v>
      </c>
      <c r="C12" s="3" t="str">
        <f ca="1">IFERROR(__xludf.DUMMYFUNCTION("""COMPUTED_VALUE"""),"purchase")</f>
        <v>purchase</v>
      </c>
      <c r="D12" s="6">
        <f t="shared" ca="1" si="0"/>
        <v>45295</v>
      </c>
      <c r="E12" s="6">
        <f t="shared" ca="1" si="1"/>
        <v>45292</v>
      </c>
      <c r="F12" s="6">
        <f t="shared" ca="1" si="2"/>
        <v>45292</v>
      </c>
      <c r="G12" s="7"/>
    </row>
    <row r="13" spans="1:26" x14ac:dyDescent="0.2">
      <c r="A13" s="3">
        <f ca="1">IFERROR(__xludf.DUMMYFUNCTION("""COMPUTED_VALUE"""),211)</f>
        <v>211</v>
      </c>
      <c r="B13" s="6">
        <f ca="1">IFERROR(__xludf.DUMMYFUNCTION("""COMPUTED_VALUE"""),45295.9390856481)</f>
        <v>45295.939085648097</v>
      </c>
      <c r="C13" s="3" t="str">
        <f ca="1">IFERROR(__xludf.DUMMYFUNCTION("""COMPUTED_VALUE"""),"purchase")</f>
        <v>purchase</v>
      </c>
      <c r="D13" s="6">
        <f t="shared" ca="1" si="0"/>
        <v>45295</v>
      </c>
      <c r="E13" s="6">
        <f t="shared" ca="1" si="1"/>
        <v>45292</v>
      </c>
      <c r="F13" s="6">
        <f t="shared" ca="1" si="2"/>
        <v>45292</v>
      </c>
      <c r="G13" s="7"/>
    </row>
    <row r="14" spans="1:26" x14ac:dyDescent="0.2">
      <c r="A14" s="3">
        <f ca="1">IFERROR(__xludf.DUMMYFUNCTION("""COMPUTED_VALUE"""),1738)</f>
        <v>1738</v>
      </c>
      <c r="B14" s="6">
        <f ca="1">IFERROR(__xludf.DUMMYFUNCTION("""COMPUTED_VALUE"""),45296.0533680555)</f>
        <v>45296.053368055502</v>
      </c>
      <c r="C14" s="3" t="str">
        <f ca="1">IFERROR(__xludf.DUMMYFUNCTION("""COMPUTED_VALUE"""),"purchase")</f>
        <v>purchase</v>
      </c>
      <c r="D14" s="6">
        <f t="shared" ca="1" si="0"/>
        <v>45296</v>
      </c>
      <c r="E14" s="6">
        <f t="shared" ca="1" si="1"/>
        <v>45292</v>
      </c>
      <c r="F14" s="6">
        <f t="shared" ca="1" si="2"/>
        <v>45292</v>
      </c>
      <c r="G14" s="7"/>
    </row>
    <row r="15" spans="1:26" x14ac:dyDescent="0.2">
      <c r="A15" s="3">
        <f ca="1">IFERROR(__xludf.DUMMYFUNCTION("""COMPUTED_VALUE"""),6522)</f>
        <v>6522</v>
      </c>
      <c r="B15" s="6">
        <f ca="1">IFERROR(__xludf.DUMMYFUNCTION("""COMPUTED_VALUE"""),45296.0851388887)</f>
        <v>45296.085138888797</v>
      </c>
      <c r="C15" s="3" t="str">
        <f ca="1">IFERROR(__xludf.DUMMYFUNCTION("""COMPUTED_VALUE"""),"purchase")</f>
        <v>purchase</v>
      </c>
      <c r="D15" s="6">
        <f t="shared" ca="1" si="0"/>
        <v>45296</v>
      </c>
      <c r="E15" s="6">
        <f t="shared" ca="1" si="1"/>
        <v>45292</v>
      </c>
      <c r="F15" s="6">
        <f t="shared" ca="1" si="2"/>
        <v>45292</v>
      </c>
      <c r="G15" s="7"/>
    </row>
    <row r="16" spans="1:26" x14ac:dyDescent="0.2">
      <c r="A16" s="3">
        <f ca="1">IFERROR(__xludf.DUMMYFUNCTION("""COMPUTED_VALUE"""),7602)</f>
        <v>7602</v>
      </c>
      <c r="B16" s="6">
        <f ca="1">IFERROR(__xludf.DUMMYFUNCTION("""COMPUTED_VALUE"""),45296.3326388888)</f>
        <v>45296.332638888802</v>
      </c>
      <c r="C16" s="3" t="str">
        <f ca="1">IFERROR(__xludf.DUMMYFUNCTION("""COMPUTED_VALUE"""),"purchase")</f>
        <v>purchase</v>
      </c>
      <c r="D16" s="6">
        <f t="shared" ca="1" si="0"/>
        <v>45296</v>
      </c>
      <c r="E16" s="6">
        <f t="shared" ca="1" si="1"/>
        <v>45292</v>
      </c>
      <c r="F16" s="6">
        <f t="shared" ca="1" si="2"/>
        <v>45292</v>
      </c>
      <c r="G16" s="7"/>
    </row>
    <row r="17" spans="1:7" x14ac:dyDescent="0.2">
      <c r="A17" s="3">
        <f ca="1">IFERROR(__xludf.DUMMYFUNCTION("""COMPUTED_VALUE"""),7811)</f>
        <v>7811</v>
      </c>
      <c r="B17" s="6">
        <f ca="1">IFERROR(__xludf.DUMMYFUNCTION("""COMPUTED_VALUE"""),45296.3785532407)</f>
        <v>45296.378553240698</v>
      </c>
      <c r="C17" s="3" t="str">
        <f ca="1">IFERROR(__xludf.DUMMYFUNCTION("""COMPUTED_VALUE"""),"purchase")</f>
        <v>purchase</v>
      </c>
      <c r="D17" s="6">
        <f t="shared" ca="1" si="0"/>
        <v>45296</v>
      </c>
      <c r="E17" s="6">
        <f t="shared" ca="1" si="1"/>
        <v>45292</v>
      </c>
      <c r="F17" s="6">
        <f t="shared" ca="1" si="2"/>
        <v>45292</v>
      </c>
      <c r="G17" s="7"/>
    </row>
    <row r="18" spans="1:7" x14ac:dyDescent="0.2">
      <c r="A18" s="3">
        <f ca="1">IFERROR(__xludf.DUMMYFUNCTION("""COMPUTED_VALUE"""),4490)</f>
        <v>4490</v>
      </c>
      <c r="B18" s="6">
        <f ca="1">IFERROR(__xludf.DUMMYFUNCTION("""COMPUTED_VALUE"""),45296.4332754629)</f>
        <v>45296.433275462899</v>
      </c>
      <c r="C18" s="3" t="str">
        <f ca="1">IFERROR(__xludf.DUMMYFUNCTION("""COMPUTED_VALUE"""),"purchase")</f>
        <v>purchase</v>
      </c>
      <c r="D18" s="6">
        <f t="shared" ca="1" si="0"/>
        <v>45296</v>
      </c>
      <c r="E18" s="6">
        <f t="shared" ca="1" si="1"/>
        <v>45292</v>
      </c>
      <c r="F18" s="6">
        <f t="shared" ca="1" si="2"/>
        <v>45292</v>
      </c>
      <c r="G18" s="7"/>
    </row>
    <row r="19" spans="1:7" x14ac:dyDescent="0.2">
      <c r="A19" s="3">
        <f ca="1">IFERROR(__xludf.DUMMYFUNCTION("""COMPUTED_VALUE"""),3255)</f>
        <v>3255</v>
      </c>
      <c r="B19" s="6">
        <f ca="1">IFERROR(__xludf.DUMMYFUNCTION("""COMPUTED_VALUE"""),45296.7306481481)</f>
        <v>45296.730648148099</v>
      </c>
      <c r="C19" s="3" t="str">
        <f ca="1">IFERROR(__xludf.DUMMYFUNCTION("""COMPUTED_VALUE"""),"purchase")</f>
        <v>purchase</v>
      </c>
      <c r="D19" s="6">
        <f t="shared" ca="1" si="0"/>
        <v>45296</v>
      </c>
      <c r="E19" s="6">
        <f t="shared" ca="1" si="1"/>
        <v>45292</v>
      </c>
      <c r="F19" s="6">
        <f t="shared" ca="1" si="2"/>
        <v>45292</v>
      </c>
      <c r="G19" s="7"/>
    </row>
    <row r="20" spans="1:7" x14ac:dyDescent="0.2">
      <c r="A20" s="3">
        <f ca="1">IFERROR(__xludf.DUMMYFUNCTION("""COMPUTED_VALUE"""),5147)</f>
        <v>5147</v>
      </c>
      <c r="B20" s="6">
        <f ca="1">IFERROR(__xludf.DUMMYFUNCTION("""COMPUTED_VALUE"""),45296.8191435185)</f>
        <v>45296.8191435185</v>
      </c>
      <c r="C20" s="3" t="str">
        <f ca="1">IFERROR(__xludf.DUMMYFUNCTION("""COMPUTED_VALUE"""),"purchase")</f>
        <v>purchase</v>
      </c>
      <c r="D20" s="6">
        <f t="shared" ca="1" si="0"/>
        <v>45296</v>
      </c>
      <c r="E20" s="6">
        <f t="shared" ca="1" si="1"/>
        <v>45292</v>
      </c>
      <c r="F20" s="6">
        <f t="shared" ca="1" si="2"/>
        <v>45292</v>
      </c>
      <c r="G20" s="7"/>
    </row>
    <row r="21" spans="1:7" x14ac:dyDescent="0.2">
      <c r="A21" s="3">
        <f ca="1">IFERROR(__xludf.DUMMYFUNCTION("""COMPUTED_VALUE"""),4032)</f>
        <v>4032</v>
      </c>
      <c r="B21" s="6">
        <f ca="1">IFERROR(__xludf.DUMMYFUNCTION("""COMPUTED_VALUE"""),45296.9624652777)</f>
        <v>45296.962465277698</v>
      </c>
      <c r="C21" s="3" t="str">
        <f ca="1">IFERROR(__xludf.DUMMYFUNCTION("""COMPUTED_VALUE"""),"purchase")</f>
        <v>purchase</v>
      </c>
      <c r="D21" s="6">
        <f t="shared" ca="1" si="0"/>
        <v>45296</v>
      </c>
      <c r="E21" s="6">
        <f t="shared" ca="1" si="1"/>
        <v>45292</v>
      </c>
      <c r="F21" s="6">
        <f t="shared" ca="1" si="2"/>
        <v>45292</v>
      </c>
      <c r="G21" s="7"/>
    </row>
    <row r="22" spans="1:7" x14ac:dyDescent="0.2">
      <c r="A22" s="3">
        <f ca="1">IFERROR(__xludf.DUMMYFUNCTION("""COMPUTED_VALUE"""),3218)</f>
        <v>3218</v>
      </c>
      <c r="B22" s="6">
        <f ca="1">IFERROR(__xludf.DUMMYFUNCTION("""COMPUTED_VALUE"""),45297.2231018518)</f>
        <v>45297.2231018518</v>
      </c>
      <c r="C22" s="3" t="str">
        <f ca="1">IFERROR(__xludf.DUMMYFUNCTION("""COMPUTED_VALUE"""),"purchase")</f>
        <v>purchase</v>
      </c>
      <c r="D22" s="6">
        <f t="shared" ca="1" si="0"/>
        <v>45297</v>
      </c>
      <c r="E22" s="6">
        <f t="shared" ca="1" si="1"/>
        <v>45292</v>
      </c>
      <c r="F22" s="6">
        <f t="shared" ca="1" si="2"/>
        <v>45292</v>
      </c>
      <c r="G22" s="7"/>
    </row>
    <row r="23" spans="1:7" x14ac:dyDescent="0.2">
      <c r="A23" s="3">
        <f ca="1">IFERROR(__xludf.DUMMYFUNCTION("""COMPUTED_VALUE"""),4776)</f>
        <v>4776</v>
      </c>
      <c r="B23" s="6">
        <f ca="1">IFERROR(__xludf.DUMMYFUNCTION("""COMPUTED_VALUE"""),45297.2730208333)</f>
        <v>45297.273020833301</v>
      </c>
      <c r="C23" s="3" t="str">
        <f ca="1">IFERROR(__xludf.DUMMYFUNCTION("""COMPUTED_VALUE"""),"purchase")</f>
        <v>purchase</v>
      </c>
      <c r="D23" s="6">
        <f t="shared" ca="1" si="0"/>
        <v>45297</v>
      </c>
      <c r="E23" s="6">
        <f t="shared" ca="1" si="1"/>
        <v>45292</v>
      </c>
      <c r="F23" s="6">
        <f t="shared" ca="1" si="2"/>
        <v>45292</v>
      </c>
      <c r="G23" s="7"/>
    </row>
    <row r="24" spans="1:7" x14ac:dyDescent="0.2">
      <c r="A24" s="3">
        <f ca="1">IFERROR(__xludf.DUMMYFUNCTION("""COMPUTED_VALUE"""),5781)</f>
        <v>5781</v>
      </c>
      <c r="B24" s="6">
        <f ca="1">IFERROR(__xludf.DUMMYFUNCTION("""COMPUTED_VALUE"""),45297.3751736111)</f>
        <v>45297.375173611101</v>
      </c>
      <c r="C24" s="3" t="str">
        <f ca="1">IFERROR(__xludf.DUMMYFUNCTION("""COMPUTED_VALUE"""),"purchase")</f>
        <v>purchase</v>
      </c>
      <c r="D24" s="6">
        <f t="shared" ca="1" si="0"/>
        <v>45297</v>
      </c>
      <c r="E24" s="6">
        <f t="shared" ca="1" si="1"/>
        <v>45292</v>
      </c>
      <c r="F24" s="6">
        <f t="shared" ca="1" si="2"/>
        <v>45292</v>
      </c>
      <c r="G24" s="7"/>
    </row>
    <row r="25" spans="1:7" x14ac:dyDescent="0.2">
      <c r="A25" s="3">
        <f ca="1">IFERROR(__xludf.DUMMYFUNCTION("""COMPUTED_VALUE"""),7489)</f>
        <v>7489</v>
      </c>
      <c r="B25" s="6">
        <f ca="1">IFERROR(__xludf.DUMMYFUNCTION("""COMPUTED_VALUE"""),45297.5116782407)</f>
        <v>45297.511678240699</v>
      </c>
      <c r="C25" s="3" t="str">
        <f ca="1">IFERROR(__xludf.DUMMYFUNCTION("""COMPUTED_VALUE"""),"purchase")</f>
        <v>purchase</v>
      </c>
      <c r="D25" s="6">
        <f t="shared" ca="1" si="0"/>
        <v>45297</v>
      </c>
      <c r="E25" s="6">
        <f t="shared" ca="1" si="1"/>
        <v>45292</v>
      </c>
      <c r="F25" s="6">
        <f t="shared" ca="1" si="2"/>
        <v>45292</v>
      </c>
      <c r="G25" s="7"/>
    </row>
    <row r="26" spans="1:7" x14ac:dyDescent="0.2">
      <c r="A26" s="3">
        <f ca="1">IFERROR(__xludf.DUMMYFUNCTION("""COMPUTED_VALUE"""),6460)</f>
        <v>6460</v>
      </c>
      <c r="B26" s="6">
        <f ca="1">IFERROR(__xludf.DUMMYFUNCTION("""COMPUTED_VALUE"""),45297.6974884259)</f>
        <v>45297.697488425903</v>
      </c>
      <c r="C26" s="3" t="str">
        <f ca="1">IFERROR(__xludf.DUMMYFUNCTION("""COMPUTED_VALUE"""),"purchase")</f>
        <v>purchase</v>
      </c>
      <c r="D26" s="6">
        <f t="shared" ca="1" si="0"/>
        <v>45297</v>
      </c>
      <c r="E26" s="6">
        <f t="shared" ca="1" si="1"/>
        <v>45292</v>
      </c>
      <c r="F26" s="6">
        <f t="shared" ca="1" si="2"/>
        <v>45292</v>
      </c>
      <c r="G26" s="7"/>
    </row>
    <row r="27" spans="1:7" x14ac:dyDescent="0.2">
      <c r="A27" s="3">
        <f ca="1">IFERROR(__xludf.DUMMYFUNCTION("""COMPUTED_VALUE"""),6612)</f>
        <v>6612</v>
      </c>
      <c r="B27" s="6">
        <f ca="1">IFERROR(__xludf.DUMMYFUNCTION("""COMPUTED_VALUE"""),45297.7163657407)</f>
        <v>45297.7163657407</v>
      </c>
      <c r="C27" s="3" t="str">
        <f ca="1">IFERROR(__xludf.DUMMYFUNCTION("""COMPUTED_VALUE"""),"purchase")</f>
        <v>purchase</v>
      </c>
      <c r="D27" s="6">
        <f t="shared" ca="1" si="0"/>
        <v>45297</v>
      </c>
      <c r="E27" s="6">
        <f t="shared" ca="1" si="1"/>
        <v>45292</v>
      </c>
      <c r="F27" s="6">
        <f t="shared" ca="1" si="2"/>
        <v>45292</v>
      </c>
      <c r="G27" s="7"/>
    </row>
    <row r="28" spans="1:7" x14ac:dyDescent="0.2">
      <c r="A28" s="3">
        <f ca="1">IFERROR(__xludf.DUMMYFUNCTION("""COMPUTED_VALUE"""),7822)</f>
        <v>7822</v>
      </c>
      <c r="B28" s="6">
        <f ca="1">IFERROR(__xludf.DUMMYFUNCTION("""COMPUTED_VALUE"""),45298.2720601851)</f>
        <v>45298.272060185103</v>
      </c>
      <c r="C28" s="3" t="str">
        <f ca="1">IFERROR(__xludf.DUMMYFUNCTION("""COMPUTED_VALUE"""),"purchase")</f>
        <v>purchase</v>
      </c>
      <c r="D28" s="6">
        <f t="shared" ca="1" si="0"/>
        <v>45298</v>
      </c>
      <c r="E28" s="6">
        <f t="shared" ca="1" si="1"/>
        <v>45292</v>
      </c>
      <c r="F28" s="6">
        <f t="shared" ca="1" si="2"/>
        <v>45292</v>
      </c>
      <c r="G28" s="7"/>
    </row>
    <row r="29" spans="1:7" x14ac:dyDescent="0.2">
      <c r="A29" s="3">
        <f ca="1">IFERROR(__xludf.DUMMYFUNCTION("""COMPUTED_VALUE"""),3533)</f>
        <v>3533</v>
      </c>
      <c r="B29" s="6">
        <f ca="1">IFERROR(__xludf.DUMMYFUNCTION("""COMPUTED_VALUE"""),45298.3189467592)</f>
        <v>45298.318946759202</v>
      </c>
      <c r="C29" s="3" t="str">
        <f ca="1">IFERROR(__xludf.DUMMYFUNCTION("""COMPUTED_VALUE"""),"purchase")</f>
        <v>purchase</v>
      </c>
      <c r="D29" s="6">
        <f t="shared" ca="1" si="0"/>
        <v>45298</v>
      </c>
      <c r="E29" s="6">
        <f t="shared" ca="1" si="1"/>
        <v>45292</v>
      </c>
      <c r="F29" s="6">
        <f t="shared" ca="1" si="2"/>
        <v>45292</v>
      </c>
      <c r="G29" s="7"/>
    </row>
    <row r="30" spans="1:7" x14ac:dyDescent="0.2">
      <c r="A30" s="3">
        <f ca="1">IFERROR(__xludf.DUMMYFUNCTION("""COMPUTED_VALUE"""),3419)</f>
        <v>3419</v>
      </c>
      <c r="B30" s="6">
        <f ca="1">IFERROR(__xludf.DUMMYFUNCTION("""COMPUTED_VALUE"""),45298.7319212963)</f>
        <v>45298.731921296298</v>
      </c>
      <c r="C30" s="3" t="str">
        <f ca="1">IFERROR(__xludf.DUMMYFUNCTION("""COMPUTED_VALUE"""),"purchase")</f>
        <v>purchase</v>
      </c>
      <c r="D30" s="6">
        <f t="shared" ca="1" si="0"/>
        <v>45298</v>
      </c>
      <c r="E30" s="6">
        <f t="shared" ca="1" si="1"/>
        <v>45292</v>
      </c>
      <c r="F30" s="6">
        <f t="shared" ca="1" si="2"/>
        <v>45292</v>
      </c>
      <c r="G30" s="7"/>
    </row>
    <row r="31" spans="1:7" x14ac:dyDescent="0.2">
      <c r="A31" s="3">
        <f ca="1">IFERROR(__xludf.DUMMYFUNCTION("""COMPUTED_VALUE"""),5194)</f>
        <v>5194</v>
      </c>
      <c r="B31" s="6">
        <f ca="1">IFERROR(__xludf.DUMMYFUNCTION("""COMPUTED_VALUE"""),45298.848449074)</f>
        <v>45298.848449074001</v>
      </c>
      <c r="C31" s="3" t="str">
        <f ca="1">IFERROR(__xludf.DUMMYFUNCTION("""COMPUTED_VALUE"""),"purchase")</f>
        <v>purchase</v>
      </c>
      <c r="D31" s="6">
        <f t="shared" ca="1" si="0"/>
        <v>45298</v>
      </c>
      <c r="E31" s="6">
        <f t="shared" ca="1" si="1"/>
        <v>45292</v>
      </c>
      <c r="F31" s="6">
        <f t="shared" ca="1" si="2"/>
        <v>45292</v>
      </c>
      <c r="G31" s="7"/>
    </row>
    <row r="32" spans="1:7" x14ac:dyDescent="0.2">
      <c r="A32" s="3">
        <f ca="1">IFERROR(__xludf.DUMMYFUNCTION("""COMPUTED_VALUE"""),7003)</f>
        <v>7003</v>
      </c>
      <c r="B32" s="6">
        <f ca="1">IFERROR(__xludf.DUMMYFUNCTION("""COMPUTED_VALUE"""),45298.9529166666)</f>
        <v>45298.952916666603</v>
      </c>
      <c r="C32" s="3" t="str">
        <f ca="1">IFERROR(__xludf.DUMMYFUNCTION("""COMPUTED_VALUE"""),"purchase")</f>
        <v>purchase</v>
      </c>
      <c r="D32" s="6">
        <f t="shared" ca="1" si="0"/>
        <v>45298</v>
      </c>
      <c r="E32" s="6">
        <f t="shared" ca="1" si="1"/>
        <v>45292</v>
      </c>
      <c r="F32" s="6">
        <f t="shared" ca="1" si="2"/>
        <v>45292</v>
      </c>
      <c r="G32" s="7"/>
    </row>
    <row r="33" spans="1:7" x14ac:dyDescent="0.2">
      <c r="A33" s="3">
        <f ca="1">IFERROR(__xludf.DUMMYFUNCTION("""COMPUTED_VALUE"""),2405)</f>
        <v>2405</v>
      </c>
      <c r="B33" s="6">
        <f ca="1">IFERROR(__xludf.DUMMYFUNCTION("""COMPUTED_VALUE"""),45299.1285300925)</f>
        <v>45299.128530092501</v>
      </c>
      <c r="C33" s="3" t="str">
        <f ca="1">IFERROR(__xludf.DUMMYFUNCTION("""COMPUTED_VALUE"""),"purchase")</f>
        <v>purchase</v>
      </c>
      <c r="D33" s="6">
        <f t="shared" ca="1" si="0"/>
        <v>45299</v>
      </c>
      <c r="E33" s="6">
        <f t="shared" ca="1" si="1"/>
        <v>45299</v>
      </c>
      <c r="F33" s="6">
        <f t="shared" ca="1" si="2"/>
        <v>45292</v>
      </c>
      <c r="G33" s="7"/>
    </row>
    <row r="34" spans="1:7" x14ac:dyDescent="0.2">
      <c r="A34" s="3">
        <f ca="1">IFERROR(__xludf.DUMMYFUNCTION("""COMPUTED_VALUE"""),765)</f>
        <v>765</v>
      </c>
      <c r="B34" s="6">
        <f ca="1">IFERROR(__xludf.DUMMYFUNCTION("""COMPUTED_VALUE"""),45299.1498032407)</f>
        <v>45299.149803240703</v>
      </c>
      <c r="C34" s="3" t="str">
        <f ca="1">IFERROR(__xludf.DUMMYFUNCTION("""COMPUTED_VALUE"""),"purchase")</f>
        <v>purchase</v>
      </c>
      <c r="D34" s="6">
        <f t="shared" ca="1" si="0"/>
        <v>45299</v>
      </c>
      <c r="E34" s="6">
        <f t="shared" ca="1" si="1"/>
        <v>45299</v>
      </c>
      <c r="F34" s="6">
        <f t="shared" ca="1" si="2"/>
        <v>45292</v>
      </c>
      <c r="G34" s="7"/>
    </row>
    <row r="35" spans="1:7" x14ac:dyDescent="0.2">
      <c r="A35" s="3">
        <f ca="1">IFERROR(__xludf.DUMMYFUNCTION("""COMPUTED_VALUE"""),2993)</f>
        <v>2993</v>
      </c>
      <c r="B35" s="6">
        <f ca="1">IFERROR(__xludf.DUMMYFUNCTION("""COMPUTED_VALUE"""),45299.2696064814)</f>
        <v>45299.269606481401</v>
      </c>
      <c r="C35" s="3" t="str">
        <f ca="1">IFERROR(__xludf.DUMMYFUNCTION("""COMPUTED_VALUE"""),"purchase")</f>
        <v>purchase</v>
      </c>
      <c r="D35" s="6">
        <f t="shared" ca="1" si="0"/>
        <v>45299</v>
      </c>
      <c r="E35" s="6">
        <f t="shared" ca="1" si="1"/>
        <v>45299</v>
      </c>
      <c r="F35" s="6">
        <f t="shared" ca="1" si="2"/>
        <v>45292</v>
      </c>
      <c r="G35" s="7"/>
    </row>
    <row r="36" spans="1:7" x14ac:dyDescent="0.2">
      <c r="A36" s="3">
        <f ca="1">IFERROR(__xludf.DUMMYFUNCTION("""COMPUTED_VALUE"""),4363)</f>
        <v>4363</v>
      </c>
      <c r="B36" s="6">
        <f ca="1">IFERROR(__xludf.DUMMYFUNCTION("""COMPUTED_VALUE"""),45299.2846527777)</f>
        <v>45299.2846527777</v>
      </c>
      <c r="C36" s="3" t="str">
        <f ca="1">IFERROR(__xludf.DUMMYFUNCTION("""COMPUTED_VALUE"""),"purchase")</f>
        <v>purchase</v>
      </c>
      <c r="D36" s="6">
        <f t="shared" ca="1" si="0"/>
        <v>45299</v>
      </c>
      <c r="E36" s="6">
        <f t="shared" ca="1" si="1"/>
        <v>45299</v>
      </c>
      <c r="F36" s="6">
        <f t="shared" ca="1" si="2"/>
        <v>45292</v>
      </c>
      <c r="G36" s="7"/>
    </row>
    <row r="37" spans="1:7" x14ac:dyDescent="0.2">
      <c r="A37" s="3">
        <f ca="1">IFERROR(__xludf.DUMMYFUNCTION("""COMPUTED_VALUE"""),7467)</f>
        <v>7467</v>
      </c>
      <c r="B37" s="6">
        <f ca="1">IFERROR(__xludf.DUMMYFUNCTION("""COMPUTED_VALUE"""),45299.6007175925)</f>
        <v>45299.600717592497</v>
      </c>
      <c r="C37" s="3" t="str">
        <f ca="1">IFERROR(__xludf.DUMMYFUNCTION("""COMPUTED_VALUE"""),"purchase")</f>
        <v>purchase</v>
      </c>
      <c r="D37" s="6">
        <f t="shared" ca="1" si="0"/>
        <v>45299</v>
      </c>
      <c r="E37" s="6">
        <f t="shared" ca="1" si="1"/>
        <v>45299</v>
      </c>
      <c r="F37" s="6">
        <f t="shared" ca="1" si="2"/>
        <v>45292</v>
      </c>
      <c r="G37" s="7"/>
    </row>
    <row r="38" spans="1:7" x14ac:dyDescent="0.2">
      <c r="A38" s="3">
        <f ca="1">IFERROR(__xludf.DUMMYFUNCTION("""COMPUTED_VALUE"""),4592)</f>
        <v>4592</v>
      </c>
      <c r="B38" s="6">
        <f ca="1">IFERROR(__xludf.DUMMYFUNCTION("""COMPUTED_VALUE"""),45299.701412037)</f>
        <v>45299.701412037</v>
      </c>
      <c r="C38" s="3" t="str">
        <f ca="1">IFERROR(__xludf.DUMMYFUNCTION("""COMPUTED_VALUE"""),"purchase")</f>
        <v>purchase</v>
      </c>
      <c r="D38" s="6">
        <f t="shared" ca="1" si="0"/>
        <v>45299</v>
      </c>
      <c r="E38" s="6">
        <f t="shared" ca="1" si="1"/>
        <v>45299</v>
      </c>
      <c r="F38" s="6">
        <f t="shared" ca="1" si="2"/>
        <v>45292</v>
      </c>
      <c r="G38" s="7"/>
    </row>
    <row r="39" spans="1:7" x14ac:dyDescent="0.2">
      <c r="A39" s="3">
        <f ca="1">IFERROR(__xludf.DUMMYFUNCTION("""COMPUTED_VALUE"""),4321)</f>
        <v>4321</v>
      </c>
      <c r="B39" s="6">
        <f ca="1">IFERROR(__xludf.DUMMYFUNCTION("""COMPUTED_VALUE"""),45299.7915509259)</f>
        <v>45299.791550925896</v>
      </c>
      <c r="C39" s="3" t="str">
        <f ca="1">IFERROR(__xludf.DUMMYFUNCTION("""COMPUTED_VALUE"""),"purchase")</f>
        <v>purchase</v>
      </c>
      <c r="D39" s="6">
        <f t="shared" ca="1" si="0"/>
        <v>45299</v>
      </c>
      <c r="E39" s="6">
        <f t="shared" ca="1" si="1"/>
        <v>45299</v>
      </c>
      <c r="F39" s="6">
        <f t="shared" ca="1" si="2"/>
        <v>45292</v>
      </c>
      <c r="G39" s="7"/>
    </row>
    <row r="40" spans="1:7" x14ac:dyDescent="0.2">
      <c r="A40" s="3">
        <f ca="1">IFERROR(__xludf.DUMMYFUNCTION("""COMPUTED_VALUE"""),5186)</f>
        <v>5186</v>
      </c>
      <c r="B40" s="6">
        <f ca="1">IFERROR(__xludf.DUMMYFUNCTION("""COMPUTED_VALUE"""),45299.8332407406)</f>
        <v>45299.8332407407</v>
      </c>
      <c r="C40" s="3" t="str">
        <f ca="1">IFERROR(__xludf.DUMMYFUNCTION("""COMPUTED_VALUE"""),"purchase")</f>
        <v>purchase</v>
      </c>
      <c r="D40" s="6">
        <f t="shared" ca="1" si="0"/>
        <v>45299</v>
      </c>
      <c r="E40" s="6">
        <f t="shared" ca="1" si="1"/>
        <v>45299</v>
      </c>
      <c r="F40" s="6">
        <f t="shared" ca="1" si="2"/>
        <v>45292</v>
      </c>
      <c r="G40" s="7"/>
    </row>
    <row r="41" spans="1:7" x14ac:dyDescent="0.2">
      <c r="A41" s="3">
        <f ca="1">IFERROR(__xludf.DUMMYFUNCTION("""COMPUTED_VALUE"""),2570)</f>
        <v>2570</v>
      </c>
      <c r="B41" s="6">
        <f ca="1">IFERROR(__xludf.DUMMYFUNCTION("""COMPUTED_VALUE"""),45300.0155208333)</f>
        <v>45300.015520833302</v>
      </c>
      <c r="C41" s="3" t="str">
        <f ca="1">IFERROR(__xludf.DUMMYFUNCTION("""COMPUTED_VALUE"""),"purchase")</f>
        <v>purchase</v>
      </c>
      <c r="D41" s="6">
        <f t="shared" ca="1" si="0"/>
        <v>45300</v>
      </c>
      <c r="E41" s="6">
        <f t="shared" ca="1" si="1"/>
        <v>45299</v>
      </c>
      <c r="F41" s="6">
        <f t="shared" ca="1" si="2"/>
        <v>45292</v>
      </c>
      <c r="G41" s="7"/>
    </row>
    <row r="42" spans="1:7" x14ac:dyDescent="0.2">
      <c r="A42" s="3">
        <f ca="1">IFERROR(__xludf.DUMMYFUNCTION("""COMPUTED_VALUE"""),4775)</f>
        <v>4775</v>
      </c>
      <c r="B42" s="6">
        <f ca="1">IFERROR(__xludf.DUMMYFUNCTION("""COMPUTED_VALUE"""),45300.1534953703)</f>
        <v>45300.153495370301</v>
      </c>
      <c r="C42" s="3" t="str">
        <f ca="1">IFERROR(__xludf.DUMMYFUNCTION("""COMPUTED_VALUE"""),"purchase")</f>
        <v>purchase</v>
      </c>
      <c r="D42" s="6">
        <f t="shared" ca="1" si="0"/>
        <v>45300</v>
      </c>
      <c r="E42" s="6">
        <f t="shared" ca="1" si="1"/>
        <v>45299</v>
      </c>
      <c r="F42" s="6">
        <f t="shared" ca="1" si="2"/>
        <v>45292</v>
      </c>
      <c r="G42" s="7"/>
    </row>
    <row r="43" spans="1:7" x14ac:dyDescent="0.2">
      <c r="A43" s="3">
        <f ca="1">IFERROR(__xludf.DUMMYFUNCTION("""COMPUTED_VALUE"""),7990)</f>
        <v>7990</v>
      </c>
      <c r="B43" s="6">
        <f ca="1">IFERROR(__xludf.DUMMYFUNCTION("""COMPUTED_VALUE"""),45300.2544212962)</f>
        <v>45300.254421296297</v>
      </c>
      <c r="C43" s="3" t="str">
        <f ca="1">IFERROR(__xludf.DUMMYFUNCTION("""COMPUTED_VALUE"""),"purchase")</f>
        <v>purchase</v>
      </c>
      <c r="D43" s="6">
        <f t="shared" ca="1" si="0"/>
        <v>45300</v>
      </c>
      <c r="E43" s="6">
        <f t="shared" ca="1" si="1"/>
        <v>45299</v>
      </c>
      <c r="F43" s="6">
        <f t="shared" ca="1" si="2"/>
        <v>45292</v>
      </c>
      <c r="G43" s="7"/>
    </row>
    <row r="44" spans="1:7" x14ac:dyDescent="0.2">
      <c r="A44" s="3">
        <f ca="1">IFERROR(__xludf.DUMMYFUNCTION("""COMPUTED_VALUE"""),6544)</f>
        <v>6544</v>
      </c>
      <c r="B44" s="6">
        <f ca="1">IFERROR(__xludf.DUMMYFUNCTION("""COMPUTED_VALUE"""),45300.315011574)</f>
        <v>45300.315011573999</v>
      </c>
      <c r="C44" s="3" t="str">
        <f ca="1">IFERROR(__xludf.DUMMYFUNCTION("""COMPUTED_VALUE"""),"purchase")</f>
        <v>purchase</v>
      </c>
      <c r="D44" s="6">
        <f t="shared" ca="1" si="0"/>
        <v>45300</v>
      </c>
      <c r="E44" s="6">
        <f t="shared" ca="1" si="1"/>
        <v>45299</v>
      </c>
      <c r="F44" s="6">
        <f t="shared" ca="1" si="2"/>
        <v>45292</v>
      </c>
      <c r="G44" s="7"/>
    </row>
    <row r="45" spans="1:7" x14ac:dyDescent="0.2">
      <c r="A45" s="3">
        <f ca="1">IFERROR(__xludf.DUMMYFUNCTION("""COMPUTED_VALUE"""),1796)</f>
        <v>1796</v>
      </c>
      <c r="B45" s="6">
        <f ca="1">IFERROR(__xludf.DUMMYFUNCTION("""COMPUTED_VALUE"""),45300.5151967592)</f>
        <v>45300.515196759203</v>
      </c>
      <c r="C45" s="3" t="str">
        <f ca="1">IFERROR(__xludf.DUMMYFUNCTION("""COMPUTED_VALUE"""),"purchase")</f>
        <v>purchase</v>
      </c>
      <c r="D45" s="6">
        <f t="shared" ca="1" si="0"/>
        <v>45300</v>
      </c>
      <c r="E45" s="6">
        <f t="shared" ca="1" si="1"/>
        <v>45299</v>
      </c>
      <c r="F45" s="6">
        <f t="shared" ca="1" si="2"/>
        <v>45292</v>
      </c>
      <c r="G45" s="7"/>
    </row>
    <row r="46" spans="1:7" x14ac:dyDescent="0.2">
      <c r="A46" s="3">
        <f ca="1">IFERROR(__xludf.DUMMYFUNCTION("""COMPUTED_VALUE"""),5603)</f>
        <v>5603</v>
      </c>
      <c r="B46" s="6">
        <f ca="1">IFERROR(__xludf.DUMMYFUNCTION("""COMPUTED_VALUE"""),45301.0676504629)</f>
        <v>45301.067650462901</v>
      </c>
      <c r="C46" s="3" t="str">
        <f ca="1">IFERROR(__xludf.DUMMYFUNCTION("""COMPUTED_VALUE"""),"purchase")</f>
        <v>purchase</v>
      </c>
      <c r="D46" s="6">
        <f t="shared" ca="1" si="0"/>
        <v>45301</v>
      </c>
      <c r="E46" s="6">
        <f t="shared" ca="1" si="1"/>
        <v>45299</v>
      </c>
      <c r="F46" s="6">
        <f t="shared" ca="1" si="2"/>
        <v>45292</v>
      </c>
      <c r="G46" s="7"/>
    </row>
    <row r="47" spans="1:7" x14ac:dyDescent="0.2">
      <c r="A47" s="3">
        <f ca="1">IFERROR(__xludf.DUMMYFUNCTION("""COMPUTED_VALUE"""),209)</f>
        <v>209</v>
      </c>
      <c r="B47" s="6">
        <f ca="1">IFERROR(__xludf.DUMMYFUNCTION("""COMPUTED_VALUE"""),45301.0875925925)</f>
        <v>45301.087592592499</v>
      </c>
      <c r="C47" s="3" t="str">
        <f ca="1">IFERROR(__xludf.DUMMYFUNCTION("""COMPUTED_VALUE"""),"purchase")</f>
        <v>purchase</v>
      </c>
      <c r="D47" s="6">
        <f t="shared" ca="1" si="0"/>
        <v>45301</v>
      </c>
      <c r="E47" s="6">
        <f t="shared" ca="1" si="1"/>
        <v>45299</v>
      </c>
      <c r="F47" s="6">
        <f t="shared" ca="1" si="2"/>
        <v>45292</v>
      </c>
      <c r="G47" s="7"/>
    </row>
    <row r="48" spans="1:7" x14ac:dyDescent="0.2">
      <c r="A48" s="3">
        <f ca="1">IFERROR(__xludf.DUMMYFUNCTION("""COMPUTED_VALUE"""),4499)</f>
        <v>4499</v>
      </c>
      <c r="B48" s="6">
        <f ca="1">IFERROR(__xludf.DUMMYFUNCTION("""COMPUTED_VALUE"""),45301.2604282407)</f>
        <v>45301.260428240697</v>
      </c>
      <c r="C48" s="3" t="str">
        <f ca="1">IFERROR(__xludf.DUMMYFUNCTION("""COMPUTED_VALUE"""),"purchase")</f>
        <v>purchase</v>
      </c>
      <c r="D48" s="6">
        <f t="shared" ca="1" si="0"/>
        <v>45301</v>
      </c>
      <c r="E48" s="6">
        <f t="shared" ca="1" si="1"/>
        <v>45299</v>
      </c>
      <c r="F48" s="6">
        <f t="shared" ca="1" si="2"/>
        <v>45292</v>
      </c>
      <c r="G48" s="7"/>
    </row>
    <row r="49" spans="1:7" x14ac:dyDescent="0.2">
      <c r="A49" s="3">
        <f ca="1">IFERROR(__xludf.DUMMYFUNCTION("""COMPUTED_VALUE"""),4598)</f>
        <v>4598</v>
      </c>
      <c r="B49" s="6">
        <f ca="1">IFERROR(__xludf.DUMMYFUNCTION("""COMPUTED_VALUE"""),45301.3150347222)</f>
        <v>45301.315034722204</v>
      </c>
      <c r="C49" s="3" t="str">
        <f ca="1">IFERROR(__xludf.DUMMYFUNCTION("""COMPUTED_VALUE"""),"purchase")</f>
        <v>purchase</v>
      </c>
      <c r="D49" s="6">
        <f t="shared" ca="1" si="0"/>
        <v>45301</v>
      </c>
      <c r="E49" s="6">
        <f t="shared" ca="1" si="1"/>
        <v>45299</v>
      </c>
      <c r="F49" s="6">
        <f t="shared" ca="1" si="2"/>
        <v>45292</v>
      </c>
      <c r="G49" s="7"/>
    </row>
    <row r="50" spans="1:7" x14ac:dyDescent="0.2">
      <c r="A50" s="3">
        <f ca="1">IFERROR(__xludf.DUMMYFUNCTION("""COMPUTED_VALUE"""),5307)</f>
        <v>5307</v>
      </c>
      <c r="B50" s="6">
        <f ca="1">IFERROR(__xludf.DUMMYFUNCTION("""COMPUTED_VALUE"""),45301.4086574074)</f>
        <v>45301.408657407403</v>
      </c>
      <c r="C50" s="3" t="str">
        <f ca="1">IFERROR(__xludf.DUMMYFUNCTION("""COMPUTED_VALUE"""),"purchase")</f>
        <v>purchase</v>
      </c>
      <c r="D50" s="6">
        <f t="shared" ca="1" si="0"/>
        <v>45301</v>
      </c>
      <c r="E50" s="6">
        <f t="shared" ca="1" si="1"/>
        <v>45299</v>
      </c>
      <c r="F50" s="6">
        <f t="shared" ca="1" si="2"/>
        <v>45292</v>
      </c>
      <c r="G50" s="7"/>
    </row>
    <row r="51" spans="1:7" x14ac:dyDescent="0.2">
      <c r="A51" s="3">
        <f ca="1">IFERROR(__xludf.DUMMYFUNCTION("""COMPUTED_VALUE"""),7987)</f>
        <v>7987</v>
      </c>
      <c r="B51" s="6">
        <f ca="1">IFERROR(__xludf.DUMMYFUNCTION("""COMPUTED_VALUE"""),45301.4632986111)</f>
        <v>45301.463298611103</v>
      </c>
      <c r="C51" s="3" t="str">
        <f ca="1">IFERROR(__xludf.DUMMYFUNCTION("""COMPUTED_VALUE"""),"purchase")</f>
        <v>purchase</v>
      </c>
      <c r="D51" s="6">
        <f t="shared" ca="1" si="0"/>
        <v>45301</v>
      </c>
      <c r="E51" s="6">
        <f t="shared" ca="1" si="1"/>
        <v>45299</v>
      </c>
      <c r="F51" s="6">
        <f t="shared" ca="1" si="2"/>
        <v>45292</v>
      </c>
      <c r="G51" s="7"/>
    </row>
    <row r="52" spans="1:7" x14ac:dyDescent="0.2">
      <c r="A52" s="3">
        <f ca="1">IFERROR(__xludf.DUMMYFUNCTION("""COMPUTED_VALUE"""),6315)</f>
        <v>6315</v>
      </c>
      <c r="B52" s="6">
        <f ca="1">IFERROR(__xludf.DUMMYFUNCTION("""COMPUTED_VALUE"""),45301.4777777777)</f>
        <v>45301.477777777698</v>
      </c>
      <c r="C52" s="3" t="str">
        <f ca="1">IFERROR(__xludf.DUMMYFUNCTION("""COMPUTED_VALUE"""),"purchase")</f>
        <v>purchase</v>
      </c>
      <c r="D52" s="6">
        <f t="shared" ca="1" si="0"/>
        <v>45301</v>
      </c>
      <c r="E52" s="6">
        <f t="shared" ca="1" si="1"/>
        <v>45299</v>
      </c>
      <c r="F52" s="6">
        <f t="shared" ca="1" si="2"/>
        <v>45292</v>
      </c>
      <c r="G52" s="7"/>
    </row>
    <row r="53" spans="1:7" x14ac:dyDescent="0.2">
      <c r="A53" s="3">
        <f ca="1">IFERROR(__xludf.DUMMYFUNCTION("""COMPUTED_VALUE"""),4797)</f>
        <v>4797</v>
      </c>
      <c r="B53" s="6">
        <f ca="1">IFERROR(__xludf.DUMMYFUNCTION("""COMPUTED_VALUE"""),45301.5824884259)</f>
        <v>45301.582488425898</v>
      </c>
      <c r="C53" s="3" t="str">
        <f ca="1">IFERROR(__xludf.DUMMYFUNCTION("""COMPUTED_VALUE"""),"purchase")</f>
        <v>purchase</v>
      </c>
      <c r="D53" s="6">
        <f t="shared" ca="1" si="0"/>
        <v>45301</v>
      </c>
      <c r="E53" s="6">
        <f t="shared" ca="1" si="1"/>
        <v>45299</v>
      </c>
      <c r="F53" s="6">
        <f t="shared" ca="1" si="2"/>
        <v>45292</v>
      </c>
      <c r="G53" s="7"/>
    </row>
    <row r="54" spans="1:7" x14ac:dyDescent="0.2">
      <c r="A54" s="3">
        <f ca="1">IFERROR(__xludf.DUMMYFUNCTION("""COMPUTED_VALUE"""),6920)</f>
        <v>6920</v>
      </c>
      <c r="B54" s="6">
        <f ca="1">IFERROR(__xludf.DUMMYFUNCTION("""COMPUTED_VALUE"""),45301.5904050925)</f>
        <v>45301.590405092502</v>
      </c>
      <c r="C54" s="3" t="str">
        <f ca="1">IFERROR(__xludf.DUMMYFUNCTION("""COMPUTED_VALUE"""),"purchase")</f>
        <v>purchase</v>
      </c>
      <c r="D54" s="6">
        <f t="shared" ca="1" si="0"/>
        <v>45301</v>
      </c>
      <c r="E54" s="6">
        <f t="shared" ca="1" si="1"/>
        <v>45299</v>
      </c>
      <c r="F54" s="6">
        <f t="shared" ca="1" si="2"/>
        <v>45292</v>
      </c>
      <c r="G54" s="7"/>
    </row>
    <row r="55" spans="1:7" x14ac:dyDescent="0.2">
      <c r="A55" s="3">
        <f ca="1">IFERROR(__xludf.DUMMYFUNCTION("""COMPUTED_VALUE"""),234)</f>
        <v>234</v>
      </c>
      <c r="B55" s="6">
        <f ca="1">IFERROR(__xludf.DUMMYFUNCTION("""COMPUTED_VALUE"""),45301.6347685185)</f>
        <v>45301.634768518503</v>
      </c>
      <c r="C55" s="3" t="str">
        <f ca="1">IFERROR(__xludf.DUMMYFUNCTION("""COMPUTED_VALUE"""),"purchase")</f>
        <v>purchase</v>
      </c>
      <c r="D55" s="6">
        <f t="shared" ca="1" si="0"/>
        <v>45301</v>
      </c>
      <c r="E55" s="6">
        <f t="shared" ca="1" si="1"/>
        <v>45299</v>
      </c>
      <c r="F55" s="6">
        <f t="shared" ca="1" si="2"/>
        <v>45292</v>
      </c>
      <c r="G55" s="7"/>
    </row>
    <row r="56" spans="1:7" x14ac:dyDescent="0.2">
      <c r="A56" s="3">
        <f ca="1">IFERROR(__xludf.DUMMYFUNCTION("""COMPUTED_VALUE"""),2524)</f>
        <v>2524</v>
      </c>
      <c r="B56" s="6">
        <f ca="1">IFERROR(__xludf.DUMMYFUNCTION("""COMPUTED_VALUE"""),45301.6604166666)</f>
        <v>45301.6604166666</v>
      </c>
      <c r="C56" s="3" t="str">
        <f ca="1">IFERROR(__xludf.DUMMYFUNCTION("""COMPUTED_VALUE"""),"purchase")</f>
        <v>purchase</v>
      </c>
      <c r="D56" s="6">
        <f t="shared" ca="1" si="0"/>
        <v>45301</v>
      </c>
      <c r="E56" s="6">
        <f t="shared" ca="1" si="1"/>
        <v>45299</v>
      </c>
      <c r="F56" s="6">
        <f t="shared" ca="1" si="2"/>
        <v>45292</v>
      </c>
      <c r="G56" s="7"/>
    </row>
    <row r="57" spans="1:7" x14ac:dyDescent="0.2">
      <c r="A57" s="3">
        <f ca="1">IFERROR(__xludf.DUMMYFUNCTION("""COMPUTED_VALUE"""),1967)</f>
        <v>1967</v>
      </c>
      <c r="B57" s="6">
        <f ca="1">IFERROR(__xludf.DUMMYFUNCTION("""COMPUTED_VALUE"""),45301.6892592592)</f>
        <v>45301.689259259198</v>
      </c>
      <c r="C57" s="3" t="str">
        <f ca="1">IFERROR(__xludf.DUMMYFUNCTION("""COMPUTED_VALUE"""),"purchase")</f>
        <v>purchase</v>
      </c>
      <c r="D57" s="6">
        <f t="shared" ca="1" si="0"/>
        <v>45301</v>
      </c>
      <c r="E57" s="6">
        <f t="shared" ca="1" si="1"/>
        <v>45299</v>
      </c>
      <c r="F57" s="6">
        <f t="shared" ca="1" si="2"/>
        <v>45292</v>
      </c>
      <c r="G57" s="7"/>
    </row>
    <row r="58" spans="1:7" x14ac:dyDescent="0.2">
      <c r="A58" s="3">
        <f ca="1">IFERROR(__xludf.DUMMYFUNCTION("""COMPUTED_VALUE"""),577)</f>
        <v>577</v>
      </c>
      <c r="B58" s="6">
        <f ca="1">IFERROR(__xludf.DUMMYFUNCTION("""COMPUTED_VALUE"""),45301.702511574)</f>
        <v>45301.702511574003</v>
      </c>
      <c r="C58" s="3" t="str">
        <f ca="1">IFERROR(__xludf.DUMMYFUNCTION("""COMPUTED_VALUE"""),"purchase")</f>
        <v>purchase</v>
      </c>
      <c r="D58" s="6">
        <f t="shared" ca="1" si="0"/>
        <v>45301</v>
      </c>
      <c r="E58" s="6">
        <f t="shared" ca="1" si="1"/>
        <v>45299</v>
      </c>
      <c r="F58" s="6">
        <f t="shared" ca="1" si="2"/>
        <v>45292</v>
      </c>
      <c r="G58" s="7"/>
    </row>
    <row r="59" spans="1:7" x14ac:dyDescent="0.2">
      <c r="A59" s="3">
        <f ca="1">IFERROR(__xludf.DUMMYFUNCTION("""COMPUTED_VALUE"""),5828)</f>
        <v>5828</v>
      </c>
      <c r="B59" s="6">
        <f ca="1">IFERROR(__xludf.DUMMYFUNCTION("""COMPUTED_VALUE"""),45301.8114236111)</f>
        <v>45301.8114236111</v>
      </c>
      <c r="C59" s="3" t="str">
        <f ca="1">IFERROR(__xludf.DUMMYFUNCTION("""COMPUTED_VALUE"""),"purchase")</f>
        <v>purchase</v>
      </c>
      <c r="D59" s="6">
        <f t="shared" ca="1" si="0"/>
        <v>45301</v>
      </c>
      <c r="E59" s="6">
        <f t="shared" ca="1" si="1"/>
        <v>45299</v>
      </c>
      <c r="F59" s="6">
        <f t="shared" ca="1" si="2"/>
        <v>45292</v>
      </c>
      <c r="G59" s="7"/>
    </row>
    <row r="60" spans="1:7" x14ac:dyDescent="0.2">
      <c r="A60" s="3">
        <f ca="1">IFERROR(__xludf.DUMMYFUNCTION("""COMPUTED_VALUE"""),5156)</f>
        <v>5156</v>
      </c>
      <c r="B60" s="6">
        <f ca="1">IFERROR(__xludf.DUMMYFUNCTION("""COMPUTED_VALUE"""),45301.8458217591)</f>
        <v>45301.845821759198</v>
      </c>
      <c r="C60" s="3" t="str">
        <f ca="1">IFERROR(__xludf.DUMMYFUNCTION("""COMPUTED_VALUE"""),"purchase")</f>
        <v>purchase</v>
      </c>
      <c r="D60" s="6">
        <f t="shared" ca="1" si="0"/>
        <v>45301</v>
      </c>
      <c r="E60" s="6">
        <f t="shared" ca="1" si="1"/>
        <v>45299</v>
      </c>
      <c r="F60" s="6">
        <f t="shared" ca="1" si="2"/>
        <v>45292</v>
      </c>
      <c r="G60" s="7"/>
    </row>
    <row r="61" spans="1:7" x14ac:dyDescent="0.2">
      <c r="A61" s="3">
        <f ca="1">IFERROR(__xludf.DUMMYFUNCTION("""COMPUTED_VALUE"""),1906)</f>
        <v>1906</v>
      </c>
      <c r="B61" s="6">
        <f ca="1">IFERROR(__xludf.DUMMYFUNCTION("""COMPUTED_VALUE"""),45301.9347800925)</f>
        <v>45301.934780092502</v>
      </c>
      <c r="C61" s="3" t="str">
        <f ca="1">IFERROR(__xludf.DUMMYFUNCTION("""COMPUTED_VALUE"""),"purchase")</f>
        <v>purchase</v>
      </c>
      <c r="D61" s="6">
        <f t="shared" ca="1" si="0"/>
        <v>45301</v>
      </c>
      <c r="E61" s="6">
        <f t="shared" ca="1" si="1"/>
        <v>45299</v>
      </c>
      <c r="F61" s="6">
        <f t="shared" ca="1" si="2"/>
        <v>45292</v>
      </c>
      <c r="G61" s="7"/>
    </row>
    <row r="62" spans="1:7" x14ac:dyDescent="0.2">
      <c r="A62" s="3">
        <f ca="1">IFERROR(__xludf.DUMMYFUNCTION("""COMPUTED_VALUE"""),6791)</f>
        <v>6791</v>
      </c>
      <c r="B62" s="6">
        <f ca="1">IFERROR(__xludf.DUMMYFUNCTION("""COMPUTED_VALUE"""),45302.1716782407)</f>
        <v>45302.171678240702</v>
      </c>
      <c r="C62" s="3" t="str">
        <f ca="1">IFERROR(__xludf.DUMMYFUNCTION("""COMPUTED_VALUE"""),"purchase")</f>
        <v>purchase</v>
      </c>
      <c r="D62" s="6">
        <f t="shared" ca="1" si="0"/>
        <v>45302</v>
      </c>
      <c r="E62" s="6">
        <f t="shared" ca="1" si="1"/>
        <v>45299</v>
      </c>
      <c r="F62" s="6">
        <f t="shared" ca="1" si="2"/>
        <v>45292</v>
      </c>
      <c r="G62" s="7"/>
    </row>
    <row r="63" spans="1:7" x14ac:dyDescent="0.2">
      <c r="A63" s="3">
        <f ca="1">IFERROR(__xludf.DUMMYFUNCTION("""COMPUTED_VALUE"""),734)</f>
        <v>734</v>
      </c>
      <c r="B63" s="6">
        <f ca="1">IFERROR(__xludf.DUMMYFUNCTION("""COMPUTED_VALUE"""),45302.2517939814)</f>
        <v>45302.251793981399</v>
      </c>
      <c r="C63" s="3" t="str">
        <f ca="1">IFERROR(__xludf.DUMMYFUNCTION("""COMPUTED_VALUE"""),"purchase")</f>
        <v>purchase</v>
      </c>
      <c r="D63" s="6">
        <f t="shared" ca="1" si="0"/>
        <v>45302</v>
      </c>
      <c r="E63" s="6">
        <f t="shared" ca="1" si="1"/>
        <v>45299</v>
      </c>
      <c r="F63" s="6">
        <f t="shared" ca="1" si="2"/>
        <v>45292</v>
      </c>
      <c r="G63" s="7"/>
    </row>
    <row r="64" spans="1:7" x14ac:dyDescent="0.2">
      <c r="A64" s="3">
        <f ca="1">IFERROR(__xludf.DUMMYFUNCTION("""COMPUTED_VALUE"""),4120)</f>
        <v>4120</v>
      </c>
      <c r="B64" s="6">
        <f ca="1">IFERROR(__xludf.DUMMYFUNCTION("""COMPUTED_VALUE"""),45302.3455671296)</f>
        <v>45302.345567129603</v>
      </c>
      <c r="C64" s="3" t="str">
        <f ca="1">IFERROR(__xludf.DUMMYFUNCTION("""COMPUTED_VALUE"""),"purchase")</f>
        <v>purchase</v>
      </c>
      <c r="D64" s="6">
        <f t="shared" ca="1" si="0"/>
        <v>45302</v>
      </c>
      <c r="E64" s="6">
        <f t="shared" ca="1" si="1"/>
        <v>45299</v>
      </c>
      <c r="F64" s="6">
        <f t="shared" ca="1" si="2"/>
        <v>45292</v>
      </c>
      <c r="G64" s="7"/>
    </row>
    <row r="65" spans="1:7" x14ac:dyDescent="0.2">
      <c r="A65" s="3">
        <f ca="1">IFERROR(__xludf.DUMMYFUNCTION("""COMPUTED_VALUE"""),1587)</f>
        <v>1587</v>
      </c>
      <c r="B65" s="6">
        <f ca="1">IFERROR(__xludf.DUMMYFUNCTION("""COMPUTED_VALUE"""),45302.3981712963)</f>
        <v>45302.3981712963</v>
      </c>
      <c r="C65" s="3" t="str">
        <f ca="1">IFERROR(__xludf.DUMMYFUNCTION("""COMPUTED_VALUE"""),"purchase")</f>
        <v>purchase</v>
      </c>
      <c r="D65" s="6">
        <f t="shared" ca="1" si="0"/>
        <v>45302</v>
      </c>
      <c r="E65" s="6">
        <f t="shared" ca="1" si="1"/>
        <v>45299</v>
      </c>
      <c r="F65" s="6">
        <f t="shared" ca="1" si="2"/>
        <v>45292</v>
      </c>
      <c r="G65" s="7"/>
    </row>
    <row r="66" spans="1:7" x14ac:dyDescent="0.2">
      <c r="A66" s="3">
        <f ca="1">IFERROR(__xludf.DUMMYFUNCTION("""COMPUTED_VALUE"""),1455)</f>
        <v>1455</v>
      </c>
      <c r="B66" s="6">
        <f ca="1">IFERROR(__xludf.DUMMYFUNCTION("""COMPUTED_VALUE"""),45302.5395833333)</f>
        <v>45302.539583333302</v>
      </c>
      <c r="C66" s="3" t="str">
        <f ca="1">IFERROR(__xludf.DUMMYFUNCTION("""COMPUTED_VALUE"""),"purchase")</f>
        <v>purchase</v>
      </c>
      <c r="D66" s="6">
        <f t="shared" ca="1" si="0"/>
        <v>45302</v>
      </c>
      <c r="E66" s="6">
        <f t="shared" ca="1" si="1"/>
        <v>45299</v>
      </c>
      <c r="F66" s="6">
        <f t="shared" ca="1" si="2"/>
        <v>45292</v>
      </c>
      <c r="G66" s="7"/>
    </row>
    <row r="67" spans="1:7" x14ac:dyDescent="0.2">
      <c r="A67" s="3">
        <f ca="1">IFERROR(__xludf.DUMMYFUNCTION("""COMPUTED_VALUE"""),799)</f>
        <v>799</v>
      </c>
      <c r="B67" s="6">
        <f ca="1">IFERROR(__xludf.DUMMYFUNCTION("""COMPUTED_VALUE"""),45302.63625)</f>
        <v>45302.636250000003</v>
      </c>
      <c r="C67" s="3" t="str">
        <f ca="1">IFERROR(__xludf.DUMMYFUNCTION("""COMPUTED_VALUE"""),"purchase")</f>
        <v>purchase</v>
      </c>
      <c r="D67" s="6">
        <f t="shared" ca="1" si="0"/>
        <v>45302</v>
      </c>
      <c r="E67" s="6">
        <f t="shared" ca="1" si="1"/>
        <v>45299</v>
      </c>
      <c r="F67" s="6">
        <f t="shared" ca="1" si="2"/>
        <v>45292</v>
      </c>
      <c r="G67" s="7"/>
    </row>
    <row r="68" spans="1:7" x14ac:dyDescent="0.2">
      <c r="A68" s="3">
        <f ca="1">IFERROR(__xludf.DUMMYFUNCTION("""COMPUTED_VALUE"""),6339)</f>
        <v>6339</v>
      </c>
      <c r="B68" s="6">
        <f ca="1">IFERROR(__xludf.DUMMYFUNCTION("""COMPUTED_VALUE"""),45302.6420486111)</f>
        <v>45302.642048611102</v>
      </c>
      <c r="C68" s="3" t="str">
        <f ca="1">IFERROR(__xludf.DUMMYFUNCTION("""COMPUTED_VALUE"""),"purchase")</f>
        <v>purchase</v>
      </c>
      <c r="D68" s="6">
        <f t="shared" ca="1" si="0"/>
        <v>45302</v>
      </c>
      <c r="E68" s="6">
        <f t="shared" ca="1" si="1"/>
        <v>45299</v>
      </c>
      <c r="F68" s="6">
        <f t="shared" ca="1" si="2"/>
        <v>45292</v>
      </c>
      <c r="G68" s="7"/>
    </row>
    <row r="69" spans="1:7" x14ac:dyDescent="0.2">
      <c r="A69" s="3">
        <f ca="1">IFERROR(__xludf.DUMMYFUNCTION("""COMPUTED_VALUE"""),2150)</f>
        <v>2150</v>
      </c>
      <c r="B69" s="6">
        <f ca="1">IFERROR(__xludf.DUMMYFUNCTION("""COMPUTED_VALUE"""),45302.687199074)</f>
        <v>45302.687199073996</v>
      </c>
      <c r="C69" s="3" t="str">
        <f ca="1">IFERROR(__xludf.DUMMYFUNCTION("""COMPUTED_VALUE"""),"purchase")</f>
        <v>purchase</v>
      </c>
      <c r="D69" s="6">
        <f t="shared" ca="1" si="0"/>
        <v>45302</v>
      </c>
      <c r="E69" s="6">
        <f t="shared" ca="1" si="1"/>
        <v>45299</v>
      </c>
      <c r="F69" s="6">
        <f t="shared" ca="1" si="2"/>
        <v>45292</v>
      </c>
      <c r="G69" s="7"/>
    </row>
    <row r="70" spans="1:7" x14ac:dyDescent="0.2">
      <c r="A70" s="3">
        <f ca="1">IFERROR(__xludf.DUMMYFUNCTION("""COMPUTED_VALUE"""),6799)</f>
        <v>6799</v>
      </c>
      <c r="B70" s="6">
        <f ca="1">IFERROR(__xludf.DUMMYFUNCTION("""COMPUTED_VALUE"""),45302.7664467592)</f>
        <v>45302.766446759197</v>
      </c>
      <c r="C70" s="3" t="str">
        <f ca="1">IFERROR(__xludf.DUMMYFUNCTION("""COMPUTED_VALUE"""),"purchase")</f>
        <v>purchase</v>
      </c>
      <c r="D70" s="6">
        <f t="shared" ca="1" si="0"/>
        <v>45302</v>
      </c>
      <c r="E70" s="6">
        <f t="shared" ca="1" si="1"/>
        <v>45299</v>
      </c>
      <c r="F70" s="6">
        <f t="shared" ca="1" si="2"/>
        <v>45292</v>
      </c>
      <c r="G70" s="7"/>
    </row>
    <row r="71" spans="1:7" x14ac:dyDescent="0.2">
      <c r="A71" s="3">
        <f ca="1">IFERROR(__xludf.DUMMYFUNCTION("""COMPUTED_VALUE"""),4512)</f>
        <v>4512</v>
      </c>
      <c r="B71" s="6">
        <f ca="1">IFERROR(__xludf.DUMMYFUNCTION("""COMPUTED_VALUE"""),45302.8656134259)</f>
        <v>45302.8656134259</v>
      </c>
      <c r="C71" s="3" t="str">
        <f ca="1">IFERROR(__xludf.DUMMYFUNCTION("""COMPUTED_VALUE"""),"purchase")</f>
        <v>purchase</v>
      </c>
      <c r="D71" s="6">
        <f t="shared" ca="1" si="0"/>
        <v>45302</v>
      </c>
      <c r="E71" s="6">
        <f t="shared" ca="1" si="1"/>
        <v>45299</v>
      </c>
      <c r="F71" s="6">
        <f t="shared" ca="1" si="2"/>
        <v>45292</v>
      </c>
      <c r="G71" s="7"/>
    </row>
    <row r="72" spans="1:7" x14ac:dyDescent="0.2">
      <c r="A72" s="3">
        <f ca="1">IFERROR(__xludf.DUMMYFUNCTION("""COMPUTED_VALUE"""),2620)</f>
        <v>2620</v>
      </c>
      <c r="B72" s="6">
        <f ca="1">IFERROR(__xludf.DUMMYFUNCTION("""COMPUTED_VALUE"""),45302.9535763888)</f>
        <v>45302.953576388798</v>
      </c>
      <c r="C72" s="3" t="str">
        <f ca="1">IFERROR(__xludf.DUMMYFUNCTION("""COMPUTED_VALUE"""),"purchase")</f>
        <v>purchase</v>
      </c>
      <c r="D72" s="6">
        <f t="shared" ca="1" si="0"/>
        <v>45302</v>
      </c>
      <c r="E72" s="6">
        <f t="shared" ca="1" si="1"/>
        <v>45299</v>
      </c>
      <c r="F72" s="6">
        <f t="shared" ca="1" si="2"/>
        <v>45292</v>
      </c>
      <c r="G72" s="7"/>
    </row>
    <row r="73" spans="1:7" x14ac:dyDescent="0.2">
      <c r="A73" s="3">
        <f ca="1">IFERROR(__xludf.DUMMYFUNCTION("""COMPUTED_VALUE"""),1058)</f>
        <v>1058</v>
      </c>
      <c r="B73" s="6">
        <f ca="1">IFERROR(__xludf.DUMMYFUNCTION("""COMPUTED_VALUE"""),45302.9637847222)</f>
        <v>45302.963784722197</v>
      </c>
      <c r="C73" s="3" t="str">
        <f ca="1">IFERROR(__xludf.DUMMYFUNCTION("""COMPUTED_VALUE"""),"purchase")</f>
        <v>purchase</v>
      </c>
      <c r="D73" s="6">
        <f t="shared" ca="1" si="0"/>
        <v>45302</v>
      </c>
      <c r="E73" s="6">
        <f t="shared" ca="1" si="1"/>
        <v>45299</v>
      </c>
      <c r="F73" s="6">
        <f t="shared" ca="1" si="2"/>
        <v>45292</v>
      </c>
      <c r="G73" s="7"/>
    </row>
    <row r="74" spans="1:7" x14ac:dyDescent="0.2">
      <c r="A74" s="3">
        <f ca="1">IFERROR(__xludf.DUMMYFUNCTION("""COMPUTED_VALUE"""),5489)</f>
        <v>5489</v>
      </c>
      <c r="B74" s="6">
        <f ca="1">IFERROR(__xludf.DUMMYFUNCTION("""COMPUTED_VALUE"""),45302.9949884259)</f>
        <v>45302.994988425897</v>
      </c>
      <c r="C74" s="3" t="str">
        <f ca="1">IFERROR(__xludf.DUMMYFUNCTION("""COMPUTED_VALUE"""),"purchase")</f>
        <v>purchase</v>
      </c>
      <c r="D74" s="6">
        <f t="shared" ca="1" si="0"/>
        <v>45302</v>
      </c>
      <c r="E74" s="6">
        <f t="shared" ca="1" si="1"/>
        <v>45299</v>
      </c>
      <c r="F74" s="6">
        <f t="shared" ca="1" si="2"/>
        <v>45292</v>
      </c>
      <c r="G74" s="7"/>
    </row>
    <row r="75" spans="1:7" x14ac:dyDescent="0.2">
      <c r="A75" s="3">
        <f ca="1">IFERROR(__xludf.DUMMYFUNCTION("""COMPUTED_VALUE"""),3616)</f>
        <v>3616</v>
      </c>
      <c r="B75" s="6">
        <f ca="1">IFERROR(__xludf.DUMMYFUNCTION("""COMPUTED_VALUE"""),45303.0039351851)</f>
        <v>45303.003935185101</v>
      </c>
      <c r="C75" s="3" t="str">
        <f ca="1">IFERROR(__xludf.DUMMYFUNCTION("""COMPUTED_VALUE"""),"purchase")</f>
        <v>purchase</v>
      </c>
      <c r="D75" s="6">
        <f t="shared" ca="1" si="0"/>
        <v>45303</v>
      </c>
      <c r="E75" s="6">
        <f t="shared" ca="1" si="1"/>
        <v>45299</v>
      </c>
      <c r="F75" s="6">
        <f t="shared" ca="1" si="2"/>
        <v>45292</v>
      </c>
      <c r="G75" s="7"/>
    </row>
    <row r="76" spans="1:7" x14ac:dyDescent="0.2">
      <c r="A76" s="3">
        <f ca="1">IFERROR(__xludf.DUMMYFUNCTION("""COMPUTED_VALUE"""),1128)</f>
        <v>1128</v>
      </c>
      <c r="B76" s="6">
        <f ca="1">IFERROR(__xludf.DUMMYFUNCTION("""COMPUTED_VALUE"""),45303.0473611111)</f>
        <v>45303.047361111101</v>
      </c>
      <c r="C76" s="3" t="str">
        <f ca="1">IFERROR(__xludf.DUMMYFUNCTION("""COMPUTED_VALUE"""),"purchase")</f>
        <v>purchase</v>
      </c>
      <c r="D76" s="6">
        <f t="shared" ca="1" si="0"/>
        <v>45303</v>
      </c>
      <c r="E76" s="6">
        <f t="shared" ca="1" si="1"/>
        <v>45299</v>
      </c>
      <c r="F76" s="6">
        <f t="shared" ca="1" si="2"/>
        <v>45292</v>
      </c>
      <c r="G76" s="7"/>
    </row>
    <row r="77" spans="1:7" x14ac:dyDescent="0.2">
      <c r="A77" s="3">
        <f ca="1">IFERROR(__xludf.DUMMYFUNCTION("""COMPUTED_VALUE"""),5367)</f>
        <v>5367</v>
      </c>
      <c r="B77" s="6">
        <f ca="1">IFERROR(__xludf.DUMMYFUNCTION("""COMPUTED_VALUE"""),45303.1824305555)</f>
        <v>45303.182430555498</v>
      </c>
      <c r="C77" s="3" t="str">
        <f ca="1">IFERROR(__xludf.DUMMYFUNCTION("""COMPUTED_VALUE"""),"purchase")</f>
        <v>purchase</v>
      </c>
      <c r="D77" s="6">
        <f t="shared" ca="1" si="0"/>
        <v>45303</v>
      </c>
      <c r="E77" s="6">
        <f t="shared" ca="1" si="1"/>
        <v>45299</v>
      </c>
      <c r="F77" s="6">
        <f t="shared" ca="1" si="2"/>
        <v>45292</v>
      </c>
      <c r="G77" s="7"/>
    </row>
    <row r="78" spans="1:7" x14ac:dyDescent="0.2">
      <c r="A78" s="3">
        <f ca="1">IFERROR(__xludf.DUMMYFUNCTION("""COMPUTED_VALUE"""),5390)</f>
        <v>5390</v>
      </c>
      <c r="B78" s="6">
        <f ca="1">IFERROR(__xludf.DUMMYFUNCTION("""COMPUTED_VALUE"""),45303.1885300925)</f>
        <v>45303.188530092499</v>
      </c>
      <c r="C78" s="3" t="str">
        <f ca="1">IFERROR(__xludf.DUMMYFUNCTION("""COMPUTED_VALUE"""),"purchase")</f>
        <v>purchase</v>
      </c>
      <c r="D78" s="6">
        <f t="shared" ca="1" si="0"/>
        <v>45303</v>
      </c>
      <c r="E78" s="6">
        <f t="shared" ca="1" si="1"/>
        <v>45299</v>
      </c>
      <c r="F78" s="6">
        <f t="shared" ca="1" si="2"/>
        <v>45292</v>
      </c>
      <c r="G78" s="7"/>
    </row>
    <row r="79" spans="1:7" x14ac:dyDescent="0.2">
      <c r="A79" s="3">
        <f ca="1">IFERROR(__xludf.DUMMYFUNCTION("""COMPUTED_VALUE"""),5633)</f>
        <v>5633</v>
      </c>
      <c r="B79" s="6">
        <f ca="1">IFERROR(__xludf.DUMMYFUNCTION("""COMPUTED_VALUE"""),45303.2431828703)</f>
        <v>45303.243182870297</v>
      </c>
      <c r="C79" s="3" t="str">
        <f ca="1">IFERROR(__xludf.DUMMYFUNCTION("""COMPUTED_VALUE"""),"purchase")</f>
        <v>purchase</v>
      </c>
      <c r="D79" s="6">
        <f t="shared" ca="1" si="0"/>
        <v>45303</v>
      </c>
      <c r="E79" s="6">
        <f t="shared" ca="1" si="1"/>
        <v>45299</v>
      </c>
      <c r="F79" s="6">
        <f t="shared" ca="1" si="2"/>
        <v>45292</v>
      </c>
      <c r="G79" s="7"/>
    </row>
    <row r="80" spans="1:7" x14ac:dyDescent="0.2">
      <c r="A80" s="3">
        <f ca="1">IFERROR(__xludf.DUMMYFUNCTION("""COMPUTED_VALUE"""),4772)</f>
        <v>4772</v>
      </c>
      <c r="B80" s="6">
        <f ca="1">IFERROR(__xludf.DUMMYFUNCTION("""COMPUTED_VALUE"""),45303.3061342592)</f>
        <v>45303.306134259197</v>
      </c>
      <c r="C80" s="3" t="str">
        <f ca="1">IFERROR(__xludf.DUMMYFUNCTION("""COMPUTED_VALUE"""),"purchase")</f>
        <v>purchase</v>
      </c>
      <c r="D80" s="6">
        <f t="shared" ca="1" si="0"/>
        <v>45303</v>
      </c>
      <c r="E80" s="6">
        <f t="shared" ca="1" si="1"/>
        <v>45299</v>
      </c>
      <c r="F80" s="6">
        <f t="shared" ca="1" si="2"/>
        <v>45292</v>
      </c>
      <c r="G80" s="7"/>
    </row>
    <row r="81" spans="1:7" x14ac:dyDescent="0.2">
      <c r="A81" s="3">
        <f ca="1">IFERROR(__xludf.DUMMYFUNCTION("""COMPUTED_VALUE"""),2852)</f>
        <v>2852</v>
      </c>
      <c r="B81" s="6">
        <f ca="1">IFERROR(__xludf.DUMMYFUNCTION("""COMPUTED_VALUE"""),45303.491099537)</f>
        <v>45303.491099537001</v>
      </c>
      <c r="C81" s="3" t="str">
        <f ca="1">IFERROR(__xludf.DUMMYFUNCTION("""COMPUTED_VALUE"""),"purchase")</f>
        <v>purchase</v>
      </c>
      <c r="D81" s="6">
        <f t="shared" ca="1" si="0"/>
        <v>45303</v>
      </c>
      <c r="E81" s="6">
        <f t="shared" ca="1" si="1"/>
        <v>45299</v>
      </c>
      <c r="F81" s="6">
        <f t="shared" ca="1" si="2"/>
        <v>45292</v>
      </c>
      <c r="G81" s="7"/>
    </row>
    <row r="82" spans="1:7" x14ac:dyDescent="0.2">
      <c r="A82" s="3">
        <f ca="1">IFERROR(__xludf.DUMMYFUNCTION("""COMPUTED_VALUE"""),3718)</f>
        <v>3718</v>
      </c>
      <c r="B82" s="6">
        <f ca="1">IFERROR(__xludf.DUMMYFUNCTION("""COMPUTED_VALUE"""),45303.6278587962)</f>
        <v>45303.627858796201</v>
      </c>
      <c r="C82" s="3" t="str">
        <f ca="1">IFERROR(__xludf.DUMMYFUNCTION("""COMPUTED_VALUE"""),"purchase")</f>
        <v>purchase</v>
      </c>
      <c r="D82" s="6">
        <f t="shared" ca="1" si="0"/>
        <v>45303</v>
      </c>
      <c r="E82" s="6">
        <f t="shared" ca="1" si="1"/>
        <v>45299</v>
      </c>
      <c r="F82" s="6">
        <f t="shared" ca="1" si="2"/>
        <v>45292</v>
      </c>
      <c r="G82" s="7"/>
    </row>
    <row r="83" spans="1:7" x14ac:dyDescent="0.2">
      <c r="A83" s="3">
        <f ca="1">IFERROR(__xludf.DUMMYFUNCTION("""COMPUTED_VALUE"""),334)</f>
        <v>334</v>
      </c>
      <c r="B83" s="6">
        <f ca="1">IFERROR(__xludf.DUMMYFUNCTION("""COMPUTED_VALUE"""),45303.8749652777)</f>
        <v>45303.874965277697</v>
      </c>
      <c r="C83" s="3" t="str">
        <f ca="1">IFERROR(__xludf.DUMMYFUNCTION("""COMPUTED_VALUE"""),"purchase")</f>
        <v>purchase</v>
      </c>
      <c r="D83" s="6">
        <f t="shared" ca="1" si="0"/>
        <v>45303</v>
      </c>
      <c r="E83" s="6">
        <f t="shared" ca="1" si="1"/>
        <v>45299</v>
      </c>
      <c r="F83" s="6">
        <f t="shared" ca="1" si="2"/>
        <v>45292</v>
      </c>
      <c r="G83" s="7"/>
    </row>
    <row r="84" spans="1:7" x14ac:dyDescent="0.2">
      <c r="A84" s="3">
        <f ca="1">IFERROR(__xludf.DUMMYFUNCTION("""COMPUTED_VALUE"""),1898)</f>
        <v>1898</v>
      </c>
      <c r="B84" s="6">
        <f ca="1">IFERROR(__xludf.DUMMYFUNCTION("""COMPUTED_VALUE"""),45303.942199074)</f>
        <v>45303.942199074001</v>
      </c>
      <c r="C84" s="3" t="str">
        <f ca="1">IFERROR(__xludf.DUMMYFUNCTION("""COMPUTED_VALUE"""),"purchase")</f>
        <v>purchase</v>
      </c>
      <c r="D84" s="6">
        <f t="shared" ca="1" si="0"/>
        <v>45303</v>
      </c>
      <c r="E84" s="6">
        <f t="shared" ca="1" si="1"/>
        <v>45299</v>
      </c>
      <c r="F84" s="6">
        <f t="shared" ca="1" si="2"/>
        <v>45292</v>
      </c>
      <c r="G84" s="7"/>
    </row>
    <row r="85" spans="1:7" x14ac:dyDescent="0.2">
      <c r="A85" s="3">
        <f ca="1">IFERROR(__xludf.DUMMYFUNCTION("""COMPUTED_VALUE"""),4694)</f>
        <v>4694</v>
      </c>
      <c r="B85" s="6">
        <f ca="1">IFERROR(__xludf.DUMMYFUNCTION("""COMPUTED_VALUE"""),45303.9546180555)</f>
        <v>45303.954618055497</v>
      </c>
      <c r="C85" s="3" t="str">
        <f ca="1">IFERROR(__xludf.DUMMYFUNCTION("""COMPUTED_VALUE"""),"purchase")</f>
        <v>purchase</v>
      </c>
      <c r="D85" s="6">
        <f t="shared" ca="1" si="0"/>
        <v>45303</v>
      </c>
      <c r="E85" s="6">
        <f t="shared" ca="1" si="1"/>
        <v>45299</v>
      </c>
      <c r="F85" s="6">
        <f t="shared" ca="1" si="2"/>
        <v>45292</v>
      </c>
      <c r="G85" s="7"/>
    </row>
    <row r="86" spans="1:7" x14ac:dyDescent="0.2">
      <c r="A86" s="3">
        <f ca="1">IFERROR(__xludf.DUMMYFUNCTION("""COMPUTED_VALUE"""),6790)</f>
        <v>6790</v>
      </c>
      <c r="B86" s="6">
        <f ca="1">IFERROR(__xludf.DUMMYFUNCTION("""COMPUTED_VALUE"""),45304.1838773148)</f>
        <v>45304.183877314797</v>
      </c>
      <c r="C86" s="3" t="str">
        <f ca="1">IFERROR(__xludf.DUMMYFUNCTION("""COMPUTED_VALUE"""),"purchase")</f>
        <v>purchase</v>
      </c>
      <c r="D86" s="6">
        <f t="shared" ca="1" si="0"/>
        <v>45304</v>
      </c>
      <c r="E86" s="6">
        <f t="shared" ca="1" si="1"/>
        <v>45299</v>
      </c>
      <c r="F86" s="6">
        <f t="shared" ca="1" si="2"/>
        <v>45292</v>
      </c>
      <c r="G86" s="7"/>
    </row>
    <row r="87" spans="1:7" x14ac:dyDescent="0.2">
      <c r="A87" s="3">
        <f ca="1">IFERROR(__xludf.DUMMYFUNCTION("""COMPUTED_VALUE"""),1407)</f>
        <v>1407</v>
      </c>
      <c r="B87" s="6">
        <f ca="1">IFERROR(__xludf.DUMMYFUNCTION("""COMPUTED_VALUE"""),45304.2258101851)</f>
        <v>45304.225810185097</v>
      </c>
      <c r="C87" s="3" t="str">
        <f ca="1">IFERROR(__xludf.DUMMYFUNCTION("""COMPUTED_VALUE"""),"purchase")</f>
        <v>purchase</v>
      </c>
      <c r="D87" s="6">
        <f t="shared" ca="1" si="0"/>
        <v>45304</v>
      </c>
      <c r="E87" s="6">
        <f t="shared" ca="1" si="1"/>
        <v>45299</v>
      </c>
      <c r="F87" s="6">
        <f t="shared" ca="1" si="2"/>
        <v>45292</v>
      </c>
      <c r="G87" s="7"/>
    </row>
    <row r="88" spans="1:7" x14ac:dyDescent="0.2">
      <c r="A88" s="3">
        <f ca="1">IFERROR(__xludf.DUMMYFUNCTION("""COMPUTED_VALUE"""),5326)</f>
        <v>5326</v>
      </c>
      <c r="B88" s="6">
        <f ca="1">IFERROR(__xludf.DUMMYFUNCTION("""COMPUTED_VALUE"""),45304.2506944444)</f>
        <v>45304.250694444403</v>
      </c>
      <c r="C88" s="3" t="str">
        <f ca="1">IFERROR(__xludf.DUMMYFUNCTION("""COMPUTED_VALUE"""),"purchase")</f>
        <v>purchase</v>
      </c>
      <c r="D88" s="6">
        <f t="shared" ca="1" si="0"/>
        <v>45304</v>
      </c>
      <c r="E88" s="6">
        <f t="shared" ca="1" si="1"/>
        <v>45299</v>
      </c>
      <c r="F88" s="6">
        <f t="shared" ca="1" si="2"/>
        <v>45292</v>
      </c>
      <c r="G88" s="7"/>
    </row>
    <row r="89" spans="1:7" x14ac:dyDescent="0.2">
      <c r="A89" s="3">
        <f ca="1">IFERROR(__xludf.DUMMYFUNCTION("""COMPUTED_VALUE"""),665)</f>
        <v>665</v>
      </c>
      <c r="B89" s="6">
        <f ca="1">IFERROR(__xludf.DUMMYFUNCTION("""COMPUTED_VALUE"""),45304.2980208333)</f>
        <v>45304.298020833303</v>
      </c>
      <c r="C89" s="3" t="str">
        <f ca="1">IFERROR(__xludf.DUMMYFUNCTION("""COMPUTED_VALUE"""),"purchase")</f>
        <v>purchase</v>
      </c>
      <c r="D89" s="6">
        <f t="shared" ca="1" si="0"/>
        <v>45304</v>
      </c>
      <c r="E89" s="6">
        <f t="shared" ca="1" si="1"/>
        <v>45299</v>
      </c>
      <c r="F89" s="6">
        <f t="shared" ca="1" si="2"/>
        <v>45292</v>
      </c>
      <c r="G89" s="7"/>
    </row>
    <row r="90" spans="1:7" x14ac:dyDescent="0.2">
      <c r="A90" s="3">
        <f ca="1">IFERROR(__xludf.DUMMYFUNCTION("""COMPUTED_VALUE"""),545)</f>
        <v>545</v>
      </c>
      <c r="B90" s="6">
        <f ca="1">IFERROR(__xludf.DUMMYFUNCTION("""COMPUTED_VALUE"""),45304.3184259259)</f>
        <v>45304.3184259259</v>
      </c>
      <c r="C90" s="3" t="str">
        <f ca="1">IFERROR(__xludf.DUMMYFUNCTION("""COMPUTED_VALUE"""),"purchase")</f>
        <v>purchase</v>
      </c>
      <c r="D90" s="6">
        <f t="shared" ca="1" si="0"/>
        <v>45304</v>
      </c>
      <c r="E90" s="6">
        <f t="shared" ca="1" si="1"/>
        <v>45299</v>
      </c>
      <c r="F90" s="6">
        <f t="shared" ca="1" si="2"/>
        <v>45292</v>
      </c>
      <c r="G90" s="7"/>
    </row>
    <row r="91" spans="1:7" x14ac:dyDescent="0.2">
      <c r="A91" s="3">
        <f ca="1">IFERROR(__xludf.DUMMYFUNCTION("""COMPUTED_VALUE"""),2796)</f>
        <v>2796</v>
      </c>
      <c r="B91" s="6">
        <f ca="1">IFERROR(__xludf.DUMMYFUNCTION("""COMPUTED_VALUE"""),45304.3298611111)</f>
        <v>45304.329861111102</v>
      </c>
      <c r="C91" s="3" t="str">
        <f ca="1">IFERROR(__xludf.DUMMYFUNCTION("""COMPUTED_VALUE"""),"purchase")</f>
        <v>purchase</v>
      </c>
      <c r="D91" s="6">
        <f t="shared" ca="1" si="0"/>
        <v>45304</v>
      </c>
      <c r="E91" s="6">
        <f t="shared" ca="1" si="1"/>
        <v>45299</v>
      </c>
      <c r="F91" s="6">
        <f t="shared" ca="1" si="2"/>
        <v>45292</v>
      </c>
      <c r="G91" s="7"/>
    </row>
    <row r="92" spans="1:7" x14ac:dyDescent="0.2">
      <c r="A92" s="3">
        <f ca="1">IFERROR(__xludf.DUMMYFUNCTION("""COMPUTED_VALUE"""),3772)</f>
        <v>3772</v>
      </c>
      <c r="B92" s="6">
        <f ca="1">IFERROR(__xludf.DUMMYFUNCTION("""COMPUTED_VALUE"""),45304.3590625)</f>
        <v>45304.3590625</v>
      </c>
      <c r="C92" s="3" t="str">
        <f ca="1">IFERROR(__xludf.DUMMYFUNCTION("""COMPUTED_VALUE"""),"purchase")</f>
        <v>purchase</v>
      </c>
      <c r="D92" s="6">
        <f t="shared" ca="1" si="0"/>
        <v>45304</v>
      </c>
      <c r="E92" s="6">
        <f t="shared" ca="1" si="1"/>
        <v>45299</v>
      </c>
      <c r="F92" s="6">
        <f t="shared" ca="1" si="2"/>
        <v>45292</v>
      </c>
      <c r="G92" s="7"/>
    </row>
    <row r="93" spans="1:7" x14ac:dyDescent="0.2">
      <c r="A93" s="3">
        <f ca="1">IFERROR(__xludf.DUMMYFUNCTION("""COMPUTED_VALUE"""),248)</f>
        <v>248</v>
      </c>
      <c r="B93" s="6">
        <f ca="1">IFERROR(__xludf.DUMMYFUNCTION("""COMPUTED_VALUE"""),45304.5085185185)</f>
        <v>45304.508518518502</v>
      </c>
      <c r="C93" s="3" t="str">
        <f ca="1">IFERROR(__xludf.DUMMYFUNCTION("""COMPUTED_VALUE"""),"purchase")</f>
        <v>purchase</v>
      </c>
      <c r="D93" s="6">
        <f t="shared" ca="1" si="0"/>
        <v>45304</v>
      </c>
      <c r="E93" s="6">
        <f t="shared" ca="1" si="1"/>
        <v>45299</v>
      </c>
      <c r="F93" s="6">
        <f t="shared" ca="1" si="2"/>
        <v>45292</v>
      </c>
      <c r="G93" s="7"/>
    </row>
    <row r="94" spans="1:7" x14ac:dyDescent="0.2">
      <c r="A94" s="3">
        <f ca="1">IFERROR(__xludf.DUMMYFUNCTION("""COMPUTED_VALUE"""),3906)</f>
        <v>3906</v>
      </c>
      <c r="B94" s="6">
        <f ca="1">IFERROR(__xludf.DUMMYFUNCTION("""COMPUTED_VALUE"""),45304.5369560185)</f>
        <v>45304.536956018499</v>
      </c>
      <c r="C94" s="3" t="str">
        <f ca="1">IFERROR(__xludf.DUMMYFUNCTION("""COMPUTED_VALUE"""),"purchase")</f>
        <v>purchase</v>
      </c>
      <c r="D94" s="6">
        <f t="shared" ca="1" si="0"/>
        <v>45304</v>
      </c>
      <c r="E94" s="6">
        <f t="shared" ca="1" si="1"/>
        <v>45299</v>
      </c>
      <c r="F94" s="6">
        <f t="shared" ca="1" si="2"/>
        <v>45292</v>
      </c>
      <c r="G94" s="7"/>
    </row>
    <row r="95" spans="1:7" x14ac:dyDescent="0.2">
      <c r="A95" s="3">
        <f ca="1">IFERROR(__xludf.DUMMYFUNCTION("""COMPUTED_VALUE"""),702)</f>
        <v>702</v>
      </c>
      <c r="B95" s="6">
        <f ca="1">IFERROR(__xludf.DUMMYFUNCTION("""COMPUTED_VALUE"""),45304.5467939814)</f>
        <v>45304.546793981397</v>
      </c>
      <c r="C95" s="3" t="str">
        <f ca="1">IFERROR(__xludf.DUMMYFUNCTION("""COMPUTED_VALUE"""),"purchase")</f>
        <v>purchase</v>
      </c>
      <c r="D95" s="6">
        <f t="shared" ca="1" si="0"/>
        <v>45304</v>
      </c>
      <c r="E95" s="6">
        <f t="shared" ca="1" si="1"/>
        <v>45299</v>
      </c>
      <c r="F95" s="6">
        <f t="shared" ca="1" si="2"/>
        <v>45292</v>
      </c>
      <c r="G95" s="7"/>
    </row>
    <row r="96" spans="1:7" x14ac:dyDescent="0.2">
      <c r="A96" s="3">
        <f ca="1">IFERROR(__xludf.DUMMYFUNCTION("""COMPUTED_VALUE"""),394)</f>
        <v>394</v>
      </c>
      <c r="B96" s="6">
        <f ca="1">IFERROR(__xludf.DUMMYFUNCTION("""COMPUTED_VALUE"""),45304.6596875)</f>
        <v>45304.659687500003</v>
      </c>
      <c r="C96" s="3" t="str">
        <f ca="1">IFERROR(__xludf.DUMMYFUNCTION("""COMPUTED_VALUE"""),"purchase")</f>
        <v>purchase</v>
      </c>
      <c r="D96" s="6">
        <f t="shared" ca="1" si="0"/>
        <v>45304</v>
      </c>
      <c r="E96" s="6">
        <f t="shared" ca="1" si="1"/>
        <v>45299</v>
      </c>
      <c r="F96" s="6">
        <f t="shared" ca="1" si="2"/>
        <v>45292</v>
      </c>
      <c r="G96" s="7"/>
    </row>
    <row r="97" spans="1:7" x14ac:dyDescent="0.2">
      <c r="A97" s="3">
        <f ca="1">IFERROR(__xludf.DUMMYFUNCTION("""COMPUTED_VALUE"""),5485)</f>
        <v>5485</v>
      </c>
      <c r="B97" s="6">
        <f ca="1">IFERROR(__xludf.DUMMYFUNCTION("""COMPUTED_VALUE"""),45304.81375)</f>
        <v>45304.813750000001</v>
      </c>
      <c r="C97" s="3" t="str">
        <f ca="1">IFERROR(__xludf.DUMMYFUNCTION("""COMPUTED_VALUE"""),"purchase")</f>
        <v>purchase</v>
      </c>
      <c r="D97" s="6">
        <f t="shared" ca="1" si="0"/>
        <v>45304</v>
      </c>
      <c r="E97" s="6">
        <f t="shared" ca="1" si="1"/>
        <v>45299</v>
      </c>
      <c r="F97" s="6">
        <f t="shared" ca="1" si="2"/>
        <v>45292</v>
      </c>
      <c r="G97" s="7"/>
    </row>
    <row r="98" spans="1:7" x14ac:dyDescent="0.2">
      <c r="A98" s="3">
        <f ca="1">IFERROR(__xludf.DUMMYFUNCTION("""COMPUTED_VALUE"""),707)</f>
        <v>707</v>
      </c>
      <c r="B98" s="6">
        <f ca="1">IFERROR(__xludf.DUMMYFUNCTION("""COMPUTED_VALUE"""),45304.9665509259)</f>
        <v>45304.966550925899</v>
      </c>
      <c r="C98" s="3" t="str">
        <f ca="1">IFERROR(__xludf.DUMMYFUNCTION("""COMPUTED_VALUE"""),"purchase")</f>
        <v>purchase</v>
      </c>
      <c r="D98" s="6">
        <f t="shared" ca="1" si="0"/>
        <v>45304</v>
      </c>
      <c r="E98" s="6">
        <f t="shared" ca="1" si="1"/>
        <v>45299</v>
      </c>
      <c r="F98" s="6">
        <f t="shared" ca="1" si="2"/>
        <v>45292</v>
      </c>
      <c r="G98" s="7"/>
    </row>
    <row r="99" spans="1:7" x14ac:dyDescent="0.2">
      <c r="A99" s="3">
        <f ca="1">IFERROR(__xludf.DUMMYFUNCTION("""COMPUTED_VALUE"""),3165)</f>
        <v>3165</v>
      </c>
      <c r="B99" s="6">
        <f ca="1">IFERROR(__xludf.DUMMYFUNCTION("""COMPUTED_VALUE"""),45305.0832291666)</f>
        <v>45305.083229166601</v>
      </c>
      <c r="C99" s="3" t="str">
        <f ca="1">IFERROR(__xludf.DUMMYFUNCTION("""COMPUTED_VALUE"""),"purchase")</f>
        <v>purchase</v>
      </c>
      <c r="D99" s="6">
        <f t="shared" ca="1" si="0"/>
        <v>45305</v>
      </c>
      <c r="E99" s="6">
        <f t="shared" ca="1" si="1"/>
        <v>45299</v>
      </c>
      <c r="F99" s="6">
        <f t="shared" ca="1" si="2"/>
        <v>45292</v>
      </c>
      <c r="G99" s="7"/>
    </row>
    <row r="100" spans="1:7" x14ac:dyDescent="0.2">
      <c r="A100" s="3">
        <f ca="1">IFERROR(__xludf.DUMMYFUNCTION("""COMPUTED_VALUE"""),4716)</f>
        <v>4716</v>
      </c>
      <c r="B100" s="6">
        <f ca="1">IFERROR(__xludf.DUMMYFUNCTION("""COMPUTED_VALUE"""),45305.1603356481)</f>
        <v>45305.160335648099</v>
      </c>
      <c r="C100" s="3" t="str">
        <f ca="1">IFERROR(__xludf.DUMMYFUNCTION("""COMPUTED_VALUE"""),"purchase")</f>
        <v>purchase</v>
      </c>
      <c r="D100" s="6">
        <f t="shared" ca="1" si="0"/>
        <v>45305</v>
      </c>
      <c r="E100" s="6">
        <f t="shared" ca="1" si="1"/>
        <v>45299</v>
      </c>
      <c r="F100" s="6">
        <f t="shared" ca="1" si="2"/>
        <v>45292</v>
      </c>
      <c r="G100" s="7"/>
    </row>
    <row r="101" spans="1:7" x14ac:dyDescent="0.2">
      <c r="A101" s="3">
        <f ca="1">IFERROR(__xludf.DUMMYFUNCTION("""COMPUTED_VALUE"""),7274)</f>
        <v>7274</v>
      </c>
      <c r="B101" s="6">
        <f ca="1">IFERROR(__xludf.DUMMYFUNCTION("""COMPUTED_VALUE"""),45305.1626273148)</f>
        <v>45305.162627314799</v>
      </c>
      <c r="C101" s="3" t="str">
        <f ca="1">IFERROR(__xludf.DUMMYFUNCTION("""COMPUTED_VALUE"""),"purchase")</f>
        <v>purchase</v>
      </c>
      <c r="D101" s="6">
        <f t="shared" ca="1" si="0"/>
        <v>45305</v>
      </c>
      <c r="E101" s="6">
        <f t="shared" ca="1" si="1"/>
        <v>45299</v>
      </c>
      <c r="F101" s="6">
        <f t="shared" ca="1" si="2"/>
        <v>45292</v>
      </c>
      <c r="G101" s="7"/>
    </row>
    <row r="102" spans="1:7" x14ac:dyDescent="0.2">
      <c r="A102" s="3">
        <f ca="1">IFERROR(__xludf.DUMMYFUNCTION("""COMPUTED_VALUE"""),5200)</f>
        <v>5200</v>
      </c>
      <c r="B102" s="6">
        <f ca="1">IFERROR(__xludf.DUMMYFUNCTION("""COMPUTED_VALUE"""),45305.3717129629)</f>
        <v>45305.3717129629</v>
      </c>
      <c r="C102" s="3" t="str">
        <f ca="1">IFERROR(__xludf.DUMMYFUNCTION("""COMPUTED_VALUE"""),"purchase")</f>
        <v>purchase</v>
      </c>
      <c r="D102" s="6">
        <f t="shared" ca="1" si="0"/>
        <v>45305</v>
      </c>
      <c r="E102" s="6">
        <f t="shared" ca="1" si="1"/>
        <v>45299</v>
      </c>
      <c r="F102" s="6">
        <f t="shared" ca="1" si="2"/>
        <v>45292</v>
      </c>
      <c r="G102" s="7"/>
    </row>
    <row r="103" spans="1:7" x14ac:dyDescent="0.2">
      <c r="A103" s="3">
        <f ca="1">IFERROR(__xludf.DUMMYFUNCTION("""COMPUTED_VALUE"""),2292)</f>
        <v>2292</v>
      </c>
      <c r="B103" s="6">
        <f ca="1">IFERROR(__xludf.DUMMYFUNCTION("""COMPUTED_VALUE"""),45305.430625)</f>
        <v>45305.430625000001</v>
      </c>
      <c r="C103" s="3" t="str">
        <f ca="1">IFERROR(__xludf.DUMMYFUNCTION("""COMPUTED_VALUE"""),"purchase")</f>
        <v>purchase</v>
      </c>
      <c r="D103" s="6">
        <f t="shared" ca="1" si="0"/>
        <v>45305</v>
      </c>
      <c r="E103" s="6">
        <f t="shared" ca="1" si="1"/>
        <v>45299</v>
      </c>
      <c r="F103" s="6">
        <f t="shared" ca="1" si="2"/>
        <v>45292</v>
      </c>
      <c r="G103" s="7"/>
    </row>
    <row r="104" spans="1:7" x14ac:dyDescent="0.2">
      <c r="A104" s="3">
        <f ca="1">IFERROR(__xludf.DUMMYFUNCTION("""COMPUTED_VALUE"""),492)</f>
        <v>492</v>
      </c>
      <c r="B104" s="6">
        <f ca="1">IFERROR(__xludf.DUMMYFUNCTION("""COMPUTED_VALUE"""),45305.4701041666)</f>
        <v>45305.470104166598</v>
      </c>
      <c r="C104" s="3" t="str">
        <f ca="1">IFERROR(__xludf.DUMMYFUNCTION("""COMPUTED_VALUE"""),"purchase")</f>
        <v>purchase</v>
      </c>
      <c r="D104" s="6">
        <f t="shared" ca="1" si="0"/>
        <v>45305</v>
      </c>
      <c r="E104" s="6">
        <f t="shared" ca="1" si="1"/>
        <v>45299</v>
      </c>
      <c r="F104" s="6">
        <f t="shared" ca="1" si="2"/>
        <v>45292</v>
      </c>
      <c r="G104" s="7"/>
    </row>
    <row r="105" spans="1:7" x14ac:dyDescent="0.2">
      <c r="A105" s="3">
        <f ca="1">IFERROR(__xludf.DUMMYFUNCTION("""COMPUTED_VALUE"""),3143)</f>
        <v>3143</v>
      </c>
      <c r="B105" s="6">
        <f ca="1">IFERROR(__xludf.DUMMYFUNCTION("""COMPUTED_VALUE"""),45305.5167476851)</f>
        <v>45305.516747685098</v>
      </c>
      <c r="C105" s="3" t="str">
        <f ca="1">IFERROR(__xludf.DUMMYFUNCTION("""COMPUTED_VALUE"""),"purchase")</f>
        <v>purchase</v>
      </c>
      <c r="D105" s="6">
        <f t="shared" ca="1" si="0"/>
        <v>45305</v>
      </c>
      <c r="E105" s="6">
        <f t="shared" ca="1" si="1"/>
        <v>45299</v>
      </c>
      <c r="F105" s="6">
        <f t="shared" ca="1" si="2"/>
        <v>45292</v>
      </c>
      <c r="G105" s="7"/>
    </row>
    <row r="106" spans="1:7" x14ac:dyDescent="0.2">
      <c r="A106" s="3">
        <f ca="1">IFERROR(__xludf.DUMMYFUNCTION("""COMPUTED_VALUE"""),7530)</f>
        <v>7530</v>
      </c>
      <c r="B106" s="6">
        <f ca="1">IFERROR(__xludf.DUMMYFUNCTION("""COMPUTED_VALUE"""),45305.6297453703)</f>
        <v>45305.629745370301</v>
      </c>
      <c r="C106" s="3" t="str">
        <f ca="1">IFERROR(__xludf.DUMMYFUNCTION("""COMPUTED_VALUE"""),"purchase")</f>
        <v>purchase</v>
      </c>
      <c r="D106" s="6">
        <f t="shared" ca="1" si="0"/>
        <v>45305</v>
      </c>
      <c r="E106" s="6">
        <f t="shared" ca="1" si="1"/>
        <v>45299</v>
      </c>
      <c r="F106" s="6">
        <f t="shared" ca="1" si="2"/>
        <v>45292</v>
      </c>
      <c r="G106" s="7"/>
    </row>
    <row r="107" spans="1:7" x14ac:dyDescent="0.2">
      <c r="A107" s="3">
        <f ca="1">IFERROR(__xludf.DUMMYFUNCTION("""COMPUTED_VALUE"""),2707)</f>
        <v>2707</v>
      </c>
      <c r="B107" s="6">
        <f ca="1">IFERROR(__xludf.DUMMYFUNCTION("""COMPUTED_VALUE"""),45305.8680439814)</f>
        <v>45305.868043981398</v>
      </c>
      <c r="C107" s="3" t="str">
        <f ca="1">IFERROR(__xludf.DUMMYFUNCTION("""COMPUTED_VALUE"""),"purchase")</f>
        <v>purchase</v>
      </c>
      <c r="D107" s="6">
        <f t="shared" ca="1" si="0"/>
        <v>45305</v>
      </c>
      <c r="E107" s="6">
        <f t="shared" ca="1" si="1"/>
        <v>45299</v>
      </c>
      <c r="F107" s="6">
        <f t="shared" ca="1" si="2"/>
        <v>45292</v>
      </c>
      <c r="G107" s="7"/>
    </row>
    <row r="108" spans="1:7" x14ac:dyDescent="0.2">
      <c r="A108" s="3">
        <f ca="1">IFERROR(__xludf.DUMMYFUNCTION("""COMPUTED_VALUE"""),2922)</f>
        <v>2922</v>
      </c>
      <c r="B108" s="6">
        <f ca="1">IFERROR(__xludf.DUMMYFUNCTION("""COMPUTED_VALUE"""),45306.0986805555)</f>
        <v>45306.0986805555</v>
      </c>
      <c r="C108" s="3" t="str">
        <f ca="1">IFERROR(__xludf.DUMMYFUNCTION("""COMPUTED_VALUE"""),"purchase")</f>
        <v>purchase</v>
      </c>
      <c r="D108" s="6">
        <f t="shared" ca="1" si="0"/>
        <v>45306</v>
      </c>
      <c r="E108" s="6">
        <f t="shared" ca="1" si="1"/>
        <v>45306</v>
      </c>
      <c r="F108" s="6">
        <f t="shared" ca="1" si="2"/>
        <v>45292</v>
      </c>
      <c r="G108" s="7"/>
    </row>
    <row r="109" spans="1:7" x14ac:dyDescent="0.2">
      <c r="A109" s="3">
        <f ca="1">IFERROR(__xludf.DUMMYFUNCTION("""COMPUTED_VALUE"""),4272)</f>
        <v>4272</v>
      </c>
      <c r="B109" s="6">
        <f ca="1">IFERROR(__xludf.DUMMYFUNCTION("""COMPUTED_VALUE"""),45306.2635069444)</f>
        <v>45306.2635069444</v>
      </c>
      <c r="C109" s="3" t="str">
        <f ca="1">IFERROR(__xludf.DUMMYFUNCTION("""COMPUTED_VALUE"""),"purchase")</f>
        <v>purchase</v>
      </c>
      <c r="D109" s="6">
        <f t="shared" ca="1" si="0"/>
        <v>45306</v>
      </c>
      <c r="E109" s="6">
        <f t="shared" ca="1" si="1"/>
        <v>45306</v>
      </c>
      <c r="F109" s="6">
        <f t="shared" ca="1" si="2"/>
        <v>45292</v>
      </c>
      <c r="G109" s="7"/>
    </row>
    <row r="110" spans="1:7" x14ac:dyDescent="0.2">
      <c r="A110" s="3">
        <f ca="1">IFERROR(__xludf.DUMMYFUNCTION("""COMPUTED_VALUE"""),3008)</f>
        <v>3008</v>
      </c>
      <c r="B110" s="6">
        <f ca="1">IFERROR(__xludf.DUMMYFUNCTION("""COMPUTED_VALUE"""),45306.2887384259)</f>
        <v>45306.288738425901</v>
      </c>
      <c r="C110" s="3" t="str">
        <f ca="1">IFERROR(__xludf.DUMMYFUNCTION("""COMPUTED_VALUE"""),"purchase")</f>
        <v>purchase</v>
      </c>
      <c r="D110" s="6">
        <f t="shared" ca="1" si="0"/>
        <v>45306</v>
      </c>
      <c r="E110" s="6">
        <f t="shared" ca="1" si="1"/>
        <v>45306</v>
      </c>
      <c r="F110" s="6">
        <f t="shared" ca="1" si="2"/>
        <v>45292</v>
      </c>
      <c r="G110" s="7"/>
    </row>
    <row r="111" spans="1:7" x14ac:dyDescent="0.2">
      <c r="A111" s="3">
        <f ca="1">IFERROR(__xludf.DUMMYFUNCTION("""COMPUTED_VALUE"""),5850)</f>
        <v>5850</v>
      </c>
      <c r="B111" s="6">
        <f ca="1">IFERROR(__xludf.DUMMYFUNCTION("""COMPUTED_VALUE"""),45306.3084027777)</f>
        <v>45306.3084027777</v>
      </c>
      <c r="C111" s="3" t="str">
        <f ca="1">IFERROR(__xludf.DUMMYFUNCTION("""COMPUTED_VALUE"""),"purchase")</f>
        <v>purchase</v>
      </c>
      <c r="D111" s="6">
        <f t="shared" ca="1" si="0"/>
        <v>45306</v>
      </c>
      <c r="E111" s="6">
        <f t="shared" ca="1" si="1"/>
        <v>45306</v>
      </c>
      <c r="F111" s="6">
        <f t="shared" ca="1" si="2"/>
        <v>45292</v>
      </c>
      <c r="G111" s="7"/>
    </row>
    <row r="112" spans="1:7" x14ac:dyDescent="0.2">
      <c r="A112" s="3">
        <f ca="1">IFERROR(__xludf.DUMMYFUNCTION("""COMPUTED_VALUE"""),3535)</f>
        <v>3535</v>
      </c>
      <c r="B112" s="6">
        <f ca="1">IFERROR(__xludf.DUMMYFUNCTION("""COMPUTED_VALUE"""),45306.3708796296)</f>
        <v>45306.370879629598</v>
      </c>
      <c r="C112" s="3" t="str">
        <f ca="1">IFERROR(__xludf.DUMMYFUNCTION("""COMPUTED_VALUE"""),"purchase")</f>
        <v>purchase</v>
      </c>
      <c r="D112" s="6">
        <f t="shared" ca="1" si="0"/>
        <v>45306</v>
      </c>
      <c r="E112" s="6">
        <f t="shared" ca="1" si="1"/>
        <v>45306</v>
      </c>
      <c r="F112" s="6">
        <f t="shared" ca="1" si="2"/>
        <v>45292</v>
      </c>
      <c r="G112" s="7"/>
    </row>
    <row r="113" spans="1:7" x14ac:dyDescent="0.2">
      <c r="A113" s="3">
        <f ca="1">IFERROR(__xludf.DUMMYFUNCTION("""COMPUTED_VALUE"""),6665)</f>
        <v>6665</v>
      </c>
      <c r="B113" s="6">
        <f ca="1">IFERROR(__xludf.DUMMYFUNCTION("""COMPUTED_VALUE"""),45306.3981828703)</f>
        <v>45306.398182870304</v>
      </c>
      <c r="C113" s="3" t="str">
        <f ca="1">IFERROR(__xludf.DUMMYFUNCTION("""COMPUTED_VALUE"""),"purchase")</f>
        <v>purchase</v>
      </c>
      <c r="D113" s="6">
        <f t="shared" ca="1" si="0"/>
        <v>45306</v>
      </c>
      <c r="E113" s="6">
        <f t="shared" ca="1" si="1"/>
        <v>45306</v>
      </c>
      <c r="F113" s="6">
        <f t="shared" ca="1" si="2"/>
        <v>45292</v>
      </c>
      <c r="G113" s="7"/>
    </row>
    <row r="114" spans="1:7" x14ac:dyDescent="0.2">
      <c r="A114" s="3">
        <f ca="1">IFERROR(__xludf.DUMMYFUNCTION("""COMPUTED_VALUE"""),3657)</f>
        <v>3657</v>
      </c>
      <c r="B114" s="6">
        <f ca="1">IFERROR(__xludf.DUMMYFUNCTION("""COMPUTED_VALUE"""),45306.4655439814)</f>
        <v>45306.465543981401</v>
      </c>
      <c r="C114" s="3" t="str">
        <f ca="1">IFERROR(__xludf.DUMMYFUNCTION("""COMPUTED_VALUE"""),"purchase")</f>
        <v>purchase</v>
      </c>
      <c r="D114" s="6">
        <f t="shared" ca="1" si="0"/>
        <v>45306</v>
      </c>
      <c r="E114" s="6">
        <f t="shared" ca="1" si="1"/>
        <v>45306</v>
      </c>
      <c r="F114" s="6">
        <f t="shared" ca="1" si="2"/>
        <v>45292</v>
      </c>
      <c r="G114" s="7"/>
    </row>
    <row r="115" spans="1:7" x14ac:dyDescent="0.2">
      <c r="A115" s="3">
        <f ca="1">IFERROR(__xludf.DUMMYFUNCTION("""COMPUTED_VALUE"""),4757)</f>
        <v>4757</v>
      </c>
      <c r="B115" s="6">
        <f ca="1">IFERROR(__xludf.DUMMYFUNCTION("""COMPUTED_VALUE"""),45306.4742824074)</f>
        <v>45306.474282407398</v>
      </c>
      <c r="C115" s="3" t="str">
        <f ca="1">IFERROR(__xludf.DUMMYFUNCTION("""COMPUTED_VALUE"""),"purchase")</f>
        <v>purchase</v>
      </c>
      <c r="D115" s="6">
        <f t="shared" ca="1" si="0"/>
        <v>45306</v>
      </c>
      <c r="E115" s="6">
        <f t="shared" ca="1" si="1"/>
        <v>45306</v>
      </c>
      <c r="F115" s="6">
        <f t="shared" ca="1" si="2"/>
        <v>45292</v>
      </c>
      <c r="G115" s="7"/>
    </row>
    <row r="116" spans="1:7" x14ac:dyDescent="0.2">
      <c r="A116" s="3">
        <f ca="1">IFERROR(__xludf.DUMMYFUNCTION("""COMPUTED_VALUE"""),5195)</f>
        <v>5195</v>
      </c>
      <c r="B116" s="6">
        <f ca="1">IFERROR(__xludf.DUMMYFUNCTION("""COMPUTED_VALUE"""),45306.5068634259)</f>
        <v>45306.506863425901</v>
      </c>
      <c r="C116" s="3" t="str">
        <f ca="1">IFERROR(__xludf.DUMMYFUNCTION("""COMPUTED_VALUE"""),"purchase")</f>
        <v>purchase</v>
      </c>
      <c r="D116" s="6">
        <f t="shared" ca="1" si="0"/>
        <v>45306</v>
      </c>
      <c r="E116" s="6">
        <f t="shared" ca="1" si="1"/>
        <v>45306</v>
      </c>
      <c r="F116" s="6">
        <f t="shared" ca="1" si="2"/>
        <v>45292</v>
      </c>
      <c r="G116" s="7"/>
    </row>
    <row r="117" spans="1:7" x14ac:dyDescent="0.2">
      <c r="A117" s="3">
        <f ca="1">IFERROR(__xludf.DUMMYFUNCTION("""COMPUTED_VALUE"""),4415)</f>
        <v>4415</v>
      </c>
      <c r="B117" s="6">
        <f ca="1">IFERROR(__xludf.DUMMYFUNCTION("""COMPUTED_VALUE"""),45306.7087731481)</f>
        <v>45306.708773148101</v>
      </c>
      <c r="C117" s="3" t="str">
        <f ca="1">IFERROR(__xludf.DUMMYFUNCTION("""COMPUTED_VALUE"""),"purchase")</f>
        <v>purchase</v>
      </c>
      <c r="D117" s="6">
        <f t="shared" ca="1" si="0"/>
        <v>45306</v>
      </c>
      <c r="E117" s="6">
        <f t="shared" ca="1" si="1"/>
        <v>45306</v>
      </c>
      <c r="F117" s="6">
        <f t="shared" ca="1" si="2"/>
        <v>45292</v>
      </c>
      <c r="G117" s="7"/>
    </row>
    <row r="118" spans="1:7" x14ac:dyDescent="0.2">
      <c r="A118" s="3">
        <f ca="1">IFERROR(__xludf.DUMMYFUNCTION("""COMPUTED_VALUE"""),6370)</f>
        <v>6370</v>
      </c>
      <c r="B118" s="6">
        <f ca="1">IFERROR(__xludf.DUMMYFUNCTION("""COMPUTED_VALUE"""),45306.8747337963)</f>
        <v>45306.8747337963</v>
      </c>
      <c r="C118" s="3" t="str">
        <f ca="1">IFERROR(__xludf.DUMMYFUNCTION("""COMPUTED_VALUE"""),"purchase")</f>
        <v>purchase</v>
      </c>
      <c r="D118" s="6">
        <f t="shared" ca="1" si="0"/>
        <v>45306</v>
      </c>
      <c r="E118" s="6">
        <f t="shared" ca="1" si="1"/>
        <v>45306</v>
      </c>
      <c r="F118" s="6">
        <f t="shared" ca="1" si="2"/>
        <v>45292</v>
      </c>
      <c r="G118" s="7"/>
    </row>
    <row r="119" spans="1:7" x14ac:dyDescent="0.2">
      <c r="A119" s="3">
        <f ca="1">IFERROR(__xludf.DUMMYFUNCTION("""COMPUTED_VALUE"""),5956)</f>
        <v>5956</v>
      </c>
      <c r="B119" s="6">
        <f ca="1">IFERROR(__xludf.DUMMYFUNCTION("""COMPUTED_VALUE"""),45306.9063078703)</f>
        <v>45306.906307870297</v>
      </c>
      <c r="C119" s="3" t="str">
        <f ca="1">IFERROR(__xludf.DUMMYFUNCTION("""COMPUTED_VALUE"""),"purchase")</f>
        <v>purchase</v>
      </c>
      <c r="D119" s="6">
        <f t="shared" ca="1" si="0"/>
        <v>45306</v>
      </c>
      <c r="E119" s="6">
        <f t="shared" ca="1" si="1"/>
        <v>45306</v>
      </c>
      <c r="F119" s="6">
        <f t="shared" ca="1" si="2"/>
        <v>45292</v>
      </c>
      <c r="G119" s="7"/>
    </row>
    <row r="120" spans="1:7" x14ac:dyDescent="0.2">
      <c r="A120" s="3">
        <f ca="1">IFERROR(__xludf.DUMMYFUNCTION("""COMPUTED_VALUE"""),4289)</f>
        <v>4289</v>
      </c>
      <c r="B120" s="6">
        <f ca="1">IFERROR(__xludf.DUMMYFUNCTION("""COMPUTED_VALUE"""),45307.0753472222)</f>
        <v>45307.075347222199</v>
      </c>
      <c r="C120" s="3" t="str">
        <f ca="1">IFERROR(__xludf.DUMMYFUNCTION("""COMPUTED_VALUE"""),"purchase")</f>
        <v>purchase</v>
      </c>
      <c r="D120" s="6">
        <f t="shared" ca="1" si="0"/>
        <v>45307</v>
      </c>
      <c r="E120" s="6">
        <f t="shared" ca="1" si="1"/>
        <v>45306</v>
      </c>
      <c r="F120" s="6">
        <f t="shared" ca="1" si="2"/>
        <v>45292</v>
      </c>
      <c r="G120" s="7"/>
    </row>
    <row r="121" spans="1:7" x14ac:dyDescent="0.2">
      <c r="A121" s="3">
        <f ca="1">IFERROR(__xludf.DUMMYFUNCTION("""COMPUTED_VALUE"""),6689)</f>
        <v>6689</v>
      </c>
      <c r="B121" s="6">
        <f ca="1">IFERROR(__xludf.DUMMYFUNCTION("""COMPUTED_VALUE"""),45307.1043055555)</f>
        <v>45307.104305555498</v>
      </c>
      <c r="C121" s="3" t="str">
        <f ca="1">IFERROR(__xludf.DUMMYFUNCTION("""COMPUTED_VALUE"""),"purchase")</f>
        <v>purchase</v>
      </c>
      <c r="D121" s="6">
        <f t="shared" ca="1" si="0"/>
        <v>45307</v>
      </c>
      <c r="E121" s="6">
        <f t="shared" ca="1" si="1"/>
        <v>45306</v>
      </c>
      <c r="F121" s="6">
        <f t="shared" ca="1" si="2"/>
        <v>45292</v>
      </c>
      <c r="G121" s="7"/>
    </row>
    <row r="122" spans="1:7" x14ac:dyDescent="0.2">
      <c r="A122" s="3">
        <f ca="1">IFERROR(__xludf.DUMMYFUNCTION("""COMPUTED_VALUE"""),1730)</f>
        <v>1730</v>
      </c>
      <c r="B122" s="6">
        <f ca="1">IFERROR(__xludf.DUMMYFUNCTION("""COMPUTED_VALUE"""),45307.1362152777)</f>
        <v>45307.1362152777</v>
      </c>
      <c r="C122" s="3" t="str">
        <f ca="1">IFERROR(__xludf.DUMMYFUNCTION("""COMPUTED_VALUE"""),"purchase")</f>
        <v>purchase</v>
      </c>
      <c r="D122" s="6">
        <f t="shared" ca="1" si="0"/>
        <v>45307</v>
      </c>
      <c r="E122" s="6">
        <f t="shared" ca="1" si="1"/>
        <v>45306</v>
      </c>
      <c r="F122" s="6">
        <f t="shared" ca="1" si="2"/>
        <v>45292</v>
      </c>
      <c r="G122" s="7"/>
    </row>
    <row r="123" spans="1:7" x14ac:dyDescent="0.2">
      <c r="A123" s="3">
        <f ca="1">IFERROR(__xludf.DUMMYFUNCTION("""COMPUTED_VALUE"""),7679)</f>
        <v>7679</v>
      </c>
      <c r="B123" s="6">
        <f ca="1">IFERROR(__xludf.DUMMYFUNCTION("""COMPUTED_VALUE"""),45307.2919907407)</f>
        <v>45307.291990740698</v>
      </c>
      <c r="C123" s="3" t="str">
        <f ca="1">IFERROR(__xludf.DUMMYFUNCTION("""COMPUTED_VALUE"""),"purchase")</f>
        <v>purchase</v>
      </c>
      <c r="D123" s="6">
        <f t="shared" ca="1" si="0"/>
        <v>45307</v>
      </c>
      <c r="E123" s="6">
        <f t="shared" ca="1" si="1"/>
        <v>45306</v>
      </c>
      <c r="F123" s="6">
        <f t="shared" ca="1" si="2"/>
        <v>45292</v>
      </c>
      <c r="G123" s="7"/>
    </row>
    <row r="124" spans="1:7" x14ac:dyDescent="0.2">
      <c r="A124" s="3">
        <f ca="1">IFERROR(__xludf.DUMMYFUNCTION("""COMPUTED_VALUE"""),4609)</f>
        <v>4609</v>
      </c>
      <c r="B124" s="6">
        <f ca="1">IFERROR(__xludf.DUMMYFUNCTION("""COMPUTED_VALUE"""),45307.4134722222)</f>
        <v>45307.413472222201</v>
      </c>
      <c r="C124" s="3" t="str">
        <f ca="1">IFERROR(__xludf.DUMMYFUNCTION("""COMPUTED_VALUE"""),"purchase")</f>
        <v>purchase</v>
      </c>
      <c r="D124" s="6">
        <f t="shared" ca="1" si="0"/>
        <v>45307</v>
      </c>
      <c r="E124" s="6">
        <f t="shared" ca="1" si="1"/>
        <v>45306</v>
      </c>
      <c r="F124" s="6">
        <f t="shared" ca="1" si="2"/>
        <v>45292</v>
      </c>
      <c r="G124" s="7"/>
    </row>
    <row r="125" spans="1:7" x14ac:dyDescent="0.2">
      <c r="A125" s="3">
        <f ca="1">IFERROR(__xludf.DUMMYFUNCTION("""COMPUTED_VALUE"""),3756)</f>
        <v>3756</v>
      </c>
      <c r="B125" s="6">
        <f ca="1">IFERROR(__xludf.DUMMYFUNCTION("""COMPUTED_VALUE"""),45307.4275925925)</f>
        <v>45307.427592592503</v>
      </c>
      <c r="C125" s="3" t="str">
        <f ca="1">IFERROR(__xludf.DUMMYFUNCTION("""COMPUTED_VALUE"""),"purchase")</f>
        <v>purchase</v>
      </c>
      <c r="D125" s="6">
        <f t="shared" ca="1" si="0"/>
        <v>45307</v>
      </c>
      <c r="E125" s="6">
        <f t="shared" ca="1" si="1"/>
        <v>45306</v>
      </c>
      <c r="F125" s="6">
        <f t="shared" ca="1" si="2"/>
        <v>45292</v>
      </c>
      <c r="G125" s="7"/>
    </row>
    <row r="126" spans="1:7" x14ac:dyDescent="0.2">
      <c r="A126" s="3">
        <f ca="1">IFERROR(__xludf.DUMMYFUNCTION("""COMPUTED_VALUE"""),586)</f>
        <v>586</v>
      </c>
      <c r="B126" s="6">
        <f ca="1">IFERROR(__xludf.DUMMYFUNCTION("""COMPUTED_VALUE"""),45307.4444675925)</f>
        <v>45307.444467592497</v>
      </c>
      <c r="C126" s="3" t="str">
        <f ca="1">IFERROR(__xludf.DUMMYFUNCTION("""COMPUTED_VALUE"""),"purchase")</f>
        <v>purchase</v>
      </c>
      <c r="D126" s="6">
        <f t="shared" ca="1" si="0"/>
        <v>45307</v>
      </c>
      <c r="E126" s="6">
        <f t="shared" ca="1" si="1"/>
        <v>45306</v>
      </c>
      <c r="F126" s="6">
        <f t="shared" ca="1" si="2"/>
        <v>45292</v>
      </c>
      <c r="G126" s="7"/>
    </row>
    <row r="127" spans="1:7" x14ac:dyDescent="0.2">
      <c r="A127" s="3">
        <f ca="1">IFERROR(__xludf.DUMMYFUNCTION("""COMPUTED_VALUE"""),3969)</f>
        <v>3969</v>
      </c>
      <c r="B127" s="6">
        <f ca="1">IFERROR(__xludf.DUMMYFUNCTION("""COMPUTED_VALUE"""),45307.532511574)</f>
        <v>45307.532511573998</v>
      </c>
      <c r="C127" s="3" t="str">
        <f ca="1">IFERROR(__xludf.DUMMYFUNCTION("""COMPUTED_VALUE"""),"purchase")</f>
        <v>purchase</v>
      </c>
      <c r="D127" s="6">
        <f t="shared" ca="1" si="0"/>
        <v>45307</v>
      </c>
      <c r="E127" s="6">
        <f t="shared" ca="1" si="1"/>
        <v>45306</v>
      </c>
      <c r="F127" s="6">
        <f t="shared" ca="1" si="2"/>
        <v>45292</v>
      </c>
      <c r="G127" s="7"/>
    </row>
    <row r="128" spans="1:7" x14ac:dyDescent="0.2">
      <c r="A128" s="3">
        <f ca="1">IFERROR(__xludf.DUMMYFUNCTION("""COMPUTED_VALUE"""),1722)</f>
        <v>1722</v>
      </c>
      <c r="B128" s="6">
        <f ca="1">IFERROR(__xludf.DUMMYFUNCTION("""COMPUTED_VALUE"""),45307.5366782407)</f>
        <v>45307.5366782407</v>
      </c>
      <c r="C128" s="3" t="str">
        <f ca="1">IFERROR(__xludf.DUMMYFUNCTION("""COMPUTED_VALUE"""),"purchase")</f>
        <v>purchase</v>
      </c>
      <c r="D128" s="6">
        <f t="shared" ca="1" si="0"/>
        <v>45307</v>
      </c>
      <c r="E128" s="6">
        <f t="shared" ca="1" si="1"/>
        <v>45306</v>
      </c>
      <c r="F128" s="6">
        <f t="shared" ca="1" si="2"/>
        <v>45292</v>
      </c>
      <c r="G128" s="7"/>
    </row>
    <row r="129" spans="1:7" x14ac:dyDescent="0.2">
      <c r="A129" s="3">
        <f ca="1">IFERROR(__xludf.DUMMYFUNCTION("""COMPUTED_VALUE"""),541)</f>
        <v>541</v>
      </c>
      <c r="B129" s="6">
        <f ca="1">IFERROR(__xludf.DUMMYFUNCTION("""COMPUTED_VALUE"""),45307.5380787037)</f>
        <v>45307.538078703699</v>
      </c>
      <c r="C129" s="3" t="str">
        <f ca="1">IFERROR(__xludf.DUMMYFUNCTION("""COMPUTED_VALUE"""),"purchase")</f>
        <v>purchase</v>
      </c>
      <c r="D129" s="6">
        <f t="shared" ca="1" si="0"/>
        <v>45307</v>
      </c>
      <c r="E129" s="6">
        <f t="shared" ca="1" si="1"/>
        <v>45306</v>
      </c>
      <c r="F129" s="6">
        <f t="shared" ca="1" si="2"/>
        <v>45292</v>
      </c>
      <c r="G129" s="7"/>
    </row>
    <row r="130" spans="1:7" x14ac:dyDescent="0.2">
      <c r="A130" s="3">
        <f ca="1">IFERROR(__xludf.DUMMYFUNCTION("""COMPUTED_VALUE"""),2479)</f>
        <v>2479</v>
      </c>
      <c r="B130" s="6">
        <f ca="1">IFERROR(__xludf.DUMMYFUNCTION("""COMPUTED_VALUE"""),45307.5729166666)</f>
        <v>45307.572916666599</v>
      </c>
      <c r="C130" s="3" t="str">
        <f ca="1">IFERROR(__xludf.DUMMYFUNCTION("""COMPUTED_VALUE"""),"purchase")</f>
        <v>purchase</v>
      </c>
      <c r="D130" s="6">
        <f t="shared" ca="1" si="0"/>
        <v>45307</v>
      </c>
      <c r="E130" s="6">
        <f t="shared" ca="1" si="1"/>
        <v>45306</v>
      </c>
      <c r="F130" s="6">
        <f t="shared" ca="1" si="2"/>
        <v>45292</v>
      </c>
      <c r="G130" s="7"/>
    </row>
    <row r="131" spans="1:7" x14ac:dyDescent="0.2">
      <c r="A131" s="3">
        <f ca="1">IFERROR(__xludf.DUMMYFUNCTION("""COMPUTED_VALUE"""),2407)</f>
        <v>2407</v>
      </c>
      <c r="B131" s="6">
        <f ca="1">IFERROR(__xludf.DUMMYFUNCTION("""COMPUTED_VALUE"""),45307.6370833333)</f>
        <v>45307.637083333299</v>
      </c>
      <c r="C131" s="3" t="str">
        <f ca="1">IFERROR(__xludf.DUMMYFUNCTION("""COMPUTED_VALUE"""),"purchase")</f>
        <v>purchase</v>
      </c>
      <c r="D131" s="6">
        <f t="shared" ca="1" si="0"/>
        <v>45307</v>
      </c>
      <c r="E131" s="6">
        <f t="shared" ca="1" si="1"/>
        <v>45306</v>
      </c>
      <c r="F131" s="6">
        <f t="shared" ca="1" si="2"/>
        <v>45292</v>
      </c>
      <c r="G131" s="7"/>
    </row>
    <row r="132" spans="1:7" x14ac:dyDescent="0.2">
      <c r="A132" s="3">
        <f ca="1">IFERROR(__xludf.DUMMYFUNCTION("""COMPUTED_VALUE"""),2610)</f>
        <v>2610</v>
      </c>
      <c r="B132" s="6">
        <f ca="1">IFERROR(__xludf.DUMMYFUNCTION("""COMPUTED_VALUE"""),45307.7620949074)</f>
        <v>45307.762094907397</v>
      </c>
      <c r="C132" s="3" t="str">
        <f ca="1">IFERROR(__xludf.DUMMYFUNCTION("""COMPUTED_VALUE"""),"purchase")</f>
        <v>purchase</v>
      </c>
      <c r="D132" s="6">
        <f t="shared" ca="1" si="0"/>
        <v>45307</v>
      </c>
      <c r="E132" s="6">
        <f t="shared" ca="1" si="1"/>
        <v>45306</v>
      </c>
      <c r="F132" s="6">
        <f t="shared" ca="1" si="2"/>
        <v>45292</v>
      </c>
      <c r="G132" s="7"/>
    </row>
    <row r="133" spans="1:7" x14ac:dyDescent="0.2">
      <c r="A133" s="3">
        <f ca="1">IFERROR(__xludf.DUMMYFUNCTION("""COMPUTED_VALUE"""),2639)</f>
        <v>2639</v>
      </c>
      <c r="B133" s="6">
        <f ca="1">IFERROR(__xludf.DUMMYFUNCTION("""COMPUTED_VALUE"""),45307.881574074)</f>
        <v>45307.881574074003</v>
      </c>
      <c r="C133" s="3" t="str">
        <f ca="1">IFERROR(__xludf.DUMMYFUNCTION("""COMPUTED_VALUE"""),"purchase")</f>
        <v>purchase</v>
      </c>
      <c r="D133" s="6">
        <f t="shared" ca="1" si="0"/>
        <v>45307</v>
      </c>
      <c r="E133" s="6">
        <f t="shared" ca="1" si="1"/>
        <v>45306</v>
      </c>
      <c r="F133" s="6">
        <f t="shared" ca="1" si="2"/>
        <v>45292</v>
      </c>
      <c r="G133" s="7"/>
    </row>
    <row r="134" spans="1:7" x14ac:dyDescent="0.2">
      <c r="A134" s="3">
        <f ca="1">IFERROR(__xludf.DUMMYFUNCTION("""COMPUTED_VALUE"""),4439)</f>
        <v>4439</v>
      </c>
      <c r="B134" s="6">
        <f ca="1">IFERROR(__xludf.DUMMYFUNCTION("""COMPUTED_VALUE"""),45307.9376388888)</f>
        <v>45307.937638888798</v>
      </c>
      <c r="C134" s="3" t="str">
        <f ca="1">IFERROR(__xludf.DUMMYFUNCTION("""COMPUTED_VALUE"""),"purchase")</f>
        <v>purchase</v>
      </c>
      <c r="D134" s="6">
        <f t="shared" ca="1" si="0"/>
        <v>45307</v>
      </c>
      <c r="E134" s="6">
        <f t="shared" ca="1" si="1"/>
        <v>45306</v>
      </c>
      <c r="F134" s="6">
        <f t="shared" ca="1" si="2"/>
        <v>45292</v>
      </c>
      <c r="G134" s="7"/>
    </row>
    <row r="135" spans="1:7" x14ac:dyDescent="0.2">
      <c r="A135" s="3">
        <f ca="1">IFERROR(__xludf.DUMMYFUNCTION("""COMPUTED_VALUE"""),1056)</f>
        <v>1056</v>
      </c>
      <c r="B135" s="6">
        <f ca="1">IFERROR(__xludf.DUMMYFUNCTION("""COMPUTED_VALUE"""),45307.9571296296)</f>
        <v>45307.957129629598</v>
      </c>
      <c r="C135" s="3" t="str">
        <f ca="1">IFERROR(__xludf.DUMMYFUNCTION("""COMPUTED_VALUE"""),"purchase")</f>
        <v>purchase</v>
      </c>
      <c r="D135" s="6">
        <f t="shared" ca="1" si="0"/>
        <v>45307</v>
      </c>
      <c r="E135" s="6">
        <f t="shared" ca="1" si="1"/>
        <v>45306</v>
      </c>
      <c r="F135" s="6">
        <f t="shared" ca="1" si="2"/>
        <v>45292</v>
      </c>
      <c r="G135" s="7"/>
    </row>
    <row r="136" spans="1:7" x14ac:dyDescent="0.2">
      <c r="A136" s="3">
        <f ca="1">IFERROR(__xludf.DUMMYFUNCTION("""COMPUTED_VALUE"""),5166)</f>
        <v>5166</v>
      </c>
      <c r="B136" s="6">
        <f ca="1">IFERROR(__xludf.DUMMYFUNCTION("""COMPUTED_VALUE"""),45308.0054398148)</f>
        <v>45308.005439814799</v>
      </c>
      <c r="C136" s="3" t="str">
        <f ca="1">IFERROR(__xludf.DUMMYFUNCTION("""COMPUTED_VALUE"""),"purchase")</f>
        <v>purchase</v>
      </c>
      <c r="D136" s="6">
        <f t="shared" ca="1" si="0"/>
        <v>45308</v>
      </c>
      <c r="E136" s="6">
        <f t="shared" ca="1" si="1"/>
        <v>45306</v>
      </c>
      <c r="F136" s="6">
        <f t="shared" ca="1" si="2"/>
        <v>45292</v>
      </c>
      <c r="G136" s="7"/>
    </row>
    <row r="137" spans="1:7" x14ac:dyDescent="0.2">
      <c r="A137" s="3">
        <f ca="1">IFERROR(__xludf.DUMMYFUNCTION("""COMPUTED_VALUE"""),1502)</f>
        <v>1502</v>
      </c>
      <c r="B137" s="6">
        <f ca="1">IFERROR(__xludf.DUMMYFUNCTION("""COMPUTED_VALUE"""),45308.0507986111)</f>
        <v>45308.050798611097</v>
      </c>
      <c r="C137" s="3" t="str">
        <f ca="1">IFERROR(__xludf.DUMMYFUNCTION("""COMPUTED_VALUE"""),"purchase")</f>
        <v>purchase</v>
      </c>
      <c r="D137" s="6">
        <f t="shared" ca="1" si="0"/>
        <v>45308</v>
      </c>
      <c r="E137" s="6">
        <f t="shared" ca="1" si="1"/>
        <v>45306</v>
      </c>
      <c r="F137" s="6">
        <f t="shared" ca="1" si="2"/>
        <v>45292</v>
      </c>
      <c r="G137" s="7"/>
    </row>
    <row r="138" spans="1:7" x14ac:dyDescent="0.2">
      <c r="A138" s="3">
        <f ca="1">IFERROR(__xludf.DUMMYFUNCTION("""COMPUTED_VALUE"""),436)</f>
        <v>436</v>
      </c>
      <c r="B138" s="6">
        <f ca="1">IFERROR(__xludf.DUMMYFUNCTION("""COMPUTED_VALUE"""),45308.0525925925)</f>
        <v>45308.052592592503</v>
      </c>
      <c r="C138" s="3" t="str">
        <f ca="1">IFERROR(__xludf.DUMMYFUNCTION("""COMPUTED_VALUE"""),"purchase")</f>
        <v>purchase</v>
      </c>
      <c r="D138" s="6">
        <f t="shared" ca="1" si="0"/>
        <v>45308</v>
      </c>
      <c r="E138" s="6">
        <f t="shared" ca="1" si="1"/>
        <v>45306</v>
      </c>
      <c r="F138" s="6">
        <f t="shared" ca="1" si="2"/>
        <v>45292</v>
      </c>
      <c r="G138" s="7"/>
    </row>
    <row r="139" spans="1:7" x14ac:dyDescent="0.2">
      <c r="A139" s="3">
        <f ca="1">IFERROR(__xludf.DUMMYFUNCTION("""COMPUTED_VALUE"""),2389)</f>
        <v>2389</v>
      </c>
      <c r="B139" s="6">
        <f ca="1">IFERROR(__xludf.DUMMYFUNCTION("""COMPUTED_VALUE"""),45308.0755555555)</f>
        <v>45308.075555555501</v>
      </c>
      <c r="C139" s="3" t="str">
        <f ca="1">IFERROR(__xludf.DUMMYFUNCTION("""COMPUTED_VALUE"""),"purchase")</f>
        <v>purchase</v>
      </c>
      <c r="D139" s="6">
        <f t="shared" ca="1" si="0"/>
        <v>45308</v>
      </c>
      <c r="E139" s="6">
        <f t="shared" ca="1" si="1"/>
        <v>45306</v>
      </c>
      <c r="F139" s="6">
        <f t="shared" ca="1" si="2"/>
        <v>45292</v>
      </c>
      <c r="G139" s="7"/>
    </row>
    <row r="140" spans="1:7" x14ac:dyDescent="0.2">
      <c r="A140" s="3">
        <f ca="1">IFERROR(__xludf.DUMMYFUNCTION("""COMPUTED_VALUE"""),1173)</f>
        <v>1173</v>
      </c>
      <c r="B140" s="6">
        <f ca="1">IFERROR(__xludf.DUMMYFUNCTION("""COMPUTED_VALUE"""),45308.0762384259)</f>
        <v>45308.0762384259</v>
      </c>
      <c r="C140" s="3" t="str">
        <f ca="1">IFERROR(__xludf.DUMMYFUNCTION("""COMPUTED_VALUE"""),"purchase")</f>
        <v>purchase</v>
      </c>
      <c r="D140" s="6">
        <f t="shared" ca="1" si="0"/>
        <v>45308</v>
      </c>
      <c r="E140" s="6">
        <f t="shared" ca="1" si="1"/>
        <v>45306</v>
      </c>
      <c r="F140" s="6">
        <f t="shared" ca="1" si="2"/>
        <v>45292</v>
      </c>
      <c r="G140" s="7"/>
    </row>
    <row r="141" spans="1:7" x14ac:dyDescent="0.2">
      <c r="A141" s="3">
        <f ca="1">IFERROR(__xludf.DUMMYFUNCTION("""COMPUTED_VALUE"""),5971)</f>
        <v>5971</v>
      </c>
      <c r="B141" s="6">
        <f ca="1">IFERROR(__xludf.DUMMYFUNCTION("""COMPUTED_VALUE"""),45308.3903703703)</f>
        <v>45308.390370370304</v>
      </c>
      <c r="C141" s="3" t="str">
        <f ca="1">IFERROR(__xludf.DUMMYFUNCTION("""COMPUTED_VALUE"""),"purchase")</f>
        <v>purchase</v>
      </c>
      <c r="D141" s="6">
        <f t="shared" ca="1" si="0"/>
        <v>45308</v>
      </c>
      <c r="E141" s="6">
        <f t="shared" ca="1" si="1"/>
        <v>45306</v>
      </c>
      <c r="F141" s="6">
        <f t="shared" ca="1" si="2"/>
        <v>45292</v>
      </c>
      <c r="G141" s="7"/>
    </row>
    <row r="142" spans="1:7" x14ac:dyDescent="0.2">
      <c r="A142" s="3">
        <f ca="1">IFERROR(__xludf.DUMMYFUNCTION("""COMPUTED_VALUE"""),4882)</f>
        <v>4882</v>
      </c>
      <c r="B142" s="6">
        <f ca="1">IFERROR(__xludf.DUMMYFUNCTION("""COMPUTED_VALUE"""),45308.4686921296)</f>
        <v>45308.468692129602</v>
      </c>
      <c r="C142" s="3" t="str">
        <f ca="1">IFERROR(__xludf.DUMMYFUNCTION("""COMPUTED_VALUE"""),"purchase")</f>
        <v>purchase</v>
      </c>
      <c r="D142" s="6">
        <f t="shared" ca="1" si="0"/>
        <v>45308</v>
      </c>
      <c r="E142" s="6">
        <f t="shared" ca="1" si="1"/>
        <v>45306</v>
      </c>
      <c r="F142" s="6">
        <f t="shared" ca="1" si="2"/>
        <v>45292</v>
      </c>
      <c r="G142" s="7"/>
    </row>
    <row r="143" spans="1:7" x14ac:dyDescent="0.2">
      <c r="A143" s="3">
        <f ca="1">IFERROR(__xludf.DUMMYFUNCTION("""COMPUTED_VALUE"""),6809)</f>
        <v>6809</v>
      </c>
      <c r="B143" s="6">
        <f ca="1">IFERROR(__xludf.DUMMYFUNCTION("""COMPUTED_VALUE"""),45308.4814467592)</f>
        <v>45308.4814467592</v>
      </c>
      <c r="C143" s="3" t="str">
        <f ca="1">IFERROR(__xludf.DUMMYFUNCTION("""COMPUTED_VALUE"""),"purchase")</f>
        <v>purchase</v>
      </c>
      <c r="D143" s="6">
        <f t="shared" ca="1" si="0"/>
        <v>45308</v>
      </c>
      <c r="E143" s="6">
        <f t="shared" ca="1" si="1"/>
        <v>45306</v>
      </c>
      <c r="F143" s="6">
        <f t="shared" ca="1" si="2"/>
        <v>45292</v>
      </c>
      <c r="G143" s="7"/>
    </row>
    <row r="144" spans="1:7" x14ac:dyDescent="0.2">
      <c r="A144" s="3">
        <f ca="1">IFERROR(__xludf.DUMMYFUNCTION("""COMPUTED_VALUE"""),4263)</f>
        <v>4263</v>
      </c>
      <c r="B144" s="6">
        <f ca="1">IFERROR(__xludf.DUMMYFUNCTION("""COMPUTED_VALUE"""),45308.5516087963)</f>
        <v>45308.551608796297</v>
      </c>
      <c r="C144" s="3" t="str">
        <f ca="1">IFERROR(__xludf.DUMMYFUNCTION("""COMPUTED_VALUE"""),"purchase")</f>
        <v>purchase</v>
      </c>
      <c r="D144" s="6">
        <f t="shared" ca="1" si="0"/>
        <v>45308</v>
      </c>
      <c r="E144" s="6">
        <f t="shared" ca="1" si="1"/>
        <v>45306</v>
      </c>
      <c r="F144" s="6">
        <f t="shared" ca="1" si="2"/>
        <v>45292</v>
      </c>
      <c r="G144" s="7"/>
    </row>
    <row r="145" spans="1:7" x14ac:dyDescent="0.2">
      <c r="A145" s="3">
        <f ca="1">IFERROR(__xludf.DUMMYFUNCTION("""COMPUTED_VALUE"""),5124)</f>
        <v>5124</v>
      </c>
      <c r="B145" s="6">
        <f ca="1">IFERROR(__xludf.DUMMYFUNCTION("""COMPUTED_VALUE"""),45308.6027777777)</f>
        <v>45308.602777777698</v>
      </c>
      <c r="C145" s="3" t="str">
        <f ca="1">IFERROR(__xludf.DUMMYFUNCTION("""COMPUTED_VALUE"""),"purchase")</f>
        <v>purchase</v>
      </c>
      <c r="D145" s="6">
        <f t="shared" ca="1" si="0"/>
        <v>45308</v>
      </c>
      <c r="E145" s="6">
        <f t="shared" ca="1" si="1"/>
        <v>45306</v>
      </c>
      <c r="F145" s="6">
        <f t="shared" ca="1" si="2"/>
        <v>45292</v>
      </c>
      <c r="G145" s="7"/>
    </row>
    <row r="146" spans="1:7" x14ac:dyDescent="0.2">
      <c r="A146" s="3">
        <f ca="1">IFERROR(__xludf.DUMMYFUNCTION("""COMPUTED_VALUE"""),5831)</f>
        <v>5831</v>
      </c>
      <c r="B146" s="6">
        <f ca="1">IFERROR(__xludf.DUMMYFUNCTION("""COMPUTED_VALUE"""),45308.7413425925)</f>
        <v>45308.741342592497</v>
      </c>
      <c r="C146" s="3" t="str">
        <f ca="1">IFERROR(__xludf.DUMMYFUNCTION("""COMPUTED_VALUE"""),"purchase")</f>
        <v>purchase</v>
      </c>
      <c r="D146" s="6">
        <f t="shared" ca="1" si="0"/>
        <v>45308</v>
      </c>
      <c r="E146" s="6">
        <f t="shared" ca="1" si="1"/>
        <v>45306</v>
      </c>
      <c r="F146" s="6">
        <f t="shared" ca="1" si="2"/>
        <v>45292</v>
      </c>
      <c r="G146" s="7"/>
    </row>
    <row r="147" spans="1:7" x14ac:dyDescent="0.2">
      <c r="A147" s="3">
        <f ca="1">IFERROR(__xludf.DUMMYFUNCTION("""COMPUTED_VALUE"""),1729)</f>
        <v>1729</v>
      </c>
      <c r="B147" s="6">
        <f ca="1">IFERROR(__xludf.DUMMYFUNCTION("""COMPUTED_VALUE"""),45308.7945138888)</f>
        <v>45308.794513888803</v>
      </c>
      <c r="C147" s="3" t="str">
        <f ca="1">IFERROR(__xludf.DUMMYFUNCTION("""COMPUTED_VALUE"""),"purchase")</f>
        <v>purchase</v>
      </c>
      <c r="D147" s="6">
        <f t="shared" ca="1" si="0"/>
        <v>45308</v>
      </c>
      <c r="E147" s="6">
        <f t="shared" ca="1" si="1"/>
        <v>45306</v>
      </c>
      <c r="F147" s="6">
        <f t="shared" ca="1" si="2"/>
        <v>45292</v>
      </c>
      <c r="G147" s="7"/>
    </row>
    <row r="148" spans="1:7" x14ac:dyDescent="0.2">
      <c r="A148" s="3">
        <f ca="1">IFERROR(__xludf.DUMMYFUNCTION("""COMPUTED_VALUE"""),4795)</f>
        <v>4795</v>
      </c>
      <c r="B148" s="6">
        <f ca="1">IFERROR(__xludf.DUMMYFUNCTION("""COMPUTED_VALUE"""),45308.8603587962)</f>
        <v>45308.860358796199</v>
      </c>
      <c r="C148" s="3" t="str">
        <f ca="1">IFERROR(__xludf.DUMMYFUNCTION("""COMPUTED_VALUE"""),"purchase")</f>
        <v>purchase</v>
      </c>
      <c r="D148" s="6">
        <f t="shared" ca="1" si="0"/>
        <v>45308</v>
      </c>
      <c r="E148" s="6">
        <f t="shared" ca="1" si="1"/>
        <v>45306</v>
      </c>
      <c r="F148" s="6">
        <f t="shared" ca="1" si="2"/>
        <v>45292</v>
      </c>
      <c r="G148" s="7"/>
    </row>
    <row r="149" spans="1:7" x14ac:dyDescent="0.2">
      <c r="A149" s="3">
        <f ca="1">IFERROR(__xludf.DUMMYFUNCTION("""COMPUTED_VALUE"""),882)</f>
        <v>882</v>
      </c>
      <c r="B149" s="6">
        <f ca="1">IFERROR(__xludf.DUMMYFUNCTION("""COMPUTED_VALUE"""),45308.9334143518)</f>
        <v>45308.933414351799</v>
      </c>
      <c r="C149" s="3" t="str">
        <f ca="1">IFERROR(__xludf.DUMMYFUNCTION("""COMPUTED_VALUE"""),"purchase")</f>
        <v>purchase</v>
      </c>
      <c r="D149" s="6">
        <f t="shared" ca="1" si="0"/>
        <v>45308</v>
      </c>
      <c r="E149" s="6">
        <f t="shared" ca="1" si="1"/>
        <v>45306</v>
      </c>
      <c r="F149" s="6">
        <f t="shared" ca="1" si="2"/>
        <v>45292</v>
      </c>
      <c r="G149" s="7"/>
    </row>
    <row r="150" spans="1:7" x14ac:dyDescent="0.2">
      <c r="A150" s="3">
        <f ca="1">IFERROR(__xludf.DUMMYFUNCTION("""COMPUTED_VALUE"""),2898)</f>
        <v>2898</v>
      </c>
      <c r="B150" s="6">
        <f ca="1">IFERROR(__xludf.DUMMYFUNCTION("""COMPUTED_VALUE"""),45308.9453356481)</f>
        <v>45308.945335648103</v>
      </c>
      <c r="C150" s="3" t="str">
        <f ca="1">IFERROR(__xludf.DUMMYFUNCTION("""COMPUTED_VALUE"""),"purchase")</f>
        <v>purchase</v>
      </c>
      <c r="D150" s="6">
        <f t="shared" ca="1" si="0"/>
        <v>45308</v>
      </c>
      <c r="E150" s="6">
        <f t="shared" ca="1" si="1"/>
        <v>45306</v>
      </c>
      <c r="F150" s="6">
        <f t="shared" ca="1" si="2"/>
        <v>45292</v>
      </c>
      <c r="G150" s="7"/>
    </row>
    <row r="151" spans="1:7" x14ac:dyDescent="0.2">
      <c r="A151" s="3">
        <f ca="1">IFERROR(__xludf.DUMMYFUNCTION("""COMPUTED_VALUE"""),7117)</f>
        <v>7117</v>
      </c>
      <c r="B151" s="6">
        <f ca="1">IFERROR(__xludf.DUMMYFUNCTION("""COMPUTED_VALUE"""),45309.1848263888)</f>
        <v>45309.184826388802</v>
      </c>
      <c r="C151" s="3" t="str">
        <f ca="1">IFERROR(__xludf.DUMMYFUNCTION("""COMPUTED_VALUE"""),"purchase")</f>
        <v>purchase</v>
      </c>
      <c r="D151" s="6">
        <f t="shared" ca="1" si="0"/>
        <v>45309</v>
      </c>
      <c r="E151" s="6">
        <f t="shared" ca="1" si="1"/>
        <v>45306</v>
      </c>
      <c r="F151" s="6">
        <f t="shared" ca="1" si="2"/>
        <v>45292</v>
      </c>
      <c r="G151" s="7"/>
    </row>
    <row r="152" spans="1:7" x14ac:dyDescent="0.2">
      <c r="A152" s="3">
        <f ca="1">IFERROR(__xludf.DUMMYFUNCTION("""COMPUTED_VALUE"""),4516)</f>
        <v>4516</v>
      </c>
      <c r="B152" s="6">
        <f ca="1">IFERROR(__xludf.DUMMYFUNCTION("""COMPUTED_VALUE"""),45309.3103009259)</f>
        <v>45309.310300925899</v>
      </c>
      <c r="C152" s="3" t="str">
        <f ca="1">IFERROR(__xludf.DUMMYFUNCTION("""COMPUTED_VALUE"""),"purchase")</f>
        <v>purchase</v>
      </c>
      <c r="D152" s="6">
        <f t="shared" ca="1" si="0"/>
        <v>45309</v>
      </c>
      <c r="E152" s="6">
        <f t="shared" ca="1" si="1"/>
        <v>45306</v>
      </c>
      <c r="F152" s="6">
        <f t="shared" ca="1" si="2"/>
        <v>45292</v>
      </c>
      <c r="G152" s="7"/>
    </row>
    <row r="153" spans="1:7" x14ac:dyDescent="0.2">
      <c r="A153" s="3">
        <f ca="1">IFERROR(__xludf.DUMMYFUNCTION("""COMPUTED_VALUE"""),1564)</f>
        <v>1564</v>
      </c>
      <c r="B153" s="6">
        <f ca="1">IFERROR(__xludf.DUMMYFUNCTION("""COMPUTED_VALUE"""),45309.5499189814)</f>
        <v>45309.5499189814</v>
      </c>
      <c r="C153" s="3" t="str">
        <f ca="1">IFERROR(__xludf.DUMMYFUNCTION("""COMPUTED_VALUE"""),"purchase")</f>
        <v>purchase</v>
      </c>
      <c r="D153" s="6">
        <f t="shared" ca="1" si="0"/>
        <v>45309</v>
      </c>
      <c r="E153" s="6">
        <f t="shared" ca="1" si="1"/>
        <v>45306</v>
      </c>
      <c r="F153" s="6">
        <f t="shared" ca="1" si="2"/>
        <v>45292</v>
      </c>
      <c r="G153" s="7"/>
    </row>
    <row r="154" spans="1:7" x14ac:dyDescent="0.2">
      <c r="A154" s="3">
        <f ca="1">IFERROR(__xludf.DUMMYFUNCTION("""COMPUTED_VALUE"""),6412)</f>
        <v>6412</v>
      </c>
      <c r="B154" s="6">
        <f ca="1">IFERROR(__xludf.DUMMYFUNCTION("""COMPUTED_VALUE"""),45309.675011574)</f>
        <v>45309.675011574</v>
      </c>
      <c r="C154" s="3" t="str">
        <f ca="1">IFERROR(__xludf.DUMMYFUNCTION("""COMPUTED_VALUE"""),"purchase")</f>
        <v>purchase</v>
      </c>
      <c r="D154" s="6">
        <f t="shared" ca="1" si="0"/>
        <v>45309</v>
      </c>
      <c r="E154" s="6">
        <f t="shared" ca="1" si="1"/>
        <v>45306</v>
      </c>
      <c r="F154" s="6">
        <f t="shared" ca="1" si="2"/>
        <v>45292</v>
      </c>
      <c r="G154" s="7"/>
    </row>
    <row r="155" spans="1:7" x14ac:dyDescent="0.2">
      <c r="A155" s="3">
        <f ca="1">IFERROR(__xludf.DUMMYFUNCTION("""COMPUTED_VALUE"""),324)</f>
        <v>324</v>
      </c>
      <c r="B155" s="6">
        <f ca="1">IFERROR(__xludf.DUMMYFUNCTION("""COMPUTED_VALUE"""),45309.825474537)</f>
        <v>45309.825474537</v>
      </c>
      <c r="C155" s="3" t="str">
        <f ca="1">IFERROR(__xludf.DUMMYFUNCTION("""COMPUTED_VALUE"""),"purchase")</f>
        <v>purchase</v>
      </c>
      <c r="D155" s="6">
        <f t="shared" ca="1" si="0"/>
        <v>45309</v>
      </c>
      <c r="E155" s="6">
        <f t="shared" ca="1" si="1"/>
        <v>45306</v>
      </c>
      <c r="F155" s="6">
        <f t="shared" ca="1" si="2"/>
        <v>45292</v>
      </c>
      <c r="G155" s="7"/>
    </row>
    <row r="156" spans="1:7" x14ac:dyDescent="0.2">
      <c r="A156" s="3">
        <f ca="1">IFERROR(__xludf.DUMMYFUNCTION("""COMPUTED_VALUE"""),4693)</f>
        <v>4693</v>
      </c>
      <c r="B156" s="6">
        <f ca="1">IFERROR(__xludf.DUMMYFUNCTION("""COMPUTED_VALUE"""),45309.8451504629)</f>
        <v>45309.845150462897</v>
      </c>
      <c r="C156" s="3" t="str">
        <f ca="1">IFERROR(__xludf.DUMMYFUNCTION("""COMPUTED_VALUE"""),"purchase")</f>
        <v>purchase</v>
      </c>
      <c r="D156" s="6">
        <f t="shared" ca="1" si="0"/>
        <v>45309</v>
      </c>
      <c r="E156" s="6">
        <f t="shared" ca="1" si="1"/>
        <v>45306</v>
      </c>
      <c r="F156" s="6">
        <f t="shared" ca="1" si="2"/>
        <v>45292</v>
      </c>
      <c r="G156" s="7"/>
    </row>
    <row r="157" spans="1:7" x14ac:dyDescent="0.2">
      <c r="A157" s="3">
        <f ca="1">IFERROR(__xludf.DUMMYFUNCTION("""COMPUTED_VALUE"""),2125)</f>
        <v>2125</v>
      </c>
      <c r="B157" s="6">
        <f ca="1">IFERROR(__xludf.DUMMYFUNCTION("""COMPUTED_VALUE"""),45309.8484375)</f>
        <v>45309.848437499997</v>
      </c>
      <c r="C157" s="3" t="str">
        <f ca="1">IFERROR(__xludf.DUMMYFUNCTION("""COMPUTED_VALUE"""),"purchase")</f>
        <v>purchase</v>
      </c>
      <c r="D157" s="6">
        <f t="shared" ca="1" si="0"/>
        <v>45309</v>
      </c>
      <c r="E157" s="6">
        <f t="shared" ca="1" si="1"/>
        <v>45306</v>
      </c>
      <c r="F157" s="6">
        <f t="shared" ca="1" si="2"/>
        <v>45292</v>
      </c>
      <c r="G157" s="7"/>
    </row>
    <row r="158" spans="1:7" x14ac:dyDescent="0.2">
      <c r="A158" s="3">
        <f ca="1">IFERROR(__xludf.DUMMYFUNCTION("""COMPUTED_VALUE"""),2209)</f>
        <v>2209</v>
      </c>
      <c r="B158" s="6">
        <f ca="1">IFERROR(__xludf.DUMMYFUNCTION("""COMPUTED_VALUE"""),45309.8741666666)</f>
        <v>45309.874166666603</v>
      </c>
      <c r="C158" s="3" t="str">
        <f ca="1">IFERROR(__xludf.DUMMYFUNCTION("""COMPUTED_VALUE"""),"purchase")</f>
        <v>purchase</v>
      </c>
      <c r="D158" s="6">
        <f t="shared" ca="1" si="0"/>
        <v>45309</v>
      </c>
      <c r="E158" s="6">
        <f t="shared" ca="1" si="1"/>
        <v>45306</v>
      </c>
      <c r="F158" s="6">
        <f t="shared" ca="1" si="2"/>
        <v>45292</v>
      </c>
      <c r="G158" s="7"/>
    </row>
    <row r="159" spans="1:7" x14ac:dyDescent="0.2">
      <c r="A159" s="3">
        <f ca="1">IFERROR(__xludf.DUMMYFUNCTION("""COMPUTED_VALUE"""),3617)</f>
        <v>3617</v>
      </c>
      <c r="B159" s="6">
        <f ca="1">IFERROR(__xludf.DUMMYFUNCTION("""COMPUTED_VALUE"""),45309.9315393518)</f>
        <v>45309.931539351797</v>
      </c>
      <c r="C159" s="3" t="str">
        <f ca="1">IFERROR(__xludf.DUMMYFUNCTION("""COMPUTED_VALUE"""),"purchase")</f>
        <v>purchase</v>
      </c>
      <c r="D159" s="6">
        <f t="shared" ca="1" si="0"/>
        <v>45309</v>
      </c>
      <c r="E159" s="6">
        <f t="shared" ca="1" si="1"/>
        <v>45306</v>
      </c>
      <c r="F159" s="6">
        <f t="shared" ca="1" si="2"/>
        <v>45292</v>
      </c>
      <c r="G159" s="7"/>
    </row>
    <row r="160" spans="1:7" x14ac:dyDescent="0.2">
      <c r="A160" s="3">
        <f ca="1">IFERROR(__xludf.DUMMYFUNCTION("""COMPUTED_VALUE"""),2307)</f>
        <v>2307</v>
      </c>
      <c r="B160" s="6">
        <f ca="1">IFERROR(__xludf.DUMMYFUNCTION("""COMPUTED_VALUE"""),45309.9561226851)</f>
        <v>45309.9561226851</v>
      </c>
      <c r="C160" s="3" t="str">
        <f ca="1">IFERROR(__xludf.DUMMYFUNCTION("""COMPUTED_VALUE"""),"purchase")</f>
        <v>purchase</v>
      </c>
      <c r="D160" s="6">
        <f t="shared" ca="1" si="0"/>
        <v>45309</v>
      </c>
      <c r="E160" s="6">
        <f t="shared" ca="1" si="1"/>
        <v>45306</v>
      </c>
      <c r="F160" s="6">
        <f t="shared" ca="1" si="2"/>
        <v>45292</v>
      </c>
      <c r="G160" s="7"/>
    </row>
    <row r="161" spans="1:7" x14ac:dyDescent="0.2">
      <c r="A161" s="3">
        <f ca="1">IFERROR(__xludf.DUMMYFUNCTION("""COMPUTED_VALUE"""),1346)</f>
        <v>1346</v>
      </c>
      <c r="B161" s="6">
        <f ca="1">IFERROR(__xludf.DUMMYFUNCTION("""COMPUTED_VALUE"""),45310.0891319444)</f>
        <v>45310.089131944398</v>
      </c>
      <c r="C161" s="3" t="str">
        <f ca="1">IFERROR(__xludf.DUMMYFUNCTION("""COMPUTED_VALUE"""),"purchase")</f>
        <v>purchase</v>
      </c>
      <c r="D161" s="6">
        <f t="shared" ca="1" si="0"/>
        <v>45310</v>
      </c>
      <c r="E161" s="6">
        <f t="shared" ca="1" si="1"/>
        <v>45306</v>
      </c>
      <c r="F161" s="6">
        <f t="shared" ca="1" si="2"/>
        <v>45292</v>
      </c>
      <c r="G161" s="7"/>
    </row>
    <row r="162" spans="1:7" x14ac:dyDescent="0.2">
      <c r="A162" s="3">
        <f ca="1">IFERROR(__xludf.DUMMYFUNCTION("""COMPUTED_VALUE"""),3648)</f>
        <v>3648</v>
      </c>
      <c r="B162" s="6">
        <f ca="1">IFERROR(__xludf.DUMMYFUNCTION("""COMPUTED_VALUE"""),45310.1600810185)</f>
        <v>45310.160081018497</v>
      </c>
      <c r="C162" s="3" t="str">
        <f ca="1">IFERROR(__xludf.DUMMYFUNCTION("""COMPUTED_VALUE"""),"purchase")</f>
        <v>purchase</v>
      </c>
      <c r="D162" s="6">
        <f t="shared" ca="1" si="0"/>
        <v>45310</v>
      </c>
      <c r="E162" s="6">
        <f t="shared" ca="1" si="1"/>
        <v>45306</v>
      </c>
      <c r="F162" s="6">
        <f t="shared" ca="1" si="2"/>
        <v>45292</v>
      </c>
      <c r="G162" s="7"/>
    </row>
    <row r="163" spans="1:7" x14ac:dyDescent="0.2">
      <c r="A163" s="3">
        <f ca="1">IFERROR(__xludf.DUMMYFUNCTION("""COMPUTED_VALUE"""),2313)</f>
        <v>2313</v>
      </c>
      <c r="B163" s="6">
        <f ca="1">IFERROR(__xludf.DUMMYFUNCTION("""COMPUTED_VALUE"""),45310.1853125)</f>
        <v>45310.185312499998</v>
      </c>
      <c r="C163" s="3" t="str">
        <f ca="1">IFERROR(__xludf.DUMMYFUNCTION("""COMPUTED_VALUE"""),"purchase")</f>
        <v>purchase</v>
      </c>
      <c r="D163" s="6">
        <f t="shared" ca="1" si="0"/>
        <v>45310</v>
      </c>
      <c r="E163" s="6">
        <f t="shared" ca="1" si="1"/>
        <v>45306</v>
      </c>
      <c r="F163" s="6">
        <f t="shared" ca="1" si="2"/>
        <v>45292</v>
      </c>
      <c r="G163" s="7"/>
    </row>
    <row r="164" spans="1:7" x14ac:dyDescent="0.2">
      <c r="A164" s="3">
        <f ca="1">IFERROR(__xludf.DUMMYFUNCTION("""COMPUTED_VALUE"""),2599)</f>
        <v>2599</v>
      </c>
      <c r="B164" s="6">
        <f ca="1">IFERROR(__xludf.DUMMYFUNCTION("""COMPUTED_VALUE"""),45310.3434722222)</f>
        <v>45310.343472222201</v>
      </c>
      <c r="C164" s="3" t="str">
        <f ca="1">IFERROR(__xludf.DUMMYFUNCTION("""COMPUTED_VALUE"""),"purchase")</f>
        <v>purchase</v>
      </c>
      <c r="D164" s="6">
        <f t="shared" ca="1" si="0"/>
        <v>45310</v>
      </c>
      <c r="E164" s="6">
        <f t="shared" ca="1" si="1"/>
        <v>45306</v>
      </c>
      <c r="F164" s="6">
        <f t="shared" ca="1" si="2"/>
        <v>45292</v>
      </c>
      <c r="G164" s="7"/>
    </row>
    <row r="165" spans="1:7" x14ac:dyDescent="0.2">
      <c r="A165" s="3">
        <f ca="1">IFERROR(__xludf.DUMMYFUNCTION("""COMPUTED_VALUE"""),1766)</f>
        <v>1766</v>
      </c>
      <c r="B165" s="6">
        <f ca="1">IFERROR(__xludf.DUMMYFUNCTION("""COMPUTED_VALUE"""),45310.3796412037)</f>
        <v>45310.379641203697</v>
      </c>
      <c r="C165" s="3" t="str">
        <f ca="1">IFERROR(__xludf.DUMMYFUNCTION("""COMPUTED_VALUE"""),"purchase")</f>
        <v>purchase</v>
      </c>
      <c r="D165" s="6">
        <f t="shared" ca="1" si="0"/>
        <v>45310</v>
      </c>
      <c r="E165" s="6">
        <f t="shared" ca="1" si="1"/>
        <v>45306</v>
      </c>
      <c r="F165" s="6">
        <f t="shared" ca="1" si="2"/>
        <v>45292</v>
      </c>
      <c r="G165" s="7"/>
    </row>
    <row r="166" spans="1:7" x14ac:dyDescent="0.2">
      <c r="A166" s="3">
        <f ca="1">IFERROR(__xludf.DUMMYFUNCTION("""COMPUTED_VALUE"""),600)</f>
        <v>600</v>
      </c>
      <c r="B166" s="6">
        <f ca="1">IFERROR(__xludf.DUMMYFUNCTION("""COMPUTED_VALUE"""),45310.4096643518)</f>
        <v>45310.409664351799</v>
      </c>
      <c r="C166" s="3" t="str">
        <f ca="1">IFERROR(__xludf.DUMMYFUNCTION("""COMPUTED_VALUE"""),"purchase")</f>
        <v>purchase</v>
      </c>
      <c r="D166" s="6">
        <f t="shared" ca="1" si="0"/>
        <v>45310</v>
      </c>
      <c r="E166" s="6">
        <f t="shared" ca="1" si="1"/>
        <v>45306</v>
      </c>
      <c r="F166" s="6">
        <f t="shared" ca="1" si="2"/>
        <v>45292</v>
      </c>
      <c r="G166" s="7"/>
    </row>
    <row r="167" spans="1:7" x14ac:dyDescent="0.2">
      <c r="A167" s="3">
        <f ca="1">IFERROR(__xludf.DUMMYFUNCTION("""COMPUTED_VALUE"""),3947)</f>
        <v>3947</v>
      </c>
      <c r="B167" s="6">
        <f ca="1">IFERROR(__xludf.DUMMYFUNCTION("""COMPUTED_VALUE"""),45310.6139467592)</f>
        <v>45310.6139467592</v>
      </c>
      <c r="C167" s="3" t="str">
        <f ca="1">IFERROR(__xludf.DUMMYFUNCTION("""COMPUTED_VALUE"""),"purchase")</f>
        <v>purchase</v>
      </c>
      <c r="D167" s="6">
        <f t="shared" ca="1" si="0"/>
        <v>45310</v>
      </c>
      <c r="E167" s="6">
        <f t="shared" ca="1" si="1"/>
        <v>45306</v>
      </c>
      <c r="F167" s="6">
        <f t="shared" ca="1" si="2"/>
        <v>45292</v>
      </c>
      <c r="G167" s="7"/>
    </row>
    <row r="168" spans="1:7" x14ac:dyDescent="0.2">
      <c r="A168" s="3">
        <f ca="1">IFERROR(__xludf.DUMMYFUNCTION("""COMPUTED_VALUE"""),6162)</f>
        <v>6162</v>
      </c>
      <c r="B168" s="6">
        <f ca="1">IFERROR(__xludf.DUMMYFUNCTION("""COMPUTED_VALUE"""),45310.7283796296)</f>
        <v>45310.728379629603</v>
      </c>
      <c r="C168" s="3" t="str">
        <f ca="1">IFERROR(__xludf.DUMMYFUNCTION("""COMPUTED_VALUE"""),"purchase")</f>
        <v>purchase</v>
      </c>
      <c r="D168" s="6">
        <f t="shared" ca="1" si="0"/>
        <v>45310</v>
      </c>
      <c r="E168" s="6">
        <f t="shared" ca="1" si="1"/>
        <v>45306</v>
      </c>
      <c r="F168" s="6">
        <f t="shared" ca="1" si="2"/>
        <v>45292</v>
      </c>
      <c r="G168" s="7"/>
    </row>
    <row r="169" spans="1:7" x14ac:dyDescent="0.2">
      <c r="A169" s="3">
        <f ca="1">IFERROR(__xludf.DUMMYFUNCTION("""COMPUTED_VALUE"""),5710)</f>
        <v>5710</v>
      </c>
      <c r="B169" s="6">
        <f ca="1">IFERROR(__xludf.DUMMYFUNCTION("""COMPUTED_VALUE"""),45310.7829629629)</f>
        <v>45310.782962962898</v>
      </c>
      <c r="C169" s="3" t="str">
        <f ca="1">IFERROR(__xludf.DUMMYFUNCTION("""COMPUTED_VALUE"""),"purchase")</f>
        <v>purchase</v>
      </c>
      <c r="D169" s="6">
        <f t="shared" ca="1" si="0"/>
        <v>45310</v>
      </c>
      <c r="E169" s="6">
        <f t="shared" ca="1" si="1"/>
        <v>45306</v>
      </c>
      <c r="F169" s="6">
        <f t="shared" ca="1" si="2"/>
        <v>45292</v>
      </c>
      <c r="G169" s="7"/>
    </row>
    <row r="170" spans="1:7" x14ac:dyDescent="0.2">
      <c r="A170" s="3">
        <f ca="1">IFERROR(__xludf.DUMMYFUNCTION("""COMPUTED_VALUE"""),2572)</f>
        <v>2572</v>
      </c>
      <c r="B170" s="6">
        <f ca="1">IFERROR(__xludf.DUMMYFUNCTION("""COMPUTED_VALUE"""),45310.8066782407)</f>
        <v>45310.806678240697</v>
      </c>
      <c r="C170" s="3" t="str">
        <f ca="1">IFERROR(__xludf.DUMMYFUNCTION("""COMPUTED_VALUE"""),"purchase")</f>
        <v>purchase</v>
      </c>
      <c r="D170" s="6">
        <f t="shared" ca="1" si="0"/>
        <v>45310</v>
      </c>
      <c r="E170" s="6">
        <f t="shared" ca="1" si="1"/>
        <v>45306</v>
      </c>
      <c r="F170" s="6">
        <f t="shared" ca="1" si="2"/>
        <v>45292</v>
      </c>
      <c r="G170" s="7"/>
    </row>
    <row r="171" spans="1:7" x14ac:dyDescent="0.2">
      <c r="A171" s="3">
        <f ca="1">IFERROR(__xludf.DUMMYFUNCTION("""COMPUTED_VALUE"""),6479)</f>
        <v>6479</v>
      </c>
      <c r="B171" s="6">
        <f ca="1">IFERROR(__xludf.DUMMYFUNCTION("""COMPUTED_VALUE"""),45310.8448379629)</f>
        <v>45310.844837962897</v>
      </c>
      <c r="C171" s="3" t="str">
        <f ca="1">IFERROR(__xludf.DUMMYFUNCTION("""COMPUTED_VALUE"""),"purchase")</f>
        <v>purchase</v>
      </c>
      <c r="D171" s="6">
        <f t="shared" ca="1" si="0"/>
        <v>45310</v>
      </c>
      <c r="E171" s="6">
        <f t="shared" ca="1" si="1"/>
        <v>45306</v>
      </c>
      <c r="F171" s="6">
        <f t="shared" ca="1" si="2"/>
        <v>45292</v>
      </c>
      <c r="G171" s="7"/>
    </row>
    <row r="172" spans="1:7" x14ac:dyDescent="0.2">
      <c r="A172" s="3">
        <f ca="1">IFERROR(__xludf.DUMMYFUNCTION("""COMPUTED_VALUE"""),2604)</f>
        <v>2604</v>
      </c>
      <c r="B172" s="6">
        <f ca="1">IFERROR(__xludf.DUMMYFUNCTION("""COMPUTED_VALUE"""),45310.8844212962)</f>
        <v>45310.884421296199</v>
      </c>
      <c r="C172" s="3" t="str">
        <f ca="1">IFERROR(__xludf.DUMMYFUNCTION("""COMPUTED_VALUE"""),"purchase")</f>
        <v>purchase</v>
      </c>
      <c r="D172" s="6">
        <f t="shared" ca="1" si="0"/>
        <v>45310</v>
      </c>
      <c r="E172" s="6">
        <f t="shared" ca="1" si="1"/>
        <v>45306</v>
      </c>
      <c r="F172" s="6">
        <f t="shared" ca="1" si="2"/>
        <v>45292</v>
      </c>
      <c r="G172" s="7"/>
    </row>
    <row r="173" spans="1:7" x14ac:dyDescent="0.2">
      <c r="A173" s="3">
        <f ca="1">IFERROR(__xludf.DUMMYFUNCTION("""COMPUTED_VALUE"""),4459)</f>
        <v>4459</v>
      </c>
      <c r="B173" s="6">
        <f ca="1">IFERROR(__xludf.DUMMYFUNCTION("""COMPUTED_VALUE"""),45311.1309953703)</f>
        <v>45311.130995370302</v>
      </c>
      <c r="C173" s="3" t="str">
        <f ca="1">IFERROR(__xludf.DUMMYFUNCTION("""COMPUTED_VALUE"""),"purchase")</f>
        <v>purchase</v>
      </c>
      <c r="D173" s="6">
        <f t="shared" ca="1" si="0"/>
        <v>45311</v>
      </c>
      <c r="E173" s="6">
        <f t="shared" ca="1" si="1"/>
        <v>45306</v>
      </c>
      <c r="F173" s="6">
        <f t="shared" ca="1" si="2"/>
        <v>45292</v>
      </c>
      <c r="G173" s="7"/>
    </row>
    <row r="174" spans="1:7" x14ac:dyDescent="0.2">
      <c r="A174" s="3">
        <f ca="1">IFERROR(__xludf.DUMMYFUNCTION("""COMPUTED_VALUE"""),7497)</f>
        <v>7497</v>
      </c>
      <c r="B174" s="6">
        <f ca="1">IFERROR(__xludf.DUMMYFUNCTION("""COMPUTED_VALUE"""),45311.2561574074)</f>
        <v>45311.256157407399</v>
      </c>
      <c r="C174" s="3" t="str">
        <f ca="1">IFERROR(__xludf.DUMMYFUNCTION("""COMPUTED_VALUE"""),"purchase")</f>
        <v>purchase</v>
      </c>
      <c r="D174" s="6">
        <f t="shared" ca="1" si="0"/>
        <v>45311</v>
      </c>
      <c r="E174" s="6">
        <f t="shared" ca="1" si="1"/>
        <v>45306</v>
      </c>
      <c r="F174" s="6">
        <f t="shared" ca="1" si="2"/>
        <v>45292</v>
      </c>
      <c r="G174" s="7"/>
    </row>
    <row r="175" spans="1:7" x14ac:dyDescent="0.2">
      <c r="A175" s="3">
        <f ca="1">IFERROR(__xludf.DUMMYFUNCTION("""COMPUTED_VALUE"""),1566)</f>
        <v>1566</v>
      </c>
      <c r="B175" s="6">
        <f ca="1">IFERROR(__xludf.DUMMYFUNCTION("""COMPUTED_VALUE"""),45311.2683217592)</f>
        <v>45311.268321759198</v>
      </c>
      <c r="C175" s="3" t="str">
        <f ca="1">IFERROR(__xludf.DUMMYFUNCTION("""COMPUTED_VALUE"""),"purchase")</f>
        <v>purchase</v>
      </c>
      <c r="D175" s="6">
        <f t="shared" ca="1" si="0"/>
        <v>45311</v>
      </c>
      <c r="E175" s="6">
        <f t="shared" ca="1" si="1"/>
        <v>45306</v>
      </c>
      <c r="F175" s="6">
        <f t="shared" ca="1" si="2"/>
        <v>45292</v>
      </c>
      <c r="G175" s="7"/>
    </row>
    <row r="176" spans="1:7" x14ac:dyDescent="0.2">
      <c r="A176" s="3">
        <f ca="1">IFERROR(__xludf.DUMMYFUNCTION("""COMPUTED_VALUE"""),2938)</f>
        <v>2938</v>
      </c>
      <c r="B176" s="6">
        <f ca="1">IFERROR(__xludf.DUMMYFUNCTION("""COMPUTED_VALUE"""),45311.4512384259)</f>
        <v>45311.4512384259</v>
      </c>
      <c r="C176" s="3" t="str">
        <f ca="1">IFERROR(__xludf.DUMMYFUNCTION("""COMPUTED_VALUE"""),"purchase")</f>
        <v>purchase</v>
      </c>
      <c r="D176" s="6">
        <f t="shared" ca="1" si="0"/>
        <v>45311</v>
      </c>
      <c r="E176" s="6">
        <f t="shared" ca="1" si="1"/>
        <v>45306</v>
      </c>
      <c r="F176" s="6">
        <f t="shared" ca="1" si="2"/>
        <v>45292</v>
      </c>
      <c r="G176" s="7"/>
    </row>
    <row r="177" spans="1:7" x14ac:dyDescent="0.2">
      <c r="A177" s="3">
        <f ca="1">IFERROR(__xludf.DUMMYFUNCTION("""COMPUTED_VALUE"""),7475)</f>
        <v>7475</v>
      </c>
      <c r="B177" s="6">
        <f ca="1">IFERROR(__xludf.DUMMYFUNCTION("""COMPUTED_VALUE"""),45311.4798148148)</f>
        <v>45311.479814814797</v>
      </c>
      <c r="C177" s="3" t="str">
        <f ca="1">IFERROR(__xludf.DUMMYFUNCTION("""COMPUTED_VALUE"""),"purchase")</f>
        <v>purchase</v>
      </c>
      <c r="D177" s="6">
        <f t="shared" ca="1" si="0"/>
        <v>45311</v>
      </c>
      <c r="E177" s="6">
        <f t="shared" ca="1" si="1"/>
        <v>45306</v>
      </c>
      <c r="F177" s="6">
        <f t="shared" ca="1" si="2"/>
        <v>45292</v>
      </c>
      <c r="G177" s="7"/>
    </row>
    <row r="178" spans="1:7" x14ac:dyDescent="0.2">
      <c r="A178" s="3">
        <f ca="1">IFERROR(__xludf.DUMMYFUNCTION("""COMPUTED_VALUE"""),6341)</f>
        <v>6341</v>
      </c>
      <c r="B178" s="6">
        <f ca="1">IFERROR(__xludf.DUMMYFUNCTION("""COMPUTED_VALUE"""),45311.6247569444)</f>
        <v>45311.624756944402</v>
      </c>
      <c r="C178" s="3" t="str">
        <f ca="1">IFERROR(__xludf.DUMMYFUNCTION("""COMPUTED_VALUE"""),"purchase")</f>
        <v>purchase</v>
      </c>
      <c r="D178" s="6">
        <f t="shared" ca="1" si="0"/>
        <v>45311</v>
      </c>
      <c r="E178" s="6">
        <f t="shared" ca="1" si="1"/>
        <v>45306</v>
      </c>
      <c r="F178" s="6">
        <f t="shared" ca="1" si="2"/>
        <v>45292</v>
      </c>
      <c r="G178" s="7"/>
    </row>
    <row r="179" spans="1:7" x14ac:dyDescent="0.2">
      <c r="A179" s="3">
        <f ca="1">IFERROR(__xludf.DUMMYFUNCTION("""COMPUTED_VALUE"""),1347)</f>
        <v>1347</v>
      </c>
      <c r="B179" s="6">
        <f ca="1">IFERROR(__xludf.DUMMYFUNCTION("""COMPUTED_VALUE"""),45311.6277893518)</f>
        <v>45311.627789351798</v>
      </c>
      <c r="C179" s="3" t="str">
        <f ca="1">IFERROR(__xludf.DUMMYFUNCTION("""COMPUTED_VALUE"""),"purchase")</f>
        <v>purchase</v>
      </c>
      <c r="D179" s="6">
        <f t="shared" ca="1" si="0"/>
        <v>45311</v>
      </c>
      <c r="E179" s="6">
        <f t="shared" ca="1" si="1"/>
        <v>45306</v>
      </c>
      <c r="F179" s="6">
        <f t="shared" ca="1" si="2"/>
        <v>45292</v>
      </c>
      <c r="G179" s="7"/>
    </row>
    <row r="180" spans="1:7" x14ac:dyDescent="0.2">
      <c r="A180" s="3">
        <f ca="1">IFERROR(__xludf.DUMMYFUNCTION("""COMPUTED_VALUE"""),5068)</f>
        <v>5068</v>
      </c>
      <c r="B180" s="6">
        <f ca="1">IFERROR(__xludf.DUMMYFUNCTION("""COMPUTED_VALUE"""),45311.722199074)</f>
        <v>45311.722199074</v>
      </c>
      <c r="C180" s="3" t="str">
        <f ca="1">IFERROR(__xludf.DUMMYFUNCTION("""COMPUTED_VALUE"""),"purchase")</f>
        <v>purchase</v>
      </c>
      <c r="D180" s="6">
        <f t="shared" ca="1" si="0"/>
        <v>45311</v>
      </c>
      <c r="E180" s="6">
        <f t="shared" ca="1" si="1"/>
        <v>45306</v>
      </c>
      <c r="F180" s="6">
        <f t="shared" ca="1" si="2"/>
        <v>45292</v>
      </c>
      <c r="G180" s="7"/>
    </row>
    <row r="181" spans="1:7" x14ac:dyDescent="0.2">
      <c r="A181" s="3">
        <f ca="1">IFERROR(__xludf.DUMMYFUNCTION("""COMPUTED_VALUE"""),5313)</f>
        <v>5313</v>
      </c>
      <c r="B181" s="6">
        <f ca="1">IFERROR(__xludf.DUMMYFUNCTION("""COMPUTED_VALUE"""),45311.7416319444)</f>
        <v>45311.741631944402</v>
      </c>
      <c r="C181" s="3" t="str">
        <f ca="1">IFERROR(__xludf.DUMMYFUNCTION("""COMPUTED_VALUE"""),"purchase")</f>
        <v>purchase</v>
      </c>
      <c r="D181" s="6">
        <f t="shared" ca="1" si="0"/>
        <v>45311</v>
      </c>
      <c r="E181" s="6">
        <f t="shared" ca="1" si="1"/>
        <v>45306</v>
      </c>
      <c r="F181" s="6">
        <f t="shared" ca="1" si="2"/>
        <v>45292</v>
      </c>
      <c r="G181" s="7"/>
    </row>
    <row r="182" spans="1:7" x14ac:dyDescent="0.2">
      <c r="A182" s="3">
        <f ca="1">IFERROR(__xludf.DUMMYFUNCTION("""COMPUTED_VALUE"""),2134)</f>
        <v>2134</v>
      </c>
      <c r="B182" s="6">
        <f ca="1">IFERROR(__xludf.DUMMYFUNCTION("""COMPUTED_VALUE"""),45311.7532175925)</f>
        <v>45311.753217592501</v>
      </c>
      <c r="C182" s="3" t="str">
        <f ca="1">IFERROR(__xludf.DUMMYFUNCTION("""COMPUTED_VALUE"""),"purchase")</f>
        <v>purchase</v>
      </c>
      <c r="D182" s="6">
        <f t="shared" ca="1" si="0"/>
        <v>45311</v>
      </c>
      <c r="E182" s="6">
        <f t="shared" ca="1" si="1"/>
        <v>45306</v>
      </c>
      <c r="F182" s="6">
        <f t="shared" ca="1" si="2"/>
        <v>45292</v>
      </c>
      <c r="G182" s="7"/>
    </row>
    <row r="183" spans="1:7" x14ac:dyDescent="0.2">
      <c r="A183" s="3">
        <f ca="1">IFERROR(__xludf.DUMMYFUNCTION("""COMPUTED_VALUE"""),7665)</f>
        <v>7665</v>
      </c>
      <c r="B183" s="6">
        <f ca="1">IFERROR(__xludf.DUMMYFUNCTION("""COMPUTED_VALUE"""),45311.7922569444)</f>
        <v>45311.792256944398</v>
      </c>
      <c r="C183" s="3" t="str">
        <f ca="1">IFERROR(__xludf.DUMMYFUNCTION("""COMPUTED_VALUE"""),"purchase")</f>
        <v>purchase</v>
      </c>
      <c r="D183" s="6">
        <f t="shared" ca="1" si="0"/>
        <v>45311</v>
      </c>
      <c r="E183" s="6">
        <f t="shared" ca="1" si="1"/>
        <v>45306</v>
      </c>
      <c r="F183" s="6">
        <f t="shared" ca="1" si="2"/>
        <v>45292</v>
      </c>
      <c r="G183" s="7"/>
    </row>
    <row r="184" spans="1:7" x14ac:dyDescent="0.2">
      <c r="A184" s="3">
        <f ca="1">IFERROR(__xludf.DUMMYFUNCTION("""COMPUTED_VALUE"""),507)</f>
        <v>507</v>
      </c>
      <c r="B184" s="6">
        <f ca="1">IFERROR(__xludf.DUMMYFUNCTION("""COMPUTED_VALUE"""),45311.9140046296)</f>
        <v>45311.914004629602</v>
      </c>
      <c r="C184" s="3" t="str">
        <f ca="1">IFERROR(__xludf.DUMMYFUNCTION("""COMPUTED_VALUE"""),"purchase")</f>
        <v>purchase</v>
      </c>
      <c r="D184" s="6">
        <f t="shared" ca="1" si="0"/>
        <v>45311</v>
      </c>
      <c r="E184" s="6">
        <f t="shared" ca="1" si="1"/>
        <v>45306</v>
      </c>
      <c r="F184" s="6">
        <f t="shared" ca="1" si="2"/>
        <v>45292</v>
      </c>
      <c r="G184" s="7"/>
    </row>
    <row r="185" spans="1:7" x14ac:dyDescent="0.2">
      <c r="A185" s="3">
        <f ca="1">IFERROR(__xludf.DUMMYFUNCTION("""COMPUTED_VALUE"""),2304)</f>
        <v>2304</v>
      </c>
      <c r="B185" s="6">
        <f ca="1">IFERROR(__xludf.DUMMYFUNCTION("""COMPUTED_VALUE"""),45311.9356018518)</f>
        <v>45311.935601851801</v>
      </c>
      <c r="C185" s="3" t="str">
        <f ca="1">IFERROR(__xludf.DUMMYFUNCTION("""COMPUTED_VALUE"""),"purchase")</f>
        <v>purchase</v>
      </c>
      <c r="D185" s="6">
        <f t="shared" ca="1" si="0"/>
        <v>45311</v>
      </c>
      <c r="E185" s="6">
        <f t="shared" ca="1" si="1"/>
        <v>45306</v>
      </c>
      <c r="F185" s="6">
        <f t="shared" ca="1" si="2"/>
        <v>45292</v>
      </c>
      <c r="G185" s="7"/>
    </row>
    <row r="186" spans="1:7" x14ac:dyDescent="0.2">
      <c r="A186" s="3">
        <f ca="1">IFERROR(__xludf.DUMMYFUNCTION("""COMPUTED_VALUE"""),7039)</f>
        <v>7039</v>
      </c>
      <c r="B186" s="6">
        <f ca="1">IFERROR(__xludf.DUMMYFUNCTION("""COMPUTED_VALUE"""),45312.3364236111)</f>
        <v>45312.336423611101</v>
      </c>
      <c r="C186" s="3" t="str">
        <f ca="1">IFERROR(__xludf.DUMMYFUNCTION("""COMPUTED_VALUE"""),"purchase")</f>
        <v>purchase</v>
      </c>
      <c r="D186" s="6">
        <f t="shared" ca="1" si="0"/>
        <v>45312</v>
      </c>
      <c r="E186" s="6">
        <f t="shared" ca="1" si="1"/>
        <v>45306</v>
      </c>
      <c r="F186" s="6">
        <f t="shared" ca="1" si="2"/>
        <v>45292</v>
      </c>
      <c r="G186" s="7"/>
    </row>
    <row r="187" spans="1:7" x14ac:dyDescent="0.2">
      <c r="A187" s="3">
        <f ca="1">IFERROR(__xludf.DUMMYFUNCTION("""COMPUTED_VALUE"""),5529)</f>
        <v>5529</v>
      </c>
      <c r="B187" s="6">
        <f ca="1">IFERROR(__xludf.DUMMYFUNCTION("""COMPUTED_VALUE"""),45312.3517013888)</f>
        <v>45312.351701388798</v>
      </c>
      <c r="C187" s="3" t="str">
        <f ca="1">IFERROR(__xludf.DUMMYFUNCTION("""COMPUTED_VALUE"""),"purchase")</f>
        <v>purchase</v>
      </c>
      <c r="D187" s="6">
        <f t="shared" ca="1" si="0"/>
        <v>45312</v>
      </c>
      <c r="E187" s="6">
        <f t="shared" ca="1" si="1"/>
        <v>45306</v>
      </c>
      <c r="F187" s="6">
        <f t="shared" ca="1" si="2"/>
        <v>45292</v>
      </c>
      <c r="G187" s="7"/>
    </row>
    <row r="188" spans="1:7" x14ac:dyDescent="0.2">
      <c r="A188" s="3">
        <f ca="1">IFERROR(__xludf.DUMMYFUNCTION("""COMPUTED_VALUE"""),4374)</f>
        <v>4374</v>
      </c>
      <c r="B188" s="6">
        <f ca="1">IFERROR(__xludf.DUMMYFUNCTION("""COMPUTED_VALUE"""),45312.4781134259)</f>
        <v>45312.478113425903</v>
      </c>
      <c r="C188" s="3" t="str">
        <f ca="1">IFERROR(__xludf.DUMMYFUNCTION("""COMPUTED_VALUE"""),"purchase")</f>
        <v>purchase</v>
      </c>
      <c r="D188" s="6">
        <f t="shared" ca="1" si="0"/>
        <v>45312</v>
      </c>
      <c r="E188" s="6">
        <f t="shared" ca="1" si="1"/>
        <v>45306</v>
      </c>
      <c r="F188" s="6">
        <f t="shared" ca="1" si="2"/>
        <v>45292</v>
      </c>
      <c r="G188" s="7"/>
    </row>
    <row r="189" spans="1:7" x14ac:dyDescent="0.2">
      <c r="A189" s="3">
        <f ca="1">IFERROR(__xludf.DUMMYFUNCTION("""COMPUTED_VALUE"""),6798)</f>
        <v>6798</v>
      </c>
      <c r="B189" s="6">
        <f ca="1">IFERROR(__xludf.DUMMYFUNCTION("""COMPUTED_VALUE"""),45312.7267824074)</f>
        <v>45312.726782407401</v>
      </c>
      <c r="C189" s="3" t="str">
        <f ca="1">IFERROR(__xludf.DUMMYFUNCTION("""COMPUTED_VALUE"""),"purchase")</f>
        <v>purchase</v>
      </c>
      <c r="D189" s="6">
        <f t="shared" ca="1" si="0"/>
        <v>45312</v>
      </c>
      <c r="E189" s="6">
        <f t="shared" ca="1" si="1"/>
        <v>45306</v>
      </c>
      <c r="F189" s="6">
        <f t="shared" ca="1" si="2"/>
        <v>45292</v>
      </c>
      <c r="G189" s="7"/>
    </row>
    <row r="190" spans="1:7" x14ac:dyDescent="0.2">
      <c r="A190" s="3">
        <f ca="1">IFERROR(__xludf.DUMMYFUNCTION("""COMPUTED_VALUE"""),684)</f>
        <v>684</v>
      </c>
      <c r="B190" s="6">
        <f ca="1">IFERROR(__xludf.DUMMYFUNCTION("""COMPUTED_VALUE"""),45312.7281712962)</f>
        <v>45312.728171296199</v>
      </c>
      <c r="C190" s="3" t="str">
        <f ca="1">IFERROR(__xludf.DUMMYFUNCTION("""COMPUTED_VALUE"""),"purchase")</f>
        <v>purchase</v>
      </c>
      <c r="D190" s="6">
        <f t="shared" ca="1" si="0"/>
        <v>45312</v>
      </c>
      <c r="E190" s="6">
        <f t="shared" ca="1" si="1"/>
        <v>45306</v>
      </c>
      <c r="F190" s="6">
        <f t="shared" ca="1" si="2"/>
        <v>45292</v>
      </c>
      <c r="G190" s="7"/>
    </row>
    <row r="191" spans="1:7" x14ac:dyDescent="0.2">
      <c r="A191" s="3">
        <f ca="1">IFERROR(__xludf.DUMMYFUNCTION("""COMPUTED_VALUE"""),3384)</f>
        <v>3384</v>
      </c>
      <c r="B191" s="6">
        <f ca="1">IFERROR(__xludf.DUMMYFUNCTION("""COMPUTED_VALUE"""),45312.9934027777)</f>
        <v>45312.993402777698</v>
      </c>
      <c r="C191" s="3" t="str">
        <f ca="1">IFERROR(__xludf.DUMMYFUNCTION("""COMPUTED_VALUE"""),"purchase")</f>
        <v>purchase</v>
      </c>
      <c r="D191" s="6">
        <f t="shared" ca="1" si="0"/>
        <v>45312</v>
      </c>
      <c r="E191" s="6">
        <f t="shared" ca="1" si="1"/>
        <v>45306</v>
      </c>
      <c r="F191" s="6">
        <f t="shared" ca="1" si="2"/>
        <v>45292</v>
      </c>
      <c r="G191" s="7"/>
    </row>
    <row r="192" spans="1:7" x14ac:dyDescent="0.2">
      <c r="A192" s="3">
        <f ca="1">IFERROR(__xludf.DUMMYFUNCTION("""COMPUTED_VALUE"""),7988)</f>
        <v>7988</v>
      </c>
      <c r="B192" s="6">
        <f ca="1">IFERROR(__xludf.DUMMYFUNCTION("""COMPUTED_VALUE"""),45313.0159606481)</f>
        <v>45313.015960648103</v>
      </c>
      <c r="C192" s="3" t="str">
        <f ca="1">IFERROR(__xludf.DUMMYFUNCTION("""COMPUTED_VALUE"""),"purchase")</f>
        <v>purchase</v>
      </c>
      <c r="D192" s="6">
        <f t="shared" ca="1" si="0"/>
        <v>45313</v>
      </c>
      <c r="E192" s="6">
        <f t="shared" ca="1" si="1"/>
        <v>45313</v>
      </c>
      <c r="F192" s="6">
        <f t="shared" ca="1" si="2"/>
        <v>45292</v>
      </c>
      <c r="G192" s="7"/>
    </row>
    <row r="193" spans="1:7" x14ac:dyDescent="0.2">
      <c r="A193" s="3">
        <f ca="1">IFERROR(__xludf.DUMMYFUNCTION("""COMPUTED_VALUE"""),7109)</f>
        <v>7109</v>
      </c>
      <c r="B193" s="6">
        <f ca="1">IFERROR(__xludf.DUMMYFUNCTION("""COMPUTED_VALUE"""),45313.0930787037)</f>
        <v>45313.0930787037</v>
      </c>
      <c r="C193" s="3" t="str">
        <f ca="1">IFERROR(__xludf.DUMMYFUNCTION("""COMPUTED_VALUE"""),"purchase")</f>
        <v>purchase</v>
      </c>
      <c r="D193" s="6">
        <f t="shared" ca="1" si="0"/>
        <v>45313</v>
      </c>
      <c r="E193" s="6">
        <f t="shared" ca="1" si="1"/>
        <v>45313</v>
      </c>
      <c r="F193" s="6">
        <f t="shared" ca="1" si="2"/>
        <v>45292</v>
      </c>
      <c r="G193" s="7"/>
    </row>
    <row r="194" spans="1:7" x14ac:dyDescent="0.2">
      <c r="A194" s="3">
        <f ca="1">IFERROR(__xludf.DUMMYFUNCTION("""COMPUTED_VALUE"""),612)</f>
        <v>612</v>
      </c>
      <c r="B194" s="6">
        <f ca="1">IFERROR(__xludf.DUMMYFUNCTION("""COMPUTED_VALUE"""),45313.1664930555)</f>
        <v>45313.166493055498</v>
      </c>
      <c r="C194" s="3" t="str">
        <f ca="1">IFERROR(__xludf.DUMMYFUNCTION("""COMPUTED_VALUE"""),"purchase")</f>
        <v>purchase</v>
      </c>
      <c r="D194" s="6">
        <f t="shared" ca="1" si="0"/>
        <v>45313</v>
      </c>
      <c r="E194" s="6">
        <f t="shared" ca="1" si="1"/>
        <v>45313</v>
      </c>
      <c r="F194" s="6">
        <f t="shared" ca="1" si="2"/>
        <v>45292</v>
      </c>
      <c r="G194" s="7"/>
    </row>
    <row r="195" spans="1:7" x14ac:dyDescent="0.2">
      <c r="A195" s="3">
        <f ca="1">IFERROR(__xludf.DUMMYFUNCTION("""COMPUTED_VALUE"""),325)</f>
        <v>325</v>
      </c>
      <c r="B195" s="6">
        <f ca="1">IFERROR(__xludf.DUMMYFUNCTION("""COMPUTED_VALUE"""),45313.2051504629)</f>
        <v>45313.205150462898</v>
      </c>
      <c r="C195" s="3" t="str">
        <f ca="1">IFERROR(__xludf.DUMMYFUNCTION("""COMPUTED_VALUE"""),"purchase")</f>
        <v>purchase</v>
      </c>
      <c r="D195" s="6">
        <f t="shared" ca="1" si="0"/>
        <v>45313</v>
      </c>
      <c r="E195" s="6">
        <f t="shared" ca="1" si="1"/>
        <v>45313</v>
      </c>
      <c r="F195" s="6">
        <f t="shared" ca="1" si="2"/>
        <v>45292</v>
      </c>
      <c r="G195" s="7"/>
    </row>
    <row r="196" spans="1:7" x14ac:dyDescent="0.2">
      <c r="A196" s="3">
        <f ca="1">IFERROR(__xludf.DUMMYFUNCTION("""COMPUTED_VALUE"""),5465)</f>
        <v>5465</v>
      </c>
      <c r="B196" s="6">
        <f ca="1">IFERROR(__xludf.DUMMYFUNCTION("""COMPUTED_VALUE"""),45313.2264351851)</f>
        <v>45313.226435185097</v>
      </c>
      <c r="C196" s="3" t="str">
        <f ca="1">IFERROR(__xludf.DUMMYFUNCTION("""COMPUTED_VALUE"""),"purchase")</f>
        <v>purchase</v>
      </c>
      <c r="D196" s="6">
        <f t="shared" ca="1" si="0"/>
        <v>45313</v>
      </c>
      <c r="E196" s="6">
        <f t="shared" ca="1" si="1"/>
        <v>45313</v>
      </c>
      <c r="F196" s="6">
        <f t="shared" ca="1" si="2"/>
        <v>45292</v>
      </c>
      <c r="G196" s="7"/>
    </row>
    <row r="197" spans="1:7" x14ac:dyDescent="0.2">
      <c r="A197" s="3">
        <f ca="1">IFERROR(__xludf.DUMMYFUNCTION("""COMPUTED_VALUE"""),3769)</f>
        <v>3769</v>
      </c>
      <c r="B197" s="6">
        <f ca="1">IFERROR(__xludf.DUMMYFUNCTION("""COMPUTED_VALUE"""),45313.2953125)</f>
        <v>45313.295312499999</v>
      </c>
      <c r="C197" s="3" t="str">
        <f ca="1">IFERROR(__xludf.DUMMYFUNCTION("""COMPUTED_VALUE"""),"purchase")</f>
        <v>purchase</v>
      </c>
      <c r="D197" s="6">
        <f t="shared" ca="1" si="0"/>
        <v>45313</v>
      </c>
      <c r="E197" s="6">
        <f t="shared" ca="1" si="1"/>
        <v>45313</v>
      </c>
      <c r="F197" s="6">
        <f t="shared" ca="1" si="2"/>
        <v>45292</v>
      </c>
      <c r="G197" s="7"/>
    </row>
    <row r="198" spans="1:7" x14ac:dyDescent="0.2">
      <c r="A198" s="3">
        <f ca="1">IFERROR(__xludf.DUMMYFUNCTION("""COMPUTED_VALUE"""),6218)</f>
        <v>6218</v>
      </c>
      <c r="B198" s="6">
        <f ca="1">IFERROR(__xludf.DUMMYFUNCTION("""COMPUTED_VALUE"""),45313.307037037)</f>
        <v>45313.307037036997</v>
      </c>
      <c r="C198" s="3" t="str">
        <f ca="1">IFERROR(__xludf.DUMMYFUNCTION("""COMPUTED_VALUE"""),"purchase")</f>
        <v>purchase</v>
      </c>
      <c r="D198" s="6">
        <f t="shared" ca="1" si="0"/>
        <v>45313</v>
      </c>
      <c r="E198" s="6">
        <f t="shared" ca="1" si="1"/>
        <v>45313</v>
      </c>
      <c r="F198" s="6">
        <f t="shared" ca="1" si="2"/>
        <v>45292</v>
      </c>
      <c r="G198" s="7"/>
    </row>
    <row r="199" spans="1:7" x14ac:dyDescent="0.2">
      <c r="A199" s="3">
        <f ca="1">IFERROR(__xludf.DUMMYFUNCTION("""COMPUTED_VALUE"""),6192)</f>
        <v>6192</v>
      </c>
      <c r="B199" s="6">
        <f ca="1">IFERROR(__xludf.DUMMYFUNCTION("""COMPUTED_VALUE"""),45313.711261574)</f>
        <v>45313.711261573997</v>
      </c>
      <c r="C199" s="3" t="str">
        <f ca="1">IFERROR(__xludf.DUMMYFUNCTION("""COMPUTED_VALUE"""),"purchase")</f>
        <v>purchase</v>
      </c>
      <c r="D199" s="6">
        <f t="shared" ca="1" si="0"/>
        <v>45313</v>
      </c>
      <c r="E199" s="6">
        <f t="shared" ca="1" si="1"/>
        <v>45313</v>
      </c>
      <c r="F199" s="6">
        <f t="shared" ca="1" si="2"/>
        <v>45292</v>
      </c>
      <c r="G199" s="7"/>
    </row>
    <row r="200" spans="1:7" x14ac:dyDescent="0.2">
      <c r="A200" s="3">
        <f ca="1">IFERROR(__xludf.DUMMYFUNCTION("""COMPUTED_VALUE"""),853)</f>
        <v>853</v>
      </c>
      <c r="B200" s="6">
        <f ca="1">IFERROR(__xludf.DUMMYFUNCTION("""COMPUTED_VALUE"""),45313.7882407407)</f>
        <v>45313.788240740701</v>
      </c>
      <c r="C200" s="3" t="str">
        <f ca="1">IFERROR(__xludf.DUMMYFUNCTION("""COMPUTED_VALUE"""),"purchase")</f>
        <v>purchase</v>
      </c>
      <c r="D200" s="6">
        <f t="shared" ca="1" si="0"/>
        <v>45313</v>
      </c>
      <c r="E200" s="6">
        <f t="shared" ca="1" si="1"/>
        <v>45313</v>
      </c>
      <c r="F200" s="6">
        <f t="shared" ca="1" si="2"/>
        <v>45292</v>
      </c>
      <c r="G200" s="7"/>
    </row>
    <row r="201" spans="1:7" x14ac:dyDescent="0.2">
      <c r="A201" s="3">
        <f ca="1">IFERROR(__xludf.DUMMYFUNCTION("""COMPUTED_VALUE"""),5857)</f>
        <v>5857</v>
      </c>
      <c r="B201" s="6">
        <f ca="1">IFERROR(__xludf.DUMMYFUNCTION("""COMPUTED_VALUE"""),45313.7938310184)</f>
        <v>45313.793831018498</v>
      </c>
      <c r="C201" s="3" t="str">
        <f ca="1">IFERROR(__xludf.DUMMYFUNCTION("""COMPUTED_VALUE"""),"purchase")</f>
        <v>purchase</v>
      </c>
      <c r="D201" s="6">
        <f t="shared" ca="1" si="0"/>
        <v>45313</v>
      </c>
      <c r="E201" s="6">
        <f t="shared" ca="1" si="1"/>
        <v>45313</v>
      </c>
      <c r="F201" s="6">
        <f t="shared" ca="1" si="2"/>
        <v>45292</v>
      </c>
      <c r="G201" s="7"/>
    </row>
    <row r="202" spans="1:7" x14ac:dyDescent="0.2">
      <c r="A202" s="3">
        <f ca="1">IFERROR(__xludf.DUMMYFUNCTION("""COMPUTED_VALUE"""),1260)</f>
        <v>1260</v>
      </c>
      <c r="B202" s="6">
        <f ca="1">IFERROR(__xludf.DUMMYFUNCTION("""COMPUTED_VALUE"""),45313.8055787037)</f>
        <v>45313.805578703701</v>
      </c>
      <c r="C202" s="3" t="str">
        <f ca="1">IFERROR(__xludf.DUMMYFUNCTION("""COMPUTED_VALUE"""),"purchase")</f>
        <v>purchase</v>
      </c>
      <c r="D202" s="6">
        <f t="shared" ca="1" si="0"/>
        <v>45313</v>
      </c>
      <c r="E202" s="6">
        <f t="shared" ca="1" si="1"/>
        <v>45313</v>
      </c>
      <c r="F202" s="6">
        <f t="shared" ca="1" si="2"/>
        <v>45292</v>
      </c>
      <c r="G202" s="7"/>
    </row>
    <row r="203" spans="1:7" x14ac:dyDescent="0.2">
      <c r="A203" s="3">
        <f ca="1">IFERROR(__xludf.DUMMYFUNCTION("""COMPUTED_VALUE"""),5715)</f>
        <v>5715</v>
      </c>
      <c r="B203" s="6">
        <f ca="1">IFERROR(__xludf.DUMMYFUNCTION("""COMPUTED_VALUE"""),45313.8263541666)</f>
        <v>45313.826354166602</v>
      </c>
      <c r="C203" s="3" t="str">
        <f ca="1">IFERROR(__xludf.DUMMYFUNCTION("""COMPUTED_VALUE"""),"purchase")</f>
        <v>purchase</v>
      </c>
      <c r="D203" s="6">
        <f t="shared" ca="1" si="0"/>
        <v>45313</v>
      </c>
      <c r="E203" s="6">
        <f t="shared" ca="1" si="1"/>
        <v>45313</v>
      </c>
      <c r="F203" s="6">
        <f t="shared" ca="1" si="2"/>
        <v>45292</v>
      </c>
      <c r="G203" s="7"/>
    </row>
    <row r="204" spans="1:7" x14ac:dyDescent="0.2">
      <c r="A204" s="3">
        <f ca="1">IFERROR(__xludf.DUMMYFUNCTION("""COMPUTED_VALUE"""),3361)</f>
        <v>3361</v>
      </c>
      <c r="B204" s="6">
        <f ca="1">IFERROR(__xludf.DUMMYFUNCTION("""COMPUTED_VALUE"""),45313.956412037)</f>
        <v>45313.956412036998</v>
      </c>
      <c r="C204" s="3" t="str">
        <f ca="1">IFERROR(__xludf.DUMMYFUNCTION("""COMPUTED_VALUE"""),"purchase")</f>
        <v>purchase</v>
      </c>
      <c r="D204" s="6">
        <f t="shared" ca="1" si="0"/>
        <v>45313</v>
      </c>
      <c r="E204" s="6">
        <f t="shared" ca="1" si="1"/>
        <v>45313</v>
      </c>
      <c r="F204" s="6">
        <f t="shared" ca="1" si="2"/>
        <v>45292</v>
      </c>
      <c r="G204" s="7"/>
    </row>
    <row r="205" spans="1:7" x14ac:dyDescent="0.2">
      <c r="A205" s="3">
        <f ca="1">IFERROR(__xludf.DUMMYFUNCTION("""COMPUTED_VALUE"""),3721)</f>
        <v>3721</v>
      </c>
      <c r="B205" s="6">
        <f ca="1">IFERROR(__xludf.DUMMYFUNCTION("""COMPUTED_VALUE"""),45314.118449074)</f>
        <v>45314.118449073998</v>
      </c>
      <c r="C205" s="3" t="str">
        <f ca="1">IFERROR(__xludf.DUMMYFUNCTION("""COMPUTED_VALUE"""),"purchase")</f>
        <v>purchase</v>
      </c>
      <c r="D205" s="6">
        <f t="shared" ca="1" si="0"/>
        <v>45314</v>
      </c>
      <c r="E205" s="6">
        <f t="shared" ca="1" si="1"/>
        <v>45313</v>
      </c>
      <c r="F205" s="6">
        <f t="shared" ca="1" si="2"/>
        <v>45292</v>
      </c>
      <c r="G205" s="7"/>
    </row>
    <row r="206" spans="1:7" x14ac:dyDescent="0.2">
      <c r="A206" s="3">
        <f ca="1">IFERROR(__xludf.DUMMYFUNCTION("""COMPUTED_VALUE"""),3353)</f>
        <v>3353</v>
      </c>
      <c r="B206" s="6">
        <f ca="1">IFERROR(__xludf.DUMMYFUNCTION("""COMPUTED_VALUE"""),45314.1881828703)</f>
        <v>45314.188182870297</v>
      </c>
      <c r="C206" s="3" t="str">
        <f ca="1">IFERROR(__xludf.DUMMYFUNCTION("""COMPUTED_VALUE"""),"purchase")</f>
        <v>purchase</v>
      </c>
      <c r="D206" s="6">
        <f t="shared" ca="1" si="0"/>
        <v>45314</v>
      </c>
      <c r="E206" s="6">
        <f t="shared" ca="1" si="1"/>
        <v>45313</v>
      </c>
      <c r="F206" s="6">
        <f t="shared" ca="1" si="2"/>
        <v>45292</v>
      </c>
      <c r="G206" s="7"/>
    </row>
    <row r="207" spans="1:7" x14ac:dyDescent="0.2">
      <c r="A207" s="3">
        <f ca="1">IFERROR(__xludf.DUMMYFUNCTION("""COMPUTED_VALUE"""),519)</f>
        <v>519</v>
      </c>
      <c r="B207" s="6">
        <f ca="1">IFERROR(__xludf.DUMMYFUNCTION("""COMPUTED_VALUE"""),45314.2568634259)</f>
        <v>45314.256863425901</v>
      </c>
      <c r="C207" s="3" t="str">
        <f ca="1">IFERROR(__xludf.DUMMYFUNCTION("""COMPUTED_VALUE"""),"purchase")</f>
        <v>purchase</v>
      </c>
      <c r="D207" s="6">
        <f t="shared" ca="1" si="0"/>
        <v>45314</v>
      </c>
      <c r="E207" s="6">
        <f t="shared" ca="1" si="1"/>
        <v>45313</v>
      </c>
      <c r="F207" s="6">
        <f t="shared" ca="1" si="2"/>
        <v>45292</v>
      </c>
      <c r="G207" s="7"/>
    </row>
    <row r="208" spans="1:7" x14ac:dyDescent="0.2">
      <c r="A208" s="3">
        <f ca="1">IFERROR(__xludf.DUMMYFUNCTION("""COMPUTED_VALUE"""),4247)</f>
        <v>4247</v>
      </c>
      <c r="B208" s="6">
        <f ca="1">IFERROR(__xludf.DUMMYFUNCTION("""COMPUTED_VALUE"""),45314.2916782407)</f>
        <v>45314.291678240697</v>
      </c>
      <c r="C208" s="3" t="str">
        <f ca="1">IFERROR(__xludf.DUMMYFUNCTION("""COMPUTED_VALUE"""),"purchase")</f>
        <v>purchase</v>
      </c>
      <c r="D208" s="6">
        <f t="shared" ca="1" si="0"/>
        <v>45314</v>
      </c>
      <c r="E208" s="6">
        <f t="shared" ca="1" si="1"/>
        <v>45313</v>
      </c>
      <c r="F208" s="6">
        <f t="shared" ca="1" si="2"/>
        <v>45292</v>
      </c>
      <c r="G208" s="7"/>
    </row>
    <row r="209" spans="1:7" x14ac:dyDescent="0.2">
      <c r="A209" s="3">
        <f ca="1">IFERROR(__xludf.DUMMYFUNCTION("""COMPUTED_VALUE"""),4640)</f>
        <v>4640</v>
      </c>
      <c r="B209" s="6">
        <f ca="1">IFERROR(__xludf.DUMMYFUNCTION("""COMPUTED_VALUE"""),45314.3605324074)</f>
        <v>45314.360532407401</v>
      </c>
      <c r="C209" s="3" t="str">
        <f ca="1">IFERROR(__xludf.DUMMYFUNCTION("""COMPUTED_VALUE"""),"purchase")</f>
        <v>purchase</v>
      </c>
      <c r="D209" s="6">
        <f t="shared" ca="1" si="0"/>
        <v>45314</v>
      </c>
      <c r="E209" s="6">
        <f t="shared" ca="1" si="1"/>
        <v>45313</v>
      </c>
      <c r="F209" s="6">
        <f t="shared" ca="1" si="2"/>
        <v>45292</v>
      </c>
      <c r="G209" s="7"/>
    </row>
    <row r="210" spans="1:7" x14ac:dyDescent="0.2">
      <c r="A210" s="3">
        <f ca="1">IFERROR(__xludf.DUMMYFUNCTION("""COMPUTED_VALUE"""),3393)</f>
        <v>3393</v>
      </c>
      <c r="B210" s="6">
        <f ca="1">IFERROR(__xludf.DUMMYFUNCTION("""COMPUTED_VALUE"""),45314.5476041666)</f>
        <v>45314.547604166597</v>
      </c>
      <c r="C210" s="3" t="str">
        <f ca="1">IFERROR(__xludf.DUMMYFUNCTION("""COMPUTED_VALUE"""),"purchase")</f>
        <v>purchase</v>
      </c>
      <c r="D210" s="6">
        <f t="shared" ca="1" si="0"/>
        <v>45314</v>
      </c>
      <c r="E210" s="6">
        <f t="shared" ca="1" si="1"/>
        <v>45313</v>
      </c>
      <c r="F210" s="6">
        <f t="shared" ca="1" si="2"/>
        <v>45292</v>
      </c>
      <c r="G210" s="7"/>
    </row>
    <row r="211" spans="1:7" x14ac:dyDescent="0.2">
      <c r="A211" s="3">
        <f ca="1">IFERROR(__xludf.DUMMYFUNCTION("""COMPUTED_VALUE"""),6528)</f>
        <v>6528</v>
      </c>
      <c r="B211" s="6">
        <f ca="1">IFERROR(__xludf.DUMMYFUNCTION("""COMPUTED_VALUE"""),45314.5851388887)</f>
        <v>45314.585138888797</v>
      </c>
      <c r="C211" s="3" t="str">
        <f ca="1">IFERROR(__xludf.DUMMYFUNCTION("""COMPUTED_VALUE"""),"purchase")</f>
        <v>purchase</v>
      </c>
      <c r="D211" s="6">
        <f t="shared" ca="1" si="0"/>
        <v>45314</v>
      </c>
      <c r="E211" s="6">
        <f t="shared" ca="1" si="1"/>
        <v>45313</v>
      </c>
      <c r="F211" s="6">
        <f t="shared" ca="1" si="2"/>
        <v>45292</v>
      </c>
      <c r="G211" s="7"/>
    </row>
    <row r="212" spans="1:7" x14ac:dyDescent="0.2">
      <c r="A212" s="3">
        <f ca="1">IFERROR(__xludf.DUMMYFUNCTION("""COMPUTED_VALUE"""),7574)</f>
        <v>7574</v>
      </c>
      <c r="B212" s="6">
        <f ca="1">IFERROR(__xludf.DUMMYFUNCTION("""COMPUTED_VALUE"""),45314.9234953703)</f>
        <v>45314.923495370298</v>
      </c>
      <c r="C212" s="3" t="str">
        <f ca="1">IFERROR(__xludf.DUMMYFUNCTION("""COMPUTED_VALUE"""),"purchase")</f>
        <v>purchase</v>
      </c>
      <c r="D212" s="6">
        <f t="shared" ca="1" si="0"/>
        <v>45314</v>
      </c>
      <c r="E212" s="6">
        <f t="shared" ca="1" si="1"/>
        <v>45313</v>
      </c>
      <c r="F212" s="6">
        <f t="shared" ca="1" si="2"/>
        <v>45292</v>
      </c>
      <c r="G212" s="7"/>
    </row>
    <row r="213" spans="1:7" x14ac:dyDescent="0.2">
      <c r="A213" s="3">
        <f ca="1">IFERROR(__xludf.DUMMYFUNCTION("""COMPUTED_VALUE"""),756)</f>
        <v>756</v>
      </c>
      <c r="B213" s="6">
        <f ca="1">IFERROR(__xludf.DUMMYFUNCTION("""COMPUTED_VALUE"""),45315.2593171296)</f>
        <v>45315.259317129603</v>
      </c>
      <c r="C213" s="3" t="str">
        <f ca="1">IFERROR(__xludf.DUMMYFUNCTION("""COMPUTED_VALUE"""),"purchase")</f>
        <v>purchase</v>
      </c>
      <c r="D213" s="6">
        <f t="shared" ca="1" si="0"/>
        <v>45315</v>
      </c>
      <c r="E213" s="6">
        <f t="shared" ca="1" si="1"/>
        <v>45313</v>
      </c>
      <c r="F213" s="6">
        <f t="shared" ca="1" si="2"/>
        <v>45292</v>
      </c>
      <c r="G213" s="7"/>
    </row>
    <row r="214" spans="1:7" x14ac:dyDescent="0.2">
      <c r="A214" s="3">
        <f ca="1">IFERROR(__xludf.DUMMYFUNCTION("""COMPUTED_VALUE"""),5935)</f>
        <v>5935</v>
      </c>
      <c r="B214" s="6">
        <f ca="1">IFERROR(__xludf.DUMMYFUNCTION("""COMPUTED_VALUE"""),45315.3473726851)</f>
        <v>45315.347372685101</v>
      </c>
      <c r="C214" s="3" t="str">
        <f ca="1">IFERROR(__xludf.DUMMYFUNCTION("""COMPUTED_VALUE"""),"purchase")</f>
        <v>purchase</v>
      </c>
      <c r="D214" s="6">
        <f t="shared" ca="1" si="0"/>
        <v>45315</v>
      </c>
      <c r="E214" s="6">
        <f t="shared" ca="1" si="1"/>
        <v>45313</v>
      </c>
      <c r="F214" s="6">
        <f t="shared" ca="1" si="2"/>
        <v>45292</v>
      </c>
      <c r="G214" s="7"/>
    </row>
    <row r="215" spans="1:7" x14ac:dyDescent="0.2">
      <c r="A215" s="3">
        <f ca="1">IFERROR(__xludf.DUMMYFUNCTION("""COMPUTED_VALUE"""),4464)</f>
        <v>4464</v>
      </c>
      <c r="B215" s="6">
        <f ca="1">IFERROR(__xludf.DUMMYFUNCTION("""COMPUTED_VALUE"""),45315.449386574)</f>
        <v>45315.449386574001</v>
      </c>
      <c r="C215" s="3" t="str">
        <f ca="1">IFERROR(__xludf.DUMMYFUNCTION("""COMPUTED_VALUE"""),"purchase")</f>
        <v>purchase</v>
      </c>
      <c r="D215" s="6">
        <f t="shared" ca="1" si="0"/>
        <v>45315</v>
      </c>
      <c r="E215" s="6">
        <f t="shared" ca="1" si="1"/>
        <v>45313</v>
      </c>
      <c r="F215" s="6">
        <f t="shared" ca="1" si="2"/>
        <v>45292</v>
      </c>
      <c r="G215" s="7"/>
    </row>
    <row r="216" spans="1:7" x14ac:dyDescent="0.2">
      <c r="A216" s="3">
        <f ca="1">IFERROR(__xludf.DUMMYFUNCTION("""COMPUTED_VALUE"""),1288)</f>
        <v>1288</v>
      </c>
      <c r="B216" s="6">
        <f ca="1">IFERROR(__xludf.DUMMYFUNCTION("""COMPUTED_VALUE"""),45315.5566666666)</f>
        <v>45315.556666666598</v>
      </c>
      <c r="C216" s="3" t="str">
        <f ca="1">IFERROR(__xludf.DUMMYFUNCTION("""COMPUTED_VALUE"""),"purchase")</f>
        <v>purchase</v>
      </c>
      <c r="D216" s="6">
        <f t="shared" ca="1" si="0"/>
        <v>45315</v>
      </c>
      <c r="E216" s="6">
        <f t="shared" ca="1" si="1"/>
        <v>45313</v>
      </c>
      <c r="F216" s="6">
        <f t="shared" ca="1" si="2"/>
        <v>45292</v>
      </c>
      <c r="G216" s="7"/>
    </row>
    <row r="217" spans="1:7" x14ac:dyDescent="0.2">
      <c r="A217" s="3">
        <f ca="1">IFERROR(__xludf.DUMMYFUNCTION("""COMPUTED_VALUE"""),7098)</f>
        <v>7098</v>
      </c>
      <c r="B217" s="6">
        <f ca="1">IFERROR(__xludf.DUMMYFUNCTION("""COMPUTED_VALUE"""),45315.6533912037)</f>
        <v>45315.653391203698</v>
      </c>
      <c r="C217" s="3" t="str">
        <f ca="1">IFERROR(__xludf.DUMMYFUNCTION("""COMPUTED_VALUE"""),"purchase")</f>
        <v>purchase</v>
      </c>
      <c r="D217" s="6">
        <f t="shared" ca="1" si="0"/>
        <v>45315</v>
      </c>
      <c r="E217" s="6">
        <f t="shared" ca="1" si="1"/>
        <v>45313</v>
      </c>
      <c r="F217" s="6">
        <f t="shared" ca="1" si="2"/>
        <v>45292</v>
      </c>
      <c r="G217" s="7"/>
    </row>
    <row r="218" spans="1:7" x14ac:dyDescent="0.2">
      <c r="A218" s="3">
        <f ca="1">IFERROR(__xludf.DUMMYFUNCTION("""COMPUTED_VALUE"""),7881)</f>
        <v>7881</v>
      </c>
      <c r="B218" s="6">
        <f ca="1">IFERROR(__xludf.DUMMYFUNCTION("""COMPUTED_VALUE"""),45315.7305902777)</f>
        <v>45315.730590277701</v>
      </c>
      <c r="C218" s="3" t="str">
        <f ca="1">IFERROR(__xludf.DUMMYFUNCTION("""COMPUTED_VALUE"""),"purchase")</f>
        <v>purchase</v>
      </c>
      <c r="D218" s="6">
        <f t="shared" ca="1" si="0"/>
        <v>45315</v>
      </c>
      <c r="E218" s="6">
        <f t="shared" ca="1" si="1"/>
        <v>45313</v>
      </c>
      <c r="F218" s="6">
        <f t="shared" ca="1" si="2"/>
        <v>45292</v>
      </c>
      <c r="G218" s="7"/>
    </row>
    <row r="219" spans="1:7" x14ac:dyDescent="0.2">
      <c r="A219" s="3">
        <f ca="1">IFERROR(__xludf.DUMMYFUNCTION("""COMPUTED_VALUE"""),316)</f>
        <v>316</v>
      </c>
      <c r="B219" s="6">
        <f ca="1">IFERROR(__xludf.DUMMYFUNCTION("""COMPUTED_VALUE"""),45315.7539814814)</f>
        <v>45315.753981481401</v>
      </c>
      <c r="C219" s="3" t="str">
        <f ca="1">IFERROR(__xludf.DUMMYFUNCTION("""COMPUTED_VALUE"""),"purchase")</f>
        <v>purchase</v>
      </c>
      <c r="D219" s="6">
        <f t="shared" ca="1" si="0"/>
        <v>45315</v>
      </c>
      <c r="E219" s="6">
        <f t="shared" ca="1" si="1"/>
        <v>45313</v>
      </c>
      <c r="F219" s="6">
        <f t="shared" ca="1" si="2"/>
        <v>45292</v>
      </c>
      <c r="G219" s="7"/>
    </row>
    <row r="220" spans="1:7" x14ac:dyDescent="0.2">
      <c r="A220" s="3">
        <f ca="1">IFERROR(__xludf.DUMMYFUNCTION("""COMPUTED_VALUE"""),6189)</f>
        <v>6189</v>
      </c>
      <c r="B220" s="6">
        <f ca="1">IFERROR(__xludf.DUMMYFUNCTION("""COMPUTED_VALUE"""),45315.7609259259)</f>
        <v>45315.760925925897</v>
      </c>
      <c r="C220" s="3" t="str">
        <f ca="1">IFERROR(__xludf.DUMMYFUNCTION("""COMPUTED_VALUE"""),"purchase")</f>
        <v>purchase</v>
      </c>
      <c r="D220" s="6">
        <f t="shared" ca="1" si="0"/>
        <v>45315</v>
      </c>
      <c r="E220" s="6">
        <f t="shared" ca="1" si="1"/>
        <v>45313</v>
      </c>
      <c r="F220" s="6">
        <f t="shared" ca="1" si="2"/>
        <v>45292</v>
      </c>
      <c r="G220" s="7"/>
    </row>
    <row r="221" spans="1:7" x14ac:dyDescent="0.2">
      <c r="A221" s="3">
        <f ca="1">IFERROR(__xludf.DUMMYFUNCTION("""COMPUTED_VALUE"""),5323)</f>
        <v>5323</v>
      </c>
      <c r="B221" s="6">
        <f ca="1">IFERROR(__xludf.DUMMYFUNCTION("""COMPUTED_VALUE"""),45315.8251967592)</f>
        <v>45315.8251967592</v>
      </c>
      <c r="C221" s="3" t="str">
        <f ca="1">IFERROR(__xludf.DUMMYFUNCTION("""COMPUTED_VALUE"""),"purchase")</f>
        <v>purchase</v>
      </c>
      <c r="D221" s="6">
        <f t="shared" ca="1" si="0"/>
        <v>45315</v>
      </c>
      <c r="E221" s="6">
        <f t="shared" ca="1" si="1"/>
        <v>45313</v>
      </c>
      <c r="F221" s="6">
        <f t="shared" ca="1" si="2"/>
        <v>45292</v>
      </c>
      <c r="G221" s="7"/>
    </row>
    <row r="222" spans="1:7" x14ac:dyDescent="0.2">
      <c r="A222" s="3">
        <f ca="1">IFERROR(__xludf.DUMMYFUNCTION("""COMPUTED_VALUE"""),3442)</f>
        <v>3442</v>
      </c>
      <c r="B222" s="6">
        <f ca="1">IFERROR(__xludf.DUMMYFUNCTION("""COMPUTED_VALUE"""),45315.840011574)</f>
        <v>45315.840011574001</v>
      </c>
      <c r="C222" s="3" t="str">
        <f ca="1">IFERROR(__xludf.DUMMYFUNCTION("""COMPUTED_VALUE"""),"purchase")</f>
        <v>purchase</v>
      </c>
      <c r="D222" s="6">
        <f t="shared" ca="1" si="0"/>
        <v>45315</v>
      </c>
      <c r="E222" s="6">
        <f t="shared" ca="1" si="1"/>
        <v>45313</v>
      </c>
      <c r="F222" s="6">
        <f t="shared" ca="1" si="2"/>
        <v>45292</v>
      </c>
      <c r="G222" s="7"/>
    </row>
    <row r="223" spans="1:7" x14ac:dyDescent="0.2">
      <c r="A223" s="3">
        <f ca="1">IFERROR(__xludf.DUMMYFUNCTION("""COMPUTED_VALUE"""),2472)</f>
        <v>2472</v>
      </c>
      <c r="B223" s="6">
        <f ca="1">IFERROR(__xludf.DUMMYFUNCTION("""COMPUTED_VALUE"""),45315.9199421296)</f>
        <v>45315.9199421296</v>
      </c>
      <c r="C223" s="3" t="str">
        <f ca="1">IFERROR(__xludf.DUMMYFUNCTION("""COMPUTED_VALUE"""),"purchase")</f>
        <v>purchase</v>
      </c>
      <c r="D223" s="6">
        <f t="shared" ca="1" si="0"/>
        <v>45315</v>
      </c>
      <c r="E223" s="6">
        <f t="shared" ca="1" si="1"/>
        <v>45313</v>
      </c>
      <c r="F223" s="6">
        <f t="shared" ca="1" si="2"/>
        <v>45292</v>
      </c>
      <c r="G223" s="7"/>
    </row>
    <row r="224" spans="1:7" x14ac:dyDescent="0.2">
      <c r="A224" s="3">
        <f ca="1">IFERROR(__xludf.DUMMYFUNCTION("""COMPUTED_VALUE"""),1282)</f>
        <v>1282</v>
      </c>
      <c r="B224" s="6">
        <f ca="1">IFERROR(__xludf.DUMMYFUNCTION("""COMPUTED_VALUE"""),45315.9922569444)</f>
        <v>45315.992256944402</v>
      </c>
      <c r="C224" s="3" t="str">
        <f ca="1">IFERROR(__xludf.DUMMYFUNCTION("""COMPUTED_VALUE"""),"purchase")</f>
        <v>purchase</v>
      </c>
      <c r="D224" s="6">
        <f t="shared" ca="1" si="0"/>
        <v>45315</v>
      </c>
      <c r="E224" s="6">
        <f t="shared" ca="1" si="1"/>
        <v>45313</v>
      </c>
      <c r="F224" s="6">
        <f t="shared" ca="1" si="2"/>
        <v>45292</v>
      </c>
      <c r="G224" s="7"/>
    </row>
    <row r="225" spans="1:7" x14ac:dyDescent="0.2">
      <c r="A225" s="3">
        <f ca="1">IFERROR(__xludf.DUMMYFUNCTION("""COMPUTED_VALUE"""),2677)</f>
        <v>2677</v>
      </c>
      <c r="B225" s="6">
        <f ca="1">IFERROR(__xludf.DUMMYFUNCTION("""COMPUTED_VALUE"""),45316.0111574074)</f>
        <v>45316.011157407404</v>
      </c>
      <c r="C225" s="3" t="str">
        <f ca="1">IFERROR(__xludf.DUMMYFUNCTION("""COMPUTED_VALUE"""),"purchase")</f>
        <v>purchase</v>
      </c>
      <c r="D225" s="6">
        <f t="shared" ca="1" si="0"/>
        <v>45316</v>
      </c>
      <c r="E225" s="6">
        <f t="shared" ca="1" si="1"/>
        <v>45313</v>
      </c>
      <c r="F225" s="6">
        <f t="shared" ca="1" si="2"/>
        <v>45292</v>
      </c>
      <c r="G225" s="7"/>
    </row>
    <row r="226" spans="1:7" x14ac:dyDescent="0.2">
      <c r="A226" s="3">
        <f ca="1">IFERROR(__xludf.DUMMYFUNCTION("""COMPUTED_VALUE"""),5196)</f>
        <v>5196</v>
      </c>
      <c r="B226" s="6">
        <f ca="1">IFERROR(__xludf.DUMMYFUNCTION("""COMPUTED_VALUE"""),45316.0225578703)</f>
        <v>45316.022557870303</v>
      </c>
      <c r="C226" s="3" t="str">
        <f ca="1">IFERROR(__xludf.DUMMYFUNCTION("""COMPUTED_VALUE"""),"purchase")</f>
        <v>purchase</v>
      </c>
      <c r="D226" s="6">
        <f t="shared" ca="1" si="0"/>
        <v>45316</v>
      </c>
      <c r="E226" s="6">
        <f t="shared" ca="1" si="1"/>
        <v>45313</v>
      </c>
      <c r="F226" s="6">
        <f t="shared" ca="1" si="2"/>
        <v>45292</v>
      </c>
      <c r="G226" s="7"/>
    </row>
    <row r="227" spans="1:7" x14ac:dyDescent="0.2">
      <c r="A227" s="3">
        <f ca="1">IFERROR(__xludf.DUMMYFUNCTION("""COMPUTED_VALUE"""),4158)</f>
        <v>4158</v>
      </c>
      <c r="B227" s="6">
        <f ca="1">IFERROR(__xludf.DUMMYFUNCTION("""COMPUTED_VALUE"""),45316.0744328703)</f>
        <v>45316.0744328703</v>
      </c>
      <c r="C227" s="3" t="str">
        <f ca="1">IFERROR(__xludf.DUMMYFUNCTION("""COMPUTED_VALUE"""),"purchase")</f>
        <v>purchase</v>
      </c>
      <c r="D227" s="6">
        <f t="shared" ca="1" si="0"/>
        <v>45316</v>
      </c>
      <c r="E227" s="6">
        <f t="shared" ca="1" si="1"/>
        <v>45313</v>
      </c>
      <c r="F227" s="6">
        <f t="shared" ca="1" si="2"/>
        <v>45292</v>
      </c>
      <c r="G227" s="7"/>
    </row>
    <row r="228" spans="1:7" x14ac:dyDescent="0.2">
      <c r="A228" s="3">
        <f ca="1">IFERROR(__xludf.DUMMYFUNCTION("""COMPUTED_VALUE"""),2663)</f>
        <v>2663</v>
      </c>
      <c r="B228" s="6">
        <f ca="1">IFERROR(__xludf.DUMMYFUNCTION("""COMPUTED_VALUE"""),45316.1090162037)</f>
        <v>45316.1090162037</v>
      </c>
      <c r="C228" s="3" t="str">
        <f ca="1">IFERROR(__xludf.DUMMYFUNCTION("""COMPUTED_VALUE"""),"purchase")</f>
        <v>purchase</v>
      </c>
      <c r="D228" s="6">
        <f t="shared" ca="1" si="0"/>
        <v>45316</v>
      </c>
      <c r="E228" s="6">
        <f t="shared" ca="1" si="1"/>
        <v>45313</v>
      </c>
      <c r="F228" s="6">
        <f t="shared" ca="1" si="2"/>
        <v>45292</v>
      </c>
      <c r="G228" s="7"/>
    </row>
    <row r="229" spans="1:7" x14ac:dyDescent="0.2">
      <c r="A229" s="3">
        <f ca="1">IFERROR(__xludf.DUMMYFUNCTION("""COMPUTED_VALUE"""),4141)</f>
        <v>4141</v>
      </c>
      <c r="B229" s="6">
        <f ca="1">IFERROR(__xludf.DUMMYFUNCTION("""COMPUTED_VALUE"""),45316.217824074)</f>
        <v>45316.217824074003</v>
      </c>
      <c r="C229" s="3" t="str">
        <f ca="1">IFERROR(__xludf.DUMMYFUNCTION("""COMPUTED_VALUE"""),"purchase")</f>
        <v>purchase</v>
      </c>
      <c r="D229" s="6">
        <f t="shared" ca="1" si="0"/>
        <v>45316</v>
      </c>
      <c r="E229" s="6">
        <f t="shared" ca="1" si="1"/>
        <v>45313</v>
      </c>
      <c r="F229" s="6">
        <f t="shared" ca="1" si="2"/>
        <v>45292</v>
      </c>
      <c r="G229" s="7"/>
    </row>
    <row r="230" spans="1:7" x14ac:dyDescent="0.2">
      <c r="A230" s="3">
        <f ca="1">IFERROR(__xludf.DUMMYFUNCTION("""COMPUTED_VALUE"""),7250)</f>
        <v>7250</v>
      </c>
      <c r="B230" s="6">
        <f ca="1">IFERROR(__xludf.DUMMYFUNCTION("""COMPUTED_VALUE"""),45316.3185185185)</f>
        <v>45316.318518518499</v>
      </c>
      <c r="C230" s="3" t="str">
        <f ca="1">IFERROR(__xludf.DUMMYFUNCTION("""COMPUTED_VALUE"""),"purchase")</f>
        <v>purchase</v>
      </c>
      <c r="D230" s="6">
        <f t="shared" ca="1" si="0"/>
        <v>45316</v>
      </c>
      <c r="E230" s="6">
        <f t="shared" ca="1" si="1"/>
        <v>45313</v>
      </c>
      <c r="F230" s="6">
        <f t="shared" ca="1" si="2"/>
        <v>45292</v>
      </c>
      <c r="G230" s="7"/>
    </row>
    <row r="231" spans="1:7" x14ac:dyDescent="0.2">
      <c r="A231" s="3">
        <f ca="1">IFERROR(__xludf.DUMMYFUNCTION("""COMPUTED_VALUE"""),1043)</f>
        <v>1043</v>
      </c>
      <c r="B231" s="6">
        <f ca="1">IFERROR(__xludf.DUMMYFUNCTION("""COMPUTED_VALUE"""),45316.325949074)</f>
        <v>45316.325949074002</v>
      </c>
      <c r="C231" s="3" t="str">
        <f ca="1">IFERROR(__xludf.DUMMYFUNCTION("""COMPUTED_VALUE"""),"purchase")</f>
        <v>purchase</v>
      </c>
      <c r="D231" s="6">
        <f t="shared" ca="1" si="0"/>
        <v>45316</v>
      </c>
      <c r="E231" s="6">
        <f t="shared" ca="1" si="1"/>
        <v>45313</v>
      </c>
      <c r="F231" s="6">
        <f t="shared" ca="1" si="2"/>
        <v>45292</v>
      </c>
      <c r="G231" s="7"/>
    </row>
    <row r="232" spans="1:7" x14ac:dyDescent="0.2">
      <c r="A232" s="3">
        <f ca="1">IFERROR(__xludf.DUMMYFUNCTION("""COMPUTED_VALUE"""),4728)</f>
        <v>4728</v>
      </c>
      <c r="B232" s="6">
        <f ca="1">IFERROR(__xludf.DUMMYFUNCTION("""COMPUTED_VALUE"""),45316.5324074074)</f>
        <v>45316.532407407401</v>
      </c>
      <c r="C232" s="3" t="str">
        <f ca="1">IFERROR(__xludf.DUMMYFUNCTION("""COMPUTED_VALUE"""),"purchase")</f>
        <v>purchase</v>
      </c>
      <c r="D232" s="6">
        <f t="shared" ca="1" si="0"/>
        <v>45316</v>
      </c>
      <c r="E232" s="6">
        <f t="shared" ca="1" si="1"/>
        <v>45313</v>
      </c>
      <c r="F232" s="6">
        <f t="shared" ca="1" si="2"/>
        <v>45292</v>
      </c>
      <c r="G232" s="7"/>
    </row>
    <row r="233" spans="1:7" x14ac:dyDescent="0.2">
      <c r="A233" s="3">
        <f ca="1">IFERROR(__xludf.DUMMYFUNCTION("""COMPUTED_VALUE"""),4680)</f>
        <v>4680</v>
      </c>
      <c r="B233" s="6">
        <f ca="1">IFERROR(__xludf.DUMMYFUNCTION("""COMPUTED_VALUE"""),45316.7017013888)</f>
        <v>45316.701701388803</v>
      </c>
      <c r="C233" s="3" t="str">
        <f ca="1">IFERROR(__xludf.DUMMYFUNCTION("""COMPUTED_VALUE"""),"purchase")</f>
        <v>purchase</v>
      </c>
      <c r="D233" s="6">
        <f t="shared" ca="1" si="0"/>
        <v>45316</v>
      </c>
      <c r="E233" s="6">
        <f t="shared" ca="1" si="1"/>
        <v>45313</v>
      </c>
      <c r="F233" s="6">
        <f t="shared" ca="1" si="2"/>
        <v>45292</v>
      </c>
      <c r="G233" s="7"/>
    </row>
    <row r="234" spans="1:7" x14ac:dyDescent="0.2">
      <c r="A234" s="3">
        <f ca="1">IFERROR(__xludf.DUMMYFUNCTION("""COMPUTED_VALUE"""),695)</f>
        <v>695</v>
      </c>
      <c r="B234" s="6">
        <f ca="1">IFERROR(__xludf.DUMMYFUNCTION("""COMPUTED_VALUE"""),45316.8125231481)</f>
        <v>45316.812523148103</v>
      </c>
      <c r="C234" s="3" t="str">
        <f ca="1">IFERROR(__xludf.DUMMYFUNCTION("""COMPUTED_VALUE"""),"purchase")</f>
        <v>purchase</v>
      </c>
      <c r="D234" s="6">
        <f t="shared" ca="1" si="0"/>
        <v>45316</v>
      </c>
      <c r="E234" s="6">
        <f t="shared" ca="1" si="1"/>
        <v>45313</v>
      </c>
      <c r="F234" s="6">
        <f t="shared" ca="1" si="2"/>
        <v>45292</v>
      </c>
      <c r="G234" s="7"/>
    </row>
    <row r="235" spans="1:7" x14ac:dyDescent="0.2">
      <c r="A235" s="3">
        <f ca="1">IFERROR(__xludf.DUMMYFUNCTION("""COMPUTED_VALUE"""),4571)</f>
        <v>4571</v>
      </c>
      <c r="B235" s="6">
        <f ca="1">IFERROR(__xludf.DUMMYFUNCTION("""COMPUTED_VALUE"""),45316.8343171296)</f>
        <v>45316.8343171296</v>
      </c>
      <c r="C235" s="3" t="str">
        <f ca="1">IFERROR(__xludf.DUMMYFUNCTION("""COMPUTED_VALUE"""),"purchase")</f>
        <v>purchase</v>
      </c>
      <c r="D235" s="6">
        <f t="shared" ca="1" si="0"/>
        <v>45316</v>
      </c>
      <c r="E235" s="6">
        <f t="shared" ca="1" si="1"/>
        <v>45313</v>
      </c>
      <c r="F235" s="6">
        <f t="shared" ca="1" si="2"/>
        <v>45292</v>
      </c>
      <c r="G235" s="7"/>
    </row>
    <row r="236" spans="1:7" x14ac:dyDescent="0.2">
      <c r="A236" s="3">
        <f ca="1">IFERROR(__xludf.DUMMYFUNCTION("""COMPUTED_VALUE"""),2989)</f>
        <v>2989</v>
      </c>
      <c r="B236" s="6">
        <f ca="1">IFERROR(__xludf.DUMMYFUNCTION("""COMPUTED_VALUE"""),45316.8880208333)</f>
        <v>45316.888020833299</v>
      </c>
      <c r="C236" s="3" t="str">
        <f ca="1">IFERROR(__xludf.DUMMYFUNCTION("""COMPUTED_VALUE"""),"purchase")</f>
        <v>purchase</v>
      </c>
      <c r="D236" s="6">
        <f t="shared" ca="1" si="0"/>
        <v>45316</v>
      </c>
      <c r="E236" s="6">
        <f t="shared" ca="1" si="1"/>
        <v>45313</v>
      </c>
      <c r="F236" s="6">
        <f t="shared" ca="1" si="2"/>
        <v>45292</v>
      </c>
      <c r="G236" s="7"/>
    </row>
    <row r="237" spans="1:7" x14ac:dyDescent="0.2">
      <c r="A237" s="3">
        <f ca="1">IFERROR(__xludf.DUMMYFUNCTION("""COMPUTED_VALUE"""),5770)</f>
        <v>5770</v>
      </c>
      <c r="B237" s="6">
        <f ca="1">IFERROR(__xludf.DUMMYFUNCTION("""COMPUTED_VALUE"""),45317.0133217592)</f>
        <v>45317.013321759201</v>
      </c>
      <c r="C237" s="3" t="str">
        <f ca="1">IFERROR(__xludf.DUMMYFUNCTION("""COMPUTED_VALUE"""),"purchase")</f>
        <v>purchase</v>
      </c>
      <c r="D237" s="6">
        <f t="shared" ca="1" si="0"/>
        <v>45317</v>
      </c>
      <c r="E237" s="6">
        <f t="shared" ca="1" si="1"/>
        <v>45313</v>
      </c>
      <c r="F237" s="6">
        <f t="shared" ca="1" si="2"/>
        <v>45292</v>
      </c>
      <c r="G237" s="7"/>
    </row>
    <row r="238" spans="1:7" x14ac:dyDescent="0.2">
      <c r="A238" s="3">
        <f ca="1">IFERROR(__xludf.DUMMYFUNCTION("""COMPUTED_VALUE"""),7473)</f>
        <v>7473</v>
      </c>
      <c r="B238" s="6">
        <f ca="1">IFERROR(__xludf.DUMMYFUNCTION("""COMPUTED_VALUE"""),45317.1211111111)</f>
        <v>45317.121111111097</v>
      </c>
      <c r="C238" s="3" t="str">
        <f ca="1">IFERROR(__xludf.DUMMYFUNCTION("""COMPUTED_VALUE"""),"purchase")</f>
        <v>purchase</v>
      </c>
      <c r="D238" s="6">
        <f t="shared" ca="1" si="0"/>
        <v>45317</v>
      </c>
      <c r="E238" s="6">
        <f t="shared" ca="1" si="1"/>
        <v>45313</v>
      </c>
      <c r="F238" s="6">
        <f t="shared" ca="1" si="2"/>
        <v>45292</v>
      </c>
      <c r="G238" s="7"/>
    </row>
    <row r="239" spans="1:7" x14ac:dyDescent="0.2">
      <c r="A239" s="3">
        <f ca="1">IFERROR(__xludf.DUMMYFUNCTION("""COMPUTED_VALUE"""),753)</f>
        <v>753</v>
      </c>
      <c r="B239" s="6">
        <f ca="1">IFERROR(__xludf.DUMMYFUNCTION("""COMPUTED_VALUE"""),45317.1864583333)</f>
        <v>45317.186458333301</v>
      </c>
      <c r="C239" s="3" t="str">
        <f ca="1">IFERROR(__xludf.DUMMYFUNCTION("""COMPUTED_VALUE"""),"purchase")</f>
        <v>purchase</v>
      </c>
      <c r="D239" s="6">
        <f t="shared" ca="1" si="0"/>
        <v>45317</v>
      </c>
      <c r="E239" s="6">
        <f t="shared" ca="1" si="1"/>
        <v>45313</v>
      </c>
      <c r="F239" s="6">
        <f t="shared" ca="1" si="2"/>
        <v>45292</v>
      </c>
      <c r="G239" s="7"/>
    </row>
    <row r="240" spans="1:7" x14ac:dyDescent="0.2">
      <c r="A240" s="3">
        <f ca="1">IFERROR(__xludf.DUMMYFUNCTION("""COMPUTED_VALUE"""),4447)</f>
        <v>4447</v>
      </c>
      <c r="B240" s="6">
        <f ca="1">IFERROR(__xludf.DUMMYFUNCTION("""COMPUTED_VALUE"""),45317.253125)</f>
        <v>45317.253125000003</v>
      </c>
      <c r="C240" s="3" t="str">
        <f ca="1">IFERROR(__xludf.DUMMYFUNCTION("""COMPUTED_VALUE"""),"purchase")</f>
        <v>purchase</v>
      </c>
      <c r="D240" s="6">
        <f t="shared" ca="1" si="0"/>
        <v>45317</v>
      </c>
      <c r="E240" s="6">
        <f t="shared" ca="1" si="1"/>
        <v>45313</v>
      </c>
      <c r="F240" s="6">
        <f t="shared" ca="1" si="2"/>
        <v>45292</v>
      </c>
      <c r="G240" s="7"/>
    </row>
    <row r="241" spans="1:7" x14ac:dyDescent="0.2">
      <c r="A241" s="3">
        <f ca="1">IFERROR(__xludf.DUMMYFUNCTION("""COMPUTED_VALUE"""),1784)</f>
        <v>1784</v>
      </c>
      <c r="B241" s="6">
        <f ca="1">IFERROR(__xludf.DUMMYFUNCTION("""COMPUTED_VALUE"""),45317.2692129629)</f>
        <v>45317.269212962899</v>
      </c>
      <c r="C241" s="3" t="str">
        <f ca="1">IFERROR(__xludf.DUMMYFUNCTION("""COMPUTED_VALUE"""),"purchase")</f>
        <v>purchase</v>
      </c>
      <c r="D241" s="6">
        <f t="shared" ca="1" si="0"/>
        <v>45317</v>
      </c>
      <c r="E241" s="6">
        <f t="shared" ca="1" si="1"/>
        <v>45313</v>
      </c>
      <c r="F241" s="6">
        <f t="shared" ca="1" si="2"/>
        <v>45292</v>
      </c>
      <c r="G241" s="7"/>
    </row>
    <row r="242" spans="1:7" x14ac:dyDescent="0.2">
      <c r="A242" s="3">
        <f ca="1">IFERROR(__xludf.DUMMYFUNCTION("""COMPUTED_VALUE"""),2914)</f>
        <v>2914</v>
      </c>
      <c r="B242" s="6">
        <f ca="1">IFERROR(__xludf.DUMMYFUNCTION("""COMPUTED_VALUE"""),45317.3365625)</f>
        <v>45317.336562500001</v>
      </c>
      <c r="C242" s="3" t="str">
        <f ca="1">IFERROR(__xludf.DUMMYFUNCTION("""COMPUTED_VALUE"""),"purchase")</f>
        <v>purchase</v>
      </c>
      <c r="D242" s="6">
        <f t="shared" ca="1" si="0"/>
        <v>45317</v>
      </c>
      <c r="E242" s="6">
        <f t="shared" ca="1" si="1"/>
        <v>45313</v>
      </c>
      <c r="F242" s="6">
        <f t="shared" ca="1" si="2"/>
        <v>45292</v>
      </c>
      <c r="G242" s="7"/>
    </row>
    <row r="243" spans="1:7" x14ac:dyDescent="0.2">
      <c r="A243" s="3">
        <f ca="1">IFERROR(__xludf.DUMMYFUNCTION("""COMPUTED_VALUE"""),1420)</f>
        <v>1420</v>
      </c>
      <c r="B243" s="6">
        <f ca="1">IFERROR(__xludf.DUMMYFUNCTION("""COMPUTED_VALUE"""),45317.3947916666)</f>
        <v>45317.3947916666</v>
      </c>
      <c r="C243" s="3" t="str">
        <f ca="1">IFERROR(__xludf.DUMMYFUNCTION("""COMPUTED_VALUE"""),"purchase")</f>
        <v>purchase</v>
      </c>
      <c r="D243" s="6">
        <f t="shared" ca="1" si="0"/>
        <v>45317</v>
      </c>
      <c r="E243" s="6">
        <f t="shared" ca="1" si="1"/>
        <v>45313</v>
      </c>
      <c r="F243" s="6">
        <f t="shared" ca="1" si="2"/>
        <v>45292</v>
      </c>
      <c r="G243" s="7"/>
    </row>
    <row r="244" spans="1:7" x14ac:dyDescent="0.2">
      <c r="A244" s="3">
        <f ca="1">IFERROR(__xludf.DUMMYFUNCTION("""COMPUTED_VALUE"""),1427)</f>
        <v>1427</v>
      </c>
      <c r="B244" s="6">
        <f ca="1">IFERROR(__xludf.DUMMYFUNCTION("""COMPUTED_VALUE"""),45317.4112384259)</f>
        <v>45317.411238425899</v>
      </c>
      <c r="C244" s="3" t="str">
        <f ca="1">IFERROR(__xludf.DUMMYFUNCTION("""COMPUTED_VALUE"""),"purchase")</f>
        <v>purchase</v>
      </c>
      <c r="D244" s="6">
        <f t="shared" ca="1" si="0"/>
        <v>45317</v>
      </c>
      <c r="E244" s="6">
        <f t="shared" ca="1" si="1"/>
        <v>45313</v>
      </c>
      <c r="F244" s="6">
        <f t="shared" ca="1" si="2"/>
        <v>45292</v>
      </c>
      <c r="G244" s="7"/>
    </row>
    <row r="245" spans="1:7" x14ac:dyDescent="0.2">
      <c r="A245" s="3">
        <f ca="1">IFERROR(__xludf.DUMMYFUNCTION("""COMPUTED_VALUE"""),1303)</f>
        <v>1303</v>
      </c>
      <c r="B245" s="6">
        <f ca="1">IFERROR(__xludf.DUMMYFUNCTION("""COMPUTED_VALUE"""),45317.5480208333)</f>
        <v>45317.548020833303</v>
      </c>
      <c r="C245" s="3" t="str">
        <f ca="1">IFERROR(__xludf.DUMMYFUNCTION("""COMPUTED_VALUE"""),"purchase")</f>
        <v>purchase</v>
      </c>
      <c r="D245" s="6">
        <f t="shared" ca="1" si="0"/>
        <v>45317</v>
      </c>
      <c r="E245" s="6">
        <f t="shared" ca="1" si="1"/>
        <v>45313</v>
      </c>
      <c r="F245" s="6">
        <f t="shared" ca="1" si="2"/>
        <v>45292</v>
      </c>
      <c r="G245" s="7"/>
    </row>
    <row r="246" spans="1:7" x14ac:dyDescent="0.2">
      <c r="A246" s="3">
        <f ca="1">IFERROR(__xludf.DUMMYFUNCTION("""COMPUTED_VALUE"""),5924)</f>
        <v>5924</v>
      </c>
      <c r="B246" s="6">
        <f ca="1">IFERROR(__xludf.DUMMYFUNCTION("""COMPUTED_VALUE"""),45317.6561805555)</f>
        <v>45317.656180555503</v>
      </c>
      <c r="C246" s="3" t="str">
        <f ca="1">IFERROR(__xludf.DUMMYFUNCTION("""COMPUTED_VALUE"""),"purchase")</f>
        <v>purchase</v>
      </c>
      <c r="D246" s="6">
        <f t="shared" ca="1" si="0"/>
        <v>45317</v>
      </c>
      <c r="E246" s="6">
        <f t="shared" ca="1" si="1"/>
        <v>45313</v>
      </c>
      <c r="F246" s="6">
        <f t="shared" ca="1" si="2"/>
        <v>45292</v>
      </c>
      <c r="G246" s="7"/>
    </row>
    <row r="247" spans="1:7" x14ac:dyDescent="0.2">
      <c r="A247" s="3">
        <f ca="1">IFERROR(__xludf.DUMMYFUNCTION("""COMPUTED_VALUE"""),6216)</f>
        <v>6216</v>
      </c>
      <c r="B247" s="6">
        <f ca="1">IFERROR(__xludf.DUMMYFUNCTION("""COMPUTED_VALUE"""),45317.8137268518)</f>
        <v>45317.813726851797</v>
      </c>
      <c r="C247" s="3" t="str">
        <f ca="1">IFERROR(__xludf.DUMMYFUNCTION("""COMPUTED_VALUE"""),"purchase")</f>
        <v>purchase</v>
      </c>
      <c r="D247" s="6">
        <f t="shared" ca="1" si="0"/>
        <v>45317</v>
      </c>
      <c r="E247" s="6">
        <f t="shared" ca="1" si="1"/>
        <v>45313</v>
      </c>
      <c r="F247" s="6">
        <f t="shared" ca="1" si="2"/>
        <v>45292</v>
      </c>
      <c r="G247" s="7"/>
    </row>
    <row r="248" spans="1:7" x14ac:dyDescent="0.2">
      <c r="A248" s="3">
        <f ca="1">IFERROR(__xludf.DUMMYFUNCTION("""COMPUTED_VALUE"""),5051)</f>
        <v>5051</v>
      </c>
      <c r="B248" s="6">
        <f ca="1">IFERROR(__xludf.DUMMYFUNCTION("""COMPUTED_VALUE"""),45317.9274305555)</f>
        <v>45317.927430555501</v>
      </c>
      <c r="C248" s="3" t="str">
        <f ca="1">IFERROR(__xludf.DUMMYFUNCTION("""COMPUTED_VALUE"""),"purchase")</f>
        <v>purchase</v>
      </c>
      <c r="D248" s="6">
        <f t="shared" ca="1" si="0"/>
        <v>45317</v>
      </c>
      <c r="E248" s="6">
        <f t="shared" ca="1" si="1"/>
        <v>45313</v>
      </c>
      <c r="F248" s="6">
        <f t="shared" ca="1" si="2"/>
        <v>45292</v>
      </c>
      <c r="G248" s="7"/>
    </row>
    <row r="249" spans="1:7" x14ac:dyDescent="0.2">
      <c r="A249" s="3">
        <f ca="1">IFERROR(__xludf.DUMMYFUNCTION("""COMPUTED_VALUE"""),7993)</f>
        <v>7993</v>
      </c>
      <c r="B249" s="6">
        <f ca="1">IFERROR(__xludf.DUMMYFUNCTION("""COMPUTED_VALUE"""),45317.9336342592)</f>
        <v>45317.9336342592</v>
      </c>
      <c r="C249" s="3" t="str">
        <f ca="1">IFERROR(__xludf.DUMMYFUNCTION("""COMPUTED_VALUE"""),"purchase")</f>
        <v>purchase</v>
      </c>
      <c r="D249" s="6">
        <f t="shared" ca="1" si="0"/>
        <v>45317</v>
      </c>
      <c r="E249" s="6">
        <f t="shared" ca="1" si="1"/>
        <v>45313</v>
      </c>
      <c r="F249" s="6">
        <f t="shared" ca="1" si="2"/>
        <v>45292</v>
      </c>
      <c r="G249" s="7"/>
    </row>
    <row r="250" spans="1:7" x14ac:dyDescent="0.2">
      <c r="A250" s="3">
        <f ca="1">IFERROR(__xludf.DUMMYFUNCTION("""COMPUTED_VALUE"""),1980)</f>
        <v>1980</v>
      </c>
      <c r="B250" s="6">
        <f ca="1">IFERROR(__xludf.DUMMYFUNCTION("""COMPUTED_VALUE"""),45317.9761574074)</f>
        <v>45317.9761574074</v>
      </c>
      <c r="C250" s="3" t="str">
        <f ca="1">IFERROR(__xludf.DUMMYFUNCTION("""COMPUTED_VALUE"""),"purchase")</f>
        <v>purchase</v>
      </c>
      <c r="D250" s="6">
        <f t="shared" ca="1" si="0"/>
        <v>45317</v>
      </c>
      <c r="E250" s="6">
        <f t="shared" ca="1" si="1"/>
        <v>45313</v>
      </c>
      <c r="F250" s="6">
        <f t="shared" ca="1" si="2"/>
        <v>45292</v>
      </c>
      <c r="G250" s="7"/>
    </row>
    <row r="251" spans="1:7" x14ac:dyDescent="0.2">
      <c r="A251" s="3">
        <f ca="1">IFERROR(__xludf.DUMMYFUNCTION("""COMPUTED_VALUE"""),1375)</f>
        <v>1375</v>
      </c>
      <c r="B251" s="6">
        <f ca="1">IFERROR(__xludf.DUMMYFUNCTION("""COMPUTED_VALUE"""),45318.0400462962)</f>
        <v>45318.040046296199</v>
      </c>
      <c r="C251" s="3" t="str">
        <f ca="1">IFERROR(__xludf.DUMMYFUNCTION("""COMPUTED_VALUE"""),"purchase")</f>
        <v>purchase</v>
      </c>
      <c r="D251" s="6">
        <f t="shared" ca="1" si="0"/>
        <v>45318</v>
      </c>
      <c r="E251" s="6">
        <f t="shared" ca="1" si="1"/>
        <v>45313</v>
      </c>
      <c r="F251" s="6">
        <f t="shared" ca="1" si="2"/>
        <v>45292</v>
      </c>
      <c r="G251" s="7"/>
    </row>
    <row r="252" spans="1:7" x14ac:dyDescent="0.2">
      <c r="A252" s="3">
        <f ca="1">IFERROR(__xludf.DUMMYFUNCTION("""COMPUTED_VALUE"""),2652)</f>
        <v>2652</v>
      </c>
      <c r="B252" s="6">
        <f ca="1">IFERROR(__xludf.DUMMYFUNCTION("""COMPUTED_VALUE"""),45318.2653935185)</f>
        <v>45318.265393518501</v>
      </c>
      <c r="C252" s="3" t="str">
        <f ca="1">IFERROR(__xludf.DUMMYFUNCTION("""COMPUTED_VALUE"""),"purchase")</f>
        <v>purchase</v>
      </c>
      <c r="D252" s="6">
        <f t="shared" ca="1" si="0"/>
        <v>45318</v>
      </c>
      <c r="E252" s="6">
        <f t="shared" ca="1" si="1"/>
        <v>45313</v>
      </c>
      <c r="F252" s="6">
        <f t="shared" ca="1" si="2"/>
        <v>45292</v>
      </c>
      <c r="G252" s="7"/>
    </row>
    <row r="253" spans="1:7" x14ac:dyDescent="0.2">
      <c r="A253" s="3">
        <f ca="1">IFERROR(__xludf.DUMMYFUNCTION("""COMPUTED_VALUE"""),5749)</f>
        <v>5749</v>
      </c>
      <c r="B253" s="6">
        <f ca="1">IFERROR(__xludf.DUMMYFUNCTION("""COMPUTED_VALUE"""),45318.2695949074)</f>
        <v>45318.269594907397</v>
      </c>
      <c r="C253" s="3" t="str">
        <f ca="1">IFERROR(__xludf.DUMMYFUNCTION("""COMPUTED_VALUE"""),"purchase")</f>
        <v>purchase</v>
      </c>
      <c r="D253" s="6">
        <f t="shared" ca="1" si="0"/>
        <v>45318</v>
      </c>
      <c r="E253" s="6">
        <f t="shared" ca="1" si="1"/>
        <v>45313</v>
      </c>
      <c r="F253" s="6">
        <f t="shared" ca="1" si="2"/>
        <v>45292</v>
      </c>
      <c r="G253" s="7"/>
    </row>
    <row r="254" spans="1:7" x14ac:dyDescent="0.2">
      <c r="A254" s="3">
        <f ca="1">IFERROR(__xludf.DUMMYFUNCTION("""COMPUTED_VALUE"""),6873)</f>
        <v>6873</v>
      </c>
      <c r="B254" s="6">
        <f ca="1">IFERROR(__xludf.DUMMYFUNCTION("""COMPUTED_VALUE"""),45318.3458449074)</f>
        <v>45318.345844907402</v>
      </c>
      <c r="C254" s="3" t="str">
        <f ca="1">IFERROR(__xludf.DUMMYFUNCTION("""COMPUTED_VALUE"""),"purchase")</f>
        <v>purchase</v>
      </c>
      <c r="D254" s="6">
        <f t="shared" ca="1" si="0"/>
        <v>45318</v>
      </c>
      <c r="E254" s="6">
        <f t="shared" ca="1" si="1"/>
        <v>45313</v>
      </c>
      <c r="F254" s="6">
        <f t="shared" ca="1" si="2"/>
        <v>45292</v>
      </c>
      <c r="G254" s="7"/>
    </row>
    <row r="255" spans="1:7" x14ac:dyDescent="0.2">
      <c r="A255" s="3">
        <f ca="1">IFERROR(__xludf.DUMMYFUNCTION("""COMPUTED_VALUE"""),787)</f>
        <v>787</v>
      </c>
      <c r="B255" s="6">
        <f ca="1">IFERROR(__xludf.DUMMYFUNCTION("""COMPUTED_VALUE"""),45318.6307754629)</f>
        <v>45318.630775462902</v>
      </c>
      <c r="C255" s="3" t="str">
        <f ca="1">IFERROR(__xludf.DUMMYFUNCTION("""COMPUTED_VALUE"""),"purchase")</f>
        <v>purchase</v>
      </c>
      <c r="D255" s="6">
        <f t="shared" ca="1" si="0"/>
        <v>45318</v>
      </c>
      <c r="E255" s="6">
        <f t="shared" ca="1" si="1"/>
        <v>45313</v>
      </c>
      <c r="F255" s="6">
        <f t="shared" ca="1" si="2"/>
        <v>45292</v>
      </c>
      <c r="G255" s="7"/>
    </row>
    <row r="256" spans="1:7" x14ac:dyDescent="0.2">
      <c r="A256" s="3">
        <f ca="1">IFERROR(__xludf.DUMMYFUNCTION("""COMPUTED_VALUE"""),1430)</f>
        <v>1430</v>
      </c>
      <c r="B256" s="6">
        <f ca="1">IFERROR(__xludf.DUMMYFUNCTION("""COMPUTED_VALUE"""),45318.6740393518)</f>
        <v>45318.674039351798</v>
      </c>
      <c r="C256" s="3" t="str">
        <f ca="1">IFERROR(__xludf.DUMMYFUNCTION("""COMPUTED_VALUE"""),"purchase")</f>
        <v>purchase</v>
      </c>
      <c r="D256" s="6">
        <f t="shared" ca="1" si="0"/>
        <v>45318</v>
      </c>
      <c r="E256" s="6">
        <f t="shared" ca="1" si="1"/>
        <v>45313</v>
      </c>
      <c r="F256" s="6">
        <f t="shared" ca="1" si="2"/>
        <v>45292</v>
      </c>
      <c r="G256" s="7"/>
    </row>
    <row r="257" spans="1:7" x14ac:dyDescent="0.2">
      <c r="A257" s="3">
        <f ca="1">IFERROR(__xludf.DUMMYFUNCTION("""COMPUTED_VALUE"""),6716)</f>
        <v>6716</v>
      </c>
      <c r="B257" s="6">
        <f ca="1">IFERROR(__xludf.DUMMYFUNCTION("""COMPUTED_VALUE"""),45318.6834953703)</f>
        <v>45318.6834953703</v>
      </c>
      <c r="C257" s="3" t="str">
        <f ca="1">IFERROR(__xludf.DUMMYFUNCTION("""COMPUTED_VALUE"""),"purchase")</f>
        <v>purchase</v>
      </c>
      <c r="D257" s="6">
        <f t="shared" ca="1" si="0"/>
        <v>45318</v>
      </c>
      <c r="E257" s="6">
        <f t="shared" ca="1" si="1"/>
        <v>45313</v>
      </c>
      <c r="F257" s="6">
        <f t="shared" ca="1" si="2"/>
        <v>45292</v>
      </c>
      <c r="G257" s="7"/>
    </row>
    <row r="258" spans="1:7" x14ac:dyDescent="0.2">
      <c r="A258" s="3">
        <f ca="1">IFERROR(__xludf.DUMMYFUNCTION("""COMPUTED_VALUE"""),5232)</f>
        <v>5232</v>
      </c>
      <c r="B258" s="6">
        <f ca="1">IFERROR(__xludf.DUMMYFUNCTION("""COMPUTED_VALUE"""),45318.7360532407)</f>
        <v>45318.736053240696</v>
      </c>
      <c r="C258" s="3" t="str">
        <f ca="1">IFERROR(__xludf.DUMMYFUNCTION("""COMPUTED_VALUE"""),"purchase")</f>
        <v>purchase</v>
      </c>
      <c r="D258" s="6">
        <f t="shared" ca="1" si="0"/>
        <v>45318</v>
      </c>
      <c r="E258" s="6">
        <f t="shared" ca="1" si="1"/>
        <v>45313</v>
      </c>
      <c r="F258" s="6">
        <f t="shared" ca="1" si="2"/>
        <v>45292</v>
      </c>
      <c r="G258" s="7"/>
    </row>
    <row r="259" spans="1:7" x14ac:dyDescent="0.2">
      <c r="A259" s="3">
        <f ca="1">IFERROR(__xludf.DUMMYFUNCTION("""COMPUTED_VALUE"""),1)</f>
        <v>1</v>
      </c>
      <c r="B259" s="6">
        <f ca="1">IFERROR(__xludf.DUMMYFUNCTION("""COMPUTED_VALUE"""),45318.7936574073)</f>
        <v>45318.793657407397</v>
      </c>
      <c r="C259" s="3" t="str">
        <f ca="1">IFERROR(__xludf.DUMMYFUNCTION("""COMPUTED_VALUE"""),"purchase")</f>
        <v>purchase</v>
      </c>
      <c r="D259" s="6">
        <f t="shared" ca="1" si="0"/>
        <v>45318</v>
      </c>
      <c r="E259" s="6">
        <f t="shared" ca="1" si="1"/>
        <v>45313</v>
      </c>
      <c r="F259" s="6">
        <f t="shared" ca="1" si="2"/>
        <v>45292</v>
      </c>
      <c r="G259" s="7"/>
    </row>
    <row r="260" spans="1:7" x14ac:dyDescent="0.2">
      <c r="A260" s="3">
        <f ca="1">IFERROR(__xludf.DUMMYFUNCTION("""COMPUTED_VALUE"""),6914)</f>
        <v>6914</v>
      </c>
      <c r="B260" s="6">
        <f ca="1">IFERROR(__xludf.DUMMYFUNCTION("""COMPUTED_VALUE"""),45318.8704513888)</f>
        <v>45318.870451388801</v>
      </c>
      <c r="C260" s="3" t="str">
        <f ca="1">IFERROR(__xludf.DUMMYFUNCTION("""COMPUTED_VALUE"""),"purchase")</f>
        <v>purchase</v>
      </c>
      <c r="D260" s="6">
        <f t="shared" ca="1" si="0"/>
        <v>45318</v>
      </c>
      <c r="E260" s="6">
        <f t="shared" ca="1" si="1"/>
        <v>45313</v>
      </c>
      <c r="F260" s="6">
        <f t="shared" ca="1" si="2"/>
        <v>45292</v>
      </c>
      <c r="G260" s="7"/>
    </row>
    <row r="261" spans="1:7" x14ac:dyDescent="0.2">
      <c r="A261" s="3">
        <f ca="1">IFERROR(__xludf.DUMMYFUNCTION("""COMPUTED_VALUE"""),4951)</f>
        <v>4951</v>
      </c>
      <c r="B261" s="6">
        <f ca="1">IFERROR(__xludf.DUMMYFUNCTION("""COMPUTED_VALUE"""),45319.008912037)</f>
        <v>45319.008912037003</v>
      </c>
      <c r="C261" s="3" t="str">
        <f ca="1">IFERROR(__xludf.DUMMYFUNCTION("""COMPUTED_VALUE"""),"purchase")</f>
        <v>purchase</v>
      </c>
      <c r="D261" s="6">
        <f t="shared" ca="1" si="0"/>
        <v>45319</v>
      </c>
      <c r="E261" s="6">
        <f t="shared" ca="1" si="1"/>
        <v>45313</v>
      </c>
      <c r="F261" s="6">
        <f t="shared" ca="1" si="2"/>
        <v>45292</v>
      </c>
      <c r="G261" s="7"/>
    </row>
    <row r="262" spans="1:7" x14ac:dyDescent="0.2">
      <c r="A262" s="3">
        <f ca="1">IFERROR(__xludf.DUMMYFUNCTION("""COMPUTED_VALUE"""),1278)</f>
        <v>1278</v>
      </c>
      <c r="B262" s="6">
        <f ca="1">IFERROR(__xludf.DUMMYFUNCTION("""COMPUTED_VALUE"""),45319.2230671296)</f>
        <v>45319.223067129598</v>
      </c>
      <c r="C262" s="3" t="str">
        <f ca="1">IFERROR(__xludf.DUMMYFUNCTION("""COMPUTED_VALUE"""),"purchase")</f>
        <v>purchase</v>
      </c>
      <c r="D262" s="6">
        <f t="shared" ca="1" si="0"/>
        <v>45319</v>
      </c>
      <c r="E262" s="6">
        <f t="shared" ca="1" si="1"/>
        <v>45313</v>
      </c>
      <c r="F262" s="6">
        <f t="shared" ca="1" si="2"/>
        <v>45292</v>
      </c>
      <c r="G262" s="7"/>
    </row>
    <row r="263" spans="1:7" x14ac:dyDescent="0.2">
      <c r="A263" s="3">
        <f ca="1">IFERROR(__xludf.DUMMYFUNCTION("""COMPUTED_VALUE"""),7731)</f>
        <v>7731</v>
      </c>
      <c r="B263" s="6">
        <f ca="1">IFERROR(__xludf.DUMMYFUNCTION("""COMPUTED_VALUE"""),45319.3013541666)</f>
        <v>45319.301354166601</v>
      </c>
      <c r="C263" s="3" t="str">
        <f ca="1">IFERROR(__xludf.DUMMYFUNCTION("""COMPUTED_VALUE"""),"purchase")</f>
        <v>purchase</v>
      </c>
      <c r="D263" s="6">
        <f t="shared" ca="1" si="0"/>
        <v>45319</v>
      </c>
      <c r="E263" s="6">
        <f t="shared" ca="1" si="1"/>
        <v>45313</v>
      </c>
      <c r="F263" s="6">
        <f t="shared" ca="1" si="2"/>
        <v>45292</v>
      </c>
      <c r="G263" s="7"/>
    </row>
    <row r="264" spans="1:7" x14ac:dyDescent="0.2">
      <c r="A264" s="3">
        <f ca="1">IFERROR(__xludf.DUMMYFUNCTION("""COMPUTED_VALUE"""),4140)</f>
        <v>4140</v>
      </c>
      <c r="B264" s="6">
        <f ca="1">IFERROR(__xludf.DUMMYFUNCTION("""COMPUTED_VALUE"""),45319.7653356481)</f>
        <v>45319.765335648102</v>
      </c>
      <c r="C264" s="3" t="str">
        <f ca="1">IFERROR(__xludf.DUMMYFUNCTION("""COMPUTED_VALUE"""),"purchase")</f>
        <v>purchase</v>
      </c>
      <c r="D264" s="6">
        <f t="shared" ca="1" si="0"/>
        <v>45319</v>
      </c>
      <c r="E264" s="6">
        <f t="shared" ca="1" si="1"/>
        <v>45313</v>
      </c>
      <c r="F264" s="6">
        <f t="shared" ca="1" si="2"/>
        <v>45292</v>
      </c>
      <c r="G264" s="7"/>
    </row>
    <row r="265" spans="1:7" x14ac:dyDescent="0.2">
      <c r="A265" s="3">
        <f ca="1">IFERROR(__xludf.DUMMYFUNCTION("""COMPUTED_VALUE"""),4605)</f>
        <v>4605</v>
      </c>
      <c r="B265" s="6">
        <f ca="1">IFERROR(__xludf.DUMMYFUNCTION("""COMPUTED_VALUE"""),45320.0098842591)</f>
        <v>45320.009884259198</v>
      </c>
      <c r="C265" s="3" t="str">
        <f ca="1">IFERROR(__xludf.DUMMYFUNCTION("""COMPUTED_VALUE"""),"purchase")</f>
        <v>purchase</v>
      </c>
      <c r="D265" s="6">
        <f t="shared" ca="1" si="0"/>
        <v>45320</v>
      </c>
      <c r="E265" s="6">
        <f t="shared" ca="1" si="1"/>
        <v>45320</v>
      </c>
      <c r="F265" s="6">
        <f t="shared" ca="1" si="2"/>
        <v>45292</v>
      </c>
      <c r="G265" s="7"/>
    </row>
    <row r="266" spans="1:7" x14ac:dyDescent="0.2">
      <c r="A266" s="3">
        <f ca="1">IFERROR(__xludf.DUMMYFUNCTION("""COMPUTED_VALUE"""),6756)</f>
        <v>6756</v>
      </c>
      <c r="B266" s="6">
        <f ca="1">IFERROR(__xludf.DUMMYFUNCTION("""COMPUTED_VALUE"""),45320.0388541666)</f>
        <v>45320.038854166603</v>
      </c>
      <c r="C266" s="3" t="str">
        <f ca="1">IFERROR(__xludf.DUMMYFUNCTION("""COMPUTED_VALUE"""),"purchase")</f>
        <v>purchase</v>
      </c>
      <c r="D266" s="6">
        <f t="shared" ca="1" si="0"/>
        <v>45320</v>
      </c>
      <c r="E266" s="6">
        <f t="shared" ca="1" si="1"/>
        <v>45320</v>
      </c>
      <c r="F266" s="6">
        <f t="shared" ca="1" si="2"/>
        <v>45292</v>
      </c>
      <c r="G266" s="7"/>
    </row>
    <row r="267" spans="1:7" x14ac:dyDescent="0.2">
      <c r="A267" s="3">
        <f ca="1">IFERROR(__xludf.DUMMYFUNCTION("""COMPUTED_VALUE"""),2550)</f>
        <v>2550</v>
      </c>
      <c r="B267" s="6">
        <f ca="1">IFERROR(__xludf.DUMMYFUNCTION("""COMPUTED_VALUE"""),45320.176261574)</f>
        <v>45320.176261574001</v>
      </c>
      <c r="C267" s="3" t="str">
        <f ca="1">IFERROR(__xludf.DUMMYFUNCTION("""COMPUTED_VALUE"""),"purchase")</f>
        <v>purchase</v>
      </c>
      <c r="D267" s="6">
        <f t="shared" ca="1" si="0"/>
        <v>45320</v>
      </c>
      <c r="E267" s="6">
        <f t="shared" ca="1" si="1"/>
        <v>45320</v>
      </c>
      <c r="F267" s="6">
        <f t="shared" ca="1" si="2"/>
        <v>45292</v>
      </c>
      <c r="G267" s="7"/>
    </row>
    <row r="268" spans="1:7" x14ac:dyDescent="0.2">
      <c r="A268" s="3">
        <f ca="1">IFERROR(__xludf.DUMMYFUNCTION("""COMPUTED_VALUE"""),1176)</f>
        <v>1176</v>
      </c>
      <c r="B268" s="6">
        <f ca="1">IFERROR(__xludf.DUMMYFUNCTION("""COMPUTED_VALUE"""),45320.1935532407)</f>
        <v>45320.193553240701</v>
      </c>
      <c r="C268" s="3" t="str">
        <f ca="1">IFERROR(__xludf.DUMMYFUNCTION("""COMPUTED_VALUE"""),"purchase")</f>
        <v>purchase</v>
      </c>
      <c r="D268" s="6">
        <f t="shared" ca="1" si="0"/>
        <v>45320</v>
      </c>
      <c r="E268" s="6">
        <f t="shared" ca="1" si="1"/>
        <v>45320</v>
      </c>
      <c r="F268" s="6">
        <f t="shared" ca="1" si="2"/>
        <v>45292</v>
      </c>
      <c r="G268" s="7"/>
    </row>
    <row r="269" spans="1:7" x14ac:dyDescent="0.2">
      <c r="A269" s="3">
        <f ca="1">IFERROR(__xludf.DUMMYFUNCTION("""COMPUTED_VALUE"""),3407)</f>
        <v>3407</v>
      </c>
      <c r="B269" s="6">
        <f ca="1">IFERROR(__xludf.DUMMYFUNCTION("""COMPUTED_VALUE"""),45320.2333796296)</f>
        <v>45320.233379629601</v>
      </c>
      <c r="C269" s="3" t="str">
        <f ca="1">IFERROR(__xludf.DUMMYFUNCTION("""COMPUTED_VALUE"""),"purchase")</f>
        <v>purchase</v>
      </c>
      <c r="D269" s="6">
        <f t="shared" ca="1" si="0"/>
        <v>45320</v>
      </c>
      <c r="E269" s="6">
        <f t="shared" ca="1" si="1"/>
        <v>45320</v>
      </c>
      <c r="F269" s="6">
        <f t="shared" ca="1" si="2"/>
        <v>45292</v>
      </c>
      <c r="G269" s="7"/>
    </row>
    <row r="270" spans="1:7" x14ac:dyDescent="0.2">
      <c r="A270" s="3">
        <f ca="1">IFERROR(__xludf.DUMMYFUNCTION("""COMPUTED_VALUE"""),4205)</f>
        <v>4205</v>
      </c>
      <c r="B270" s="6">
        <f ca="1">IFERROR(__xludf.DUMMYFUNCTION("""COMPUTED_VALUE"""),45320.2427777777)</f>
        <v>45320.242777777697</v>
      </c>
      <c r="C270" s="3" t="str">
        <f ca="1">IFERROR(__xludf.DUMMYFUNCTION("""COMPUTED_VALUE"""),"purchase")</f>
        <v>purchase</v>
      </c>
      <c r="D270" s="6">
        <f t="shared" ca="1" si="0"/>
        <v>45320</v>
      </c>
      <c r="E270" s="6">
        <f t="shared" ca="1" si="1"/>
        <v>45320</v>
      </c>
      <c r="F270" s="6">
        <f t="shared" ca="1" si="2"/>
        <v>45292</v>
      </c>
      <c r="G270" s="7"/>
    </row>
    <row r="271" spans="1:7" x14ac:dyDescent="0.2">
      <c r="A271" s="3">
        <f ca="1">IFERROR(__xludf.DUMMYFUNCTION("""COMPUTED_VALUE"""),7955)</f>
        <v>7955</v>
      </c>
      <c r="B271" s="6">
        <f ca="1">IFERROR(__xludf.DUMMYFUNCTION("""COMPUTED_VALUE"""),45320.2704629629)</f>
        <v>45320.270462962901</v>
      </c>
      <c r="C271" s="3" t="str">
        <f ca="1">IFERROR(__xludf.DUMMYFUNCTION("""COMPUTED_VALUE"""),"purchase")</f>
        <v>purchase</v>
      </c>
      <c r="D271" s="6">
        <f t="shared" ca="1" si="0"/>
        <v>45320</v>
      </c>
      <c r="E271" s="6">
        <f t="shared" ca="1" si="1"/>
        <v>45320</v>
      </c>
      <c r="F271" s="6">
        <f t="shared" ca="1" si="2"/>
        <v>45292</v>
      </c>
      <c r="G271" s="7"/>
    </row>
    <row r="272" spans="1:7" x14ac:dyDescent="0.2">
      <c r="A272" s="3">
        <f ca="1">IFERROR(__xludf.DUMMYFUNCTION("""COMPUTED_VALUE"""),2267)</f>
        <v>2267</v>
      </c>
      <c r="B272" s="6">
        <f ca="1">IFERROR(__xludf.DUMMYFUNCTION("""COMPUTED_VALUE"""),45320.3342129629)</f>
        <v>45320.334212962902</v>
      </c>
      <c r="C272" s="3" t="str">
        <f ca="1">IFERROR(__xludf.DUMMYFUNCTION("""COMPUTED_VALUE"""),"purchase")</f>
        <v>purchase</v>
      </c>
      <c r="D272" s="6">
        <f t="shared" ca="1" si="0"/>
        <v>45320</v>
      </c>
      <c r="E272" s="6">
        <f t="shared" ca="1" si="1"/>
        <v>45320</v>
      </c>
      <c r="F272" s="6">
        <f t="shared" ca="1" si="2"/>
        <v>45292</v>
      </c>
      <c r="G272" s="7"/>
    </row>
    <row r="273" spans="1:7" x14ac:dyDescent="0.2">
      <c r="A273" s="3">
        <f ca="1">IFERROR(__xludf.DUMMYFUNCTION("""COMPUTED_VALUE"""),757)</f>
        <v>757</v>
      </c>
      <c r="B273" s="6">
        <f ca="1">IFERROR(__xludf.DUMMYFUNCTION("""COMPUTED_VALUE"""),45320.3663310185)</f>
        <v>45320.3663310185</v>
      </c>
      <c r="C273" s="3" t="str">
        <f ca="1">IFERROR(__xludf.DUMMYFUNCTION("""COMPUTED_VALUE"""),"purchase")</f>
        <v>purchase</v>
      </c>
      <c r="D273" s="6">
        <f t="shared" ca="1" si="0"/>
        <v>45320</v>
      </c>
      <c r="E273" s="6">
        <f t="shared" ca="1" si="1"/>
        <v>45320</v>
      </c>
      <c r="F273" s="6">
        <f t="shared" ca="1" si="2"/>
        <v>45292</v>
      </c>
      <c r="G273" s="7"/>
    </row>
    <row r="274" spans="1:7" x14ac:dyDescent="0.2">
      <c r="A274" s="3">
        <f ca="1">IFERROR(__xludf.DUMMYFUNCTION("""COMPUTED_VALUE"""),7283)</f>
        <v>7283</v>
      </c>
      <c r="B274" s="6">
        <f ca="1">IFERROR(__xludf.DUMMYFUNCTION("""COMPUTED_VALUE"""),45320.4899652777)</f>
        <v>45320.489965277702</v>
      </c>
      <c r="C274" s="3" t="str">
        <f ca="1">IFERROR(__xludf.DUMMYFUNCTION("""COMPUTED_VALUE"""),"purchase")</f>
        <v>purchase</v>
      </c>
      <c r="D274" s="6">
        <f t="shared" ca="1" si="0"/>
        <v>45320</v>
      </c>
      <c r="E274" s="6">
        <f t="shared" ca="1" si="1"/>
        <v>45320</v>
      </c>
      <c r="F274" s="6">
        <f t="shared" ca="1" si="2"/>
        <v>45292</v>
      </c>
      <c r="G274" s="7"/>
    </row>
    <row r="275" spans="1:7" x14ac:dyDescent="0.2">
      <c r="A275" s="3">
        <f ca="1">IFERROR(__xludf.DUMMYFUNCTION("""COMPUTED_VALUE"""),6352)</f>
        <v>6352</v>
      </c>
      <c r="B275" s="6">
        <f ca="1">IFERROR(__xludf.DUMMYFUNCTION("""COMPUTED_VALUE"""),45320.49125)</f>
        <v>45320.491249999999</v>
      </c>
      <c r="C275" s="3" t="str">
        <f ca="1">IFERROR(__xludf.DUMMYFUNCTION("""COMPUTED_VALUE"""),"purchase")</f>
        <v>purchase</v>
      </c>
      <c r="D275" s="6">
        <f t="shared" ca="1" si="0"/>
        <v>45320</v>
      </c>
      <c r="E275" s="6">
        <f t="shared" ca="1" si="1"/>
        <v>45320</v>
      </c>
      <c r="F275" s="6">
        <f t="shared" ca="1" si="2"/>
        <v>45292</v>
      </c>
      <c r="G275" s="7"/>
    </row>
    <row r="276" spans="1:7" x14ac:dyDescent="0.2">
      <c r="A276" s="3">
        <f ca="1">IFERROR(__xludf.DUMMYFUNCTION("""COMPUTED_VALUE"""),7803)</f>
        <v>7803</v>
      </c>
      <c r="B276" s="6">
        <f ca="1">IFERROR(__xludf.DUMMYFUNCTION("""COMPUTED_VALUE"""),45320.5796759259)</f>
        <v>45320.579675925903</v>
      </c>
      <c r="C276" s="3" t="str">
        <f ca="1">IFERROR(__xludf.DUMMYFUNCTION("""COMPUTED_VALUE"""),"purchase")</f>
        <v>purchase</v>
      </c>
      <c r="D276" s="6">
        <f t="shared" ca="1" si="0"/>
        <v>45320</v>
      </c>
      <c r="E276" s="6">
        <f t="shared" ca="1" si="1"/>
        <v>45320</v>
      </c>
      <c r="F276" s="6">
        <f t="shared" ca="1" si="2"/>
        <v>45292</v>
      </c>
      <c r="G276" s="7"/>
    </row>
    <row r="277" spans="1:7" x14ac:dyDescent="0.2">
      <c r="A277" s="3">
        <f ca="1">IFERROR(__xludf.DUMMYFUNCTION("""COMPUTED_VALUE"""),5533)</f>
        <v>5533</v>
      </c>
      <c r="B277" s="6">
        <f ca="1">IFERROR(__xludf.DUMMYFUNCTION("""COMPUTED_VALUE"""),45320.5889351851)</f>
        <v>45320.5889351851</v>
      </c>
      <c r="C277" s="3" t="str">
        <f ca="1">IFERROR(__xludf.DUMMYFUNCTION("""COMPUTED_VALUE"""),"purchase")</f>
        <v>purchase</v>
      </c>
      <c r="D277" s="6">
        <f t="shared" ca="1" si="0"/>
        <v>45320</v>
      </c>
      <c r="E277" s="6">
        <f t="shared" ca="1" si="1"/>
        <v>45320</v>
      </c>
      <c r="F277" s="6">
        <f t="shared" ca="1" si="2"/>
        <v>45292</v>
      </c>
      <c r="G277" s="7"/>
    </row>
    <row r="278" spans="1:7" x14ac:dyDescent="0.2">
      <c r="A278" s="3">
        <f ca="1">IFERROR(__xludf.DUMMYFUNCTION("""COMPUTED_VALUE"""),2816)</f>
        <v>2816</v>
      </c>
      <c r="B278" s="6">
        <f ca="1">IFERROR(__xludf.DUMMYFUNCTION("""COMPUTED_VALUE"""),45320.5935648148)</f>
        <v>45320.593564814801</v>
      </c>
      <c r="C278" s="3" t="str">
        <f ca="1">IFERROR(__xludf.DUMMYFUNCTION("""COMPUTED_VALUE"""),"purchase")</f>
        <v>purchase</v>
      </c>
      <c r="D278" s="6">
        <f t="shared" ca="1" si="0"/>
        <v>45320</v>
      </c>
      <c r="E278" s="6">
        <f t="shared" ca="1" si="1"/>
        <v>45320</v>
      </c>
      <c r="F278" s="6">
        <f t="shared" ca="1" si="2"/>
        <v>45292</v>
      </c>
      <c r="G278" s="7"/>
    </row>
    <row r="279" spans="1:7" x14ac:dyDescent="0.2">
      <c r="A279" s="3">
        <f ca="1">IFERROR(__xludf.DUMMYFUNCTION("""COMPUTED_VALUE"""),3007)</f>
        <v>3007</v>
      </c>
      <c r="B279" s="6">
        <f ca="1">IFERROR(__xludf.DUMMYFUNCTION("""COMPUTED_VALUE"""),45320.6101967592)</f>
        <v>45320.610196759197</v>
      </c>
      <c r="C279" s="3" t="str">
        <f ca="1">IFERROR(__xludf.DUMMYFUNCTION("""COMPUTED_VALUE"""),"purchase")</f>
        <v>purchase</v>
      </c>
      <c r="D279" s="6">
        <f t="shared" ca="1" si="0"/>
        <v>45320</v>
      </c>
      <c r="E279" s="6">
        <f t="shared" ca="1" si="1"/>
        <v>45320</v>
      </c>
      <c r="F279" s="6">
        <f t="shared" ca="1" si="2"/>
        <v>45292</v>
      </c>
      <c r="G279" s="7"/>
    </row>
    <row r="280" spans="1:7" x14ac:dyDescent="0.2">
      <c r="A280" s="3">
        <f ca="1">IFERROR(__xludf.DUMMYFUNCTION("""COMPUTED_VALUE"""),5611)</f>
        <v>5611</v>
      </c>
      <c r="B280" s="6">
        <f ca="1">IFERROR(__xludf.DUMMYFUNCTION("""COMPUTED_VALUE"""),45320.6155787037)</f>
        <v>45320.615578703699</v>
      </c>
      <c r="C280" s="3" t="str">
        <f ca="1">IFERROR(__xludf.DUMMYFUNCTION("""COMPUTED_VALUE"""),"purchase")</f>
        <v>purchase</v>
      </c>
      <c r="D280" s="6">
        <f t="shared" ca="1" si="0"/>
        <v>45320</v>
      </c>
      <c r="E280" s="6">
        <f t="shared" ca="1" si="1"/>
        <v>45320</v>
      </c>
      <c r="F280" s="6">
        <f t="shared" ca="1" si="2"/>
        <v>45292</v>
      </c>
      <c r="G280" s="7"/>
    </row>
    <row r="281" spans="1:7" x14ac:dyDescent="0.2">
      <c r="A281" s="3">
        <f ca="1">IFERROR(__xludf.DUMMYFUNCTION("""COMPUTED_VALUE"""),5036)</f>
        <v>5036</v>
      </c>
      <c r="B281" s="6">
        <f ca="1">IFERROR(__xludf.DUMMYFUNCTION("""COMPUTED_VALUE"""),45320.6571412037)</f>
        <v>45320.657141203701</v>
      </c>
      <c r="C281" s="3" t="str">
        <f ca="1">IFERROR(__xludf.DUMMYFUNCTION("""COMPUTED_VALUE"""),"purchase")</f>
        <v>purchase</v>
      </c>
      <c r="D281" s="6">
        <f t="shared" ca="1" si="0"/>
        <v>45320</v>
      </c>
      <c r="E281" s="6">
        <f t="shared" ca="1" si="1"/>
        <v>45320</v>
      </c>
      <c r="F281" s="6">
        <f t="shared" ca="1" si="2"/>
        <v>45292</v>
      </c>
      <c r="G281" s="7"/>
    </row>
    <row r="282" spans="1:7" x14ac:dyDescent="0.2">
      <c r="A282" s="3">
        <f ca="1">IFERROR(__xludf.DUMMYFUNCTION("""COMPUTED_VALUE"""),2955)</f>
        <v>2955</v>
      </c>
      <c r="B282" s="6">
        <f ca="1">IFERROR(__xludf.DUMMYFUNCTION("""COMPUTED_VALUE"""),45320.6725810185)</f>
        <v>45320.672581018502</v>
      </c>
      <c r="C282" s="3" t="str">
        <f ca="1">IFERROR(__xludf.DUMMYFUNCTION("""COMPUTED_VALUE"""),"purchase")</f>
        <v>purchase</v>
      </c>
      <c r="D282" s="6">
        <f t="shared" ca="1" si="0"/>
        <v>45320</v>
      </c>
      <c r="E282" s="6">
        <f t="shared" ca="1" si="1"/>
        <v>45320</v>
      </c>
      <c r="F282" s="6">
        <f t="shared" ca="1" si="2"/>
        <v>45292</v>
      </c>
      <c r="G282" s="7"/>
    </row>
    <row r="283" spans="1:7" x14ac:dyDescent="0.2">
      <c r="A283" s="3">
        <f ca="1">IFERROR(__xludf.DUMMYFUNCTION("""COMPUTED_VALUE"""),2037)</f>
        <v>2037</v>
      </c>
      <c r="B283" s="6">
        <f ca="1">IFERROR(__xludf.DUMMYFUNCTION("""COMPUTED_VALUE"""),45320.7399884259)</f>
        <v>45320.739988425899</v>
      </c>
      <c r="C283" s="3" t="str">
        <f ca="1">IFERROR(__xludf.DUMMYFUNCTION("""COMPUTED_VALUE"""),"purchase")</f>
        <v>purchase</v>
      </c>
      <c r="D283" s="6">
        <f t="shared" ca="1" si="0"/>
        <v>45320</v>
      </c>
      <c r="E283" s="6">
        <f t="shared" ca="1" si="1"/>
        <v>45320</v>
      </c>
      <c r="F283" s="6">
        <f t="shared" ca="1" si="2"/>
        <v>45292</v>
      </c>
      <c r="G283" s="7"/>
    </row>
    <row r="284" spans="1:7" x14ac:dyDescent="0.2">
      <c r="A284" s="3">
        <f ca="1">IFERROR(__xludf.DUMMYFUNCTION("""COMPUTED_VALUE"""),6619)</f>
        <v>6619</v>
      </c>
      <c r="B284" s="6">
        <f ca="1">IFERROR(__xludf.DUMMYFUNCTION("""COMPUTED_VALUE"""),45320.8250462963)</f>
        <v>45320.825046296297</v>
      </c>
      <c r="C284" s="3" t="str">
        <f ca="1">IFERROR(__xludf.DUMMYFUNCTION("""COMPUTED_VALUE"""),"purchase")</f>
        <v>purchase</v>
      </c>
      <c r="D284" s="6">
        <f t="shared" ca="1" si="0"/>
        <v>45320</v>
      </c>
      <c r="E284" s="6">
        <f t="shared" ca="1" si="1"/>
        <v>45320</v>
      </c>
      <c r="F284" s="6">
        <f t="shared" ca="1" si="2"/>
        <v>45292</v>
      </c>
      <c r="G284" s="7"/>
    </row>
    <row r="285" spans="1:7" x14ac:dyDescent="0.2">
      <c r="A285" s="3">
        <f ca="1">IFERROR(__xludf.DUMMYFUNCTION("""COMPUTED_VALUE"""),4553)</f>
        <v>4553</v>
      </c>
      <c r="B285" s="6">
        <f ca="1">IFERROR(__xludf.DUMMYFUNCTION("""COMPUTED_VALUE"""),45320.9327430555)</f>
        <v>45320.932743055499</v>
      </c>
      <c r="C285" s="3" t="str">
        <f ca="1">IFERROR(__xludf.DUMMYFUNCTION("""COMPUTED_VALUE"""),"purchase")</f>
        <v>purchase</v>
      </c>
      <c r="D285" s="6">
        <f t="shared" ca="1" si="0"/>
        <v>45320</v>
      </c>
      <c r="E285" s="6">
        <f t="shared" ca="1" si="1"/>
        <v>45320</v>
      </c>
      <c r="F285" s="6">
        <f t="shared" ca="1" si="2"/>
        <v>45292</v>
      </c>
      <c r="G285" s="7"/>
    </row>
    <row r="286" spans="1:7" x14ac:dyDescent="0.2">
      <c r="A286" s="3">
        <f ca="1">IFERROR(__xludf.DUMMYFUNCTION("""COMPUTED_VALUE"""),5134)</f>
        <v>5134</v>
      </c>
      <c r="B286" s="6">
        <f ca="1">IFERROR(__xludf.DUMMYFUNCTION("""COMPUTED_VALUE"""),45321.0017476851)</f>
        <v>45321.001747685099</v>
      </c>
      <c r="C286" s="3" t="str">
        <f ca="1">IFERROR(__xludf.DUMMYFUNCTION("""COMPUTED_VALUE"""),"purchase")</f>
        <v>purchase</v>
      </c>
      <c r="D286" s="6">
        <f t="shared" ca="1" si="0"/>
        <v>45321</v>
      </c>
      <c r="E286" s="6">
        <f t="shared" ca="1" si="1"/>
        <v>45320</v>
      </c>
      <c r="F286" s="6">
        <f t="shared" ca="1" si="2"/>
        <v>45292</v>
      </c>
      <c r="G286" s="7"/>
    </row>
    <row r="287" spans="1:7" x14ac:dyDescent="0.2">
      <c r="A287" s="3">
        <f ca="1">IFERROR(__xludf.DUMMYFUNCTION("""COMPUTED_VALUE"""),7951)</f>
        <v>7951</v>
      </c>
      <c r="B287" s="6">
        <f ca="1">IFERROR(__xludf.DUMMYFUNCTION("""COMPUTED_VALUE"""),45321.1030208333)</f>
        <v>45321.103020833303</v>
      </c>
      <c r="C287" s="3" t="str">
        <f ca="1">IFERROR(__xludf.DUMMYFUNCTION("""COMPUTED_VALUE"""),"purchase")</f>
        <v>purchase</v>
      </c>
      <c r="D287" s="6">
        <f t="shared" ca="1" si="0"/>
        <v>45321</v>
      </c>
      <c r="E287" s="6">
        <f t="shared" ca="1" si="1"/>
        <v>45320</v>
      </c>
      <c r="F287" s="6">
        <f t="shared" ca="1" si="2"/>
        <v>45292</v>
      </c>
      <c r="G287" s="7"/>
    </row>
    <row r="288" spans="1:7" x14ac:dyDescent="0.2">
      <c r="A288" s="3">
        <f ca="1">IFERROR(__xludf.DUMMYFUNCTION("""COMPUTED_VALUE"""),6034)</f>
        <v>6034</v>
      </c>
      <c r="B288" s="6">
        <f ca="1">IFERROR(__xludf.DUMMYFUNCTION("""COMPUTED_VALUE"""),45321.2296064814)</f>
        <v>45321.2296064814</v>
      </c>
      <c r="C288" s="3" t="str">
        <f ca="1">IFERROR(__xludf.DUMMYFUNCTION("""COMPUTED_VALUE"""),"purchase")</f>
        <v>purchase</v>
      </c>
      <c r="D288" s="6">
        <f t="shared" ca="1" si="0"/>
        <v>45321</v>
      </c>
      <c r="E288" s="6">
        <f t="shared" ca="1" si="1"/>
        <v>45320</v>
      </c>
      <c r="F288" s="6">
        <f t="shared" ca="1" si="2"/>
        <v>45292</v>
      </c>
      <c r="G288" s="7"/>
    </row>
    <row r="289" spans="1:7" x14ac:dyDescent="0.2">
      <c r="A289" s="3">
        <f ca="1">IFERROR(__xludf.DUMMYFUNCTION("""COMPUTED_VALUE"""),6640)</f>
        <v>6640</v>
      </c>
      <c r="B289" s="6">
        <f ca="1">IFERROR(__xludf.DUMMYFUNCTION("""COMPUTED_VALUE"""),45321.5021180555)</f>
        <v>45321.502118055498</v>
      </c>
      <c r="C289" s="3" t="str">
        <f ca="1">IFERROR(__xludf.DUMMYFUNCTION("""COMPUTED_VALUE"""),"purchase")</f>
        <v>purchase</v>
      </c>
      <c r="D289" s="6">
        <f t="shared" ca="1" si="0"/>
        <v>45321</v>
      </c>
      <c r="E289" s="6">
        <f t="shared" ca="1" si="1"/>
        <v>45320</v>
      </c>
      <c r="F289" s="6">
        <f t="shared" ca="1" si="2"/>
        <v>45292</v>
      </c>
      <c r="G289" s="7"/>
    </row>
    <row r="290" spans="1:7" x14ac:dyDescent="0.2">
      <c r="A290" s="3">
        <f ca="1">IFERROR(__xludf.DUMMYFUNCTION("""COMPUTED_VALUE"""),1513)</f>
        <v>1513</v>
      </c>
      <c r="B290" s="6">
        <f ca="1">IFERROR(__xludf.DUMMYFUNCTION("""COMPUTED_VALUE"""),45321.6551388888)</f>
        <v>45321.655138888797</v>
      </c>
      <c r="C290" s="3" t="str">
        <f ca="1">IFERROR(__xludf.DUMMYFUNCTION("""COMPUTED_VALUE"""),"purchase")</f>
        <v>purchase</v>
      </c>
      <c r="D290" s="6">
        <f t="shared" ca="1" si="0"/>
        <v>45321</v>
      </c>
      <c r="E290" s="6">
        <f t="shared" ca="1" si="1"/>
        <v>45320</v>
      </c>
      <c r="F290" s="6">
        <f t="shared" ca="1" si="2"/>
        <v>45292</v>
      </c>
      <c r="G290" s="7"/>
    </row>
    <row r="291" spans="1:7" x14ac:dyDescent="0.2">
      <c r="A291" s="3">
        <f ca="1">IFERROR(__xludf.DUMMYFUNCTION("""COMPUTED_VALUE"""),4952)</f>
        <v>4952</v>
      </c>
      <c r="B291" s="6">
        <f ca="1">IFERROR(__xludf.DUMMYFUNCTION("""COMPUTED_VALUE"""),45321.6687037037)</f>
        <v>45321.668703703697</v>
      </c>
      <c r="C291" s="3" t="str">
        <f ca="1">IFERROR(__xludf.DUMMYFUNCTION("""COMPUTED_VALUE"""),"purchase")</f>
        <v>purchase</v>
      </c>
      <c r="D291" s="6">
        <f t="shared" ca="1" si="0"/>
        <v>45321</v>
      </c>
      <c r="E291" s="6">
        <f t="shared" ca="1" si="1"/>
        <v>45320</v>
      </c>
      <c r="F291" s="6">
        <f t="shared" ca="1" si="2"/>
        <v>45292</v>
      </c>
      <c r="G291" s="7"/>
    </row>
    <row r="292" spans="1:7" x14ac:dyDescent="0.2">
      <c r="A292" s="3">
        <f ca="1">IFERROR(__xludf.DUMMYFUNCTION("""COMPUTED_VALUE"""),2717)</f>
        <v>2717</v>
      </c>
      <c r="B292" s="6">
        <f ca="1">IFERROR(__xludf.DUMMYFUNCTION("""COMPUTED_VALUE"""),45321.7397800925)</f>
        <v>45321.739780092503</v>
      </c>
      <c r="C292" s="3" t="str">
        <f ca="1">IFERROR(__xludf.DUMMYFUNCTION("""COMPUTED_VALUE"""),"purchase")</f>
        <v>purchase</v>
      </c>
      <c r="D292" s="6">
        <f t="shared" ca="1" si="0"/>
        <v>45321</v>
      </c>
      <c r="E292" s="6">
        <f t="shared" ca="1" si="1"/>
        <v>45320</v>
      </c>
      <c r="F292" s="6">
        <f t="shared" ca="1" si="2"/>
        <v>45292</v>
      </c>
      <c r="G292" s="7"/>
    </row>
    <row r="293" spans="1:7" x14ac:dyDescent="0.2">
      <c r="A293" s="3">
        <f ca="1">IFERROR(__xludf.DUMMYFUNCTION("""COMPUTED_VALUE"""),5724)</f>
        <v>5724</v>
      </c>
      <c r="B293" s="6">
        <f ca="1">IFERROR(__xludf.DUMMYFUNCTION("""COMPUTED_VALUE"""),45322.0289930555)</f>
        <v>45322.028993055501</v>
      </c>
      <c r="C293" s="3" t="str">
        <f ca="1">IFERROR(__xludf.DUMMYFUNCTION("""COMPUTED_VALUE"""),"purchase")</f>
        <v>purchase</v>
      </c>
      <c r="D293" s="6">
        <f t="shared" ca="1" si="0"/>
        <v>45322</v>
      </c>
      <c r="E293" s="6">
        <f t="shared" ca="1" si="1"/>
        <v>45320</v>
      </c>
      <c r="F293" s="6">
        <f t="shared" ca="1" si="2"/>
        <v>45292</v>
      </c>
      <c r="G293" s="7"/>
    </row>
    <row r="294" spans="1:7" x14ac:dyDescent="0.2">
      <c r="A294" s="3">
        <f ca="1">IFERROR(__xludf.DUMMYFUNCTION("""COMPUTED_VALUE"""),2727)</f>
        <v>2727</v>
      </c>
      <c r="B294" s="6">
        <f ca="1">IFERROR(__xludf.DUMMYFUNCTION("""COMPUTED_VALUE"""),45322.2264930555)</f>
        <v>45322.226493055503</v>
      </c>
      <c r="C294" s="3" t="str">
        <f ca="1">IFERROR(__xludf.DUMMYFUNCTION("""COMPUTED_VALUE"""),"purchase")</f>
        <v>purchase</v>
      </c>
      <c r="D294" s="6">
        <f t="shared" ca="1" si="0"/>
        <v>45322</v>
      </c>
      <c r="E294" s="6">
        <f t="shared" ca="1" si="1"/>
        <v>45320</v>
      </c>
      <c r="F294" s="6">
        <f t="shared" ca="1" si="2"/>
        <v>45292</v>
      </c>
      <c r="G294" s="7"/>
    </row>
    <row r="295" spans="1:7" x14ac:dyDescent="0.2">
      <c r="A295" s="3">
        <f ca="1">IFERROR(__xludf.DUMMYFUNCTION("""COMPUTED_VALUE"""),6188)</f>
        <v>6188</v>
      </c>
      <c r="B295" s="6">
        <f ca="1">IFERROR(__xludf.DUMMYFUNCTION("""COMPUTED_VALUE"""),45322.6753009259)</f>
        <v>45322.675300925897</v>
      </c>
      <c r="C295" s="3" t="str">
        <f ca="1">IFERROR(__xludf.DUMMYFUNCTION("""COMPUTED_VALUE"""),"purchase")</f>
        <v>purchase</v>
      </c>
      <c r="D295" s="6">
        <f t="shared" ca="1" si="0"/>
        <v>45322</v>
      </c>
      <c r="E295" s="6">
        <f t="shared" ca="1" si="1"/>
        <v>45320</v>
      </c>
      <c r="F295" s="6">
        <f t="shared" ca="1" si="2"/>
        <v>45292</v>
      </c>
      <c r="G295" s="7"/>
    </row>
    <row r="296" spans="1:7" x14ac:dyDescent="0.2">
      <c r="A296" s="3">
        <f ca="1">IFERROR(__xludf.DUMMYFUNCTION("""COMPUTED_VALUE"""),682)</f>
        <v>682</v>
      </c>
      <c r="B296" s="6">
        <f ca="1">IFERROR(__xludf.DUMMYFUNCTION("""COMPUTED_VALUE"""),45322.8241203703)</f>
        <v>45322.8241203703</v>
      </c>
      <c r="C296" s="3" t="str">
        <f ca="1">IFERROR(__xludf.DUMMYFUNCTION("""COMPUTED_VALUE"""),"purchase")</f>
        <v>purchase</v>
      </c>
      <c r="D296" s="6">
        <f t="shared" ca="1" si="0"/>
        <v>45322</v>
      </c>
      <c r="E296" s="6">
        <f t="shared" ca="1" si="1"/>
        <v>45320</v>
      </c>
      <c r="F296" s="6">
        <f t="shared" ca="1" si="2"/>
        <v>45292</v>
      </c>
      <c r="G296" s="7"/>
    </row>
    <row r="297" spans="1:7" x14ac:dyDescent="0.2">
      <c r="A297" s="3">
        <f ca="1">IFERROR(__xludf.DUMMYFUNCTION("""COMPUTED_VALUE"""),3689)</f>
        <v>3689</v>
      </c>
      <c r="B297" s="6">
        <f ca="1">IFERROR(__xludf.DUMMYFUNCTION("""COMPUTED_VALUE"""),45323.0592361111)</f>
        <v>45323.059236111098</v>
      </c>
      <c r="C297" s="3" t="str">
        <f ca="1">IFERROR(__xludf.DUMMYFUNCTION("""COMPUTED_VALUE"""),"purchase")</f>
        <v>purchase</v>
      </c>
      <c r="D297" s="6">
        <f t="shared" ca="1" si="0"/>
        <v>45323</v>
      </c>
      <c r="E297" s="6">
        <f t="shared" ca="1" si="1"/>
        <v>45320</v>
      </c>
      <c r="F297" s="6">
        <f t="shared" ca="1" si="2"/>
        <v>45323</v>
      </c>
      <c r="G297" s="7"/>
    </row>
    <row r="298" spans="1:7" x14ac:dyDescent="0.2">
      <c r="A298" s="3">
        <f ca="1">IFERROR(__xludf.DUMMYFUNCTION("""COMPUTED_VALUE"""),6456)</f>
        <v>6456</v>
      </c>
      <c r="B298" s="6">
        <f ca="1">IFERROR(__xludf.DUMMYFUNCTION("""COMPUTED_VALUE"""),45323.1088541666)</f>
        <v>45323.108854166603</v>
      </c>
      <c r="C298" s="3" t="str">
        <f ca="1">IFERROR(__xludf.DUMMYFUNCTION("""COMPUTED_VALUE"""),"purchase")</f>
        <v>purchase</v>
      </c>
      <c r="D298" s="6">
        <f t="shared" ca="1" si="0"/>
        <v>45323</v>
      </c>
      <c r="E298" s="6">
        <f t="shared" ca="1" si="1"/>
        <v>45320</v>
      </c>
      <c r="F298" s="6">
        <f t="shared" ca="1" si="2"/>
        <v>45323</v>
      </c>
      <c r="G298" s="7"/>
    </row>
    <row r="299" spans="1:7" x14ac:dyDescent="0.2">
      <c r="A299" s="3">
        <f ca="1">IFERROR(__xludf.DUMMYFUNCTION("""COMPUTED_VALUE"""),2421)</f>
        <v>2421</v>
      </c>
      <c r="B299" s="6">
        <f ca="1">IFERROR(__xludf.DUMMYFUNCTION("""COMPUTED_VALUE"""),45323.1530555555)</f>
        <v>45323.1530555555</v>
      </c>
      <c r="C299" s="3" t="str">
        <f ca="1">IFERROR(__xludf.DUMMYFUNCTION("""COMPUTED_VALUE"""),"purchase")</f>
        <v>purchase</v>
      </c>
      <c r="D299" s="6">
        <f t="shared" ca="1" si="0"/>
        <v>45323</v>
      </c>
      <c r="E299" s="6">
        <f t="shared" ca="1" si="1"/>
        <v>45320</v>
      </c>
      <c r="F299" s="6">
        <f t="shared" ca="1" si="2"/>
        <v>45323</v>
      </c>
      <c r="G299" s="7"/>
    </row>
    <row r="300" spans="1:7" x14ac:dyDescent="0.2">
      <c r="A300" s="3">
        <f ca="1">IFERROR(__xludf.DUMMYFUNCTION("""COMPUTED_VALUE"""),6990)</f>
        <v>6990</v>
      </c>
      <c r="B300" s="6">
        <f ca="1">IFERROR(__xludf.DUMMYFUNCTION("""COMPUTED_VALUE"""),45323.1799189814)</f>
        <v>45323.179918981397</v>
      </c>
      <c r="C300" s="3" t="str">
        <f ca="1">IFERROR(__xludf.DUMMYFUNCTION("""COMPUTED_VALUE"""),"purchase")</f>
        <v>purchase</v>
      </c>
      <c r="D300" s="6">
        <f t="shared" ca="1" si="0"/>
        <v>45323</v>
      </c>
      <c r="E300" s="6">
        <f t="shared" ca="1" si="1"/>
        <v>45320</v>
      </c>
      <c r="F300" s="6">
        <f t="shared" ca="1" si="2"/>
        <v>45323</v>
      </c>
      <c r="G300" s="7"/>
    </row>
    <row r="301" spans="1:7" x14ac:dyDescent="0.2">
      <c r="A301" s="3">
        <f ca="1">IFERROR(__xludf.DUMMYFUNCTION("""COMPUTED_VALUE"""),2988)</f>
        <v>2988</v>
      </c>
      <c r="B301" s="6">
        <f ca="1">IFERROR(__xludf.DUMMYFUNCTION("""COMPUTED_VALUE"""),45323.2031828703)</f>
        <v>45323.203182870297</v>
      </c>
      <c r="C301" s="3" t="str">
        <f ca="1">IFERROR(__xludf.DUMMYFUNCTION("""COMPUTED_VALUE"""),"purchase")</f>
        <v>purchase</v>
      </c>
      <c r="D301" s="6">
        <f t="shared" ca="1" si="0"/>
        <v>45323</v>
      </c>
      <c r="E301" s="6">
        <f t="shared" ca="1" si="1"/>
        <v>45320</v>
      </c>
      <c r="F301" s="6">
        <f t="shared" ca="1" si="2"/>
        <v>45323</v>
      </c>
      <c r="G301" s="7"/>
    </row>
    <row r="302" spans="1:7" x14ac:dyDescent="0.2">
      <c r="A302" s="3">
        <f ca="1">IFERROR(__xludf.DUMMYFUNCTION("""COMPUTED_VALUE"""),3066)</f>
        <v>3066</v>
      </c>
      <c r="B302" s="6">
        <f ca="1">IFERROR(__xludf.DUMMYFUNCTION("""COMPUTED_VALUE"""),45323.2421180555)</f>
        <v>45323.242118055503</v>
      </c>
      <c r="C302" s="3" t="str">
        <f ca="1">IFERROR(__xludf.DUMMYFUNCTION("""COMPUTED_VALUE"""),"purchase")</f>
        <v>purchase</v>
      </c>
      <c r="D302" s="6">
        <f t="shared" ca="1" si="0"/>
        <v>45323</v>
      </c>
      <c r="E302" s="6">
        <f t="shared" ca="1" si="1"/>
        <v>45320</v>
      </c>
      <c r="F302" s="6">
        <f t="shared" ca="1" si="2"/>
        <v>45323</v>
      </c>
      <c r="G302" s="7"/>
    </row>
    <row r="303" spans="1:7" x14ac:dyDescent="0.2">
      <c r="A303" s="3">
        <f ca="1">IFERROR(__xludf.DUMMYFUNCTION("""COMPUTED_VALUE"""),3551)</f>
        <v>3551</v>
      </c>
      <c r="B303" s="6">
        <f ca="1">IFERROR(__xludf.DUMMYFUNCTION("""COMPUTED_VALUE"""),45323.2796527777)</f>
        <v>45323.279652777703</v>
      </c>
      <c r="C303" s="3" t="str">
        <f ca="1">IFERROR(__xludf.DUMMYFUNCTION("""COMPUTED_VALUE"""),"purchase")</f>
        <v>purchase</v>
      </c>
      <c r="D303" s="6">
        <f t="shared" ca="1" si="0"/>
        <v>45323</v>
      </c>
      <c r="E303" s="6">
        <f t="shared" ca="1" si="1"/>
        <v>45320</v>
      </c>
      <c r="F303" s="6">
        <f t="shared" ca="1" si="2"/>
        <v>45323</v>
      </c>
      <c r="G303" s="7"/>
    </row>
    <row r="304" spans="1:7" x14ac:dyDescent="0.2">
      <c r="A304" s="3">
        <f ca="1">IFERROR(__xludf.DUMMYFUNCTION("""COMPUTED_VALUE"""),3435)</f>
        <v>3435</v>
      </c>
      <c r="B304" s="6">
        <f ca="1">IFERROR(__xludf.DUMMYFUNCTION("""COMPUTED_VALUE"""),45323.2894328703)</f>
        <v>45323.289432870297</v>
      </c>
      <c r="C304" s="3" t="str">
        <f ca="1">IFERROR(__xludf.DUMMYFUNCTION("""COMPUTED_VALUE"""),"purchase")</f>
        <v>purchase</v>
      </c>
      <c r="D304" s="6">
        <f t="shared" ca="1" si="0"/>
        <v>45323</v>
      </c>
      <c r="E304" s="6">
        <f t="shared" ca="1" si="1"/>
        <v>45320</v>
      </c>
      <c r="F304" s="6">
        <f t="shared" ca="1" si="2"/>
        <v>45323</v>
      </c>
      <c r="G304" s="7"/>
    </row>
    <row r="305" spans="1:7" x14ac:dyDescent="0.2">
      <c r="A305" s="3">
        <f ca="1">IFERROR(__xludf.DUMMYFUNCTION("""COMPUTED_VALUE"""),435)</f>
        <v>435</v>
      </c>
      <c r="B305" s="6">
        <f ca="1">IFERROR(__xludf.DUMMYFUNCTION("""COMPUTED_VALUE"""),45323.5690046296)</f>
        <v>45323.5690046296</v>
      </c>
      <c r="C305" s="3" t="str">
        <f ca="1">IFERROR(__xludf.DUMMYFUNCTION("""COMPUTED_VALUE"""),"purchase")</f>
        <v>purchase</v>
      </c>
      <c r="D305" s="6">
        <f t="shared" ca="1" si="0"/>
        <v>45323</v>
      </c>
      <c r="E305" s="6">
        <f t="shared" ca="1" si="1"/>
        <v>45320</v>
      </c>
      <c r="F305" s="6">
        <f t="shared" ca="1" si="2"/>
        <v>45323</v>
      </c>
      <c r="G305" s="7"/>
    </row>
    <row r="306" spans="1:7" x14ac:dyDescent="0.2">
      <c r="A306" s="3">
        <f ca="1">IFERROR(__xludf.DUMMYFUNCTION("""COMPUTED_VALUE"""),5846)</f>
        <v>5846</v>
      </c>
      <c r="B306" s="6">
        <f ca="1">IFERROR(__xludf.DUMMYFUNCTION("""COMPUTED_VALUE"""),45323.7109606481)</f>
        <v>45323.710960648103</v>
      </c>
      <c r="C306" s="3" t="str">
        <f ca="1">IFERROR(__xludf.DUMMYFUNCTION("""COMPUTED_VALUE"""),"purchase")</f>
        <v>purchase</v>
      </c>
      <c r="D306" s="6">
        <f t="shared" ca="1" si="0"/>
        <v>45323</v>
      </c>
      <c r="E306" s="6">
        <f t="shared" ca="1" si="1"/>
        <v>45320</v>
      </c>
      <c r="F306" s="6">
        <f t="shared" ca="1" si="2"/>
        <v>45323</v>
      </c>
      <c r="G306" s="7"/>
    </row>
    <row r="307" spans="1:7" x14ac:dyDescent="0.2">
      <c r="A307" s="3">
        <f ca="1">IFERROR(__xludf.DUMMYFUNCTION("""COMPUTED_VALUE"""),7242)</f>
        <v>7242</v>
      </c>
      <c r="B307" s="6">
        <f ca="1">IFERROR(__xludf.DUMMYFUNCTION("""COMPUTED_VALUE"""),45323.9325)</f>
        <v>45323.932500000003</v>
      </c>
      <c r="C307" s="3" t="str">
        <f ca="1">IFERROR(__xludf.DUMMYFUNCTION("""COMPUTED_VALUE"""),"purchase")</f>
        <v>purchase</v>
      </c>
      <c r="D307" s="6">
        <f t="shared" ca="1" si="0"/>
        <v>45323</v>
      </c>
      <c r="E307" s="6">
        <f t="shared" ca="1" si="1"/>
        <v>45320</v>
      </c>
      <c r="F307" s="6">
        <f t="shared" ca="1" si="2"/>
        <v>45323</v>
      </c>
      <c r="G307" s="7"/>
    </row>
    <row r="308" spans="1:7" x14ac:dyDescent="0.2">
      <c r="A308" s="3">
        <f ca="1">IFERROR(__xludf.DUMMYFUNCTION("""COMPUTED_VALUE"""),6276)</f>
        <v>6276</v>
      </c>
      <c r="B308" s="6">
        <f ca="1">IFERROR(__xludf.DUMMYFUNCTION("""COMPUTED_VALUE"""),45324.1467361111)</f>
        <v>45324.146736111099</v>
      </c>
      <c r="C308" s="3" t="str">
        <f ca="1">IFERROR(__xludf.DUMMYFUNCTION("""COMPUTED_VALUE"""),"purchase")</f>
        <v>purchase</v>
      </c>
      <c r="D308" s="6">
        <f t="shared" ca="1" si="0"/>
        <v>45324</v>
      </c>
      <c r="E308" s="6">
        <f t="shared" ca="1" si="1"/>
        <v>45320</v>
      </c>
      <c r="F308" s="6">
        <f t="shared" ca="1" si="2"/>
        <v>45323</v>
      </c>
      <c r="G308" s="7"/>
    </row>
    <row r="309" spans="1:7" x14ac:dyDescent="0.2">
      <c r="A309" s="3">
        <f ca="1">IFERROR(__xludf.DUMMYFUNCTION("""COMPUTED_VALUE"""),7502)</f>
        <v>7502</v>
      </c>
      <c r="B309" s="6">
        <f ca="1">IFERROR(__xludf.DUMMYFUNCTION("""COMPUTED_VALUE"""),45324.1625694444)</f>
        <v>45324.162569444401</v>
      </c>
      <c r="C309" s="3" t="str">
        <f ca="1">IFERROR(__xludf.DUMMYFUNCTION("""COMPUTED_VALUE"""),"purchase")</f>
        <v>purchase</v>
      </c>
      <c r="D309" s="6">
        <f t="shared" ca="1" si="0"/>
        <v>45324</v>
      </c>
      <c r="E309" s="6">
        <f t="shared" ca="1" si="1"/>
        <v>45320</v>
      </c>
      <c r="F309" s="6">
        <f t="shared" ca="1" si="2"/>
        <v>45323</v>
      </c>
      <c r="G309" s="7"/>
    </row>
    <row r="310" spans="1:7" x14ac:dyDescent="0.2">
      <c r="A310" s="3">
        <f ca="1">IFERROR(__xludf.DUMMYFUNCTION("""COMPUTED_VALUE"""),6004)</f>
        <v>6004</v>
      </c>
      <c r="B310" s="6">
        <f ca="1">IFERROR(__xludf.DUMMYFUNCTION("""COMPUTED_VALUE"""),45324.3851736111)</f>
        <v>45324.385173611103</v>
      </c>
      <c r="C310" s="3" t="str">
        <f ca="1">IFERROR(__xludf.DUMMYFUNCTION("""COMPUTED_VALUE"""),"purchase")</f>
        <v>purchase</v>
      </c>
      <c r="D310" s="6">
        <f t="shared" ca="1" si="0"/>
        <v>45324</v>
      </c>
      <c r="E310" s="6">
        <f t="shared" ca="1" si="1"/>
        <v>45320</v>
      </c>
      <c r="F310" s="6">
        <f t="shared" ca="1" si="2"/>
        <v>45323</v>
      </c>
      <c r="G310" s="7"/>
    </row>
    <row r="311" spans="1:7" x14ac:dyDescent="0.2">
      <c r="A311" s="3">
        <f ca="1">IFERROR(__xludf.DUMMYFUNCTION("""COMPUTED_VALUE"""),7031)</f>
        <v>7031</v>
      </c>
      <c r="B311" s="6">
        <f ca="1">IFERROR(__xludf.DUMMYFUNCTION("""COMPUTED_VALUE"""),45324.4622800925)</f>
        <v>45324.462280092499</v>
      </c>
      <c r="C311" s="3" t="str">
        <f ca="1">IFERROR(__xludf.DUMMYFUNCTION("""COMPUTED_VALUE"""),"purchase")</f>
        <v>purchase</v>
      </c>
      <c r="D311" s="6">
        <f t="shared" ca="1" si="0"/>
        <v>45324</v>
      </c>
      <c r="E311" s="6">
        <f t="shared" ca="1" si="1"/>
        <v>45320</v>
      </c>
      <c r="F311" s="6">
        <f t="shared" ca="1" si="2"/>
        <v>45323</v>
      </c>
      <c r="G311" s="7"/>
    </row>
    <row r="312" spans="1:7" x14ac:dyDescent="0.2">
      <c r="A312" s="3">
        <f ca="1">IFERROR(__xludf.DUMMYFUNCTION("""COMPUTED_VALUE"""),89)</f>
        <v>89</v>
      </c>
      <c r="B312" s="6">
        <f ca="1">IFERROR(__xludf.DUMMYFUNCTION("""COMPUTED_VALUE"""),45324.4753356481)</f>
        <v>45324.475335648101</v>
      </c>
      <c r="C312" s="3" t="str">
        <f ca="1">IFERROR(__xludf.DUMMYFUNCTION("""COMPUTED_VALUE"""),"purchase")</f>
        <v>purchase</v>
      </c>
      <c r="D312" s="6">
        <f t="shared" ca="1" si="0"/>
        <v>45324</v>
      </c>
      <c r="E312" s="6">
        <f t="shared" ca="1" si="1"/>
        <v>45320</v>
      </c>
      <c r="F312" s="6">
        <f t="shared" ca="1" si="2"/>
        <v>45323</v>
      </c>
      <c r="G312" s="7"/>
    </row>
    <row r="313" spans="1:7" x14ac:dyDescent="0.2">
      <c r="A313" s="3">
        <f ca="1">IFERROR(__xludf.DUMMYFUNCTION("""COMPUTED_VALUE"""),6554)</f>
        <v>6554</v>
      </c>
      <c r="B313" s="6">
        <f ca="1">IFERROR(__xludf.DUMMYFUNCTION("""COMPUTED_VALUE"""),45324.5054050925)</f>
        <v>45324.505405092503</v>
      </c>
      <c r="C313" s="3" t="str">
        <f ca="1">IFERROR(__xludf.DUMMYFUNCTION("""COMPUTED_VALUE"""),"purchase")</f>
        <v>purchase</v>
      </c>
      <c r="D313" s="6">
        <f t="shared" ca="1" si="0"/>
        <v>45324</v>
      </c>
      <c r="E313" s="6">
        <f t="shared" ca="1" si="1"/>
        <v>45320</v>
      </c>
      <c r="F313" s="6">
        <f t="shared" ca="1" si="2"/>
        <v>45323</v>
      </c>
      <c r="G313" s="7"/>
    </row>
    <row r="314" spans="1:7" x14ac:dyDescent="0.2">
      <c r="A314" s="3">
        <f ca="1">IFERROR(__xludf.DUMMYFUNCTION("""COMPUTED_VALUE"""),5275)</f>
        <v>5275</v>
      </c>
      <c r="B314" s="6">
        <f ca="1">IFERROR(__xludf.DUMMYFUNCTION("""COMPUTED_VALUE"""),45324.6538541666)</f>
        <v>45324.653854166601</v>
      </c>
      <c r="C314" s="3" t="str">
        <f ca="1">IFERROR(__xludf.DUMMYFUNCTION("""COMPUTED_VALUE"""),"purchase")</f>
        <v>purchase</v>
      </c>
      <c r="D314" s="6">
        <f t="shared" ca="1" si="0"/>
        <v>45324</v>
      </c>
      <c r="E314" s="6">
        <f t="shared" ca="1" si="1"/>
        <v>45320</v>
      </c>
      <c r="F314" s="6">
        <f t="shared" ca="1" si="2"/>
        <v>45323</v>
      </c>
      <c r="G314" s="7"/>
    </row>
    <row r="315" spans="1:7" x14ac:dyDescent="0.2">
      <c r="A315" s="3">
        <f ca="1">IFERROR(__xludf.DUMMYFUNCTION("""COMPUTED_VALUE"""),1465)</f>
        <v>1465</v>
      </c>
      <c r="B315" s="6">
        <f ca="1">IFERROR(__xludf.DUMMYFUNCTION("""COMPUTED_VALUE"""),45324.7041319444)</f>
        <v>45324.704131944403</v>
      </c>
      <c r="C315" s="3" t="str">
        <f ca="1">IFERROR(__xludf.DUMMYFUNCTION("""COMPUTED_VALUE"""),"purchase")</f>
        <v>purchase</v>
      </c>
      <c r="D315" s="6">
        <f t="shared" ca="1" si="0"/>
        <v>45324</v>
      </c>
      <c r="E315" s="6">
        <f t="shared" ca="1" si="1"/>
        <v>45320</v>
      </c>
      <c r="F315" s="6">
        <f t="shared" ca="1" si="2"/>
        <v>45323</v>
      </c>
      <c r="G315" s="7"/>
    </row>
    <row r="316" spans="1:7" x14ac:dyDescent="0.2">
      <c r="A316" s="3">
        <f ca="1">IFERROR(__xludf.DUMMYFUNCTION("""COMPUTED_VALUE"""),6932)</f>
        <v>6932</v>
      </c>
      <c r="B316" s="6">
        <f ca="1">IFERROR(__xludf.DUMMYFUNCTION("""COMPUTED_VALUE"""),45324.8259722222)</f>
        <v>45324.825972222199</v>
      </c>
      <c r="C316" s="3" t="str">
        <f ca="1">IFERROR(__xludf.DUMMYFUNCTION("""COMPUTED_VALUE"""),"purchase")</f>
        <v>purchase</v>
      </c>
      <c r="D316" s="6">
        <f t="shared" ca="1" si="0"/>
        <v>45324</v>
      </c>
      <c r="E316" s="6">
        <f t="shared" ca="1" si="1"/>
        <v>45320</v>
      </c>
      <c r="F316" s="6">
        <f t="shared" ca="1" si="2"/>
        <v>45323</v>
      </c>
      <c r="G316" s="7"/>
    </row>
    <row r="317" spans="1:7" x14ac:dyDescent="0.2">
      <c r="A317" s="3">
        <f ca="1">IFERROR(__xludf.DUMMYFUNCTION("""COMPUTED_VALUE"""),6888)</f>
        <v>6888</v>
      </c>
      <c r="B317" s="6">
        <f ca="1">IFERROR(__xludf.DUMMYFUNCTION("""COMPUTED_VALUE"""),45324.891886574)</f>
        <v>45324.891886573998</v>
      </c>
      <c r="C317" s="3" t="str">
        <f ca="1">IFERROR(__xludf.DUMMYFUNCTION("""COMPUTED_VALUE"""),"purchase")</f>
        <v>purchase</v>
      </c>
      <c r="D317" s="6">
        <f t="shared" ca="1" si="0"/>
        <v>45324</v>
      </c>
      <c r="E317" s="6">
        <f t="shared" ca="1" si="1"/>
        <v>45320</v>
      </c>
      <c r="F317" s="6">
        <f t="shared" ca="1" si="2"/>
        <v>45323</v>
      </c>
      <c r="G317" s="7"/>
    </row>
    <row r="318" spans="1:7" x14ac:dyDescent="0.2">
      <c r="A318" s="3">
        <f ca="1">IFERROR(__xludf.DUMMYFUNCTION("""COMPUTED_VALUE"""),348)</f>
        <v>348</v>
      </c>
      <c r="B318" s="6">
        <f ca="1">IFERROR(__xludf.DUMMYFUNCTION("""COMPUTED_VALUE"""),45324.9937037037)</f>
        <v>45324.993703703702</v>
      </c>
      <c r="C318" s="3" t="str">
        <f ca="1">IFERROR(__xludf.DUMMYFUNCTION("""COMPUTED_VALUE"""),"purchase")</f>
        <v>purchase</v>
      </c>
      <c r="D318" s="6">
        <f t="shared" ca="1" si="0"/>
        <v>45324</v>
      </c>
      <c r="E318" s="6">
        <f t="shared" ca="1" si="1"/>
        <v>45320</v>
      </c>
      <c r="F318" s="6">
        <f t="shared" ca="1" si="2"/>
        <v>45323</v>
      </c>
      <c r="G318" s="7"/>
    </row>
    <row r="319" spans="1:7" x14ac:dyDescent="0.2">
      <c r="A319" s="3">
        <f ca="1">IFERROR(__xludf.DUMMYFUNCTION("""COMPUTED_VALUE"""),6227)</f>
        <v>6227</v>
      </c>
      <c r="B319" s="6">
        <f ca="1">IFERROR(__xludf.DUMMYFUNCTION("""COMPUTED_VALUE"""),45325.1291203703)</f>
        <v>45325.1291203703</v>
      </c>
      <c r="C319" s="3" t="str">
        <f ca="1">IFERROR(__xludf.DUMMYFUNCTION("""COMPUTED_VALUE"""),"purchase")</f>
        <v>purchase</v>
      </c>
      <c r="D319" s="6">
        <f t="shared" ca="1" si="0"/>
        <v>45325</v>
      </c>
      <c r="E319" s="6">
        <f t="shared" ca="1" si="1"/>
        <v>45320</v>
      </c>
      <c r="F319" s="6">
        <f t="shared" ca="1" si="2"/>
        <v>45323</v>
      </c>
      <c r="G319" s="7"/>
    </row>
    <row r="320" spans="1:7" x14ac:dyDescent="0.2">
      <c r="A320" s="3">
        <f ca="1">IFERROR(__xludf.DUMMYFUNCTION("""COMPUTED_VALUE"""),2234)</f>
        <v>2234</v>
      </c>
      <c r="B320" s="6">
        <f ca="1">IFERROR(__xludf.DUMMYFUNCTION("""COMPUTED_VALUE"""),45325.1703935185)</f>
        <v>45325.1703935185</v>
      </c>
      <c r="C320" s="3" t="str">
        <f ca="1">IFERROR(__xludf.DUMMYFUNCTION("""COMPUTED_VALUE"""),"purchase")</f>
        <v>purchase</v>
      </c>
      <c r="D320" s="6">
        <f t="shared" ca="1" si="0"/>
        <v>45325</v>
      </c>
      <c r="E320" s="6">
        <f t="shared" ca="1" si="1"/>
        <v>45320</v>
      </c>
      <c r="F320" s="6">
        <f t="shared" ca="1" si="2"/>
        <v>45323</v>
      </c>
      <c r="G320" s="7"/>
    </row>
    <row r="321" spans="1:7" x14ac:dyDescent="0.2">
      <c r="A321" s="3">
        <f ca="1">IFERROR(__xludf.DUMMYFUNCTION("""COMPUTED_VALUE"""),5820)</f>
        <v>5820</v>
      </c>
      <c r="B321" s="6">
        <f ca="1">IFERROR(__xludf.DUMMYFUNCTION("""COMPUTED_VALUE"""),45325.2287962962)</f>
        <v>45325.2287962962</v>
      </c>
      <c r="C321" s="3" t="str">
        <f ca="1">IFERROR(__xludf.DUMMYFUNCTION("""COMPUTED_VALUE"""),"purchase")</f>
        <v>purchase</v>
      </c>
      <c r="D321" s="6">
        <f t="shared" ca="1" si="0"/>
        <v>45325</v>
      </c>
      <c r="E321" s="6">
        <f t="shared" ca="1" si="1"/>
        <v>45320</v>
      </c>
      <c r="F321" s="6">
        <f t="shared" ca="1" si="2"/>
        <v>45323</v>
      </c>
      <c r="G321" s="7"/>
    </row>
    <row r="322" spans="1:7" x14ac:dyDescent="0.2">
      <c r="A322" s="3">
        <f ca="1">IFERROR(__xludf.DUMMYFUNCTION("""COMPUTED_VALUE"""),6833)</f>
        <v>6833</v>
      </c>
      <c r="B322" s="6">
        <f ca="1">IFERROR(__xludf.DUMMYFUNCTION("""COMPUTED_VALUE"""),45325.2732986111)</f>
        <v>45325.2732986111</v>
      </c>
      <c r="C322" s="3" t="str">
        <f ca="1">IFERROR(__xludf.DUMMYFUNCTION("""COMPUTED_VALUE"""),"purchase")</f>
        <v>purchase</v>
      </c>
      <c r="D322" s="6">
        <f t="shared" ca="1" si="0"/>
        <v>45325</v>
      </c>
      <c r="E322" s="6">
        <f t="shared" ca="1" si="1"/>
        <v>45320</v>
      </c>
      <c r="F322" s="6">
        <f t="shared" ca="1" si="2"/>
        <v>45323</v>
      </c>
      <c r="G322" s="7"/>
    </row>
    <row r="323" spans="1:7" x14ac:dyDescent="0.2">
      <c r="A323" s="3">
        <f ca="1">IFERROR(__xludf.DUMMYFUNCTION("""COMPUTED_VALUE"""),5289)</f>
        <v>5289</v>
      </c>
      <c r="B323" s="6">
        <f ca="1">IFERROR(__xludf.DUMMYFUNCTION("""COMPUTED_VALUE"""),45325.3647916666)</f>
        <v>45325.364791666601</v>
      </c>
      <c r="C323" s="3" t="str">
        <f ca="1">IFERROR(__xludf.DUMMYFUNCTION("""COMPUTED_VALUE"""),"purchase")</f>
        <v>purchase</v>
      </c>
      <c r="D323" s="6">
        <f t="shared" ca="1" si="0"/>
        <v>45325</v>
      </c>
      <c r="E323" s="6">
        <f t="shared" ca="1" si="1"/>
        <v>45320</v>
      </c>
      <c r="F323" s="6">
        <f t="shared" ca="1" si="2"/>
        <v>45323</v>
      </c>
      <c r="G323" s="7"/>
    </row>
    <row r="324" spans="1:7" x14ac:dyDescent="0.2">
      <c r="A324" s="3">
        <f ca="1">IFERROR(__xludf.DUMMYFUNCTION("""COMPUTED_VALUE"""),4705)</f>
        <v>4705</v>
      </c>
      <c r="B324" s="6">
        <f ca="1">IFERROR(__xludf.DUMMYFUNCTION("""COMPUTED_VALUE"""),45325.6215277777)</f>
        <v>45325.621527777701</v>
      </c>
      <c r="C324" s="3" t="str">
        <f ca="1">IFERROR(__xludf.DUMMYFUNCTION("""COMPUTED_VALUE"""),"purchase")</f>
        <v>purchase</v>
      </c>
      <c r="D324" s="6">
        <f t="shared" ca="1" si="0"/>
        <v>45325</v>
      </c>
      <c r="E324" s="6">
        <f t="shared" ca="1" si="1"/>
        <v>45320</v>
      </c>
      <c r="F324" s="6">
        <f t="shared" ca="1" si="2"/>
        <v>45323</v>
      </c>
      <c r="G324" s="7"/>
    </row>
    <row r="325" spans="1:7" x14ac:dyDescent="0.2">
      <c r="A325" s="3">
        <f ca="1">IFERROR(__xludf.DUMMYFUNCTION("""COMPUTED_VALUE"""),1663)</f>
        <v>1663</v>
      </c>
      <c r="B325" s="6">
        <f ca="1">IFERROR(__xludf.DUMMYFUNCTION("""COMPUTED_VALUE"""),45325.6629861111)</f>
        <v>45325.6629861111</v>
      </c>
      <c r="C325" s="3" t="str">
        <f ca="1">IFERROR(__xludf.DUMMYFUNCTION("""COMPUTED_VALUE"""),"purchase")</f>
        <v>purchase</v>
      </c>
      <c r="D325" s="6">
        <f t="shared" ca="1" si="0"/>
        <v>45325</v>
      </c>
      <c r="E325" s="6">
        <f t="shared" ca="1" si="1"/>
        <v>45320</v>
      </c>
      <c r="F325" s="6">
        <f t="shared" ca="1" si="2"/>
        <v>45323</v>
      </c>
      <c r="G325" s="7"/>
    </row>
    <row r="326" spans="1:7" x14ac:dyDescent="0.2">
      <c r="A326" s="3">
        <f ca="1">IFERROR(__xludf.DUMMYFUNCTION("""COMPUTED_VALUE"""),6125)</f>
        <v>6125</v>
      </c>
      <c r="B326" s="6">
        <f ca="1">IFERROR(__xludf.DUMMYFUNCTION("""COMPUTED_VALUE"""),45325.7072337962)</f>
        <v>45325.707233796202</v>
      </c>
      <c r="C326" s="3" t="str">
        <f ca="1">IFERROR(__xludf.DUMMYFUNCTION("""COMPUTED_VALUE"""),"purchase")</f>
        <v>purchase</v>
      </c>
      <c r="D326" s="6">
        <f t="shared" ca="1" si="0"/>
        <v>45325</v>
      </c>
      <c r="E326" s="6">
        <f t="shared" ca="1" si="1"/>
        <v>45320</v>
      </c>
      <c r="F326" s="6">
        <f t="shared" ca="1" si="2"/>
        <v>45323</v>
      </c>
      <c r="G326" s="7"/>
    </row>
    <row r="327" spans="1:7" x14ac:dyDescent="0.2">
      <c r="A327" s="3">
        <f ca="1">IFERROR(__xludf.DUMMYFUNCTION("""COMPUTED_VALUE"""),2523)</f>
        <v>2523</v>
      </c>
      <c r="B327" s="6">
        <f ca="1">IFERROR(__xludf.DUMMYFUNCTION("""COMPUTED_VALUE"""),45325.8165856481)</f>
        <v>45325.816585648099</v>
      </c>
      <c r="C327" s="3" t="str">
        <f ca="1">IFERROR(__xludf.DUMMYFUNCTION("""COMPUTED_VALUE"""),"purchase")</f>
        <v>purchase</v>
      </c>
      <c r="D327" s="6">
        <f t="shared" ca="1" si="0"/>
        <v>45325</v>
      </c>
      <c r="E327" s="6">
        <f t="shared" ca="1" si="1"/>
        <v>45320</v>
      </c>
      <c r="F327" s="6">
        <f t="shared" ca="1" si="2"/>
        <v>45323</v>
      </c>
      <c r="G327" s="7"/>
    </row>
    <row r="328" spans="1:7" x14ac:dyDescent="0.2">
      <c r="A328" s="3">
        <f ca="1">IFERROR(__xludf.DUMMYFUNCTION("""COMPUTED_VALUE"""),1130)</f>
        <v>1130</v>
      </c>
      <c r="B328" s="6">
        <f ca="1">IFERROR(__xludf.DUMMYFUNCTION("""COMPUTED_VALUE"""),45325.8458101851)</f>
        <v>45325.845810185099</v>
      </c>
      <c r="C328" s="3" t="str">
        <f ca="1">IFERROR(__xludf.DUMMYFUNCTION("""COMPUTED_VALUE"""),"purchase")</f>
        <v>purchase</v>
      </c>
      <c r="D328" s="6">
        <f t="shared" ca="1" si="0"/>
        <v>45325</v>
      </c>
      <c r="E328" s="6">
        <f t="shared" ca="1" si="1"/>
        <v>45320</v>
      </c>
      <c r="F328" s="6">
        <f t="shared" ca="1" si="2"/>
        <v>45323</v>
      </c>
      <c r="G328" s="7"/>
    </row>
    <row r="329" spans="1:7" x14ac:dyDescent="0.2">
      <c r="A329" s="3">
        <f ca="1">IFERROR(__xludf.DUMMYFUNCTION("""COMPUTED_VALUE"""),7979)</f>
        <v>7979</v>
      </c>
      <c r="B329" s="6">
        <f ca="1">IFERROR(__xludf.DUMMYFUNCTION("""COMPUTED_VALUE"""),45325.8982291666)</f>
        <v>45325.898229166603</v>
      </c>
      <c r="C329" s="3" t="str">
        <f ca="1">IFERROR(__xludf.DUMMYFUNCTION("""COMPUTED_VALUE"""),"purchase")</f>
        <v>purchase</v>
      </c>
      <c r="D329" s="6">
        <f t="shared" ca="1" si="0"/>
        <v>45325</v>
      </c>
      <c r="E329" s="6">
        <f t="shared" ca="1" si="1"/>
        <v>45320</v>
      </c>
      <c r="F329" s="6">
        <f t="shared" ca="1" si="2"/>
        <v>45323</v>
      </c>
      <c r="G329" s="7"/>
    </row>
    <row r="330" spans="1:7" x14ac:dyDescent="0.2">
      <c r="A330" s="3">
        <f ca="1">IFERROR(__xludf.DUMMYFUNCTION("""COMPUTED_VALUE"""),2648)</f>
        <v>2648</v>
      </c>
      <c r="B330" s="6">
        <f ca="1">IFERROR(__xludf.DUMMYFUNCTION("""COMPUTED_VALUE"""),45325.9940509259)</f>
        <v>45325.994050925903</v>
      </c>
      <c r="C330" s="3" t="str">
        <f ca="1">IFERROR(__xludf.DUMMYFUNCTION("""COMPUTED_VALUE"""),"purchase")</f>
        <v>purchase</v>
      </c>
      <c r="D330" s="6">
        <f t="shared" ca="1" si="0"/>
        <v>45325</v>
      </c>
      <c r="E330" s="6">
        <f t="shared" ca="1" si="1"/>
        <v>45320</v>
      </c>
      <c r="F330" s="6">
        <f t="shared" ca="1" si="2"/>
        <v>45323</v>
      </c>
      <c r="G330" s="7"/>
    </row>
    <row r="331" spans="1:7" x14ac:dyDescent="0.2">
      <c r="A331" s="3">
        <f ca="1">IFERROR(__xludf.DUMMYFUNCTION("""COMPUTED_VALUE"""),1202)</f>
        <v>1202</v>
      </c>
      <c r="B331" s="6">
        <f ca="1">IFERROR(__xludf.DUMMYFUNCTION("""COMPUTED_VALUE"""),45326.0526851851)</f>
        <v>45326.052685185103</v>
      </c>
      <c r="C331" s="3" t="str">
        <f ca="1">IFERROR(__xludf.DUMMYFUNCTION("""COMPUTED_VALUE"""),"purchase")</f>
        <v>purchase</v>
      </c>
      <c r="D331" s="6">
        <f t="shared" ca="1" si="0"/>
        <v>45326</v>
      </c>
      <c r="E331" s="6">
        <f t="shared" ca="1" si="1"/>
        <v>45320</v>
      </c>
      <c r="F331" s="6">
        <f t="shared" ca="1" si="2"/>
        <v>45323</v>
      </c>
      <c r="G331" s="7"/>
    </row>
    <row r="332" spans="1:7" x14ac:dyDescent="0.2">
      <c r="A332" s="3">
        <f ca="1">IFERROR(__xludf.DUMMYFUNCTION("""COMPUTED_VALUE"""),706)</f>
        <v>706</v>
      </c>
      <c r="B332" s="6">
        <f ca="1">IFERROR(__xludf.DUMMYFUNCTION("""COMPUTED_VALUE"""),45326.1631481481)</f>
        <v>45326.163148148102</v>
      </c>
      <c r="C332" s="3" t="str">
        <f ca="1">IFERROR(__xludf.DUMMYFUNCTION("""COMPUTED_VALUE"""),"purchase")</f>
        <v>purchase</v>
      </c>
      <c r="D332" s="6">
        <f t="shared" ca="1" si="0"/>
        <v>45326</v>
      </c>
      <c r="E332" s="6">
        <f t="shared" ca="1" si="1"/>
        <v>45320</v>
      </c>
      <c r="F332" s="6">
        <f t="shared" ca="1" si="2"/>
        <v>45323</v>
      </c>
      <c r="G332" s="7"/>
    </row>
    <row r="333" spans="1:7" x14ac:dyDescent="0.2">
      <c r="A333" s="3">
        <f ca="1">IFERROR(__xludf.DUMMYFUNCTION("""COMPUTED_VALUE"""),6925)</f>
        <v>6925</v>
      </c>
      <c r="B333" s="6">
        <f ca="1">IFERROR(__xludf.DUMMYFUNCTION("""COMPUTED_VALUE"""),45326.1697222222)</f>
        <v>45326.169722222199</v>
      </c>
      <c r="C333" s="3" t="str">
        <f ca="1">IFERROR(__xludf.DUMMYFUNCTION("""COMPUTED_VALUE"""),"purchase")</f>
        <v>purchase</v>
      </c>
      <c r="D333" s="6">
        <f t="shared" ca="1" si="0"/>
        <v>45326</v>
      </c>
      <c r="E333" s="6">
        <f t="shared" ca="1" si="1"/>
        <v>45320</v>
      </c>
      <c r="F333" s="6">
        <f t="shared" ca="1" si="2"/>
        <v>45323</v>
      </c>
      <c r="G333" s="7"/>
    </row>
    <row r="334" spans="1:7" x14ac:dyDescent="0.2">
      <c r="A334" s="3">
        <f ca="1">IFERROR(__xludf.DUMMYFUNCTION("""COMPUTED_VALUE"""),1576)</f>
        <v>1576</v>
      </c>
      <c r="B334" s="6">
        <f ca="1">IFERROR(__xludf.DUMMYFUNCTION("""COMPUTED_VALUE"""),45326.1975231481)</f>
        <v>45326.197523148097</v>
      </c>
      <c r="C334" s="3" t="str">
        <f ca="1">IFERROR(__xludf.DUMMYFUNCTION("""COMPUTED_VALUE"""),"purchase")</f>
        <v>purchase</v>
      </c>
      <c r="D334" s="6">
        <f t="shared" ca="1" si="0"/>
        <v>45326</v>
      </c>
      <c r="E334" s="6">
        <f t="shared" ca="1" si="1"/>
        <v>45320</v>
      </c>
      <c r="F334" s="6">
        <f t="shared" ca="1" si="2"/>
        <v>45323</v>
      </c>
      <c r="G334" s="7"/>
    </row>
    <row r="335" spans="1:7" x14ac:dyDescent="0.2">
      <c r="A335" s="3">
        <f ca="1">IFERROR(__xludf.DUMMYFUNCTION("""COMPUTED_VALUE"""),3694)</f>
        <v>3694</v>
      </c>
      <c r="B335" s="6">
        <f ca="1">IFERROR(__xludf.DUMMYFUNCTION("""COMPUTED_VALUE"""),45326.2919212962)</f>
        <v>45326.291921296201</v>
      </c>
      <c r="C335" s="3" t="str">
        <f ca="1">IFERROR(__xludf.DUMMYFUNCTION("""COMPUTED_VALUE"""),"purchase")</f>
        <v>purchase</v>
      </c>
      <c r="D335" s="6">
        <f t="shared" ca="1" si="0"/>
        <v>45326</v>
      </c>
      <c r="E335" s="6">
        <f t="shared" ca="1" si="1"/>
        <v>45320</v>
      </c>
      <c r="F335" s="6">
        <f t="shared" ca="1" si="2"/>
        <v>45323</v>
      </c>
      <c r="G335" s="7"/>
    </row>
    <row r="336" spans="1:7" x14ac:dyDescent="0.2">
      <c r="A336" s="3">
        <f ca="1">IFERROR(__xludf.DUMMYFUNCTION("""COMPUTED_VALUE"""),5931)</f>
        <v>5931</v>
      </c>
      <c r="B336" s="6">
        <f ca="1">IFERROR(__xludf.DUMMYFUNCTION("""COMPUTED_VALUE"""),45326.3410763888)</f>
        <v>45326.341076388802</v>
      </c>
      <c r="C336" s="3" t="str">
        <f ca="1">IFERROR(__xludf.DUMMYFUNCTION("""COMPUTED_VALUE"""),"purchase")</f>
        <v>purchase</v>
      </c>
      <c r="D336" s="6">
        <f t="shared" ca="1" si="0"/>
        <v>45326</v>
      </c>
      <c r="E336" s="6">
        <f t="shared" ca="1" si="1"/>
        <v>45320</v>
      </c>
      <c r="F336" s="6">
        <f t="shared" ca="1" si="2"/>
        <v>45323</v>
      </c>
      <c r="G336" s="7"/>
    </row>
    <row r="337" spans="1:7" x14ac:dyDescent="0.2">
      <c r="A337" s="3">
        <f ca="1">IFERROR(__xludf.DUMMYFUNCTION("""COMPUTED_VALUE"""),4849)</f>
        <v>4849</v>
      </c>
      <c r="B337" s="6">
        <f ca="1">IFERROR(__xludf.DUMMYFUNCTION("""COMPUTED_VALUE"""),45326.4554629629)</f>
        <v>45326.455462962898</v>
      </c>
      <c r="C337" s="3" t="str">
        <f ca="1">IFERROR(__xludf.DUMMYFUNCTION("""COMPUTED_VALUE"""),"purchase")</f>
        <v>purchase</v>
      </c>
      <c r="D337" s="6">
        <f t="shared" ca="1" si="0"/>
        <v>45326</v>
      </c>
      <c r="E337" s="6">
        <f t="shared" ca="1" si="1"/>
        <v>45320</v>
      </c>
      <c r="F337" s="6">
        <f t="shared" ca="1" si="2"/>
        <v>45323</v>
      </c>
      <c r="G337" s="7"/>
    </row>
    <row r="338" spans="1:7" x14ac:dyDescent="0.2">
      <c r="A338" s="3">
        <f ca="1">IFERROR(__xludf.DUMMYFUNCTION("""COMPUTED_VALUE"""),2127)</f>
        <v>2127</v>
      </c>
      <c r="B338" s="6">
        <f ca="1">IFERROR(__xludf.DUMMYFUNCTION("""COMPUTED_VALUE"""),45326.5050810185)</f>
        <v>45326.505081018498</v>
      </c>
      <c r="C338" s="3" t="str">
        <f ca="1">IFERROR(__xludf.DUMMYFUNCTION("""COMPUTED_VALUE"""),"purchase")</f>
        <v>purchase</v>
      </c>
      <c r="D338" s="6">
        <f t="shared" ca="1" si="0"/>
        <v>45326</v>
      </c>
      <c r="E338" s="6">
        <f t="shared" ca="1" si="1"/>
        <v>45320</v>
      </c>
      <c r="F338" s="6">
        <f t="shared" ca="1" si="2"/>
        <v>45323</v>
      </c>
      <c r="G338" s="7"/>
    </row>
    <row r="339" spans="1:7" x14ac:dyDescent="0.2">
      <c r="A339" s="3">
        <f ca="1">IFERROR(__xludf.DUMMYFUNCTION("""COMPUTED_VALUE"""),995)</f>
        <v>995</v>
      </c>
      <c r="B339" s="6">
        <f ca="1">IFERROR(__xludf.DUMMYFUNCTION("""COMPUTED_VALUE"""),45326.5107523148)</f>
        <v>45326.510752314804</v>
      </c>
      <c r="C339" s="3" t="str">
        <f ca="1">IFERROR(__xludf.DUMMYFUNCTION("""COMPUTED_VALUE"""),"purchase")</f>
        <v>purchase</v>
      </c>
      <c r="D339" s="6">
        <f t="shared" ca="1" si="0"/>
        <v>45326</v>
      </c>
      <c r="E339" s="6">
        <f t="shared" ca="1" si="1"/>
        <v>45320</v>
      </c>
      <c r="F339" s="6">
        <f t="shared" ca="1" si="2"/>
        <v>45323</v>
      </c>
      <c r="G339" s="7"/>
    </row>
    <row r="340" spans="1:7" x14ac:dyDescent="0.2">
      <c r="A340" s="3">
        <f ca="1">IFERROR(__xludf.DUMMYFUNCTION("""COMPUTED_VALUE"""),5959)</f>
        <v>5959</v>
      </c>
      <c r="B340" s="6">
        <f ca="1">IFERROR(__xludf.DUMMYFUNCTION("""COMPUTED_VALUE"""),45326.7419791666)</f>
        <v>45326.741979166603</v>
      </c>
      <c r="C340" s="3" t="str">
        <f ca="1">IFERROR(__xludf.DUMMYFUNCTION("""COMPUTED_VALUE"""),"purchase")</f>
        <v>purchase</v>
      </c>
      <c r="D340" s="6">
        <f t="shared" ca="1" si="0"/>
        <v>45326</v>
      </c>
      <c r="E340" s="6">
        <f t="shared" ca="1" si="1"/>
        <v>45320</v>
      </c>
      <c r="F340" s="6">
        <f t="shared" ca="1" si="2"/>
        <v>45323</v>
      </c>
      <c r="G340" s="7"/>
    </row>
    <row r="341" spans="1:7" x14ac:dyDescent="0.2">
      <c r="A341" s="3">
        <f ca="1">IFERROR(__xludf.DUMMYFUNCTION("""COMPUTED_VALUE"""),1057)</f>
        <v>1057</v>
      </c>
      <c r="B341" s="6">
        <f ca="1">IFERROR(__xludf.DUMMYFUNCTION("""COMPUTED_VALUE"""),45326.8453009259)</f>
        <v>45326.845300925903</v>
      </c>
      <c r="C341" s="3" t="str">
        <f ca="1">IFERROR(__xludf.DUMMYFUNCTION("""COMPUTED_VALUE"""),"purchase")</f>
        <v>purchase</v>
      </c>
      <c r="D341" s="6">
        <f t="shared" ca="1" si="0"/>
        <v>45326</v>
      </c>
      <c r="E341" s="6">
        <f t="shared" ca="1" si="1"/>
        <v>45320</v>
      </c>
      <c r="F341" s="6">
        <f t="shared" ca="1" si="2"/>
        <v>45323</v>
      </c>
      <c r="G341" s="7"/>
    </row>
    <row r="342" spans="1:7" x14ac:dyDescent="0.2">
      <c r="A342" s="3">
        <f ca="1">IFERROR(__xludf.DUMMYFUNCTION("""COMPUTED_VALUE"""),3356)</f>
        <v>3356</v>
      </c>
      <c r="B342" s="6">
        <f ca="1">IFERROR(__xludf.DUMMYFUNCTION("""COMPUTED_VALUE"""),45326.9381134259)</f>
        <v>45326.938113425902</v>
      </c>
      <c r="C342" s="3" t="str">
        <f ca="1">IFERROR(__xludf.DUMMYFUNCTION("""COMPUTED_VALUE"""),"purchase")</f>
        <v>purchase</v>
      </c>
      <c r="D342" s="6">
        <f t="shared" ca="1" si="0"/>
        <v>45326</v>
      </c>
      <c r="E342" s="6">
        <f t="shared" ca="1" si="1"/>
        <v>45320</v>
      </c>
      <c r="F342" s="6">
        <f t="shared" ca="1" si="2"/>
        <v>45323</v>
      </c>
      <c r="G342" s="7"/>
    </row>
    <row r="343" spans="1:7" x14ac:dyDescent="0.2">
      <c r="A343" s="3">
        <f ca="1">IFERROR(__xludf.DUMMYFUNCTION("""COMPUTED_VALUE"""),6283)</f>
        <v>6283</v>
      </c>
      <c r="B343" s="6">
        <f ca="1">IFERROR(__xludf.DUMMYFUNCTION("""COMPUTED_VALUE"""),45326.9779629629)</f>
        <v>45326.977962962897</v>
      </c>
      <c r="C343" s="3" t="str">
        <f ca="1">IFERROR(__xludf.DUMMYFUNCTION("""COMPUTED_VALUE"""),"purchase")</f>
        <v>purchase</v>
      </c>
      <c r="D343" s="6">
        <f t="shared" ca="1" si="0"/>
        <v>45326</v>
      </c>
      <c r="E343" s="6">
        <f t="shared" ca="1" si="1"/>
        <v>45320</v>
      </c>
      <c r="F343" s="6">
        <f t="shared" ca="1" si="2"/>
        <v>45323</v>
      </c>
      <c r="G343" s="7"/>
    </row>
    <row r="344" spans="1:7" x14ac:dyDescent="0.2">
      <c r="A344" s="3">
        <f ca="1">IFERROR(__xludf.DUMMYFUNCTION("""COMPUTED_VALUE"""),2692)</f>
        <v>2692</v>
      </c>
      <c r="B344" s="6">
        <f ca="1">IFERROR(__xludf.DUMMYFUNCTION("""COMPUTED_VALUE"""),45327.1238425925)</f>
        <v>45327.123842592497</v>
      </c>
      <c r="C344" s="3" t="str">
        <f ca="1">IFERROR(__xludf.DUMMYFUNCTION("""COMPUTED_VALUE"""),"purchase")</f>
        <v>purchase</v>
      </c>
      <c r="D344" s="6">
        <f t="shared" ca="1" si="0"/>
        <v>45327</v>
      </c>
      <c r="E344" s="6">
        <f t="shared" ca="1" si="1"/>
        <v>45327</v>
      </c>
      <c r="F344" s="6">
        <f t="shared" ca="1" si="2"/>
        <v>45323</v>
      </c>
      <c r="G344" s="7"/>
    </row>
    <row r="345" spans="1:7" x14ac:dyDescent="0.2">
      <c r="A345" s="3">
        <f ca="1">IFERROR(__xludf.DUMMYFUNCTION("""COMPUTED_VALUE"""),2926)</f>
        <v>2926</v>
      </c>
      <c r="B345" s="6">
        <f ca="1">IFERROR(__xludf.DUMMYFUNCTION("""COMPUTED_VALUE"""),45327.2003703703)</f>
        <v>45327.200370370301</v>
      </c>
      <c r="C345" s="3" t="str">
        <f ca="1">IFERROR(__xludf.DUMMYFUNCTION("""COMPUTED_VALUE"""),"purchase")</f>
        <v>purchase</v>
      </c>
      <c r="D345" s="6">
        <f t="shared" ca="1" si="0"/>
        <v>45327</v>
      </c>
      <c r="E345" s="6">
        <f t="shared" ca="1" si="1"/>
        <v>45327</v>
      </c>
      <c r="F345" s="6">
        <f t="shared" ca="1" si="2"/>
        <v>45323</v>
      </c>
      <c r="G345" s="7"/>
    </row>
    <row r="346" spans="1:7" x14ac:dyDescent="0.2">
      <c r="A346" s="3">
        <f ca="1">IFERROR(__xludf.DUMMYFUNCTION("""COMPUTED_VALUE"""),7266)</f>
        <v>7266</v>
      </c>
      <c r="B346" s="6">
        <f ca="1">IFERROR(__xludf.DUMMYFUNCTION("""COMPUTED_VALUE"""),45327.2428009259)</f>
        <v>45327.242800925902</v>
      </c>
      <c r="C346" s="3" t="str">
        <f ca="1">IFERROR(__xludf.DUMMYFUNCTION("""COMPUTED_VALUE"""),"purchase")</f>
        <v>purchase</v>
      </c>
      <c r="D346" s="6">
        <f t="shared" ca="1" si="0"/>
        <v>45327</v>
      </c>
      <c r="E346" s="6">
        <f t="shared" ca="1" si="1"/>
        <v>45327</v>
      </c>
      <c r="F346" s="6">
        <f t="shared" ca="1" si="2"/>
        <v>45323</v>
      </c>
      <c r="G346" s="7"/>
    </row>
    <row r="347" spans="1:7" x14ac:dyDescent="0.2">
      <c r="A347" s="3">
        <f ca="1">IFERROR(__xludf.DUMMYFUNCTION("""COMPUTED_VALUE"""),4002)</f>
        <v>4002</v>
      </c>
      <c r="B347" s="6">
        <f ca="1">IFERROR(__xludf.DUMMYFUNCTION("""COMPUTED_VALUE"""),45327.3520138888)</f>
        <v>45327.352013888798</v>
      </c>
      <c r="C347" s="3" t="str">
        <f ca="1">IFERROR(__xludf.DUMMYFUNCTION("""COMPUTED_VALUE"""),"purchase")</f>
        <v>purchase</v>
      </c>
      <c r="D347" s="6">
        <f t="shared" ca="1" si="0"/>
        <v>45327</v>
      </c>
      <c r="E347" s="6">
        <f t="shared" ca="1" si="1"/>
        <v>45327</v>
      </c>
      <c r="F347" s="6">
        <f t="shared" ca="1" si="2"/>
        <v>45323</v>
      </c>
      <c r="G347" s="7"/>
    </row>
    <row r="348" spans="1:7" x14ac:dyDescent="0.2">
      <c r="A348" s="3">
        <f ca="1">IFERROR(__xludf.DUMMYFUNCTION("""COMPUTED_VALUE"""),7642)</f>
        <v>7642</v>
      </c>
      <c r="B348" s="6">
        <f ca="1">IFERROR(__xludf.DUMMYFUNCTION("""COMPUTED_VALUE"""),45327.3584143518)</f>
        <v>45327.358414351802</v>
      </c>
      <c r="C348" s="3" t="str">
        <f ca="1">IFERROR(__xludf.DUMMYFUNCTION("""COMPUTED_VALUE"""),"purchase")</f>
        <v>purchase</v>
      </c>
      <c r="D348" s="6">
        <f t="shared" ca="1" si="0"/>
        <v>45327</v>
      </c>
      <c r="E348" s="6">
        <f t="shared" ca="1" si="1"/>
        <v>45327</v>
      </c>
      <c r="F348" s="6">
        <f t="shared" ca="1" si="2"/>
        <v>45323</v>
      </c>
      <c r="G348" s="7"/>
    </row>
    <row r="349" spans="1:7" x14ac:dyDescent="0.2">
      <c r="A349" s="3">
        <f ca="1">IFERROR(__xludf.DUMMYFUNCTION("""COMPUTED_VALUE"""),320)</f>
        <v>320</v>
      </c>
      <c r="B349" s="6">
        <f ca="1">IFERROR(__xludf.DUMMYFUNCTION("""COMPUTED_VALUE"""),45327.3992361111)</f>
        <v>45327.399236111101</v>
      </c>
      <c r="C349" s="3" t="str">
        <f ca="1">IFERROR(__xludf.DUMMYFUNCTION("""COMPUTED_VALUE"""),"purchase")</f>
        <v>purchase</v>
      </c>
      <c r="D349" s="6">
        <f t="shared" ca="1" si="0"/>
        <v>45327</v>
      </c>
      <c r="E349" s="6">
        <f t="shared" ca="1" si="1"/>
        <v>45327</v>
      </c>
      <c r="F349" s="6">
        <f t="shared" ca="1" si="2"/>
        <v>45323</v>
      </c>
      <c r="G349" s="7"/>
    </row>
    <row r="350" spans="1:7" x14ac:dyDescent="0.2">
      <c r="A350" s="3">
        <f ca="1">IFERROR(__xludf.DUMMYFUNCTION("""COMPUTED_VALUE"""),3188)</f>
        <v>3188</v>
      </c>
      <c r="B350" s="6">
        <f ca="1">IFERROR(__xludf.DUMMYFUNCTION("""COMPUTED_VALUE"""),45327.6340277777)</f>
        <v>45327.634027777698</v>
      </c>
      <c r="C350" s="3" t="str">
        <f ca="1">IFERROR(__xludf.DUMMYFUNCTION("""COMPUTED_VALUE"""),"purchase")</f>
        <v>purchase</v>
      </c>
      <c r="D350" s="6">
        <f t="shared" ca="1" si="0"/>
        <v>45327</v>
      </c>
      <c r="E350" s="6">
        <f t="shared" ca="1" si="1"/>
        <v>45327</v>
      </c>
      <c r="F350" s="6">
        <f t="shared" ca="1" si="2"/>
        <v>45323</v>
      </c>
      <c r="G350" s="7"/>
    </row>
    <row r="351" spans="1:7" x14ac:dyDescent="0.2">
      <c r="A351" s="3">
        <f ca="1">IFERROR(__xludf.DUMMYFUNCTION("""COMPUTED_VALUE"""),7758)</f>
        <v>7758</v>
      </c>
      <c r="B351" s="6">
        <f ca="1">IFERROR(__xludf.DUMMYFUNCTION("""COMPUTED_VALUE"""),45327.6620023148)</f>
        <v>45327.662002314799</v>
      </c>
      <c r="C351" s="3" t="str">
        <f ca="1">IFERROR(__xludf.DUMMYFUNCTION("""COMPUTED_VALUE"""),"purchase")</f>
        <v>purchase</v>
      </c>
      <c r="D351" s="6">
        <f t="shared" ca="1" si="0"/>
        <v>45327</v>
      </c>
      <c r="E351" s="6">
        <f t="shared" ca="1" si="1"/>
        <v>45327</v>
      </c>
      <c r="F351" s="6">
        <f t="shared" ca="1" si="2"/>
        <v>45323</v>
      </c>
      <c r="G351" s="7"/>
    </row>
    <row r="352" spans="1:7" x14ac:dyDescent="0.2">
      <c r="A352" s="3">
        <f ca="1">IFERROR(__xludf.DUMMYFUNCTION("""COMPUTED_VALUE"""),7754)</f>
        <v>7754</v>
      </c>
      <c r="B352" s="6">
        <f ca="1">IFERROR(__xludf.DUMMYFUNCTION("""COMPUTED_VALUE"""),45327.6855671296)</f>
        <v>45327.6855671296</v>
      </c>
      <c r="C352" s="3" t="str">
        <f ca="1">IFERROR(__xludf.DUMMYFUNCTION("""COMPUTED_VALUE"""),"purchase")</f>
        <v>purchase</v>
      </c>
      <c r="D352" s="6">
        <f t="shared" ca="1" si="0"/>
        <v>45327</v>
      </c>
      <c r="E352" s="6">
        <f t="shared" ca="1" si="1"/>
        <v>45327</v>
      </c>
      <c r="F352" s="6">
        <f t="shared" ca="1" si="2"/>
        <v>45323</v>
      </c>
      <c r="G352" s="7"/>
    </row>
    <row r="353" spans="1:7" x14ac:dyDescent="0.2">
      <c r="A353" s="3">
        <f ca="1">IFERROR(__xludf.DUMMYFUNCTION("""COMPUTED_VALUE"""),6986)</f>
        <v>6986</v>
      </c>
      <c r="B353" s="6">
        <f ca="1">IFERROR(__xludf.DUMMYFUNCTION("""COMPUTED_VALUE"""),45327.7259722222)</f>
        <v>45327.725972222201</v>
      </c>
      <c r="C353" s="3" t="str">
        <f ca="1">IFERROR(__xludf.DUMMYFUNCTION("""COMPUTED_VALUE"""),"purchase")</f>
        <v>purchase</v>
      </c>
      <c r="D353" s="6">
        <f t="shared" ca="1" si="0"/>
        <v>45327</v>
      </c>
      <c r="E353" s="6">
        <f t="shared" ca="1" si="1"/>
        <v>45327</v>
      </c>
      <c r="F353" s="6">
        <f t="shared" ca="1" si="2"/>
        <v>45323</v>
      </c>
      <c r="G353" s="7"/>
    </row>
    <row r="354" spans="1:7" x14ac:dyDescent="0.2">
      <c r="A354" s="3">
        <f ca="1">IFERROR(__xludf.DUMMYFUNCTION("""COMPUTED_VALUE"""),4767)</f>
        <v>4767</v>
      </c>
      <c r="B354" s="6">
        <f ca="1">IFERROR(__xludf.DUMMYFUNCTION("""COMPUTED_VALUE"""),45327.8467592592)</f>
        <v>45327.846759259199</v>
      </c>
      <c r="C354" s="3" t="str">
        <f ca="1">IFERROR(__xludf.DUMMYFUNCTION("""COMPUTED_VALUE"""),"purchase")</f>
        <v>purchase</v>
      </c>
      <c r="D354" s="6">
        <f t="shared" ca="1" si="0"/>
        <v>45327</v>
      </c>
      <c r="E354" s="6">
        <f t="shared" ca="1" si="1"/>
        <v>45327</v>
      </c>
      <c r="F354" s="6">
        <f t="shared" ca="1" si="2"/>
        <v>45323</v>
      </c>
      <c r="G354" s="7"/>
    </row>
    <row r="355" spans="1:7" x14ac:dyDescent="0.2">
      <c r="A355" s="3">
        <f ca="1">IFERROR(__xludf.DUMMYFUNCTION("""COMPUTED_VALUE"""),6703)</f>
        <v>6703</v>
      </c>
      <c r="B355" s="6">
        <f ca="1">IFERROR(__xludf.DUMMYFUNCTION("""COMPUTED_VALUE"""),45327.8613657407)</f>
        <v>45327.861365740697</v>
      </c>
      <c r="C355" s="3" t="str">
        <f ca="1">IFERROR(__xludf.DUMMYFUNCTION("""COMPUTED_VALUE"""),"purchase")</f>
        <v>purchase</v>
      </c>
      <c r="D355" s="6">
        <f t="shared" ca="1" si="0"/>
        <v>45327</v>
      </c>
      <c r="E355" s="6">
        <f t="shared" ca="1" si="1"/>
        <v>45327</v>
      </c>
      <c r="F355" s="6">
        <f t="shared" ca="1" si="2"/>
        <v>45323</v>
      </c>
      <c r="G355" s="7"/>
    </row>
    <row r="356" spans="1:7" x14ac:dyDescent="0.2">
      <c r="A356" s="3">
        <f ca="1">IFERROR(__xludf.DUMMYFUNCTION("""COMPUTED_VALUE"""),747)</f>
        <v>747</v>
      </c>
      <c r="B356" s="6">
        <f ca="1">IFERROR(__xludf.DUMMYFUNCTION("""COMPUTED_VALUE"""),45327.8881597222)</f>
        <v>45327.888159722199</v>
      </c>
      <c r="C356" s="3" t="str">
        <f ca="1">IFERROR(__xludf.DUMMYFUNCTION("""COMPUTED_VALUE"""),"purchase")</f>
        <v>purchase</v>
      </c>
      <c r="D356" s="6">
        <f t="shared" ca="1" si="0"/>
        <v>45327</v>
      </c>
      <c r="E356" s="6">
        <f t="shared" ca="1" si="1"/>
        <v>45327</v>
      </c>
      <c r="F356" s="6">
        <f t="shared" ca="1" si="2"/>
        <v>45323</v>
      </c>
      <c r="G356" s="7"/>
    </row>
    <row r="357" spans="1:7" x14ac:dyDescent="0.2">
      <c r="A357" s="3">
        <f ca="1">IFERROR(__xludf.DUMMYFUNCTION("""COMPUTED_VALUE"""),3722)</f>
        <v>3722</v>
      </c>
      <c r="B357" s="6">
        <f ca="1">IFERROR(__xludf.DUMMYFUNCTION("""COMPUTED_VALUE"""),45327.9097800925)</f>
        <v>45327.909780092501</v>
      </c>
      <c r="C357" s="3" t="str">
        <f ca="1">IFERROR(__xludf.DUMMYFUNCTION("""COMPUTED_VALUE"""),"purchase")</f>
        <v>purchase</v>
      </c>
      <c r="D357" s="6">
        <f t="shared" ca="1" si="0"/>
        <v>45327</v>
      </c>
      <c r="E357" s="6">
        <f t="shared" ca="1" si="1"/>
        <v>45327</v>
      </c>
      <c r="F357" s="6">
        <f t="shared" ca="1" si="2"/>
        <v>45323</v>
      </c>
      <c r="G357" s="7"/>
    </row>
    <row r="358" spans="1:7" x14ac:dyDescent="0.2">
      <c r="A358" s="3">
        <f ca="1">IFERROR(__xludf.DUMMYFUNCTION("""COMPUTED_VALUE"""),1601)</f>
        <v>1601</v>
      </c>
      <c r="B358" s="6">
        <f ca="1">IFERROR(__xludf.DUMMYFUNCTION("""COMPUTED_VALUE"""),45328.0643402777)</f>
        <v>45328.064340277699</v>
      </c>
      <c r="C358" s="3" t="str">
        <f ca="1">IFERROR(__xludf.DUMMYFUNCTION("""COMPUTED_VALUE"""),"purchase")</f>
        <v>purchase</v>
      </c>
      <c r="D358" s="6">
        <f t="shared" ca="1" si="0"/>
        <v>45328</v>
      </c>
      <c r="E358" s="6">
        <f t="shared" ca="1" si="1"/>
        <v>45327</v>
      </c>
      <c r="F358" s="6">
        <f t="shared" ca="1" si="2"/>
        <v>45323</v>
      </c>
      <c r="G358" s="7"/>
    </row>
    <row r="359" spans="1:7" x14ac:dyDescent="0.2">
      <c r="A359" s="3">
        <f ca="1">IFERROR(__xludf.DUMMYFUNCTION("""COMPUTED_VALUE"""),1741)</f>
        <v>1741</v>
      </c>
      <c r="B359" s="6">
        <f ca="1">IFERROR(__xludf.DUMMYFUNCTION("""COMPUTED_VALUE"""),45328.095011574)</f>
        <v>45328.095011573998</v>
      </c>
      <c r="C359" s="3" t="str">
        <f ca="1">IFERROR(__xludf.DUMMYFUNCTION("""COMPUTED_VALUE"""),"purchase")</f>
        <v>purchase</v>
      </c>
      <c r="D359" s="6">
        <f t="shared" ca="1" si="0"/>
        <v>45328</v>
      </c>
      <c r="E359" s="6">
        <f t="shared" ca="1" si="1"/>
        <v>45327</v>
      </c>
      <c r="F359" s="6">
        <f t="shared" ca="1" si="2"/>
        <v>45323</v>
      </c>
      <c r="G359" s="7"/>
    </row>
    <row r="360" spans="1:7" x14ac:dyDescent="0.2">
      <c r="A360" s="3">
        <f ca="1">IFERROR(__xludf.DUMMYFUNCTION("""COMPUTED_VALUE"""),4085)</f>
        <v>4085</v>
      </c>
      <c r="B360" s="6">
        <f ca="1">IFERROR(__xludf.DUMMYFUNCTION("""COMPUTED_VALUE"""),45328.2757754629)</f>
        <v>45328.275775462898</v>
      </c>
      <c r="C360" s="3" t="str">
        <f ca="1">IFERROR(__xludf.DUMMYFUNCTION("""COMPUTED_VALUE"""),"purchase")</f>
        <v>purchase</v>
      </c>
      <c r="D360" s="6">
        <f t="shared" ca="1" si="0"/>
        <v>45328</v>
      </c>
      <c r="E360" s="6">
        <f t="shared" ca="1" si="1"/>
        <v>45327</v>
      </c>
      <c r="F360" s="6">
        <f t="shared" ca="1" si="2"/>
        <v>45323</v>
      </c>
      <c r="G360" s="7"/>
    </row>
    <row r="361" spans="1:7" x14ac:dyDescent="0.2">
      <c r="A361" s="3">
        <f ca="1">IFERROR(__xludf.DUMMYFUNCTION("""COMPUTED_VALUE"""),3140)</f>
        <v>3140</v>
      </c>
      <c r="B361" s="6">
        <f ca="1">IFERROR(__xludf.DUMMYFUNCTION("""COMPUTED_VALUE"""),45328.3143518518)</f>
        <v>45328.314351851797</v>
      </c>
      <c r="C361" s="3" t="str">
        <f ca="1">IFERROR(__xludf.DUMMYFUNCTION("""COMPUTED_VALUE"""),"purchase")</f>
        <v>purchase</v>
      </c>
      <c r="D361" s="6">
        <f t="shared" ca="1" si="0"/>
        <v>45328</v>
      </c>
      <c r="E361" s="6">
        <f t="shared" ca="1" si="1"/>
        <v>45327</v>
      </c>
      <c r="F361" s="6">
        <f t="shared" ca="1" si="2"/>
        <v>45323</v>
      </c>
      <c r="G361" s="7"/>
    </row>
    <row r="362" spans="1:7" x14ac:dyDescent="0.2">
      <c r="A362" s="3">
        <f ca="1">IFERROR(__xludf.DUMMYFUNCTION("""COMPUTED_VALUE"""),4710)</f>
        <v>4710</v>
      </c>
      <c r="B362" s="6">
        <f ca="1">IFERROR(__xludf.DUMMYFUNCTION("""COMPUTED_VALUE"""),45328.3546064814)</f>
        <v>45328.3546064814</v>
      </c>
      <c r="C362" s="3" t="str">
        <f ca="1">IFERROR(__xludf.DUMMYFUNCTION("""COMPUTED_VALUE"""),"purchase")</f>
        <v>purchase</v>
      </c>
      <c r="D362" s="6">
        <f t="shared" ca="1" si="0"/>
        <v>45328</v>
      </c>
      <c r="E362" s="6">
        <f t="shared" ca="1" si="1"/>
        <v>45327</v>
      </c>
      <c r="F362" s="6">
        <f t="shared" ca="1" si="2"/>
        <v>45323</v>
      </c>
      <c r="G362" s="7"/>
    </row>
    <row r="363" spans="1:7" x14ac:dyDescent="0.2">
      <c r="A363" s="3">
        <f ca="1">IFERROR(__xludf.DUMMYFUNCTION("""COMPUTED_VALUE"""),4075)</f>
        <v>4075</v>
      </c>
      <c r="B363" s="6">
        <f ca="1">IFERROR(__xludf.DUMMYFUNCTION("""COMPUTED_VALUE"""),45328.4316087962)</f>
        <v>45328.4316087962</v>
      </c>
      <c r="C363" s="3" t="str">
        <f ca="1">IFERROR(__xludf.DUMMYFUNCTION("""COMPUTED_VALUE"""),"purchase")</f>
        <v>purchase</v>
      </c>
      <c r="D363" s="6">
        <f t="shared" ca="1" si="0"/>
        <v>45328</v>
      </c>
      <c r="E363" s="6">
        <f t="shared" ca="1" si="1"/>
        <v>45327</v>
      </c>
      <c r="F363" s="6">
        <f t="shared" ca="1" si="2"/>
        <v>45323</v>
      </c>
      <c r="G363" s="7"/>
    </row>
    <row r="364" spans="1:7" x14ac:dyDescent="0.2">
      <c r="A364" s="3">
        <f ca="1">IFERROR(__xludf.DUMMYFUNCTION("""COMPUTED_VALUE"""),7224)</f>
        <v>7224</v>
      </c>
      <c r="B364" s="6">
        <f ca="1">IFERROR(__xludf.DUMMYFUNCTION("""COMPUTED_VALUE"""),45328.5961342592)</f>
        <v>45328.596134259198</v>
      </c>
      <c r="C364" s="3" t="str">
        <f ca="1">IFERROR(__xludf.DUMMYFUNCTION("""COMPUTED_VALUE"""),"purchase")</f>
        <v>purchase</v>
      </c>
      <c r="D364" s="6">
        <f t="shared" ca="1" si="0"/>
        <v>45328</v>
      </c>
      <c r="E364" s="6">
        <f t="shared" ca="1" si="1"/>
        <v>45327</v>
      </c>
      <c r="F364" s="6">
        <f t="shared" ca="1" si="2"/>
        <v>45323</v>
      </c>
      <c r="G364" s="7"/>
    </row>
    <row r="365" spans="1:7" x14ac:dyDescent="0.2">
      <c r="A365" s="3">
        <f ca="1">IFERROR(__xludf.DUMMYFUNCTION("""COMPUTED_VALUE"""),2681)</f>
        <v>2681</v>
      </c>
      <c r="B365" s="6">
        <f ca="1">IFERROR(__xludf.DUMMYFUNCTION("""COMPUTED_VALUE"""),45328.6510416666)</f>
        <v>45328.651041666599</v>
      </c>
      <c r="C365" s="3" t="str">
        <f ca="1">IFERROR(__xludf.DUMMYFUNCTION("""COMPUTED_VALUE"""),"purchase")</f>
        <v>purchase</v>
      </c>
      <c r="D365" s="6">
        <f t="shared" ca="1" si="0"/>
        <v>45328</v>
      </c>
      <c r="E365" s="6">
        <f t="shared" ca="1" si="1"/>
        <v>45327</v>
      </c>
      <c r="F365" s="6">
        <f t="shared" ca="1" si="2"/>
        <v>45323</v>
      </c>
      <c r="G365" s="7"/>
    </row>
    <row r="366" spans="1:7" x14ac:dyDescent="0.2">
      <c r="A366" s="3">
        <f ca="1">IFERROR(__xludf.DUMMYFUNCTION("""COMPUTED_VALUE"""),2128)</f>
        <v>2128</v>
      </c>
      <c r="B366" s="6">
        <f ca="1">IFERROR(__xludf.DUMMYFUNCTION("""COMPUTED_VALUE"""),45328.8619907407)</f>
        <v>45328.861990740697</v>
      </c>
      <c r="C366" s="3" t="str">
        <f ca="1">IFERROR(__xludf.DUMMYFUNCTION("""COMPUTED_VALUE"""),"purchase")</f>
        <v>purchase</v>
      </c>
      <c r="D366" s="6">
        <f t="shared" ca="1" si="0"/>
        <v>45328</v>
      </c>
      <c r="E366" s="6">
        <f t="shared" ca="1" si="1"/>
        <v>45327</v>
      </c>
      <c r="F366" s="6">
        <f t="shared" ca="1" si="2"/>
        <v>45323</v>
      </c>
      <c r="G366" s="7"/>
    </row>
    <row r="367" spans="1:7" x14ac:dyDescent="0.2">
      <c r="A367" s="3">
        <f ca="1">IFERROR(__xludf.DUMMYFUNCTION("""COMPUTED_VALUE"""),6727)</f>
        <v>6727</v>
      </c>
      <c r="B367" s="6">
        <f ca="1">IFERROR(__xludf.DUMMYFUNCTION("""COMPUTED_VALUE"""),45328.9861226851)</f>
        <v>45328.986122685099</v>
      </c>
      <c r="C367" s="3" t="str">
        <f ca="1">IFERROR(__xludf.DUMMYFUNCTION("""COMPUTED_VALUE"""),"purchase")</f>
        <v>purchase</v>
      </c>
      <c r="D367" s="6">
        <f t="shared" ca="1" si="0"/>
        <v>45328</v>
      </c>
      <c r="E367" s="6">
        <f t="shared" ca="1" si="1"/>
        <v>45327</v>
      </c>
      <c r="F367" s="6">
        <f t="shared" ca="1" si="2"/>
        <v>45323</v>
      </c>
      <c r="G367" s="7"/>
    </row>
    <row r="368" spans="1:7" x14ac:dyDescent="0.2">
      <c r="A368" s="3">
        <f ca="1">IFERROR(__xludf.DUMMYFUNCTION("""COMPUTED_VALUE"""),3545)</f>
        <v>3545</v>
      </c>
      <c r="B368" s="6">
        <f ca="1">IFERROR(__xludf.DUMMYFUNCTION("""COMPUTED_VALUE"""),45329.0634259259)</f>
        <v>45329.063425925902</v>
      </c>
      <c r="C368" s="3" t="str">
        <f ca="1">IFERROR(__xludf.DUMMYFUNCTION("""COMPUTED_VALUE"""),"purchase")</f>
        <v>purchase</v>
      </c>
      <c r="D368" s="6">
        <f t="shared" ca="1" si="0"/>
        <v>45329</v>
      </c>
      <c r="E368" s="6">
        <f t="shared" ca="1" si="1"/>
        <v>45327</v>
      </c>
      <c r="F368" s="6">
        <f t="shared" ca="1" si="2"/>
        <v>45323</v>
      </c>
      <c r="G368" s="7"/>
    </row>
    <row r="369" spans="1:7" x14ac:dyDescent="0.2">
      <c r="A369" s="3">
        <f ca="1">IFERROR(__xludf.DUMMYFUNCTION("""COMPUTED_VALUE"""),790)</f>
        <v>790</v>
      </c>
      <c r="B369" s="6">
        <f ca="1">IFERROR(__xludf.DUMMYFUNCTION("""COMPUTED_VALUE"""),45329.0915972222)</f>
        <v>45329.091597222199</v>
      </c>
      <c r="C369" s="3" t="str">
        <f ca="1">IFERROR(__xludf.DUMMYFUNCTION("""COMPUTED_VALUE"""),"purchase")</f>
        <v>purchase</v>
      </c>
      <c r="D369" s="6">
        <f t="shared" ca="1" si="0"/>
        <v>45329</v>
      </c>
      <c r="E369" s="6">
        <f t="shared" ca="1" si="1"/>
        <v>45327</v>
      </c>
      <c r="F369" s="6">
        <f t="shared" ca="1" si="2"/>
        <v>45323</v>
      </c>
      <c r="G369" s="7"/>
    </row>
    <row r="370" spans="1:7" x14ac:dyDescent="0.2">
      <c r="A370" s="3">
        <f ca="1">IFERROR(__xludf.DUMMYFUNCTION("""COMPUTED_VALUE"""),7687)</f>
        <v>7687</v>
      </c>
      <c r="B370" s="6">
        <f ca="1">IFERROR(__xludf.DUMMYFUNCTION("""COMPUTED_VALUE"""),45329.1657986111)</f>
        <v>45329.165798611102</v>
      </c>
      <c r="C370" s="3" t="str">
        <f ca="1">IFERROR(__xludf.DUMMYFUNCTION("""COMPUTED_VALUE"""),"purchase")</f>
        <v>purchase</v>
      </c>
      <c r="D370" s="6">
        <f t="shared" ca="1" si="0"/>
        <v>45329</v>
      </c>
      <c r="E370" s="6">
        <f t="shared" ca="1" si="1"/>
        <v>45327</v>
      </c>
      <c r="F370" s="6">
        <f t="shared" ca="1" si="2"/>
        <v>45323</v>
      </c>
      <c r="G370" s="7"/>
    </row>
    <row r="371" spans="1:7" x14ac:dyDescent="0.2">
      <c r="A371" s="3">
        <f ca="1">IFERROR(__xludf.DUMMYFUNCTION("""COMPUTED_VALUE"""),7894)</f>
        <v>7894</v>
      </c>
      <c r="B371" s="6">
        <f ca="1">IFERROR(__xludf.DUMMYFUNCTION("""COMPUTED_VALUE"""),45329.2569097222)</f>
        <v>45329.2569097222</v>
      </c>
      <c r="C371" s="3" t="str">
        <f ca="1">IFERROR(__xludf.DUMMYFUNCTION("""COMPUTED_VALUE"""),"purchase")</f>
        <v>purchase</v>
      </c>
      <c r="D371" s="6">
        <f t="shared" ca="1" si="0"/>
        <v>45329</v>
      </c>
      <c r="E371" s="6">
        <f t="shared" ca="1" si="1"/>
        <v>45327</v>
      </c>
      <c r="F371" s="6">
        <f t="shared" ca="1" si="2"/>
        <v>45323</v>
      </c>
      <c r="G371" s="7"/>
    </row>
    <row r="372" spans="1:7" x14ac:dyDescent="0.2">
      <c r="A372" s="3">
        <f ca="1">IFERROR(__xludf.DUMMYFUNCTION("""COMPUTED_VALUE"""),7982)</f>
        <v>7982</v>
      </c>
      <c r="B372" s="6">
        <f ca="1">IFERROR(__xludf.DUMMYFUNCTION("""COMPUTED_VALUE"""),45329.3810763888)</f>
        <v>45329.381076388803</v>
      </c>
      <c r="C372" s="3" t="str">
        <f ca="1">IFERROR(__xludf.DUMMYFUNCTION("""COMPUTED_VALUE"""),"purchase")</f>
        <v>purchase</v>
      </c>
      <c r="D372" s="6">
        <f t="shared" ca="1" si="0"/>
        <v>45329</v>
      </c>
      <c r="E372" s="6">
        <f t="shared" ca="1" si="1"/>
        <v>45327</v>
      </c>
      <c r="F372" s="6">
        <f t="shared" ca="1" si="2"/>
        <v>45323</v>
      </c>
      <c r="G372" s="7"/>
    </row>
    <row r="373" spans="1:7" x14ac:dyDescent="0.2">
      <c r="A373" s="3">
        <f ca="1">IFERROR(__xludf.DUMMYFUNCTION("""COMPUTED_VALUE"""),6926)</f>
        <v>6926</v>
      </c>
      <c r="B373" s="6">
        <f ca="1">IFERROR(__xludf.DUMMYFUNCTION("""COMPUTED_VALUE"""),45329.3823611111)</f>
        <v>45329.3823611111</v>
      </c>
      <c r="C373" s="3" t="str">
        <f ca="1">IFERROR(__xludf.DUMMYFUNCTION("""COMPUTED_VALUE"""),"purchase")</f>
        <v>purchase</v>
      </c>
      <c r="D373" s="6">
        <f t="shared" ca="1" si="0"/>
        <v>45329</v>
      </c>
      <c r="E373" s="6">
        <f t="shared" ca="1" si="1"/>
        <v>45327</v>
      </c>
      <c r="F373" s="6">
        <f t="shared" ca="1" si="2"/>
        <v>45323</v>
      </c>
      <c r="G373" s="7"/>
    </row>
    <row r="374" spans="1:7" x14ac:dyDescent="0.2">
      <c r="A374" s="3">
        <f ca="1">IFERROR(__xludf.DUMMYFUNCTION("""COMPUTED_VALUE"""),3039)</f>
        <v>3039</v>
      </c>
      <c r="B374" s="6">
        <f ca="1">IFERROR(__xludf.DUMMYFUNCTION("""COMPUTED_VALUE"""),45329.3980671296)</f>
        <v>45329.398067129601</v>
      </c>
      <c r="C374" s="3" t="str">
        <f ca="1">IFERROR(__xludf.DUMMYFUNCTION("""COMPUTED_VALUE"""),"purchase")</f>
        <v>purchase</v>
      </c>
      <c r="D374" s="6">
        <f t="shared" ca="1" si="0"/>
        <v>45329</v>
      </c>
      <c r="E374" s="6">
        <f t="shared" ca="1" si="1"/>
        <v>45327</v>
      </c>
      <c r="F374" s="6">
        <f t="shared" ca="1" si="2"/>
        <v>45323</v>
      </c>
      <c r="G374" s="7"/>
    </row>
    <row r="375" spans="1:7" x14ac:dyDescent="0.2">
      <c r="A375" s="3">
        <f ca="1">IFERROR(__xludf.DUMMYFUNCTION("""COMPUTED_VALUE"""),4963)</f>
        <v>4963</v>
      </c>
      <c r="B375" s="6">
        <f ca="1">IFERROR(__xludf.DUMMYFUNCTION("""COMPUTED_VALUE"""),45329.4422337963)</f>
        <v>45329.442233796297</v>
      </c>
      <c r="C375" s="3" t="str">
        <f ca="1">IFERROR(__xludf.DUMMYFUNCTION("""COMPUTED_VALUE"""),"purchase")</f>
        <v>purchase</v>
      </c>
      <c r="D375" s="6">
        <f t="shared" ca="1" si="0"/>
        <v>45329</v>
      </c>
      <c r="E375" s="6">
        <f t="shared" ca="1" si="1"/>
        <v>45327</v>
      </c>
      <c r="F375" s="6">
        <f t="shared" ca="1" si="2"/>
        <v>45323</v>
      </c>
      <c r="G375" s="7"/>
    </row>
    <row r="376" spans="1:7" x14ac:dyDescent="0.2">
      <c r="A376" s="3">
        <f ca="1">IFERROR(__xludf.DUMMYFUNCTION("""COMPUTED_VALUE"""),7509)</f>
        <v>7509</v>
      </c>
      <c r="B376" s="6">
        <f ca="1">IFERROR(__xludf.DUMMYFUNCTION("""COMPUTED_VALUE"""),45329.5310879629)</f>
        <v>45329.531087962903</v>
      </c>
      <c r="C376" s="3" t="str">
        <f ca="1">IFERROR(__xludf.DUMMYFUNCTION("""COMPUTED_VALUE"""),"purchase")</f>
        <v>purchase</v>
      </c>
      <c r="D376" s="6">
        <f t="shared" ca="1" si="0"/>
        <v>45329</v>
      </c>
      <c r="E376" s="6">
        <f t="shared" ca="1" si="1"/>
        <v>45327</v>
      </c>
      <c r="F376" s="6">
        <f t="shared" ca="1" si="2"/>
        <v>45323</v>
      </c>
      <c r="G376" s="7"/>
    </row>
    <row r="377" spans="1:7" x14ac:dyDescent="0.2">
      <c r="A377" s="3">
        <f ca="1">IFERROR(__xludf.DUMMYFUNCTION("""COMPUTED_VALUE"""),2992)</f>
        <v>2992</v>
      </c>
      <c r="B377" s="6">
        <f ca="1">IFERROR(__xludf.DUMMYFUNCTION("""COMPUTED_VALUE"""),45329.6184953703)</f>
        <v>45329.618495370298</v>
      </c>
      <c r="C377" s="3" t="str">
        <f ca="1">IFERROR(__xludf.DUMMYFUNCTION("""COMPUTED_VALUE"""),"purchase")</f>
        <v>purchase</v>
      </c>
      <c r="D377" s="6">
        <f t="shared" ca="1" si="0"/>
        <v>45329</v>
      </c>
      <c r="E377" s="6">
        <f t="shared" ca="1" si="1"/>
        <v>45327</v>
      </c>
      <c r="F377" s="6">
        <f t="shared" ca="1" si="2"/>
        <v>45323</v>
      </c>
      <c r="G377" s="7"/>
    </row>
    <row r="378" spans="1:7" x14ac:dyDescent="0.2">
      <c r="A378" s="3">
        <f ca="1">IFERROR(__xludf.DUMMYFUNCTION("""COMPUTED_VALUE"""),5364)</f>
        <v>5364</v>
      </c>
      <c r="B378" s="6">
        <f ca="1">IFERROR(__xludf.DUMMYFUNCTION("""COMPUTED_VALUE"""),45329.6517939814)</f>
        <v>45329.6517939814</v>
      </c>
      <c r="C378" s="3" t="str">
        <f ca="1">IFERROR(__xludf.DUMMYFUNCTION("""COMPUTED_VALUE"""),"purchase")</f>
        <v>purchase</v>
      </c>
      <c r="D378" s="6">
        <f t="shared" ca="1" si="0"/>
        <v>45329</v>
      </c>
      <c r="E378" s="6">
        <f t="shared" ca="1" si="1"/>
        <v>45327</v>
      </c>
      <c r="F378" s="6">
        <f t="shared" ca="1" si="2"/>
        <v>45323</v>
      </c>
      <c r="G378" s="7"/>
    </row>
    <row r="379" spans="1:7" x14ac:dyDescent="0.2">
      <c r="A379" s="3">
        <f ca="1">IFERROR(__xludf.DUMMYFUNCTION("""COMPUTED_VALUE"""),5883)</f>
        <v>5883</v>
      </c>
      <c r="B379" s="6">
        <f ca="1">IFERROR(__xludf.DUMMYFUNCTION("""COMPUTED_VALUE"""),45329.6911805555)</f>
        <v>45329.691180555499</v>
      </c>
      <c r="C379" s="3" t="str">
        <f ca="1">IFERROR(__xludf.DUMMYFUNCTION("""COMPUTED_VALUE"""),"purchase")</f>
        <v>purchase</v>
      </c>
      <c r="D379" s="6">
        <f t="shared" ca="1" si="0"/>
        <v>45329</v>
      </c>
      <c r="E379" s="6">
        <f t="shared" ca="1" si="1"/>
        <v>45327</v>
      </c>
      <c r="F379" s="6">
        <f t="shared" ca="1" si="2"/>
        <v>45323</v>
      </c>
      <c r="G379" s="7"/>
    </row>
    <row r="380" spans="1:7" x14ac:dyDescent="0.2">
      <c r="A380" s="3">
        <f ca="1">IFERROR(__xludf.DUMMYFUNCTION("""COMPUTED_VALUE"""),6132)</f>
        <v>6132</v>
      </c>
      <c r="B380" s="6">
        <f ca="1">IFERROR(__xludf.DUMMYFUNCTION("""COMPUTED_VALUE"""),45329.7655787037)</f>
        <v>45329.7655787037</v>
      </c>
      <c r="C380" s="3" t="str">
        <f ca="1">IFERROR(__xludf.DUMMYFUNCTION("""COMPUTED_VALUE"""),"purchase")</f>
        <v>purchase</v>
      </c>
      <c r="D380" s="6">
        <f t="shared" ca="1" si="0"/>
        <v>45329</v>
      </c>
      <c r="E380" s="6">
        <f t="shared" ca="1" si="1"/>
        <v>45327</v>
      </c>
      <c r="F380" s="6">
        <f t="shared" ca="1" si="2"/>
        <v>45323</v>
      </c>
      <c r="G380" s="7"/>
    </row>
    <row r="381" spans="1:7" x14ac:dyDescent="0.2">
      <c r="A381" s="3">
        <f ca="1">IFERROR(__xludf.DUMMYFUNCTION("""COMPUTED_VALUE"""),1116)</f>
        <v>1116</v>
      </c>
      <c r="B381" s="6">
        <f ca="1">IFERROR(__xludf.DUMMYFUNCTION("""COMPUTED_VALUE"""),45329.8031828703)</f>
        <v>45329.803182870302</v>
      </c>
      <c r="C381" s="3" t="str">
        <f ca="1">IFERROR(__xludf.DUMMYFUNCTION("""COMPUTED_VALUE"""),"purchase")</f>
        <v>purchase</v>
      </c>
      <c r="D381" s="6">
        <f t="shared" ca="1" si="0"/>
        <v>45329</v>
      </c>
      <c r="E381" s="6">
        <f t="shared" ca="1" si="1"/>
        <v>45327</v>
      </c>
      <c r="F381" s="6">
        <f t="shared" ca="1" si="2"/>
        <v>45323</v>
      </c>
      <c r="G381" s="7"/>
    </row>
    <row r="382" spans="1:7" x14ac:dyDescent="0.2">
      <c r="A382" s="3">
        <f ca="1">IFERROR(__xludf.DUMMYFUNCTION("""COMPUTED_VALUE"""),3097)</f>
        <v>3097</v>
      </c>
      <c r="B382" s="6">
        <f ca="1">IFERROR(__xludf.DUMMYFUNCTION("""COMPUTED_VALUE"""),45329.8298263888)</f>
        <v>45329.829826388799</v>
      </c>
      <c r="C382" s="3" t="str">
        <f ca="1">IFERROR(__xludf.DUMMYFUNCTION("""COMPUTED_VALUE"""),"purchase")</f>
        <v>purchase</v>
      </c>
      <c r="D382" s="6">
        <f t="shared" ca="1" si="0"/>
        <v>45329</v>
      </c>
      <c r="E382" s="6">
        <f t="shared" ca="1" si="1"/>
        <v>45327</v>
      </c>
      <c r="F382" s="6">
        <f t="shared" ca="1" si="2"/>
        <v>45323</v>
      </c>
      <c r="G382" s="7"/>
    </row>
    <row r="383" spans="1:7" x14ac:dyDescent="0.2">
      <c r="A383" s="3">
        <f ca="1">IFERROR(__xludf.DUMMYFUNCTION("""COMPUTED_VALUE"""),4589)</f>
        <v>4589</v>
      </c>
      <c r="B383" s="6">
        <f ca="1">IFERROR(__xludf.DUMMYFUNCTION("""COMPUTED_VALUE"""),45329.8317129629)</f>
        <v>45329.831712962899</v>
      </c>
      <c r="C383" s="3" t="str">
        <f ca="1">IFERROR(__xludf.DUMMYFUNCTION("""COMPUTED_VALUE"""),"purchase")</f>
        <v>purchase</v>
      </c>
      <c r="D383" s="6">
        <f t="shared" ca="1" si="0"/>
        <v>45329</v>
      </c>
      <c r="E383" s="6">
        <f t="shared" ca="1" si="1"/>
        <v>45327</v>
      </c>
      <c r="F383" s="6">
        <f t="shared" ca="1" si="2"/>
        <v>45323</v>
      </c>
      <c r="G383" s="7"/>
    </row>
    <row r="384" spans="1:7" x14ac:dyDescent="0.2">
      <c r="A384" s="3">
        <f ca="1">IFERROR(__xludf.DUMMYFUNCTION("""COMPUTED_VALUE"""),3650)</f>
        <v>3650</v>
      </c>
      <c r="B384" s="6">
        <f ca="1">IFERROR(__xludf.DUMMYFUNCTION("""COMPUTED_VALUE"""),45329.8807175925)</f>
        <v>45329.880717592503</v>
      </c>
      <c r="C384" s="3" t="str">
        <f ca="1">IFERROR(__xludf.DUMMYFUNCTION("""COMPUTED_VALUE"""),"purchase")</f>
        <v>purchase</v>
      </c>
      <c r="D384" s="6">
        <f t="shared" ca="1" si="0"/>
        <v>45329</v>
      </c>
      <c r="E384" s="6">
        <f t="shared" ca="1" si="1"/>
        <v>45327</v>
      </c>
      <c r="F384" s="6">
        <f t="shared" ca="1" si="2"/>
        <v>45323</v>
      </c>
      <c r="G384" s="7"/>
    </row>
    <row r="385" spans="1:7" x14ac:dyDescent="0.2">
      <c r="A385" s="3">
        <f ca="1">IFERROR(__xludf.DUMMYFUNCTION("""COMPUTED_VALUE"""),6060)</f>
        <v>6060</v>
      </c>
      <c r="B385" s="6">
        <f ca="1">IFERROR(__xludf.DUMMYFUNCTION("""COMPUTED_VALUE"""),45329.8987962962)</f>
        <v>45329.898796296198</v>
      </c>
      <c r="C385" s="3" t="str">
        <f ca="1">IFERROR(__xludf.DUMMYFUNCTION("""COMPUTED_VALUE"""),"purchase")</f>
        <v>purchase</v>
      </c>
      <c r="D385" s="6">
        <f t="shared" ca="1" si="0"/>
        <v>45329</v>
      </c>
      <c r="E385" s="6">
        <f t="shared" ca="1" si="1"/>
        <v>45327</v>
      </c>
      <c r="F385" s="6">
        <f t="shared" ca="1" si="2"/>
        <v>45323</v>
      </c>
      <c r="G385" s="7"/>
    </row>
    <row r="386" spans="1:7" x14ac:dyDescent="0.2">
      <c r="A386" s="3">
        <f ca="1">IFERROR(__xludf.DUMMYFUNCTION("""COMPUTED_VALUE"""),1042)</f>
        <v>1042</v>
      </c>
      <c r="B386" s="6">
        <f ca="1">IFERROR(__xludf.DUMMYFUNCTION("""COMPUTED_VALUE"""),45329.9814583333)</f>
        <v>45329.981458333299</v>
      </c>
      <c r="C386" s="3" t="str">
        <f ca="1">IFERROR(__xludf.DUMMYFUNCTION("""COMPUTED_VALUE"""),"purchase")</f>
        <v>purchase</v>
      </c>
      <c r="D386" s="6">
        <f t="shared" ca="1" si="0"/>
        <v>45329</v>
      </c>
      <c r="E386" s="6">
        <f t="shared" ca="1" si="1"/>
        <v>45327</v>
      </c>
      <c r="F386" s="6">
        <f t="shared" ca="1" si="2"/>
        <v>45323</v>
      </c>
      <c r="G386" s="7"/>
    </row>
    <row r="387" spans="1:7" x14ac:dyDescent="0.2">
      <c r="A387" s="3">
        <f ca="1">IFERROR(__xludf.DUMMYFUNCTION("""COMPUTED_VALUE"""),7932)</f>
        <v>7932</v>
      </c>
      <c r="B387" s="6">
        <f ca="1">IFERROR(__xludf.DUMMYFUNCTION("""COMPUTED_VALUE"""),45330.0146643518)</f>
        <v>45330.014664351802</v>
      </c>
      <c r="C387" s="3" t="str">
        <f ca="1">IFERROR(__xludf.DUMMYFUNCTION("""COMPUTED_VALUE"""),"purchase")</f>
        <v>purchase</v>
      </c>
      <c r="D387" s="6">
        <f t="shared" ca="1" si="0"/>
        <v>45330</v>
      </c>
      <c r="E387" s="6">
        <f t="shared" ca="1" si="1"/>
        <v>45327</v>
      </c>
      <c r="F387" s="6">
        <f t="shared" ca="1" si="2"/>
        <v>45323</v>
      </c>
      <c r="G387" s="7"/>
    </row>
    <row r="388" spans="1:7" x14ac:dyDescent="0.2">
      <c r="A388" s="3">
        <f ca="1">IFERROR(__xludf.DUMMYFUNCTION("""COMPUTED_VALUE"""),5922)</f>
        <v>5922</v>
      </c>
      <c r="B388" s="6">
        <f ca="1">IFERROR(__xludf.DUMMYFUNCTION("""COMPUTED_VALUE"""),45330.0480208333)</f>
        <v>45330.048020833303</v>
      </c>
      <c r="C388" s="3" t="str">
        <f ca="1">IFERROR(__xludf.DUMMYFUNCTION("""COMPUTED_VALUE"""),"purchase")</f>
        <v>purchase</v>
      </c>
      <c r="D388" s="6">
        <f t="shared" ca="1" si="0"/>
        <v>45330</v>
      </c>
      <c r="E388" s="6">
        <f t="shared" ca="1" si="1"/>
        <v>45327</v>
      </c>
      <c r="F388" s="6">
        <f t="shared" ca="1" si="2"/>
        <v>45323</v>
      </c>
      <c r="G388" s="7"/>
    </row>
    <row r="389" spans="1:7" x14ac:dyDescent="0.2">
      <c r="A389" s="3">
        <f ca="1">IFERROR(__xludf.DUMMYFUNCTION("""COMPUTED_VALUE"""),7948)</f>
        <v>7948</v>
      </c>
      <c r="B389" s="6">
        <f ca="1">IFERROR(__xludf.DUMMYFUNCTION("""COMPUTED_VALUE"""),45330.1282407407)</f>
        <v>45330.128240740698</v>
      </c>
      <c r="C389" s="3" t="str">
        <f ca="1">IFERROR(__xludf.DUMMYFUNCTION("""COMPUTED_VALUE"""),"purchase")</f>
        <v>purchase</v>
      </c>
      <c r="D389" s="6">
        <f t="shared" ca="1" si="0"/>
        <v>45330</v>
      </c>
      <c r="E389" s="6">
        <f t="shared" ca="1" si="1"/>
        <v>45327</v>
      </c>
      <c r="F389" s="6">
        <f t="shared" ca="1" si="2"/>
        <v>45323</v>
      </c>
      <c r="G389" s="7"/>
    </row>
    <row r="390" spans="1:7" x14ac:dyDescent="0.2">
      <c r="A390" s="3">
        <f ca="1">IFERROR(__xludf.DUMMYFUNCTION("""COMPUTED_VALUE"""),1769)</f>
        <v>1769</v>
      </c>
      <c r="B390" s="6">
        <f ca="1">IFERROR(__xludf.DUMMYFUNCTION("""COMPUTED_VALUE"""),45330.3273842592)</f>
        <v>45330.327384259203</v>
      </c>
      <c r="C390" s="3" t="str">
        <f ca="1">IFERROR(__xludf.DUMMYFUNCTION("""COMPUTED_VALUE"""),"purchase")</f>
        <v>purchase</v>
      </c>
      <c r="D390" s="6">
        <f t="shared" ca="1" si="0"/>
        <v>45330</v>
      </c>
      <c r="E390" s="6">
        <f t="shared" ca="1" si="1"/>
        <v>45327</v>
      </c>
      <c r="F390" s="6">
        <f t="shared" ca="1" si="2"/>
        <v>45323</v>
      </c>
      <c r="G390" s="7"/>
    </row>
    <row r="391" spans="1:7" x14ac:dyDescent="0.2">
      <c r="A391" s="3">
        <f ca="1">IFERROR(__xludf.DUMMYFUNCTION("""COMPUTED_VALUE"""),2095)</f>
        <v>2095</v>
      </c>
      <c r="B391" s="6">
        <f ca="1">IFERROR(__xludf.DUMMYFUNCTION("""COMPUTED_VALUE"""),45330.3592476851)</f>
        <v>45330.359247685097</v>
      </c>
      <c r="C391" s="3" t="str">
        <f ca="1">IFERROR(__xludf.DUMMYFUNCTION("""COMPUTED_VALUE"""),"purchase")</f>
        <v>purchase</v>
      </c>
      <c r="D391" s="6">
        <f t="shared" ca="1" si="0"/>
        <v>45330</v>
      </c>
      <c r="E391" s="6">
        <f t="shared" ca="1" si="1"/>
        <v>45327</v>
      </c>
      <c r="F391" s="6">
        <f t="shared" ca="1" si="2"/>
        <v>45323</v>
      </c>
      <c r="G391" s="7"/>
    </row>
    <row r="392" spans="1:7" x14ac:dyDescent="0.2">
      <c r="A392" s="3">
        <f ca="1">IFERROR(__xludf.DUMMYFUNCTION("""COMPUTED_VALUE"""),697)</f>
        <v>697</v>
      </c>
      <c r="B392" s="6">
        <f ca="1">IFERROR(__xludf.DUMMYFUNCTION("""COMPUTED_VALUE"""),45330.4632986111)</f>
        <v>45330.463298611103</v>
      </c>
      <c r="C392" s="3" t="str">
        <f ca="1">IFERROR(__xludf.DUMMYFUNCTION("""COMPUTED_VALUE"""),"purchase")</f>
        <v>purchase</v>
      </c>
      <c r="D392" s="6">
        <f t="shared" ca="1" si="0"/>
        <v>45330</v>
      </c>
      <c r="E392" s="6">
        <f t="shared" ca="1" si="1"/>
        <v>45327</v>
      </c>
      <c r="F392" s="6">
        <f t="shared" ca="1" si="2"/>
        <v>45323</v>
      </c>
      <c r="G392" s="7"/>
    </row>
    <row r="393" spans="1:7" x14ac:dyDescent="0.2">
      <c r="A393" s="3">
        <f ca="1">IFERROR(__xludf.DUMMYFUNCTION("""COMPUTED_VALUE"""),4702)</f>
        <v>4702</v>
      </c>
      <c r="B393" s="6">
        <f ca="1">IFERROR(__xludf.DUMMYFUNCTION("""COMPUTED_VALUE"""),45330.9465046296)</f>
        <v>45330.946504629603</v>
      </c>
      <c r="C393" s="3" t="str">
        <f ca="1">IFERROR(__xludf.DUMMYFUNCTION("""COMPUTED_VALUE"""),"purchase")</f>
        <v>purchase</v>
      </c>
      <c r="D393" s="6">
        <f t="shared" ca="1" si="0"/>
        <v>45330</v>
      </c>
      <c r="E393" s="6">
        <f t="shared" ca="1" si="1"/>
        <v>45327</v>
      </c>
      <c r="F393" s="6">
        <f t="shared" ca="1" si="2"/>
        <v>45323</v>
      </c>
      <c r="G393" s="7"/>
    </row>
    <row r="394" spans="1:7" x14ac:dyDescent="0.2">
      <c r="A394" s="3">
        <f ca="1">IFERROR(__xludf.DUMMYFUNCTION("""COMPUTED_VALUE"""),101)</f>
        <v>101</v>
      </c>
      <c r="B394" s="6">
        <f ca="1">IFERROR(__xludf.DUMMYFUNCTION("""COMPUTED_VALUE"""),45331.0857291666)</f>
        <v>45331.085729166603</v>
      </c>
      <c r="C394" s="3" t="str">
        <f ca="1">IFERROR(__xludf.DUMMYFUNCTION("""COMPUTED_VALUE"""),"purchase")</f>
        <v>purchase</v>
      </c>
      <c r="D394" s="6">
        <f t="shared" ca="1" si="0"/>
        <v>45331</v>
      </c>
      <c r="E394" s="6">
        <f t="shared" ca="1" si="1"/>
        <v>45327</v>
      </c>
      <c r="F394" s="6">
        <f t="shared" ca="1" si="2"/>
        <v>45323</v>
      </c>
      <c r="G394" s="7"/>
    </row>
    <row r="395" spans="1:7" x14ac:dyDescent="0.2">
      <c r="A395" s="3">
        <f ca="1">IFERROR(__xludf.DUMMYFUNCTION("""COMPUTED_VALUE"""),7788)</f>
        <v>7788</v>
      </c>
      <c r="B395" s="6">
        <f ca="1">IFERROR(__xludf.DUMMYFUNCTION("""COMPUTED_VALUE"""),45331.2351041666)</f>
        <v>45331.235104166597</v>
      </c>
      <c r="C395" s="3" t="str">
        <f ca="1">IFERROR(__xludf.DUMMYFUNCTION("""COMPUTED_VALUE"""),"purchase")</f>
        <v>purchase</v>
      </c>
      <c r="D395" s="6">
        <f t="shared" ca="1" si="0"/>
        <v>45331</v>
      </c>
      <c r="E395" s="6">
        <f t="shared" ca="1" si="1"/>
        <v>45327</v>
      </c>
      <c r="F395" s="6">
        <f t="shared" ca="1" si="2"/>
        <v>45323</v>
      </c>
      <c r="G395" s="7"/>
    </row>
    <row r="396" spans="1:7" x14ac:dyDescent="0.2">
      <c r="A396" s="3">
        <f ca="1">IFERROR(__xludf.DUMMYFUNCTION("""COMPUTED_VALUE"""),2859)</f>
        <v>2859</v>
      </c>
      <c r="B396" s="6">
        <f ca="1">IFERROR(__xludf.DUMMYFUNCTION("""COMPUTED_VALUE"""),45331.3763773148)</f>
        <v>45331.376377314802</v>
      </c>
      <c r="C396" s="3" t="str">
        <f ca="1">IFERROR(__xludf.DUMMYFUNCTION("""COMPUTED_VALUE"""),"purchase")</f>
        <v>purchase</v>
      </c>
      <c r="D396" s="6">
        <f t="shared" ca="1" si="0"/>
        <v>45331</v>
      </c>
      <c r="E396" s="6">
        <f t="shared" ca="1" si="1"/>
        <v>45327</v>
      </c>
      <c r="F396" s="6">
        <f t="shared" ca="1" si="2"/>
        <v>45323</v>
      </c>
      <c r="G396" s="7"/>
    </row>
    <row r="397" spans="1:7" x14ac:dyDescent="0.2">
      <c r="A397" s="3">
        <f ca="1">IFERROR(__xludf.DUMMYFUNCTION("""COMPUTED_VALUE"""),5169)</f>
        <v>5169</v>
      </c>
      <c r="B397" s="6">
        <f ca="1">IFERROR(__xludf.DUMMYFUNCTION("""COMPUTED_VALUE"""),45331.6270717591)</f>
        <v>45331.627071759198</v>
      </c>
      <c r="C397" s="3" t="str">
        <f ca="1">IFERROR(__xludf.DUMMYFUNCTION("""COMPUTED_VALUE"""),"purchase")</f>
        <v>purchase</v>
      </c>
      <c r="D397" s="6">
        <f t="shared" ca="1" si="0"/>
        <v>45331</v>
      </c>
      <c r="E397" s="6">
        <f t="shared" ca="1" si="1"/>
        <v>45327</v>
      </c>
      <c r="F397" s="6">
        <f t="shared" ca="1" si="2"/>
        <v>45323</v>
      </c>
      <c r="G397" s="7"/>
    </row>
    <row r="398" spans="1:7" x14ac:dyDescent="0.2">
      <c r="A398" s="3">
        <f ca="1">IFERROR(__xludf.DUMMYFUNCTION("""COMPUTED_VALUE"""),3414)</f>
        <v>3414</v>
      </c>
      <c r="B398" s="6">
        <f ca="1">IFERROR(__xludf.DUMMYFUNCTION("""COMPUTED_VALUE"""),45331.6820486111)</f>
        <v>45331.682048611103</v>
      </c>
      <c r="C398" s="3" t="str">
        <f ca="1">IFERROR(__xludf.DUMMYFUNCTION("""COMPUTED_VALUE"""),"purchase")</f>
        <v>purchase</v>
      </c>
      <c r="D398" s="6">
        <f t="shared" ca="1" si="0"/>
        <v>45331</v>
      </c>
      <c r="E398" s="6">
        <f t="shared" ca="1" si="1"/>
        <v>45327</v>
      </c>
      <c r="F398" s="6">
        <f t="shared" ca="1" si="2"/>
        <v>45323</v>
      </c>
      <c r="G398" s="7"/>
    </row>
    <row r="399" spans="1:7" x14ac:dyDescent="0.2">
      <c r="A399" s="3">
        <f ca="1">IFERROR(__xludf.DUMMYFUNCTION("""COMPUTED_VALUE"""),5707)</f>
        <v>5707</v>
      </c>
      <c r="B399" s="6">
        <f ca="1">IFERROR(__xludf.DUMMYFUNCTION("""COMPUTED_VALUE"""),45331.6909606481)</f>
        <v>45331.690960648099</v>
      </c>
      <c r="C399" s="3" t="str">
        <f ca="1">IFERROR(__xludf.DUMMYFUNCTION("""COMPUTED_VALUE"""),"purchase")</f>
        <v>purchase</v>
      </c>
      <c r="D399" s="6">
        <f t="shared" ca="1" si="0"/>
        <v>45331</v>
      </c>
      <c r="E399" s="6">
        <f t="shared" ca="1" si="1"/>
        <v>45327</v>
      </c>
      <c r="F399" s="6">
        <f t="shared" ca="1" si="2"/>
        <v>45323</v>
      </c>
      <c r="G399" s="7"/>
    </row>
    <row r="400" spans="1:7" x14ac:dyDescent="0.2">
      <c r="A400" s="3">
        <f ca="1">IFERROR(__xludf.DUMMYFUNCTION("""COMPUTED_VALUE"""),133)</f>
        <v>133</v>
      </c>
      <c r="B400" s="6">
        <f ca="1">IFERROR(__xludf.DUMMYFUNCTION("""COMPUTED_VALUE"""),45331.7976851851)</f>
        <v>45331.797685185098</v>
      </c>
      <c r="C400" s="3" t="str">
        <f ca="1">IFERROR(__xludf.DUMMYFUNCTION("""COMPUTED_VALUE"""),"purchase")</f>
        <v>purchase</v>
      </c>
      <c r="D400" s="6">
        <f t="shared" ca="1" si="0"/>
        <v>45331</v>
      </c>
      <c r="E400" s="6">
        <f t="shared" ca="1" si="1"/>
        <v>45327</v>
      </c>
      <c r="F400" s="6">
        <f t="shared" ca="1" si="2"/>
        <v>45323</v>
      </c>
      <c r="G400" s="7"/>
    </row>
    <row r="401" spans="1:7" x14ac:dyDescent="0.2">
      <c r="A401" s="3">
        <f ca="1">IFERROR(__xludf.DUMMYFUNCTION("""COMPUTED_VALUE"""),319)</f>
        <v>319</v>
      </c>
      <c r="B401" s="6">
        <f ca="1">IFERROR(__xludf.DUMMYFUNCTION("""COMPUTED_VALUE"""),45331.8013773148)</f>
        <v>45331.801377314798</v>
      </c>
      <c r="C401" s="3" t="str">
        <f ca="1">IFERROR(__xludf.DUMMYFUNCTION("""COMPUTED_VALUE"""),"purchase")</f>
        <v>purchase</v>
      </c>
      <c r="D401" s="6">
        <f t="shared" ca="1" si="0"/>
        <v>45331</v>
      </c>
      <c r="E401" s="6">
        <f t="shared" ca="1" si="1"/>
        <v>45327</v>
      </c>
      <c r="F401" s="6">
        <f t="shared" ca="1" si="2"/>
        <v>45323</v>
      </c>
      <c r="G401" s="7"/>
    </row>
    <row r="402" spans="1:7" x14ac:dyDescent="0.2">
      <c r="A402" s="3">
        <f ca="1">IFERROR(__xludf.DUMMYFUNCTION("""COMPUTED_VALUE"""),2158)</f>
        <v>2158</v>
      </c>
      <c r="B402" s="6">
        <f ca="1">IFERROR(__xludf.DUMMYFUNCTION("""COMPUTED_VALUE"""),45331.8971643518)</f>
        <v>45331.897164351802</v>
      </c>
      <c r="C402" s="3" t="str">
        <f ca="1">IFERROR(__xludf.DUMMYFUNCTION("""COMPUTED_VALUE"""),"purchase")</f>
        <v>purchase</v>
      </c>
      <c r="D402" s="6">
        <f t="shared" ca="1" si="0"/>
        <v>45331</v>
      </c>
      <c r="E402" s="6">
        <f t="shared" ca="1" si="1"/>
        <v>45327</v>
      </c>
      <c r="F402" s="6">
        <f t="shared" ca="1" si="2"/>
        <v>45323</v>
      </c>
      <c r="G402" s="7"/>
    </row>
    <row r="403" spans="1:7" x14ac:dyDescent="0.2">
      <c r="A403" s="3">
        <f ca="1">IFERROR(__xludf.DUMMYFUNCTION("""COMPUTED_VALUE"""),3275)</f>
        <v>3275</v>
      </c>
      <c r="B403" s="6">
        <f ca="1">IFERROR(__xludf.DUMMYFUNCTION("""COMPUTED_VALUE"""),45332.2022106481)</f>
        <v>45332.202210648102</v>
      </c>
      <c r="C403" s="3" t="str">
        <f ca="1">IFERROR(__xludf.DUMMYFUNCTION("""COMPUTED_VALUE"""),"purchase")</f>
        <v>purchase</v>
      </c>
      <c r="D403" s="6">
        <f t="shared" ca="1" si="0"/>
        <v>45332</v>
      </c>
      <c r="E403" s="6">
        <f t="shared" ca="1" si="1"/>
        <v>45327</v>
      </c>
      <c r="F403" s="6">
        <f t="shared" ca="1" si="2"/>
        <v>45323</v>
      </c>
      <c r="G403" s="7"/>
    </row>
    <row r="404" spans="1:7" x14ac:dyDescent="0.2">
      <c r="A404" s="3">
        <f ca="1">IFERROR(__xludf.DUMMYFUNCTION("""COMPUTED_VALUE"""),6373)</f>
        <v>6373</v>
      </c>
      <c r="B404" s="6">
        <f ca="1">IFERROR(__xludf.DUMMYFUNCTION("""COMPUTED_VALUE"""),45332.2802314814)</f>
        <v>45332.280231481403</v>
      </c>
      <c r="C404" s="3" t="str">
        <f ca="1">IFERROR(__xludf.DUMMYFUNCTION("""COMPUTED_VALUE"""),"purchase")</f>
        <v>purchase</v>
      </c>
      <c r="D404" s="6">
        <f t="shared" ca="1" si="0"/>
        <v>45332</v>
      </c>
      <c r="E404" s="6">
        <f t="shared" ca="1" si="1"/>
        <v>45327</v>
      </c>
      <c r="F404" s="6">
        <f t="shared" ca="1" si="2"/>
        <v>45323</v>
      </c>
      <c r="G404" s="7"/>
    </row>
    <row r="405" spans="1:7" x14ac:dyDescent="0.2">
      <c r="A405" s="3">
        <f ca="1">IFERROR(__xludf.DUMMYFUNCTION("""COMPUTED_VALUE"""),2089)</f>
        <v>2089</v>
      </c>
      <c r="B405" s="6">
        <f ca="1">IFERROR(__xludf.DUMMYFUNCTION("""COMPUTED_VALUE"""),45332.3248958333)</f>
        <v>45332.324895833299</v>
      </c>
      <c r="C405" s="3" t="str">
        <f ca="1">IFERROR(__xludf.DUMMYFUNCTION("""COMPUTED_VALUE"""),"purchase")</f>
        <v>purchase</v>
      </c>
      <c r="D405" s="6">
        <f t="shared" ca="1" si="0"/>
        <v>45332</v>
      </c>
      <c r="E405" s="6">
        <f t="shared" ca="1" si="1"/>
        <v>45327</v>
      </c>
      <c r="F405" s="6">
        <f t="shared" ca="1" si="2"/>
        <v>45323</v>
      </c>
      <c r="G405" s="7"/>
    </row>
    <row r="406" spans="1:7" x14ac:dyDescent="0.2">
      <c r="A406" s="3">
        <f ca="1">IFERROR(__xludf.DUMMYFUNCTION("""COMPUTED_VALUE"""),2224)</f>
        <v>2224</v>
      </c>
      <c r="B406" s="6">
        <f ca="1">IFERROR(__xludf.DUMMYFUNCTION("""COMPUTED_VALUE"""),45332.3255092592)</f>
        <v>45332.325509259201</v>
      </c>
      <c r="C406" s="3" t="str">
        <f ca="1">IFERROR(__xludf.DUMMYFUNCTION("""COMPUTED_VALUE"""),"purchase")</f>
        <v>purchase</v>
      </c>
      <c r="D406" s="6">
        <f t="shared" ca="1" si="0"/>
        <v>45332</v>
      </c>
      <c r="E406" s="6">
        <f t="shared" ca="1" si="1"/>
        <v>45327</v>
      </c>
      <c r="F406" s="6">
        <f t="shared" ca="1" si="2"/>
        <v>45323</v>
      </c>
      <c r="G406" s="7"/>
    </row>
    <row r="407" spans="1:7" x14ac:dyDescent="0.2">
      <c r="A407" s="3">
        <f ca="1">IFERROR(__xludf.DUMMYFUNCTION("""COMPUTED_VALUE"""),6267)</f>
        <v>6267</v>
      </c>
      <c r="B407" s="6">
        <f ca="1">IFERROR(__xludf.DUMMYFUNCTION("""COMPUTED_VALUE"""),45332.5218402777)</f>
        <v>45332.521840277703</v>
      </c>
      <c r="C407" s="3" t="str">
        <f ca="1">IFERROR(__xludf.DUMMYFUNCTION("""COMPUTED_VALUE"""),"purchase")</f>
        <v>purchase</v>
      </c>
      <c r="D407" s="6">
        <f t="shared" ca="1" si="0"/>
        <v>45332</v>
      </c>
      <c r="E407" s="6">
        <f t="shared" ca="1" si="1"/>
        <v>45327</v>
      </c>
      <c r="F407" s="6">
        <f t="shared" ca="1" si="2"/>
        <v>45323</v>
      </c>
      <c r="G407" s="7"/>
    </row>
    <row r="408" spans="1:7" x14ac:dyDescent="0.2">
      <c r="A408" s="3">
        <f ca="1">IFERROR(__xludf.DUMMYFUNCTION("""COMPUTED_VALUE"""),1329)</f>
        <v>1329</v>
      </c>
      <c r="B408" s="6">
        <f ca="1">IFERROR(__xludf.DUMMYFUNCTION("""COMPUTED_VALUE"""),45332.5928356481)</f>
        <v>45332.592835648102</v>
      </c>
      <c r="C408" s="3" t="str">
        <f ca="1">IFERROR(__xludf.DUMMYFUNCTION("""COMPUTED_VALUE"""),"purchase")</f>
        <v>purchase</v>
      </c>
      <c r="D408" s="6">
        <f t="shared" ca="1" si="0"/>
        <v>45332</v>
      </c>
      <c r="E408" s="6">
        <f t="shared" ca="1" si="1"/>
        <v>45327</v>
      </c>
      <c r="F408" s="6">
        <f t="shared" ca="1" si="2"/>
        <v>45323</v>
      </c>
      <c r="G408" s="7"/>
    </row>
    <row r="409" spans="1:7" x14ac:dyDescent="0.2">
      <c r="A409" s="3">
        <f ca="1">IFERROR(__xludf.DUMMYFUNCTION("""COMPUTED_VALUE"""),1422)</f>
        <v>1422</v>
      </c>
      <c r="B409" s="6">
        <f ca="1">IFERROR(__xludf.DUMMYFUNCTION("""COMPUTED_VALUE"""),45332.6281597222)</f>
        <v>45332.628159722197</v>
      </c>
      <c r="C409" s="3" t="str">
        <f ca="1">IFERROR(__xludf.DUMMYFUNCTION("""COMPUTED_VALUE"""),"purchase")</f>
        <v>purchase</v>
      </c>
      <c r="D409" s="6">
        <f t="shared" ca="1" si="0"/>
        <v>45332</v>
      </c>
      <c r="E409" s="6">
        <f t="shared" ca="1" si="1"/>
        <v>45327</v>
      </c>
      <c r="F409" s="6">
        <f t="shared" ca="1" si="2"/>
        <v>45323</v>
      </c>
      <c r="G409" s="7"/>
    </row>
    <row r="410" spans="1:7" x14ac:dyDescent="0.2">
      <c r="A410" s="3">
        <f ca="1">IFERROR(__xludf.DUMMYFUNCTION("""COMPUTED_VALUE"""),5494)</f>
        <v>5494</v>
      </c>
      <c r="B410" s="6">
        <f ca="1">IFERROR(__xludf.DUMMYFUNCTION("""COMPUTED_VALUE"""),45332.6342129629)</f>
        <v>45332.634212962897</v>
      </c>
      <c r="C410" s="3" t="str">
        <f ca="1">IFERROR(__xludf.DUMMYFUNCTION("""COMPUTED_VALUE"""),"purchase")</f>
        <v>purchase</v>
      </c>
      <c r="D410" s="6">
        <f t="shared" ca="1" si="0"/>
        <v>45332</v>
      </c>
      <c r="E410" s="6">
        <f t="shared" ca="1" si="1"/>
        <v>45327</v>
      </c>
      <c r="F410" s="6">
        <f t="shared" ca="1" si="2"/>
        <v>45323</v>
      </c>
      <c r="G410" s="7"/>
    </row>
    <row r="411" spans="1:7" x14ac:dyDescent="0.2">
      <c r="A411" s="3">
        <f ca="1">IFERROR(__xludf.DUMMYFUNCTION("""COMPUTED_VALUE"""),2752)</f>
        <v>2752</v>
      </c>
      <c r="B411" s="6">
        <f ca="1">IFERROR(__xludf.DUMMYFUNCTION("""COMPUTED_VALUE"""),45332.6578125)</f>
        <v>45332.657812500001</v>
      </c>
      <c r="C411" s="3" t="str">
        <f ca="1">IFERROR(__xludf.DUMMYFUNCTION("""COMPUTED_VALUE"""),"purchase")</f>
        <v>purchase</v>
      </c>
      <c r="D411" s="6">
        <f t="shared" ca="1" si="0"/>
        <v>45332</v>
      </c>
      <c r="E411" s="6">
        <f t="shared" ca="1" si="1"/>
        <v>45327</v>
      </c>
      <c r="F411" s="6">
        <f t="shared" ca="1" si="2"/>
        <v>45323</v>
      </c>
      <c r="G411" s="7"/>
    </row>
    <row r="412" spans="1:7" x14ac:dyDescent="0.2">
      <c r="A412" s="3">
        <f ca="1">IFERROR(__xludf.DUMMYFUNCTION("""COMPUTED_VALUE"""),1451)</f>
        <v>1451</v>
      </c>
      <c r="B412" s="6">
        <f ca="1">IFERROR(__xludf.DUMMYFUNCTION("""COMPUTED_VALUE"""),45332.6844560184)</f>
        <v>45332.684456018498</v>
      </c>
      <c r="C412" s="3" t="str">
        <f ca="1">IFERROR(__xludf.DUMMYFUNCTION("""COMPUTED_VALUE"""),"purchase")</f>
        <v>purchase</v>
      </c>
      <c r="D412" s="6">
        <f t="shared" ca="1" si="0"/>
        <v>45332</v>
      </c>
      <c r="E412" s="6">
        <f t="shared" ca="1" si="1"/>
        <v>45327</v>
      </c>
      <c r="F412" s="6">
        <f t="shared" ca="1" si="2"/>
        <v>45323</v>
      </c>
      <c r="G412" s="7"/>
    </row>
    <row r="413" spans="1:7" x14ac:dyDescent="0.2">
      <c r="A413" s="3">
        <f ca="1">IFERROR(__xludf.DUMMYFUNCTION("""COMPUTED_VALUE"""),5547)</f>
        <v>5547</v>
      </c>
      <c r="B413" s="6">
        <f ca="1">IFERROR(__xludf.DUMMYFUNCTION("""COMPUTED_VALUE"""),45332.6897800925)</f>
        <v>45332.6897800925</v>
      </c>
      <c r="C413" s="3" t="str">
        <f ca="1">IFERROR(__xludf.DUMMYFUNCTION("""COMPUTED_VALUE"""),"purchase")</f>
        <v>purchase</v>
      </c>
      <c r="D413" s="6">
        <f t="shared" ca="1" si="0"/>
        <v>45332</v>
      </c>
      <c r="E413" s="6">
        <f t="shared" ca="1" si="1"/>
        <v>45327</v>
      </c>
      <c r="F413" s="6">
        <f t="shared" ca="1" si="2"/>
        <v>45323</v>
      </c>
      <c r="G413" s="7"/>
    </row>
    <row r="414" spans="1:7" x14ac:dyDescent="0.2">
      <c r="A414" s="3">
        <f ca="1">IFERROR(__xludf.DUMMYFUNCTION("""COMPUTED_VALUE"""),2032)</f>
        <v>2032</v>
      </c>
      <c r="B414" s="6">
        <f ca="1">IFERROR(__xludf.DUMMYFUNCTION("""COMPUTED_VALUE"""),45332.6909953703)</f>
        <v>45332.6909953703</v>
      </c>
      <c r="C414" s="3" t="str">
        <f ca="1">IFERROR(__xludf.DUMMYFUNCTION("""COMPUTED_VALUE"""),"purchase")</f>
        <v>purchase</v>
      </c>
      <c r="D414" s="6">
        <f t="shared" ca="1" si="0"/>
        <v>45332</v>
      </c>
      <c r="E414" s="6">
        <f t="shared" ca="1" si="1"/>
        <v>45327</v>
      </c>
      <c r="F414" s="6">
        <f t="shared" ca="1" si="2"/>
        <v>45323</v>
      </c>
      <c r="G414" s="7"/>
    </row>
    <row r="415" spans="1:7" x14ac:dyDescent="0.2">
      <c r="A415" s="3">
        <f ca="1">IFERROR(__xludf.DUMMYFUNCTION("""COMPUTED_VALUE"""),7019)</f>
        <v>7019</v>
      </c>
      <c r="B415" s="6">
        <f ca="1">IFERROR(__xludf.DUMMYFUNCTION("""COMPUTED_VALUE"""),45332.8396180555)</f>
        <v>45332.839618055499</v>
      </c>
      <c r="C415" s="3" t="str">
        <f ca="1">IFERROR(__xludf.DUMMYFUNCTION("""COMPUTED_VALUE"""),"purchase")</f>
        <v>purchase</v>
      </c>
      <c r="D415" s="6">
        <f t="shared" ca="1" si="0"/>
        <v>45332</v>
      </c>
      <c r="E415" s="6">
        <f t="shared" ca="1" si="1"/>
        <v>45327</v>
      </c>
      <c r="F415" s="6">
        <f t="shared" ca="1" si="2"/>
        <v>45323</v>
      </c>
      <c r="G415" s="7"/>
    </row>
    <row r="416" spans="1:7" x14ac:dyDescent="0.2">
      <c r="A416" s="3">
        <f ca="1">IFERROR(__xludf.DUMMYFUNCTION("""COMPUTED_VALUE"""),2945)</f>
        <v>2945</v>
      </c>
      <c r="B416" s="6">
        <f ca="1">IFERROR(__xludf.DUMMYFUNCTION("""COMPUTED_VALUE"""),45332.8579976851)</f>
        <v>45332.857997685103</v>
      </c>
      <c r="C416" s="3" t="str">
        <f ca="1">IFERROR(__xludf.DUMMYFUNCTION("""COMPUTED_VALUE"""),"purchase")</f>
        <v>purchase</v>
      </c>
      <c r="D416" s="6">
        <f t="shared" ca="1" si="0"/>
        <v>45332</v>
      </c>
      <c r="E416" s="6">
        <f t="shared" ca="1" si="1"/>
        <v>45327</v>
      </c>
      <c r="F416" s="6">
        <f t="shared" ca="1" si="2"/>
        <v>45323</v>
      </c>
      <c r="G416" s="7"/>
    </row>
    <row r="417" spans="1:7" x14ac:dyDescent="0.2">
      <c r="A417" s="3">
        <f ca="1">IFERROR(__xludf.DUMMYFUNCTION("""COMPUTED_VALUE"""),1889)</f>
        <v>1889</v>
      </c>
      <c r="B417" s="6">
        <f ca="1">IFERROR(__xludf.DUMMYFUNCTION("""COMPUTED_VALUE"""),45332.9359143518)</f>
        <v>45332.935914351801</v>
      </c>
      <c r="C417" s="3" t="str">
        <f ca="1">IFERROR(__xludf.DUMMYFUNCTION("""COMPUTED_VALUE"""),"purchase")</f>
        <v>purchase</v>
      </c>
      <c r="D417" s="6">
        <f t="shared" ca="1" si="0"/>
        <v>45332</v>
      </c>
      <c r="E417" s="6">
        <f t="shared" ca="1" si="1"/>
        <v>45327</v>
      </c>
      <c r="F417" s="6">
        <f t="shared" ca="1" si="2"/>
        <v>45323</v>
      </c>
      <c r="G417" s="7"/>
    </row>
    <row r="418" spans="1:7" x14ac:dyDescent="0.2">
      <c r="A418" s="3">
        <f ca="1">IFERROR(__xludf.DUMMYFUNCTION("""COMPUTED_VALUE"""),3817)</f>
        <v>3817</v>
      </c>
      <c r="B418" s="6">
        <f ca="1">IFERROR(__xludf.DUMMYFUNCTION("""COMPUTED_VALUE"""),45332.9927083333)</f>
        <v>45332.992708333302</v>
      </c>
      <c r="C418" s="3" t="str">
        <f ca="1">IFERROR(__xludf.DUMMYFUNCTION("""COMPUTED_VALUE"""),"purchase")</f>
        <v>purchase</v>
      </c>
      <c r="D418" s="6">
        <f t="shared" ca="1" si="0"/>
        <v>45332</v>
      </c>
      <c r="E418" s="6">
        <f t="shared" ca="1" si="1"/>
        <v>45327</v>
      </c>
      <c r="F418" s="6">
        <f t="shared" ca="1" si="2"/>
        <v>45323</v>
      </c>
      <c r="G418" s="7"/>
    </row>
    <row r="419" spans="1:7" x14ac:dyDescent="0.2">
      <c r="A419" s="3">
        <f ca="1">IFERROR(__xludf.DUMMYFUNCTION("""COMPUTED_VALUE"""),4425)</f>
        <v>4425</v>
      </c>
      <c r="B419" s="6">
        <f ca="1">IFERROR(__xludf.DUMMYFUNCTION("""COMPUTED_VALUE"""),45333.1976967592)</f>
        <v>45333.197696759198</v>
      </c>
      <c r="C419" s="3" t="str">
        <f ca="1">IFERROR(__xludf.DUMMYFUNCTION("""COMPUTED_VALUE"""),"purchase")</f>
        <v>purchase</v>
      </c>
      <c r="D419" s="6">
        <f t="shared" ca="1" si="0"/>
        <v>45333</v>
      </c>
      <c r="E419" s="6">
        <f t="shared" ca="1" si="1"/>
        <v>45327</v>
      </c>
      <c r="F419" s="6">
        <f t="shared" ca="1" si="2"/>
        <v>45323</v>
      </c>
      <c r="G419" s="7"/>
    </row>
    <row r="420" spans="1:7" x14ac:dyDescent="0.2">
      <c r="A420" s="3">
        <f ca="1">IFERROR(__xludf.DUMMYFUNCTION("""COMPUTED_VALUE"""),2288)</f>
        <v>2288</v>
      </c>
      <c r="B420" s="6">
        <f ca="1">IFERROR(__xludf.DUMMYFUNCTION("""COMPUTED_VALUE"""),45333.2388541666)</f>
        <v>45333.238854166601</v>
      </c>
      <c r="C420" s="3" t="str">
        <f ca="1">IFERROR(__xludf.DUMMYFUNCTION("""COMPUTED_VALUE"""),"purchase")</f>
        <v>purchase</v>
      </c>
      <c r="D420" s="6">
        <f t="shared" ca="1" si="0"/>
        <v>45333</v>
      </c>
      <c r="E420" s="6">
        <f t="shared" ca="1" si="1"/>
        <v>45327</v>
      </c>
      <c r="F420" s="6">
        <f t="shared" ca="1" si="2"/>
        <v>45323</v>
      </c>
      <c r="G420" s="7"/>
    </row>
    <row r="421" spans="1:7" x14ac:dyDescent="0.2">
      <c r="A421" s="3">
        <f ca="1">IFERROR(__xludf.DUMMYFUNCTION("""COMPUTED_VALUE"""),3902)</f>
        <v>3902</v>
      </c>
      <c r="B421" s="6">
        <f ca="1">IFERROR(__xludf.DUMMYFUNCTION("""COMPUTED_VALUE"""),45333.3982523148)</f>
        <v>45333.398252314801</v>
      </c>
      <c r="C421" s="3" t="str">
        <f ca="1">IFERROR(__xludf.DUMMYFUNCTION("""COMPUTED_VALUE"""),"purchase")</f>
        <v>purchase</v>
      </c>
      <c r="D421" s="6">
        <f t="shared" ca="1" si="0"/>
        <v>45333</v>
      </c>
      <c r="E421" s="6">
        <f t="shared" ca="1" si="1"/>
        <v>45327</v>
      </c>
      <c r="F421" s="6">
        <f t="shared" ca="1" si="2"/>
        <v>45323</v>
      </c>
      <c r="G421" s="7"/>
    </row>
    <row r="422" spans="1:7" x14ac:dyDescent="0.2">
      <c r="A422" s="3">
        <f ca="1">IFERROR(__xludf.DUMMYFUNCTION("""COMPUTED_VALUE"""),3833)</f>
        <v>3833</v>
      </c>
      <c r="B422" s="6">
        <f ca="1">IFERROR(__xludf.DUMMYFUNCTION("""COMPUTED_VALUE"""),45333.4825)</f>
        <v>45333.482499999998</v>
      </c>
      <c r="C422" s="3" t="str">
        <f ca="1">IFERROR(__xludf.DUMMYFUNCTION("""COMPUTED_VALUE"""),"purchase")</f>
        <v>purchase</v>
      </c>
      <c r="D422" s="6">
        <f t="shared" ca="1" si="0"/>
        <v>45333</v>
      </c>
      <c r="E422" s="6">
        <f t="shared" ca="1" si="1"/>
        <v>45327</v>
      </c>
      <c r="F422" s="6">
        <f t="shared" ca="1" si="2"/>
        <v>45323</v>
      </c>
      <c r="G422" s="7"/>
    </row>
    <row r="423" spans="1:7" x14ac:dyDescent="0.2">
      <c r="A423" s="3">
        <f ca="1">IFERROR(__xludf.DUMMYFUNCTION("""COMPUTED_VALUE"""),4953)</f>
        <v>4953</v>
      </c>
      <c r="B423" s="6">
        <f ca="1">IFERROR(__xludf.DUMMYFUNCTION("""COMPUTED_VALUE"""),45333.5)</f>
        <v>45333.5</v>
      </c>
      <c r="C423" s="3" t="str">
        <f ca="1">IFERROR(__xludf.DUMMYFUNCTION("""COMPUTED_VALUE"""),"purchase")</f>
        <v>purchase</v>
      </c>
      <c r="D423" s="6">
        <f t="shared" ca="1" si="0"/>
        <v>45333</v>
      </c>
      <c r="E423" s="6">
        <f t="shared" ca="1" si="1"/>
        <v>45327</v>
      </c>
      <c r="F423" s="6">
        <f t="shared" ca="1" si="2"/>
        <v>45323</v>
      </c>
      <c r="G423" s="7"/>
    </row>
    <row r="424" spans="1:7" x14ac:dyDescent="0.2">
      <c r="A424" s="3">
        <f ca="1">IFERROR(__xludf.DUMMYFUNCTION("""COMPUTED_VALUE"""),7245)</f>
        <v>7245</v>
      </c>
      <c r="B424" s="6">
        <f ca="1">IFERROR(__xludf.DUMMYFUNCTION("""COMPUTED_VALUE"""),45333.5357638888)</f>
        <v>45333.535763888802</v>
      </c>
      <c r="C424" s="3" t="str">
        <f ca="1">IFERROR(__xludf.DUMMYFUNCTION("""COMPUTED_VALUE"""),"purchase")</f>
        <v>purchase</v>
      </c>
      <c r="D424" s="6">
        <f t="shared" ca="1" si="0"/>
        <v>45333</v>
      </c>
      <c r="E424" s="6">
        <f t="shared" ca="1" si="1"/>
        <v>45327</v>
      </c>
      <c r="F424" s="6">
        <f t="shared" ca="1" si="2"/>
        <v>45323</v>
      </c>
      <c r="G424" s="7"/>
    </row>
    <row r="425" spans="1:7" x14ac:dyDescent="0.2">
      <c r="A425" s="3">
        <f ca="1">IFERROR(__xludf.DUMMYFUNCTION("""COMPUTED_VALUE"""),5712)</f>
        <v>5712</v>
      </c>
      <c r="B425" s="6">
        <f ca="1">IFERROR(__xludf.DUMMYFUNCTION("""COMPUTED_VALUE"""),45333.9234606481)</f>
        <v>45333.923460648097</v>
      </c>
      <c r="C425" s="3" t="str">
        <f ca="1">IFERROR(__xludf.DUMMYFUNCTION("""COMPUTED_VALUE"""),"purchase")</f>
        <v>purchase</v>
      </c>
      <c r="D425" s="6">
        <f t="shared" ca="1" si="0"/>
        <v>45333</v>
      </c>
      <c r="E425" s="6">
        <f t="shared" ca="1" si="1"/>
        <v>45327</v>
      </c>
      <c r="F425" s="6">
        <f t="shared" ca="1" si="2"/>
        <v>45323</v>
      </c>
      <c r="G425" s="7"/>
    </row>
    <row r="426" spans="1:7" x14ac:dyDescent="0.2">
      <c r="A426" s="3">
        <f ca="1">IFERROR(__xludf.DUMMYFUNCTION("""COMPUTED_VALUE"""),4787)</f>
        <v>4787</v>
      </c>
      <c r="B426" s="6">
        <f ca="1">IFERROR(__xludf.DUMMYFUNCTION("""COMPUTED_VALUE"""),45334.012199074)</f>
        <v>45334.012199074001</v>
      </c>
      <c r="C426" s="3" t="str">
        <f ca="1">IFERROR(__xludf.DUMMYFUNCTION("""COMPUTED_VALUE"""),"purchase")</f>
        <v>purchase</v>
      </c>
      <c r="D426" s="6">
        <f t="shared" ca="1" si="0"/>
        <v>45334</v>
      </c>
      <c r="E426" s="6">
        <f t="shared" ca="1" si="1"/>
        <v>45334</v>
      </c>
      <c r="F426" s="6">
        <f t="shared" ca="1" si="2"/>
        <v>45323</v>
      </c>
      <c r="G426" s="7"/>
    </row>
    <row r="427" spans="1:7" x14ac:dyDescent="0.2">
      <c r="A427" s="3">
        <f ca="1">IFERROR(__xludf.DUMMYFUNCTION("""COMPUTED_VALUE"""),3182)</f>
        <v>3182</v>
      </c>
      <c r="B427" s="6">
        <f ca="1">IFERROR(__xludf.DUMMYFUNCTION("""COMPUTED_VALUE"""),45334.1277777777)</f>
        <v>45334.1277777777</v>
      </c>
      <c r="C427" s="3" t="str">
        <f ca="1">IFERROR(__xludf.DUMMYFUNCTION("""COMPUTED_VALUE"""),"purchase")</f>
        <v>purchase</v>
      </c>
      <c r="D427" s="6">
        <f t="shared" ca="1" si="0"/>
        <v>45334</v>
      </c>
      <c r="E427" s="6">
        <f t="shared" ca="1" si="1"/>
        <v>45334</v>
      </c>
      <c r="F427" s="6">
        <f t="shared" ca="1" si="2"/>
        <v>45323</v>
      </c>
      <c r="G427" s="7"/>
    </row>
    <row r="428" spans="1:7" x14ac:dyDescent="0.2">
      <c r="A428" s="3">
        <f ca="1">IFERROR(__xludf.DUMMYFUNCTION("""COMPUTED_VALUE"""),85)</f>
        <v>85</v>
      </c>
      <c r="B428" s="6">
        <f ca="1">IFERROR(__xludf.DUMMYFUNCTION("""COMPUTED_VALUE"""),45334.2353009259)</f>
        <v>45334.235300925902</v>
      </c>
      <c r="C428" s="3" t="str">
        <f ca="1">IFERROR(__xludf.DUMMYFUNCTION("""COMPUTED_VALUE"""),"purchase")</f>
        <v>purchase</v>
      </c>
      <c r="D428" s="6">
        <f t="shared" ca="1" si="0"/>
        <v>45334</v>
      </c>
      <c r="E428" s="6">
        <f t="shared" ca="1" si="1"/>
        <v>45334</v>
      </c>
      <c r="F428" s="6">
        <f t="shared" ca="1" si="2"/>
        <v>45323</v>
      </c>
      <c r="G428" s="7"/>
    </row>
    <row r="429" spans="1:7" x14ac:dyDescent="0.2">
      <c r="A429" s="3">
        <f ca="1">IFERROR(__xludf.DUMMYFUNCTION("""COMPUTED_VALUE"""),2185)</f>
        <v>2185</v>
      </c>
      <c r="B429" s="6">
        <f ca="1">IFERROR(__xludf.DUMMYFUNCTION("""COMPUTED_VALUE"""),45334.3124074074)</f>
        <v>45334.3124074074</v>
      </c>
      <c r="C429" s="3" t="str">
        <f ca="1">IFERROR(__xludf.DUMMYFUNCTION("""COMPUTED_VALUE"""),"purchase")</f>
        <v>purchase</v>
      </c>
      <c r="D429" s="6">
        <f t="shared" ca="1" si="0"/>
        <v>45334</v>
      </c>
      <c r="E429" s="6">
        <f t="shared" ca="1" si="1"/>
        <v>45334</v>
      </c>
      <c r="F429" s="6">
        <f t="shared" ca="1" si="2"/>
        <v>45323</v>
      </c>
      <c r="G429" s="7"/>
    </row>
    <row r="430" spans="1:7" x14ac:dyDescent="0.2">
      <c r="A430" s="3">
        <f ca="1">IFERROR(__xludf.DUMMYFUNCTION("""COMPUTED_VALUE"""),7699)</f>
        <v>7699</v>
      </c>
      <c r="B430" s="6">
        <f ca="1">IFERROR(__xludf.DUMMYFUNCTION("""COMPUTED_VALUE"""),45334.3466319444)</f>
        <v>45334.346631944398</v>
      </c>
      <c r="C430" s="3" t="str">
        <f ca="1">IFERROR(__xludf.DUMMYFUNCTION("""COMPUTED_VALUE"""),"purchase")</f>
        <v>purchase</v>
      </c>
      <c r="D430" s="6">
        <f t="shared" ca="1" si="0"/>
        <v>45334</v>
      </c>
      <c r="E430" s="6">
        <f t="shared" ca="1" si="1"/>
        <v>45334</v>
      </c>
      <c r="F430" s="6">
        <f t="shared" ca="1" si="2"/>
        <v>45323</v>
      </c>
      <c r="G430" s="7"/>
    </row>
    <row r="431" spans="1:7" x14ac:dyDescent="0.2">
      <c r="A431" s="3">
        <f ca="1">IFERROR(__xludf.DUMMYFUNCTION("""COMPUTED_VALUE"""),173)</f>
        <v>173</v>
      </c>
      <c r="B431" s="6">
        <f ca="1">IFERROR(__xludf.DUMMYFUNCTION("""COMPUTED_VALUE"""),45334.3832986111)</f>
        <v>45334.383298611101</v>
      </c>
      <c r="C431" s="3" t="str">
        <f ca="1">IFERROR(__xludf.DUMMYFUNCTION("""COMPUTED_VALUE"""),"purchase")</f>
        <v>purchase</v>
      </c>
      <c r="D431" s="6">
        <f t="shared" ca="1" si="0"/>
        <v>45334</v>
      </c>
      <c r="E431" s="6">
        <f t="shared" ca="1" si="1"/>
        <v>45334</v>
      </c>
      <c r="F431" s="6">
        <f t="shared" ca="1" si="2"/>
        <v>45323</v>
      </c>
      <c r="G431" s="7"/>
    </row>
    <row r="432" spans="1:7" x14ac:dyDescent="0.2">
      <c r="A432" s="3">
        <f ca="1">IFERROR(__xludf.DUMMYFUNCTION("""COMPUTED_VALUE"""),3296)</f>
        <v>3296</v>
      </c>
      <c r="B432" s="6">
        <f ca="1">IFERROR(__xludf.DUMMYFUNCTION("""COMPUTED_VALUE"""),45334.5439467592)</f>
        <v>45334.5439467592</v>
      </c>
      <c r="C432" s="3" t="str">
        <f ca="1">IFERROR(__xludf.DUMMYFUNCTION("""COMPUTED_VALUE"""),"purchase")</f>
        <v>purchase</v>
      </c>
      <c r="D432" s="6">
        <f t="shared" ca="1" si="0"/>
        <v>45334</v>
      </c>
      <c r="E432" s="6">
        <f t="shared" ca="1" si="1"/>
        <v>45334</v>
      </c>
      <c r="F432" s="6">
        <f t="shared" ca="1" si="2"/>
        <v>45323</v>
      </c>
      <c r="G432" s="7"/>
    </row>
    <row r="433" spans="1:7" x14ac:dyDescent="0.2">
      <c r="A433" s="3">
        <f ca="1">IFERROR(__xludf.DUMMYFUNCTION("""COMPUTED_VALUE"""),7206)</f>
        <v>7206</v>
      </c>
      <c r="B433" s="6">
        <f ca="1">IFERROR(__xludf.DUMMYFUNCTION("""COMPUTED_VALUE"""),45334.6937847222)</f>
        <v>45334.6937847222</v>
      </c>
      <c r="C433" s="3" t="str">
        <f ca="1">IFERROR(__xludf.DUMMYFUNCTION("""COMPUTED_VALUE"""),"purchase")</f>
        <v>purchase</v>
      </c>
      <c r="D433" s="6">
        <f t="shared" ca="1" si="0"/>
        <v>45334</v>
      </c>
      <c r="E433" s="6">
        <f t="shared" ca="1" si="1"/>
        <v>45334</v>
      </c>
      <c r="F433" s="6">
        <f t="shared" ca="1" si="2"/>
        <v>45323</v>
      </c>
      <c r="G433" s="7"/>
    </row>
    <row r="434" spans="1:7" x14ac:dyDescent="0.2">
      <c r="A434" s="3">
        <f ca="1">IFERROR(__xludf.DUMMYFUNCTION("""COMPUTED_VALUE"""),88)</f>
        <v>88</v>
      </c>
      <c r="B434" s="6">
        <f ca="1">IFERROR(__xludf.DUMMYFUNCTION("""COMPUTED_VALUE"""),45334.7054282407)</f>
        <v>45334.705428240697</v>
      </c>
      <c r="C434" s="3" t="str">
        <f ca="1">IFERROR(__xludf.DUMMYFUNCTION("""COMPUTED_VALUE"""),"purchase")</f>
        <v>purchase</v>
      </c>
      <c r="D434" s="6">
        <f t="shared" ca="1" si="0"/>
        <v>45334</v>
      </c>
      <c r="E434" s="6">
        <f t="shared" ca="1" si="1"/>
        <v>45334</v>
      </c>
      <c r="F434" s="6">
        <f t="shared" ca="1" si="2"/>
        <v>45323</v>
      </c>
      <c r="G434" s="7"/>
    </row>
    <row r="435" spans="1:7" x14ac:dyDescent="0.2">
      <c r="A435" s="3">
        <f ca="1">IFERROR(__xludf.DUMMYFUNCTION("""COMPUTED_VALUE"""),5575)</f>
        <v>5575</v>
      </c>
      <c r="B435" s="6">
        <f ca="1">IFERROR(__xludf.DUMMYFUNCTION("""COMPUTED_VALUE"""),45334.9079976851)</f>
        <v>45334.907997685099</v>
      </c>
      <c r="C435" s="3" t="str">
        <f ca="1">IFERROR(__xludf.DUMMYFUNCTION("""COMPUTED_VALUE"""),"purchase")</f>
        <v>purchase</v>
      </c>
      <c r="D435" s="6">
        <f t="shared" ca="1" si="0"/>
        <v>45334</v>
      </c>
      <c r="E435" s="6">
        <f t="shared" ca="1" si="1"/>
        <v>45334</v>
      </c>
      <c r="F435" s="6">
        <f t="shared" ca="1" si="2"/>
        <v>45323</v>
      </c>
      <c r="G435" s="7"/>
    </row>
    <row r="436" spans="1:7" x14ac:dyDescent="0.2">
      <c r="A436" s="3">
        <f ca="1">IFERROR(__xludf.DUMMYFUNCTION("""COMPUTED_VALUE"""),3222)</f>
        <v>3222</v>
      </c>
      <c r="B436" s="6">
        <f ca="1">IFERROR(__xludf.DUMMYFUNCTION("""COMPUTED_VALUE"""),45335.073912037)</f>
        <v>45335.073912036998</v>
      </c>
      <c r="C436" s="3" t="str">
        <f ca="1">IFERROR(__xludf.DUMMYFUNCTION("""COMPUTED_VALUE"""),"purchase")</f>
        <v>purchase</v>
      </c>
      <c r="D436" s="6">
        <f t="shared" ca="1" si="0"/>
        <v>45335</v>
      </c>
      <c r="E436" s="6">
        <f t="shared" ca="1" si="1"/>
        <v>45334</v>
      </c>
      <c r="F436" s="6">
        <f t="shared" ca="1" si="2"/>
        <v>45323</v>
      </c>
      <c r="G436" s="7"/>
    </row>
    <row r="437" spans="1:7" x14ac:dyDescent="0.2">
      <c r="A437" s="3">
        <f ca="1">IFERROR(__xludf.DUMMYFUNCTION("""COMPUTED_VALUE"""),6129)</f>
        <v>6129</v>
      </c>
      <c r="B437" s="6">
        <f ca="1">IFERROR(__xludf.DUMMYFUNCTION("""COMPUTED_VALUE"""),45335.1784259259)</f>
        <v>45335.1784259259</v>
      </c>
      <c r="C437" s="3" t="str">
        <f ca="1">IFERROR(__xludf.DUMMYFUNCTION("""COMPUTED_VALUE"""),"purchase")</f>
        <v>purchase</v>
      </c>
      <c r="D437" s="6">
        <f t="shared" ca="1" si="0"/>
        <v>45335</v>
      </c>
      <c r="E437" s="6">
        <f t="shared" ca="1" si="1"/>
        <v>45334</v>
      </c>
      <c r="F437" s="6">
        <f t="shared" ca="1" si="2"/>
        <v>45323</v>
      </c>
      <c r="G437" s="7"/>
    </row>
    <row r="438" spans="1:7" x14ac:dyDescent="0.2">
      <c r="A438" s="3">
        <f ca="1">IFERROR(__xludf.DUMMYFUNCTION("""COMPUTED_VALUE"""),6927)</f>
        <v>6927</v>
      </c>
      <c r="B438" s="6">
        <f ca="1">IFERROR(__xludf.DUMMYFUNCTION("""COMPUTED_VALUE"""),45335.2461458333)</f>
        <v>45335.246145833298</v>
      </c>
      <c r="C438" s="3" t="str">
        <f ca="1">IFERROR(__xludf.DUMMYFUNCTION("""COMPUTED_VALUE"""),"purchase")</f>
        <v>purchase</v>
      </c>
      <c r="D438" s="6">
        <f t="shared" ca="1" si="0"/>
        <v>45335</v>
      </c>
      <c r="E438" s="6">
        <f t="shared" ca="1" si="1"/>
        <v>45334</v>
      </c>
      <c r="F438" s="6">
        <f t="shared" ca="1" si="2"/>
        <v>45323</v>
      </c>
      <c r="G438" s="7"/>
    </row>
    <row r="439" spans="1:7" x14ac:dyDescent="0.2">
      <c r="A439" s="3">
        <f ca="1">IFERROR(__xludf.DUMMYFUNCTION("""COMPUTED_VALUE"""),6855)</f>
        <v>6855</v>
      </c>
      <c r="B439" s="6">
        <f ca="1">IFERROR(__xludf.DUMMYFUNCTION("""COMPUTED_VALUE"""),45335.2563541666)</f>
        <v>45335.256354166602</v>
      </c>
      <c r="C439" s="3" t="str">
        <f ca="1">IFERROR(__xludf.DUMMYFUNCTION("""COMPUTED_VALUE"""),"purchase")</f>
        <v>purchase</v>
      </c>
      <c r="D439" s="6">
        <f t="shared" ca="1" si="0"/>
        <v>45335</v>
      </c>
      <c r="E439" s="6">
        <f t="shared" ca="1" si="1"/>
        <v>45334</v>
      </c>
      <c r="F439" s="6">
        <f t="shared" ca="1" si="2"/>
        <v>45323</v>
      </c>
      <c r="G439" s="7"/>
    </row>
    <row r="440" spans="1:7" x14ac:dyDescent="0.2">
      <c r="A440" s="3">
        <f ca="1">IFERROR(__xludf.DUMMYFUNCTION("""COMPUTED_VALUE"""),5841)</f>
        <v>5841</v>
      </c>
      <c r="B440" s="6">
        <f ca="1">IFERROR(__xludf.DUMMYFUNCTION("""COMPUTED_VALUE"""),45335.3572569444)</f>
        <v>45335.3572569444</v>
      </c>
      <c r="C440" s="3" t="str">
        <f ca="1">IFERROR(__xludf.DUMMYFUNCTION("""COMPUTED_VALUE"""),"purchase")</f>
        <v>purchase</v>
      </c>
      <c r="D440" s="6">
        <f t="shared" ca="1" si="0"/>
        <v>45335</v>
      </c>
      <c r="E440" s="6">
        <f t="shared" ca="1" si="1"/>
        <v>45334</v>
      </c>
      <c r="F440" s="6">
        <f t="shared" ca="1" si="2"/>
        <v>45323</v>
      </c>
      <c r="G440" s="7"/>
    </row>
    <row r="441" spans="1:7" x14ac:dyDescent="0.2">
      <c r="A441" s="3">
        <f ca="1">IFERROR(__xludf.DUMMYFUNCTION("""COMPUTED_VALUE"""),1211)</f>
        <v>1211</v>
      </c>
      <c r="B441" s="6">
        <f ca="1">IFERROR(__xludf.DUMMYFUNCTION("""COMPUTED_VALUE"""),45335.4371064814)</f>
        <v>45335.437106481397</v>
      </c>
      <c r="C441" s="3" t="str">
        <f ca="1">IFERROR(__xludf.DUMMYFUNCTION("""COMPUTED_VALUE"""),"purchase")</f>
        <v>purchase</v>
      </c>
      <c r="D441" s="6">
        <f t="shared" ca="1" si="0"/>
        <v>45335</v>
      </c>
      <c r="E441" s="6">
        <f t="shared" ca="1" si="1"/>
        <v>45334</v>
      </c>
      <c r="F441" s="6">
        <f t="shared" ca="1" si="2"/>
        <v>45323</v>
      </c>
      <c r="G441" s="7"/>
    </row>
    <row r="442" spans="1:7" x14ac:dyDescent="0.2">
      <c r="A442" s="3">
        <f ca="1">IFERROR(__xludf.DUMMYFUNCTION("""COMPUTED_VALUE"""),5329)</f>
        <v>5329</v>
      </c>
      <c r="B442" s="6">
        <f ca="1">IFERROR(__xludf.DUMMYFUNCTION("""COMPUTED_VALUE"""),45335.4714236111)</f>
        <v>45335.471423611103</v>
      </c>
      <c r="C442" s="3" t="str">
        <f ca="1">IFERROR(__xludf.DUMMYFUNCTION("""COMPUTED_VALUE"""),"purchase")</f>
        <v>purchase</v>
      </c>
      <c r="D442" s="6">
        <f t="shared" ca="1" si="0"/>
        <v>45335</v>
      </c>
      <c r="E442" s="6">
        <f t="shared" ca="1" si="1"/>
        <v>45334</v>
      </c>
      <c r="F442" s="6">
        <f t="shared" ca="1" si="2"/>
        <v>45323</v>
      </c>
      <c r="G442" s="7"/>
    </row>
    <row r="443" spans="1:7" x14ac:dyDescent="0.2">
      <c r="A443" s="3">
        <f ca="1">IFERROR(__xludf.DUMMYFUNCTION("""COMPUTED_VALUE"""),4817)</f>
        <v>4817</v>
      </c>
      <c r="B443" s="6">
        <f ca="1">IFERROR(__xludf.DUMMYFUNCTION("""COMPUTED_VALUE"""),45335.5834722222)</f>
        <v>45335.583472222199</v>
      </c>
      <c r="C443" s="3" t="str">
        <f ca="1">IFERROR(__xludf.DUMMYFUNCTION("""COMPUTED_VALUE"""),"purchase")</f>
        <v>purchase</v>
      </c>
      <c r="D443" s="6">
        <f t="shared" ca="1" si="0"/>
        <v>45335</v>
      </c>
      <c r="E443" s="6">
        <f t="shared" ca="1" si="1"/>
        <v>45334</v>
      </c>
      <c r="F443" s="6">
        <f t="shared" ca="1" si="2"/>
        <v>45323</v>
      </c>
      <c r="G443" s="7"/>
    </row>
    <row r="444" spans="1:7" x14ac:dyDescent="0.2">
      <c r="A444" s="3">
        <f ca="1">IFERROR(__xludf.DUMMYFUNCTION("""COMPUTED_VALUE"""),7050)</f>
        <v>7050</v>
      </c>
      <c r="B444" s="6">
        <f ca="1">IFERROR(__xludf.DUMMYFUNCTION("""COMPUTED_VALUE"""),45335.6727314814)</f>
        <v>45335.672731481398</v>
      </c>
      <c r="C444" s="3" t="str">
        <f ca="1">IFERROR(__xludf.DUMMYFUNCTION("""COMPUTED_VALUE"""),"purchase")</f>
        <v>purchase</v>
      </c>
      <c r="D444" s="6">
        <f t="shared" ca="1" si="0"/>
        <v>45335</v>
      </c>
      <c r="E444" s="6">
        <f t="shared" ca="1" si="1"/>
        <v>45334</v>
      </c>
      <c r="F444" s="6">
        <f t="shared" ca="1" si="2"/>
        <v>45323</v>
      </c>
      <c r="G444" s="7"/>
    </row>
    <row r="445" spans="1:7" x14ac:dyDescent="0.2">
      <c r="A445" s="3">
        <f ca="1">IFERROR(__xludf.DUMMYFUNCTION("""COMPUTED_VALUE"""),5096)</f>
        <v>5096</v>
      </c>
      <c r="B445" s="6">
        <f ca="1">IFERROR(__xludf.DUMMYFUNCTION("""COMPUTED_VALUE"""),45335.6996412037)</f>
        <v>45335.699641203697</v>
      </c>
      <c r="C445" s="3" t="str">
        <f ca="1">IFERROR(__xludf.DUMMYFUNCTION("""COMPUTED_VALUE"""),"purchase")</f>
        <v>purchase</v>
      </c>
      <c r="D445" s="6">
        <f t="shared" ca="1" si="0"/>
        <v>45335</v>
      </c>
      <c r="E445" s="6">
        <f t="shared" ca="1" si="1"/>
        <v>45334</v>
      </c>
      <c r="F445" s="6">
        <f t="shared" ca="1" si="2"/>
        <v>45323</v>
      </c>
      <c r="G445" s="7"/>
    </row>
    <row r="446" spans="1:7" x14ac:dyDescent="0.2">
      <c r="A446" s="3">
        <f ca="1">IFERROR(__xludf.DUMMYFUNCTION("""COMPUTED_VALUE"""),5665)</f>
        <v>5665</v>
      </c>
      <c r="B446" s="6">
        <f ca="1">IFERROR(__xludf.DUMMYFUNCTION("""COMPUTED_VALUE"""),45335.7506481481)</f>
        <v>45335.750648148103</v>
      </c>
      <c r="C446" s="3" t="str">
        <f ca="1">IFERROR(__xludf.DUMMYFUNCTION("""COMPUTED_VALUE"""),"purchase")</f>
        <v>purchase</v>
      </c>
      <c r="D446" s="6">
        <f t="shared" ca="1" si="0"/>
        <v>45335</v>
      </c>
      <c r="E446" s="6">
        <f t="shared" ca="1" si="1"/>
        <v>45334</v>
      </c>
      <c r="F446" s="6">
        <f t="shared" ca="1" si="2"/>
        <v>45323</v>
      </c>
      <c r="G446" s="7"/>
    </row>
    <row r="447" spans="1:7" x14ac:dyDescent="0.2">
      <c r="A447" s="3">
        <f ca="1">IFERROR(__xludf.DUMMYFUNCTION("""COMPUTED_VALUE"""),7815)</f>
        <v>7815</v>
      </c>
      <c r="B447" s="6">
        <f ca="1">IFERROR(__xludf.DUMMYFUNCTION("""COMPUTED_VALUE"""),45335.8173611111)</f>
        <v>45335.817361111098</v>
      </c>
      <c r="C447" s="3" t="str">
        <f ca="1">IFERROR(__xludf.DUMMYFUNCTION("""COMPUTED_VALUE"""),"purchase")</f>
        <v>purchase</v>
      </c>
      <c r="D447" s="6">
        <f t="shared" ca="1" si="0"/>
        <v>45335</v>
      </c>
      <c r="E447" s="6">
        <f t="shared" ca="1" si="1"/>
        <v>45334</v>
      </c>
      <c r="F447" s="6">
        <f t="shared" ca="1" si="2"/>
        <v>45323</v>
      </c>
      <c r="G447" s="7"/>
    </row>
    <row r="448" spans="1:7" x14ac:dyDescent="0.2">
      <c r="A448" s="3">
        <f ca="1">IFERROR(__xludf.DUMMYFUNCTION("""COMPUTED_VALUE"""),1262)</f>
        <v>1262</v>
      </c>
      <c r="B448" s="6">
        <f ca="1">IFERROR(__xludf.DUMMYFUNCTION("""COMPUTED_VALUE"""),45335.907974537)</f>
        <v>45335.907974537004</v>
      </c>
      <c r="C448" s="3" t="str">
        <f ca="1">IFERROR(__xludf.DUMMYFUNCTION("""COMPUTED_VALUE"""),"purchase")</f>
        <v>purchase</v>
      </c>
      <c r="D448" s="6">
        <f t="shared" ca="1" si="0"/>
        <v>45335</v>
      </c>
      <c r="E448" s="6">
        <f t="shared" ca="1" si="1"/>
        <v>45334</v>
      </c>
      <c r="F448" s="6">
        <f t="shared" ca="1" si="2"/>
        <v>45323</v>
      </c>
      <c r="G448" s="7"/>
    </row>
    <row r="449" spans="1:7" x14ac:dyDescent="0.2">
      <c r="A449" s="3">
        <f ca="1">IFERROR(__xludf.DUMMYFUNCTION("""COMPUTED_VALUE"""),1618)</f>
        <v>1618</v>
      </c>
      <c r="B449" s="6">
        <f ca="1">IFERROR(__xludf.DUMMYFUNCTION("""COMPUTED_VALUE"""),45335.9544444444)</f>
        <v>45335.954444444404</v>
      </c>
      <c r="C449" s="3" t="str">
        <f ca="1">IFERROR(__xludf.DUMMYFUNCTION("""COMPUTED_VALUE"""),"purchase")</f>
        <v>purchase</v>
      </c>
      <c r="D449" s="6">
        <f t="shared" ca="1" si="0"/>
        <v>45335</v>
      </c>
      <c r="E449" s="6">
        <f t="shared" ca="1" si="1"/>
        <v>45334</v>
      </c>
      <c r="F449" s="6">
        <f t="shared" ca="1" si="2"/>
        <v>45323</v>
      </c>
      <c r="G449" s="7"/>
    </row>
    <row r="450" spans="1:7" x14ac:dyDescent="0.2">
      <c r="A450" s="3">
        <f ca="1">IFERROR(__xludf.DUMMYFUNCTION("""COMPUTED_VALUE"""),4551)</f>
        <v>4551</v>
      </c>
      <c r="B450" s="6">
        <f ca="1">IFERROR(__xludf.DUMMYFUNCTION("""COMPUTED_VALUE"""),45336.0048958333)</f>
        <v>45336.004895833299</v>
      </c>
      <c r="C450" s="3" t="str">
        <f ca="1">IFERROR(__xludf.DUMMYFUNCTION("""COMPUTED_VALUE"""),"purchase")</f>
        <v>purchase</v>
      </c>
      <c r="D450" s="6">
        <f t="shared" ca="1" si="0"/>
        <v>45336</v>
      </c>
      <c r="E450" s="6">
        <f t="shared" ca="1" si="1"/>
        <v>45334</v>
      </c>
      <c r="F450" s="6">
        <f t="shared" ca="1" si="2"/>
        <v>45323</v>
      </c>
      <c r="G450" s="7"/>
    </row>
    <row r="451" spans="1:7" x14ac:dyDescent="0.2">
      <c r="A451" s="3">
        <f ca="1">IFERROR(__xludf.DUMMYFUNCTION("""COMPUTED_VALUE"""),1732)</f>
        <v>1732</v>
      </c>
      <c r="B451" s="6">
        <f ca="1">IFERROR(__xludf.DUMMYFUNCTION("""COMPUTED_VALUE"""),45336.040787037)</f>
        <v>45336.040787037004</v>
      </c>
      <c r="C451" s="3" t="str">
        <f ca="1">IFERROR(__xludf.DUMMYFUNCTION("""COMPUTED_VALUE"""),"purchase")</f>
        <v>purchase</v>
      </c>
      <c r="D451" s="6">
        <f t="shared" ca="1" si="0"/>
        <v>45336</v>
      </c>
      <c r="E451" s="6">
        <f t="shared" ca="1" si="1"/>
        <v>45334</v>
      </c>
      <c r="F451" s="6">
        <f t="shared" ca="1" si="2"/>
        <v>45323</v>
      </c>
      <c r="G451" s="7"/>
    </row>
    <row r="452" spans="1:7" x14ac:dyDescent="0.2">
      <c r="A452" s="3">
        <f ca="1">IFERROR(__xludf.DUMMYFUNCTION("""COMPUTED_VALUE"""),2689)</f>
        <v>2689</v>
      </c>
      <c r="B452" s="6">
        <f ca="1">IFERROR(__xludf.DUMMYFUNCTION("""COMPUTED_VALUE"""),45336.1449884259)</f>
        <v>45336.144988425898</v>
      </c>
      <c r="C452" s="3" t="str">
        <f ca="1">IFERROR(__xludf.DUMMYFUNCTION("""COMPUTED_VALUE"""),"purchase")</f>
        <v>purchase</v>
      </c>
      <c r="D452" s="6">
        <f t="shared" ca="1" si="0"/>
        <v>45336</v>
      </c>
      <c r="E452" s="6">
        <f t="shared" ca="1" si="1"/>
        <v>45334</v>
      </c>
      <c r="F452" s="6">
        <f t="shared" ca="1" si="2"/>
        <v>45323</v>
      </c>
      <c r="G452" s="7"/>
    </row>
    <row r="453" spans="1:7" x14ac:dyDescent="0.2">
      <c r="A453" s="3">
        <f ca="1">IFERROR(__xludf.DUMMYFUNCTION("""COMPUTED_VALUE"""),7597)</f>
        <v>7597</v>
      </c>
      <c r="B453" s="6">
        <f ca="1">IFERROR(__xludf.DUMMYFUNCTION("""COMPUTED_VALUE"""),45336.2002893518)</f>
        <v>45336.2002893518</v>
      </c>
      <c r="C453" s="3" t="str">
        <f ca="1">IFERROR(__xludf.DUMMYFUNCTION("""COMPUTED_VALUE"""),"purchase")</f>
        <v>purchase</v>
      </c>
      <c r="D453" s="6">
        <f t="shared" ca="1" si="0"/>
        <v>45336</v>
      </c>
      <c r="E453" s="6">
        <f t="shared" ca="1" si="1"/>
        <v>45334</v>
      </c>
      <c r="F453" s="6">
        <f t="shared" ca="1" si="2"/>
        <v>45323</v>
      </c>
      <c r="G453" s="7"/>
    </row>
    <row r="454" spans="1:7" x14ac:dyDescent="0.2">
      <c r="A454" s="3">
        <f ca="1">IFERROR(__xludf.DUMMYFUNCTION("""COMPUTED_VALUE"""),4295)</f>
        <v>4295</v>
      </c>
      <c r="B454" s="6">
        <f ca="1">IFERROR(__xludf.DUMMYFUNCTION("""COMPUTED_VALUE"""),45336.3491666666)</f>
        <v>45336.349166666601</v>
      </c>
      <c r="C454" s="3" t="str">
        <f ca="1">IFERROR(__xludf.DUMMYFUNCTION("""COMPUTED_VALUE"""),"purchase")</f>
        <v>purchase</v>
      </c>
      <c r="D454" s="6">
        <f t="shared" ca="1" si="0"/>
        <v>45336</v>
      </c>
      <c r="E454" s="6">
        <f t="shared" ca="1" si="1"/>
        <v>45334</v>
      </c>
      <c r="F454" s="6">
        <f t="shared" ca="1" si="2"/>
        <v>45323</v>
      </c>
      <c r="G454" s="7"/>
    </row>
    <row r="455" spans="1:7" x14ac:dyDescent="0.2">
      <c r="A455" s="3">
        <f ca="1">IFERROR(__xludf.DUMMYFUNCTION("""COMPUTED_VALUE"""),1845)</f>
        <v>1845</v>
      </c>
      <c r="B455" s="6">
        <f ca="1">IFERROR(__xludf.DUMMYFUNCTION("""COMPUTED_VALUE"""),45336.4169675925)</f>
        <v>45336.4169675925</v>
      </c>
      <c r="C455" s="3" t="str">
        <f ca="1">IFERROR(__xludf.DUMMYFUNCTION("""COMPUTED_VALUE"""),"purchase")</f>
        <v>purchase</v>
      </c>
      <c r="D455" s="6">
        <f t="shared" ca="1" si="0"/>
        <v>45336</v>
      </c>
      <c r="E455" s="6">
        <f t="shared" ca="1" si="1"/>
        <v>45334</v>
      </c>
      <c r="F455" s="6">
        <f t="shared" ca="1" si="2"/>
        <v>45323</v>
      </c>
      <c r="G455" s="7"/>
    </row>
    <row r="456" spans="1:7" x14ac:dyDescent="0.2">
      <c r="A456" s="3">
        <f ca="1">IFERROR(__xludf.DUMMYFUNCTION("""COMPUTED_VALUE"""),2216)</f>
        <v>2216</v>
      </c>
      <c r="B456" s="6">
        <f ca="1">IFERROR(__xludf.DUMMYFUNCTION("""COMPUTED_VALUE"""),45336.4832523148)</f>
        <v>45336.4832523148</v>
      </c>
      <c r="C456" s="3" t="str">
        <f ca="1">IFERROR(__xludf.DUMMYFUNCTION("""COMPUTED_VALUE"""),"purchase")</f>
        <v>purchase</v>
      </c>
      <c r="D456" s="6">
        <f t="shared" ca="1" si="0"/>
        <v>45336</v>
      </c>
      <c r="E456" s="6">
        <f t="shared" ca="1" si="1"/>
        <v>45334</v>
      </c>
      <c r="F456" s="6">
        <f t="shared" ca="1" si="2"/>
        <v>45323</v>
      </c>
      <c r="G456" s="7"/>
    </row>
    <row r="457" spans="1:7" x14ac:dyDescent="0.2">
      <c r="A457" s="3">
        <f ca="1">IFERROR(__xludf.DUMMYFUNCTION("""COMPUTED_VALUE"""),5863)</f>
        <v>5863</v>
      </c>
      <c r="B457" s="6">
        <f ca="1">IFERROR(__xludf.DUMMYFUNCTION("""COMPUTED_VALUE"""),45336.5064351851)</f>
        <v>45336.506435185103</v>
      </c>
      <c r="C457" s="3" t="str">
        <f ca="1">IFERROR(__xludf.DUMMYFUNCTION("""COMPUTED_VALUE"""),"purchase")</f>
        <v>purchase</v>
      </c>
      <c r="D457" s="6">
        <f t="shared" ca="1" si="0"/>
        <v>45336</v>
      </c>
      <c r="E457" s="6">
        <f t="shared" ca="1" si="1"/>
        <v>45334</v>
      </c>
      <c r="F457" s="6">
        <f t="shared" ca="1" si="2"/>
        <v>45323</v>
      </c>
      <c r="G457" s="7"/>
    </row>
    <row r="458" spans="1:7" x14ac:dyDescent="0.2">
      <c r="A458" s="3">
        <f ca="1">IFERROR(__xludf.DUMMYFUNCTION("""COMPUTED_VALUE"""),5904)</f>
        <v>5904</v>
      </c>
      <c r="B458" s="6">
        <f ca="1">IFERROR(__xludf.DUMMYFUNCTION("""COMPUTED_VALUE"""),45336.5285763888)</f>
        <v>45336.528576388802</v>
      </c>
      <c r="C458" s="3" t="str">
        <f ca="1">IFERROR(__xludf.DUMMYFUNCTION("""COMPUTED_VALUE"""),"purchase")</f>
        <v>purchase</v>
      </c>
      <c r="D458" s="6">
        <f t="shared" ca="1" si="0"/>
        <v>45336</v>
      </c>
      <c r="E458" s="6">
        <f t="shared" ca="1" si="1"/>
        <v>45334</v>
      </c>
      <c r="F458" s="6">
        <f t="shared" ca="1" si="2"/>
        <v>45323</v>
      </c>
      <c r="G458" s="7"/>
    </row>
    <row r="459" spans="1:7" x14ac:dyDescent="0.2">
      <c r="A459" s="3">
        <f ca="1">IFERROR(__xludf.DUMMYFUNCTION("""COMPUTED_VALUE"""),7249)</f>
        <v>7249</v>
      </c>
      <c r="B459" s="6">
        <f ca="1">IFERROR(__xludf.DUMMYFUNCTION("""COMPUTED_VALUE"""),45336.7263078703)</f>
        <v>45336.726307870304</v>
      </c>
      <c r="C459" s="3" t="str">
        <f ca="1">IFERROR(__xludf.DUMMYFUNCTION("""COMPUTED_VALUE"""),"purchase")</f>
        <v>purchase</v>
      </c>
      <c r="D459" s="6">
        <f t="shared" ca="1" si="0"/>
        <v>45336</v>
      </c>
      <c r="E459" s="6">
        <f t="shared" ca="1" si="1"/>
        <v>45334</v>
      </c>
      <c r="F459" s="6">
        <f t="shared" ca="1" si="2"/>
        <v>45323</v>
      </c>
      <c r="G459" s="7"/>
    </row>
    <row r="460" spans="1:7" x14ac:dyDescent="0.2">
      <c r="A460" s="3">
        <f ca="1">IFERROR(__xludf.DUMMYFUNCTION("""COMPUTED_VALUE"""),5000)</f>
        <v>5000</v>
      </c>
      <c r="B460" s="6">
        <f ca="1">IFERROR(__xludf.DUMMYFUNCTION("""COMPUTED_VALUE"""),45336.8071296296)</f>
        <v>45336.807129629597</v>
      </c>
      <c r="C460" s="3" t="str">
        <f ca="1">IFERROR(__xludf.DUMMYFUNCTION("""COMPUTED_VALUE"""),"purchase")</f>
        <v>purchase</v>
      </c>
      <c r="D460" s="6">
        <f t="shared" ca="1" si="0"/>
        <v>45336</v>
      </c>
      <c r="E460" s="6">
        <f t="shared" ca="1" si="1"/>
        <v>45334</v>
      </c>
      <c r="F460" s="6">
        <f t="shared" ca="1" si="2"/>
        <v>45323</v>
      </c>
      <c r="G460" s="7"/>
    </row>
    <row r="461" spans="1:7" x14ac:dyDescent="0.2">
      <c r="A461" s="3">
        <f ca="1">IFERROR(__xludf.DUMMYFUNCTION("""COMPUTED_VALUE"""),4922)</f>
        <v>4922</v>
      </c>
      <c r="B461" s="6">
        <f ca="1">IFERROR(__xludf.DUMMYFUNCTION("""COMPUTED_VALUE"""),45336.9214699074)</f>
        <v>45336.9214699074</v>
      </c>
      <c r="C461" s="3" t="str">
        <f ca="1">IFERROR(__xludf.DUMMYFUNCTION("""COMPUTED_VALUE"""),"purchase")</f>
        <v>purchase</v>
      </c>
      <c r="D461" s="6">
        <f t="shared" ca="1" si="0"/>
        <v>45336</v>
      </c>
      <c r="E461" s="6">
        <f t="shared" ca="1" si="1"/>
        <v>45334</v>
      </c>
      <c r="F461" s="6">
        <f t="shared" ca="1" si="2"/>
        <v>45323</v>
      </c>
      <c r="G461" s="7"/>
    </row>
    <row r="462" spans="1:7" x14ac:dyDescent="0.2">
      <c r="A462" s="3">
        <f ca="1">IFERROR(__xludf.DUMMYFUNCTION("""COMPUTED_VALUE"""),249)</f>
        <v>249</v>
      </c>
      <c r="B462" s="6">
        <f ca="1">IFERROR(__xludf.DUMMYFUNCTION("""COMPUTED_VALUE"""),45336.9642824074)</f>
        <v>45336.964282407404</v>
      </c>
      <c r="C462" s="3" t="str">
        <f ca="1">IFERROR(__xludf.DUMMYFUNCTION("""COMPUTED_VALUE"""),"purchase")</f>
        <v>purchase</v>
      </c>
      <c r="D462" s="6">
        <f t="shared" ca="1" si="0"/>
        <v>45336</v>
      </c>
      <c r="E462" s="6">
        <f t="shared" ca="1" si="1"/>
        <v>45334</v>
      </c>
      <c r="F462" s="6">
        <f t="shared" ca="1" si="2"/>
        <v>45323</v>
      </c>
      <c r="G462" s="7"/>
    </row>
    <row r="463" spans="1:7" x14ac:dyDescent="0.2">
      <c r="A463" s="3">
        <f ca="1">IFERROR(__xludf.DUMMYFUNCTION("""COMPUTED_VALUE"""),2352)</f>
        <v>2352</v>
      </c>
      <c r="B463" s="6">
        <f ca="1">IFERROR(__xludf.DUMMYFUNCTION("""COMPUTED_VALUE"""),45337.0245717592)</f>
        <v>45337.024571759197</v>
      </c>
      <c r="C463" s="3" t="str">
        <f ca="1">IFERROR(__xludf.DUMMYFUNCTION("""COMPUTED_VALUE"""),"purchase")</f>
        <v>purchase</v>
      </c>
      <c r="D463" s="6">
        <f t="shared" ca="1" si="0"/>
        <v>45337</v>
      </c>
      <c r="E463" s="6">
        <f t="shared" ca="1" si="1"/>
        <v>45334</v>
      </c>
      <c r="F463" s="6">
        <f t="shared" ca="1" si="2"/>
        <v>45323</v>
      </c>
      <c r="G463" s="7"/>
    </row>
    <row r="464" spans="1:7" x14ac:dyDescent="0.2">
      <c r="A464" s="3">
        <f ca="1">IFERROR(__xludf.DUMMYFUNCTION("""COMPUTED_VALUE"""),6345)</f>
        <v>6345</v>
      </c>
      <c r="B464" s="6">
        <f ca="1">IFERROR(__xludf.DUMMYFUNCTION("""COMPUTED_VALUE"""),45337.026574074)</f>
        <v>45337.026574074</v>
      </c>
      <c r="C464" s="3" t="str">
        <f ca="1">IFERROR(__xludf.DUMMYFUNCTION("""COMPUTED_VALUE"""),"purchase")</f>
        <v>purchase</v>
      </c>
      <c r="D464" s="6">
        <f t="shared" ca="1" si="0"/>
        <v>45337</v>
      </c>
      <c r="E464" s="6">
        <f t="shared" ca="1" si="1"/>
        <v>45334</v>
      </c>
      <c r="F464" s="6">
        <f t="shared" ca="1" si="2"/>
        <v>45323</v>
      </c>
      <c r="G464" s="7"/>
    </row>
    <row r="465" spans="1:7" x14ac:dyDescent="0.2">
      <c r="A465" s="3">
        <f ca="1">IFERROR(__xludf.DUMMYFUNCTION("""COMPUTED_VALUE"""),738)</f>
        <v>738</v>
      </c>
      <c r="B465" s="6">
        <f ca="1">IFERROR(__xludf.DUMMYFUNCTION("""COMPUTED_VALUE"""),45337.0401851851)</f>
        <v>45337.040185185098</v>
      </c>
      <c r="C465" s="3" t="str">
        <f ca="1">IFERROR(__xludf.DUMMYFUNCTION("""COMPUTED_VALUE"""),"purchase")</f>
        <v>purchase</v>
      </c>
      <c r="D465" s="6">
        <f t="shared" ca="1" si="0"/>
        <v>45337</v>
      </c>
      <c r="E465" s="6">
        <f t="shared" ca="1" si="1"/>
        <v>45334</v>
      </c>
      <c r="F465" s="6">
        <f t="shared" ca="1" si="2"/>
        <v>45323</v>
      </c>
      <c r="G465" s="7"/>
    </row>
    <row r="466" spans="1:7" x14ac:dyDescent="0.2">
      <c r="A466" s="3">
        <f ca="1">IFERROR(__xludf.DUMMYFUNCTION("""COMPUTED_VALUE"""),4921)</f>
        <v>4921</v>
      </c>
      <c r="B466" s="6">
        <f ca="1">IFERROR(__xludf.DUMMYFUNCTION("""COMPUTED_VALUE"""),45337.3257523148)</f>
        <v>45337.325752314799</v>
      </c>
      <c r="C466" s="3" t="str">
        <f ca="1">IFERROR(__xludf.DUMMYFUNCTION("""COMPUTED_VALUE"""),"purchase")</f>
        <v>purchase</v>
      </c>
      <c r="D466" s="6">
        <f t="shared" ca="1" si="0"/>
        <v>45337</v>
      </c>
      <c r="E466" s="6">
        <f t="shared" ca="1" si="1"/>
        <v>45334</v>
      </c>
      <c r="F466" s="6">
        <f t="shared" ca="1" si="2"/>
        <v>45323</v>
      </c>
      <c r="G466" s="7"/>
    </row>
    <row r="467" spans="1:7" x14ac:dyDescent="0.2">
      <c r="A467" s="3">
        <f ca="1">IFERROR(__xludf.DUMMYFUNCTION("""COMPUTED_VALUE"""),157)</f>
        <v>157</v>
      </c>
      <c r="B467" s="6">
        <f ca="1">IFERROR(__xludf.DUMMYFUNCTION("""COMPUTED_VALUE"""),45337.3385532407)</f>
        <v>45337.338553240697</v>
      </c>
      <c r="C467" s="3" t="str">
        <f ca="1">IFERROR(__xludf.DUMMYFUNCTION("""COMPUTED_VALUE"""),"purchase")</f>
        <v>purchase</v>
      </c>
      <c r="D467" s="6">
        <f t="shared" ca="1" si="0"/>
        <v>45337</v>
      </c>
      <c r="E467" s="6">
        <f t="shared" ca="1" si="1"/>
        <v>45334</v>
      </c>
      <c r="F467" s="6">
        <f t="shared" ca="1" si="2"/>
        <v>45323</v>
      </c>
      <c r="G467" s="7"/>
    </row>
    <row r="468" spans="1:7" x14ac:dyDescent="0.2">
      <c r="A468" s="3">
        <f ca="1">IFERROR(__xludf.DUMMYFUNCTION("""COMPUTED_VALUE"""),3976)</f>
        <v>3976</v>
      </c>
      <c r="B468" s="6">
        <f ca="1">IFERROR(__xludf.DUMMYFUNCTION("""COMPUTED_VALUE"""),45337.3411226851)</f>
        <v>45337.341122685102</v>
      </c>
      <c r="C468" s="3" t="str">
        <f ca="1">IFERROR(__xludf.DUMMYFUNCTION("""COMPUTED_VALUE"""),"purchase")</f>
        <v>purchase</v>
      </c>
      <c r="D468" s="6">
        <f t="shared" ca="1" si="0"/>
        <v>45337</v>
      </c>
      <c r="E468" s="6">
        <f t="shared" ca="1" si="1"/>
        <v>45334</v>
      </c>
      <c r="F468" s="6">
        <f t="shared" ca="1" si="2"/>
        <v>45323</v>
      </c>
      <c r="G468" s="7"/>
    </row>
    <row r="469" spans="1:7" x14ac:dyDescent="0.2">
      <c r="A469" s="3">
        <f ca="1">IFERROR(__xludf.DUMMYFUNCTION("""COMPUTED_VALUE"""),1841)</f>
        <v>1841</v>
      </c>
      <c r="B469" s="6">
        <f ca="1">IFERROR(__xludf.DUMMYFUNCTION("""COMPUTED_VALUE"""),45337.4376157407)</f>
        <v>45337.437615740702</v>
      </c>
      <c r="C469" s="3" t="str">
        <f ca="1">IFERROR(__xludf.DUMMYFUNCTION("""COMPUTED_VALUE"""),"purchase")</f>
        <v>purchase</v>
      </c>
      <c r="D469" s="6">
        <f t="shared" ca="1" si="0"/>
        <v>45337</v>
      </c>
      <c r="E469" s="6">
        <f t="shared" ca="1" si="1"/>
        <v>45334</v>
      </c>
      <c r="F469" s="6">
        <f t="shared" ca="1" si="2"/>
        <v>45323</v>
      </c>
      <c r="G469" s="7"/>
    </row>
    <row r="470" spans="1:7" x14ac:dyDescent="0.2">
      <c r="A470" s="3">
        <f ca="1">IFERROR(__xludf.DUMMYFUNCTION("""COMPUTED_VALUE"""),5014)</f>
        <v>5014</v>
      </c>
      <c r="B470" s="6">
        <f ca="1">IFERROR(__xludf.DUMMYFUNCTION("""COMPUTED_VALUE"""),45337.4874652777)</f>
        <v>45337.4874652777</v>
      </c>
      <c r="C470" s="3" t="str">
        <f ca="1">IFERROR(__xludf.DUMMYFUNCTION("""COMPUTED_VALUE"""),"purchase")</f>
        <v>purchase</v>
      </c>
      <c r="D470" s="6">
        <f t="shared" ca="1" si="0"/>
        <v>45337</v>
      </c>
      <c r="E470" s="6">
        <f t="shared" ca="1" si="1"/>
        <v>45334</v>
      </c>
      <c r="F470" s="6">
        <f t="shared" ca="1" si="2"/>
        <v>45323</v>
      </c>
      <c r="G470" s="7"/>
    </row>
    <row r="471" spans="1:7" x14ac:dyDescent="0.2">
      <c r="A471" s="3">
        <f ca="1">IFERROR(__xludf.DUMMYFUNCTION("""COMPUTED_VALUE"""),5929)</f>
        <v>5929</v>
      </c>
      <c r="B471" s="6">
        <f ca="1">IFERROR(__xludf.DUMMYFUNCTION("""COMPUTED_VALUE"""),45337.6999421296)</f>
        <v>45337.699942129599</v>
      </c>
      <c r="C471" s="3" t="str">
        <f ca="1">IFERROR(__xludf.DUMMYFUNCTION("""COMPUTED_VALUE"""),"purchase")</f>
        <v>purchase</v>
      </c>
      <c r="D471" s="6">
        <f t="shared" ca="1" si="0"/>
        <v>45337</v>
      </c>
      <c r="E471" s="6">
        <f t="shared" ca="1" si="1"/>
        <v>45334</v>
      </c>
      <c r="F471" s="6">
        <f t="shared" ca="1" si="2"/>
        <v>45323</v>
      </c>
      <c r="G471" s="7"/>
    </row>
    <row r="472" spans="1:7" x14ac:dyDescent="0.2">
      <c r="A472" s="3">
        <f ca="1">IFERROR(__xludf.DUMMYFUNCTION("""COMPUTED_VALUE"""),7537)</f>
        <v>7537</v>
      </c>
      <c r="B472" s="6">
        <f ca="1">IFERROR(__xludf.DUMMYFUNCTION("""COMPUTED_VALUE"""),45337.7119560185)</f>
        <v>45337.711956018502</v>
      </c>
      <c r="C472" s="3" t="str">
        <f ca="1">IFERROR(__xludf.DUMMYFUNCTION("""COMPUTED_VALUE"""),"purchase")</f>
        <v>purchase</v>
      </c>
      <c r="D472" s="6">
        <f t="shared" ca="1" si="0"/>
        <v>45337</v>
      </c>
      <c r="E472" s="6">
        <f t="shared" ca="1" si="1"/>
        <v>45334</v>
      </c>
      <c r="F472" s="6">
        <f t="shared" ca="1" si="2"/>
        <v>45323</v>
      </c>
      <c r="G472" s="7"/>
    </row>
    <row r="473" spans="1:7" x14ac:dyDescent="0.2">
      <c r="A473" s="3">
        <f ca="1">IFERROR(__xludf.DUMMYFUNCTION("""COMPUTED_VALUE"""),5608)</f>
        <v>5608</v>
      </c>
      <c r="B473" s="6">
        <f ca="1">IFERROR(__xludf.DUMMYFUNCTION("""COMPUTED_VALUE"""),45337.7401504629)</f>
        <v>45337.740150462902</v>
      </c>
      <c r="C473" s="3" t="str">
        <f ca="1">IFERROR(__xludf.DUMMYFUNCTION("""COMPUTED_VALUE"""),"purchase")</f>
        <v>purchase</v>
      </c>
      <c r="D473" s="6">
        <f t="shared" ca="1" si="0"/>
        <v>45337</v>
      </c>
      <c r="E473" s="6">
        <f t="shared" ca="1" si="1"/>
        <v>45334</v>
      </c>
      <c r="F473" s="6">
        <f t="shared" ca="1" si="2"/>
        <v>45323</v>
      </c>
      <c r="G473" s="7"/>
    </row>
    <row r="474" spans="1:7" x14ac:dyDescent="0.2">
      <c r="A474" s="3">
        <f ca="1">IFERROR(__xludf.DUMMYFUNCTION("""COMPUTED_VALUE"""),1859)</f>
        <v>1859</v>
      </c>
      <c r="B474" s="6">
        <f ca="1">IFERROR(__xludf.DUMMYFUNCTION("""COMPUTED_VALUE"""),45337.8190625)</f>
        <v>45337.819062499999</v>
      </c>
      <c r="C474" s="3" t="str">
        <f ca="1">IFERROR(__xludf.DUMMYFUNCTION("""COMPUTED_VALUE"""),"purchase")</f>
        <v>purchase</v>
      </c>
      <c r="D474" s="6">
        <f t="shared" ca="1" si="0"/>
        <v>45337</v>
      </c>
      <c r="E474" s="6">
        <f t="shared" ca="1" si="1"/>
        <v>45334</v>
      </c>
      <c r="F474" s="6">
        <f t="shared" ca="1" si="2"/>
        <v>45323</v>
      </c>
      <c r="G474" s="7"/>
    </row>
    <row r="475" spans="1:7" x14ac:dyDescent="0.2">
      <c r="A475" s="3">
        <f ca="1">IFERROR(__xludf.DUMMYFUNCTION("""COMPUTED_VALUE"""),5412)</f>
        <v>5412</v>
      </c>
      <c r="B475" s="6">
        <f ca="1">IFERROR(__xludf.DUMMYFUNCTION("""COMPUTED_VALUE"""),45337.8995254629)</f>
        <v>45337.899525462897</v>
      </c>
      <c r="C475" s="3" t="str">
        <f ca="1">IFERROR(__xludf.DUMMYFUNCTION("""COMPUTED_VALUE"""),"purchase")</f>
        <v>purchase</v>
      </c>
      <c r="D475" s="6">
        <f t="shared" ca="1" si="0"/>
        <v>45337</v>
      </c>
      <c r="E475" s="6">
        <f t="shared" ca="1" si="1"/>
        <v>45334</v>
      </c>
      <c r="F475" s="6">
        <f t="shared" ca="1" si="2"/>
        <v>45323</v>
      </c>
      <c r="G475" s="7"/>
    </row>
    <row r="476" spans="1:7" x14ac:dyDescent="0.2">
      <c r="A476" s="3">
        <f ca="1">IFERROR(__xludf.DUMMYFUNCTION("""COMPUTED_VALUE"""),1546)</f>
        <v>1546</v>
      </c>
      <c r="B476" s="6">
        <f ca="1">IFERROR(__xludf.DUMMYFUNCTION("""COMPUTED_VALUE"""),45337.9122222222)</f>
        <v>45337.912222222199</v>
      </c>
      <c r="C476" s="3" t="str">
        <f ca="1">IFERROR(__xludf.DUMMYFUNCTION("""COMPUTED_VALUE"""),"purchase")</f>
        <v>purchase</v>
      </c>
      <c r="D476" s="6">
        <f t="shared" ca="1" si="0"/>
        <v>45337</v>
      </c>
      <c r="E476" s="6">
        <f t="shared" ca="1" si="1"/>
        <v>45334</v>
      </c>
      <c r="F476" s="6">
        <f t="shared" ca="1" si="2"/>
        <v>45323</v>
      </c>
      <c r="G476" s="7"/>
    </row>
    <row r="477" spans="1:7" x14ac:dyDescent="0.2">
      <c r="A477" s="3">
        <f ca="1">IFERROR(__xludf.DUMMYFUNCTION("""COMPUTED_VALUE"""),1840)</f>
        <v>1840</v>
      </c>
      <c r="B477" s="6">
        <f ca="1">IFERROR(__xludf.DUMMYFUNCTION("""COMPUTED_VALUE"""),45338.1130671296)</f>
        <v>45338.113067129598</v>
      </c>
      <c r="C477" s="3" t="str">
        <f ca="1">IFERROR(__xludf.DUMMYFUNCTION("""COMPUTED_VALUE"""),"purchase")</f>
        <v>purchase</v>
      </c>
      <c r="D477" s="6">
        <f t="shared" ca="1" si="0"/>
        <v>45338</v>
      </c>
      <c r="E477" s="6">
        <f t="shared" ca="1" si="1"/>
        <v>45334</v>
      </c>
      <c r="F477" s="6">
        <f t="shared" ca="1" si="2"/>
        <v>45323</v>
      </c>
      <c r="G477" s="7"/>
    </row>
    <row r="478" spans="1:7" x14ac:dyDescent="0.2">
      <c r="A478" s="3">
        <f ca="1">IFERROR(__xludf.DUMMYFUNCTION("""COMPUTED_VALUE"""),3978)</f>
        <v>3978</v>
      </c>
      <c r="B478" s="6">
        <f ca="1">IFERROR(__xludf.DUMMYFUNCTION("""COMPUTED_VALUE"""),45338.3056944444)</f>
        <v>45338.305694444403</v>
      </c>
      <c r="C478" s="3" t="str">
        <f ca="1">IFERROR(__xludf.DUMMYFUNCTION("""COMPUTED_VALUE"""),"purchase")</f>
        <v>purchase</v>
      </c>
      <c r="D478" s="6">
        <f t="shared" ca="1" si="0"/>
        <v>45338</v>
      </c>
      <c r="E478" s="6">
        <f t="shared" ca="1" si="1"/>
        <v>45334</v>
      </c>
      <c r="F478" s="6">
        <f t="shared" ca="1" si="2"/>
        <v>45323</v>
      </c>
      <c r="G478" s="7"/>
    </row>
    <row r="479" spans="1:7" x14ac:dyDescent="0.2">
      <c r="A479" s="3">
        <f ca="1">IFERROR(__xludf.DUMMYFUNCTION("""COMPUTED_VALUE"""),2665)</f>
        <v>2665</v>
      </c>
      <c r="B479" s="6">
        <f ca="1">IFERROR(__xludf.DUMMYFUNCTION("""COMPUTED_VALUE"""),45338.387974537)</f>
        <v>45338.387974537</v>
      </c>
      <c r="C479" s="3" t="str">
        <f ca="1">IFERROR(__xludf.DUMMYFUNCTION("""COMPUTED_VALUE"""),"purchase")</f>
        <v>purchase</v>
      </c>
      <c r="D479" s="6">
        <f t="shared" ca="1" si="0"/>
        <v>45338</v>
      </c>
      <c r="E479" s="6">
        <f t="shared" ca="1" si="1"/>
        <v>45334</v>
      </c>
      <c r="F479" s="6">
        <f t="shared" ca="1" si="2"/>
        <v>45323</v>
      </c>
      <c r="G479" s="7"/>
    </row>
    <row r="480" spans="1:7" x14ac:dyDescent="0.2">
      <c r="A480" s="3">
        <f ca="1">IFERROR(__xludf.DUMMYFUNCTION("""COMPUTED_VALUE"""),922)</f>
        <v>922</v>
      </c>
      <c r="B480" s="6">
        <f ca="1">IFERROR(__xludf.DUMMYFUNCTION("""COMPUTED_VALUE"""),45338.5026504629)</f>
        <v>45338.502650462899</v>
      </c>
      <c r="C480" s="3" t="str">
        <f ca="1">IFERROR(__xludf.DUMMYFUNCTION("""COMPUTED_VALUE"""),"purchase")</f>
        <v>purchase</v>
      </c>
      <c r="D480" s="6">
        <f t="shared" ca="1" si="0"/>
        <v>45338</v>
      </c>
      <c r="E480" s="6">
        <f t="shared" ca="1" si="1"/>
        <v>45334</v>
      </c>
      <c r="F480" s="6">
        <f t="shared" ca="1" si="2"/>
        <v>45323</v>
      </c>
      <c r="G480" s="7"/>
    </row>
    <row r="481" spans="1:7" x14ac:dyDescent="0.2">
      <c r="A481" s="3">
        <f ca="1">IFERROR(__xludf.DUMMYFUNCTION("""COMPUTED_VALUE"""),6590)</f>
        <v>6590</v>
      </c>
      <c r="B481" s="6">
        <f ca="1">IFERROR(__xludf.DUMMYFUNCTION("""COMPUTED_VALUE"""),45338.597824074)</f>
        <v>45338.597824074001</v>
      </c>
      <c r="C481" s="3" t="str">
        <f ca="1">IFERROR(__xludf.DUMMYFUNCTION("""COMPUTED_VALUE"""),"purchase")</f>
        <v>purchase</v>
      </c>
      <c r="D481" s="6">
        <f t="shared" ca="1" si="0"/>
        <v>45338</v>
      </c>
      <c r="E481" s="6">
        <f t="shared" ca="1" si="1"/>
        <v>45334</v>
      </c>
      <c r="F481" s="6">
        <f t="shared" ca="1" si="2"/>
        <v>45323</v>
      </c>
      <c r="G481" s="7"/>
    </row>
    <row r="482" spans="1:7" x14ac:dyDescent="0.2">
      <c r="A482" s="3">
        <f ca="1">IFERROR(__xludf.DUMMYFUNCTION("""COMPUTED_VALUE"""),2253)</f>
        <v>2253</v>
      </c>
      <c r="B482" s="6">
        <f ca="1">IFERROR(__xludf.DUMMYFUNCTION("""COMPUTED_VALUE"""),45338.68625)</f>
        <v>45338.686249999999</v>
      </c>
      <c r="C482" s="3" t="str">
        <f ca="1">IFERROR(__xludf.DUMMYFUNCTION("""COMPUTED_VALUE"""),"purchase")</f>
        <v>purchase</v>
      </c>
      <c r="D482" s="6">
        <f t="shared" ca="1" si="0"/>
        <v>45338</v>
      </c>
      <c r="E482" s="6">
        <f t="shared" ca="1" si="1"/>
        <v>45334</v>
      </c>
      <c r="F482" s="6">
        <f t="shared" ca="1" si="2"/>
        <v>45323</v>
      </c>
      <c r="G482" s="7"/>
    </row>
    <row r="483" spans="1:7" x14ac:dyDescent="0.2">
      <c r="A483" s="3">
        <f ca="1">IFERROR(__xludf.DUMMYFUNCTION("""COMPUTED_VALUE"""),4177)</f>
        <v>4177</v>
      </c>
      <c r="B483" s="6">
        <f ca="1">IFERROR(__xludf.DUMMYFUNCTION("""COMPUTED_VALUE"""),45338.702349537)</f>
        <v>45338.702349537001</v>
      </c>
      <c r="C483" s="3" t="str">
        <f ca="1">IFERROR(__xludf.DUMMYFUNCTION("""COMPUTED_VALUE"""),"purchase")</f>
        <v>purchase</v>
      </c>
      <c r="D483" s="6">
        <f t="shared" ca="1" si="0"/>
        <v>45338</v>
      </c>
      <c r="E483" s="6">
        <f t="shared" ca="1" si="1"/>
        <v>45334</v>
      </c>
      <c r="F483" s="6">
        <f t="shared" ca="1" si="2"/>
        <v>45323</v>
      </c>
      <c r="G483" s="7"/>
    </row>
    <row r="484" spans="1:7" x14ac:dyDescent="0.2">
      <c r="A484" s="3">
        <f ca="1">IFERROR(__xludf.DUMMYFUNCTION("""COMPUTED_VALUE"""),4895)</f>
        <v>4895</v>
      </c>
      <c r="B484" s="6">
        <f ca="1">IFERROR(__xludf.DUMMYFUNCTION("""COMPUTED_VALUE"""),45338.879699074)</f>
        <v>45338.879699074001</v>
      </c>
      <c r="C484" s="3" t="str">
        <f ca="1">IFERROR(__xludf.DUMMYFUNCTION("""COMPUTED_VALUE"""),"purchase")</f>
        <v>purchase</v>
      </c>
      <c r="D484" s="6">
        <f t="shared" ca="1" si="0"/>
        <v>45338</v>
      </c>
      <c r="E484" s="6">
        <f t="shared" ca="1" si="1"/>
        <v>45334</v>
      </c>
      <c r="F484" s="6">
        <f t="shared" ca="1" si="2"/>
        <v>45323</v>
      </c>
      <c r="G484" s="7"/>
    </row>
    <row r="485" spans="1:7" x14ac:dyDescent="0.2">
      <c r="A485" s="3">
        <f ca="1">IFERROR(__xludf.DUMMYFUNCTION("""COMPUTED_VALUE"""),2575)</f>
        <v>2575</v>
      </c>
      <c r="B485" s="6">
        <f ca="1">IFERROR(__xludf.DUMMYFUNCTION("""COMPUTED_VALUE"""),45339.1355671296)</f>
        <v>45339.135567129597</v>
      </c>
      <c r="C485" s="3" t="str">
        <f ca="1">IFERROR(__xludf.DUMMYFUNCTION("""COMPUTED_VALUE"""),"purchase")</f>
        <v>purchase</v>
      </c>
      <c r="D485" s="6">
        <f t="shared" ca="1" si="0"/>
        <v>45339</v>
      </c>
      <c r="E485" s="6">
        <f t="shared" ca="1" si="1"/>
        <v>45334</v>
      </c>
      <c r="F485" s="6">
        <f t="shared" ca="1" si="2"/>
        <v>45323</v>
      </c>
      <c r="G485" s="7"/>
    </row>
    <row r="486" spans="1:7" x14ac:dyDescent="0.2">
      <c r="A486" s="3">
        <f ca="1">IFERROR(__xludf.DUMMYFUNCTION("""COMPUTED_VALUE"""),1088)</f>
        <v>1088</v>
      </c>
      <c r="B486" s="6">
        <f ca="1">IFERROR(__xludf.DUMMYFUNCTION("""COMPUTED_VALUE"""),45339.1811921296)</f>
        <v>45339.181192129603</v>
      </c>
      <c r="C486" s="3" t="str">
        <f ca="1">IFERROR(__xludf.DUMMYFUNCTION("""COMPUTED_VALUE"""),"purchase")</f>
        <v>purchase</v>
      </c>
      <c r="D486" s="6">
        <f t="shared" ca="1" si="0"/>
        <v>45339</v>
      </c>
      <c r="E486" s="6">
        <f t="shared" ca="1" si="1"/>
        <v>45334</v>
      </c>
      <c r="F486" s="6">
        <f t="shared" ca="1" si="2"/>
        <v>45323</v>
      </c>
      <c r="G486" s="7"/>
    </row>
    <row r="487" spans="1:7" x14ac:dyDescent="0.2">
      <c r="A487" s="3">
        <f ca="1">IFERROR(__xludf.DUMMYFUNCTION("""COMPUTED_VALUE"""),9)</f>
        <v>9</v>
      </c>
      <c r="B487" s="6">
        <f ca="1">IFERROR(__xludf.DUMMYFUNCTION("""COMPUTED_VALUE"""),45339.1868402777)</f>
        <v>45339.186840277704</v>
      </c>
      <c r="C487" s="3" t="str">
        <f ca="1">IFERROR(__xludf.DUMMYFUNCTION("""COMPUTED_VALUE"""),"purchase")</f>
        <v>purchase</v>
      </c>
      <c r="D487" s="6">
        <f t="shared" ca="1" si="0"/>
        <v>45339</v>
      </c>
      <c r="E487" s="6">
        <f t="shared" ca="1" si="1"/>
        <v>45334</v>
      </c>
      <c r="F487" s="6">
        <f t="shared" ca="1" si="2"/>
        <v>45323</v>
      </c>
      <c r="G487" s="7"/>
    </row>
    <row r="488" spans="1:7" x14ac:dyDescent="0.2">
      <c r="A488" s="3">
        <f ca="1">IFERROR(__xludf.DUMMYFUNCTION("""COMPUTED_VALUE"""),3297)</f>
        <v>3297</v>
      </c>
      <c r="B488" s="6">
        <f ca="1">IFERROR(__xludf.DUMMYFUNCTION("""COMPUTED_VALUE"""),45339.4306481481)</f>
        <v>45339.430648148104</v>
      </c>
      <c r="C488" s="3" t="str">
        <f ca="1">IFERROR(__xludf.DUMMYFUNCTION("""COMPUTED_VALUE"""),"purchase")</f>
        <v>purchase</v>
      </c>
      <c r="D488" s="6">
        <f t="shared" ca="1" si="0"/>
        <v>45339</v>
      </c>
      <c r="E488" s="6">
        <f t="shared" ca="1" si="1"/>
        <v>45334</v>
      </c>
      <c r="F488" s="6">
        <f t="shared" ca="1" si="2"/>
        <v>45323</v>
      </c>
      <c r="G488" s="7"/>
    </row>
    <row r="489" spans="1:7" x14ac:dyDescent="0.2">
      <c r="A489" s="3">
        <f ca="1">IFERROR(__xludf.DUMMYFUNCTION("""COMPUTED_VALUE"""),448)</f>
        <v>448</v>
      </c>
      <c r="B489" s="6">
        <f ca="1">IFERROR(__xludf.DUMMYFUNCTION("""COMPUTED_VALUE"""),45339.5975694444)</f>
        <v>45339.597569444399</v>
      </c>
      <c r="C489" s="3" t="str">
        <f ca="1">IFERROR(__xludf.DUMMYFUNCTION("""COMPUTED_VALUE"""),"purchase")</f>
        <v>purchase</v>
      </c>
      <c r="D489" s="6">
        <f t="shared" ca="1" si="0"/>
        <v>45339</v>
      </c>
      <c r="E489" s="6">
        <f t="shared" ca="1" si="1"/>
        <v>45334</v>
      </c>
      <c r="F489" s="6">
        <f t="shared" ca="1" si="2"/>
        <v>45323</v>
      </c>
      <c r="G489" s="7"/>
    </row>
    <row r="490" spans="1:7" x14ac:dyDescent="0.2">
      <c r="A490" s="3">
        <f ca="1">IFERROR(__xludf.DUMMYFUNCTION("""COMPUTED_VALUE"""),6305)</f>
        <v>6305</v>
      </c>
      <c r="B490" s="6">
        <f ca="1">IFERROR(__xludf.DUMMYFUNCTION("""COMPUTED_VALUE"""),45339.618599537)</f>
        <v>45339.618599537003</v>
      </c>
      <c r="C490" s="3" t="str">
        <f ca="1">IFERROR(__xludf.DUMMYFUNCTION("""COMPUTED_VALUE"""),"purchase")</f>
        <v>purchase</v>
      </c>
      <c r="D490" s="6">
        <f t="shared" ca="1" si="0"/>
        <v>45339</v>
      </c>
      <c r="E490" s="6">
        <f t="shared" ca="1" si="1"/>
        <v>45334</v>
      </c>
      <c r="F490" s="6">
        <f t="shared" ca="1" si="2"/>
        <v>45323</v>
      </c>
      <c r="G490" s="7"/>
    </row>
    <row r="491" spans="1:7" x14ac:dyDescent="0.2">
      <c r="A491" s="3">
        <f ca="1">IFERROR(__xludf.DUMMYFUNCTION("""COMPUTED_VALUE"""),7588)</f>
        <v>7588</v>
      </c>
      <c r="B491" s="6">
        <f ca="1">IFERROR(__xludf.DUMMYFUNCTION("""COMPUTED_VALUE"""),45339.6420833333)</f>
        <v>45339.642083333303</v>
      </c>
      <c r="C491" s="3" t="str">
        <f ca="1">IFERROR(__xludf.DUMMYFUNCTION("""COMPUTED_VALUE"""),"purchase")</f>
        <v>purchase</v>
      </c>
      <c r="D491" s="6">
        <f t="shared" ca="1" si="0"/>
        <v>45339</v>
      </c>
      <c r="E491" s="6">
        <f t="shared" ca="1" si="1"/>
        <v>45334</v>
      </c>
      <c r="F491" s="6">
        <f t="shared" ca="1" si="2"/>
        <v>45323</v>
      </c>
      <c r="G491" s="7"/>
    </row>
    <row r="492" spans="1:7" x14ac:dyDescent="0.2">
      <c r="A492" s="3">
        <f ca="1">IFERROR(__xludf.DUMMYFUNCTION("""COMPUTED_VALUE"""),6707)</f>
        <v>6707</v>
      </c>
      <c r="B492" s="6">
        <f ca="1">IFERROR(__xludf.DUMMYFUNCTION("""COMPUTED_VALUE"""),45339.8461111111)</f>
        <v>45339.846111111103</v>
      </c>
      <c r="C492" s="3" t="str">
        <f ca="1">IFERROR(__xludf.DUMMYFUNCTION("""COMPUTED_VALUE"""),"purchase")</f>
        <v>purchase</v>
      </c>
      <c r="D492" s="6">
        <f t="shared" ca="1" si="0"/>
        <v>45339</v>
      </c>
      <c r="E492" s="6">
        <f t="shared" ca="1" si="1"/>
        <v>45334</v>
      </c>
      <c r="F492" s="6">
        <f t="shared" ca="1" si="2"/>
        <v>45323</v>
      </c>
      <c r="G492" s="7"/>
    </row>
    <row r="493" spans="1:7" x14ac:dyDescent="0.2">
      <c r="A493" s="3">
        <f ca="1">IFERROR(__xludf.DUMMYFUNCTION("""COMPUTED_VALUE"""),2440)</f>
        <v>2440</v>
      </c>
      <c r="B493" s="6">
        <f ca="1">IFERROR(__xludf.DUMMYFUNCTION("""COMPUTED_VALUE"""),45339.8983564814)</f>
        <v>45339.898356481397</v>
      </c>
      <c r="C493" s="3" t="str">
        <f ca="1">IFERROR(__xludf.DUMMYFUNCTION("""COMPUTED_VALUE"""),"purchase")</f>
        <v>purchase</v>
      </c>
      <c r="D493" s="6">
        <f t="shared" ca="1" si="0"/>
        <v>45339</v>
      </c>
      <c r="E493" s="6">
        <f t="shared" ca="1" si="1"/>
        <v>45334</v>
      </c>
      <c r="F493" s="6">
        <f t="shared" ca="1" si="2"/>
        <v>45323</v>
      </c>
      <c r="G493" s="7"/>
    </row>
    <row r="494" spans="1:7" x14ac:dyDescent="0.2">
      <c r="A494" s="3">
        <f ca="1">IFERROR(__xludf.DUMMYFUNCTION("""COMPUTED_VALUE"""),551)</f>
        <v>551</v>
      </c>
      <c r="B494" s="6">
        <f ca="1">IFERROR(__xludf.DUMMYFUNCTION("""COMPUTED_VALUE"""),45340.2113425925)</f>
        <v>45340.211342592498</v>
      </c>
      <c r="C494" s="3" t="str">
        <f ca="1">IFERROR(__xludf.DUMMYFUNCTION("""COMPUTED_VALUE"""),"purchase")</f>
        <v>purchase</v>
      </c>
      <c r="D494" s="6">
        <f t="shared" ca="1" si="0"/>
        <v>45340</v>
      </c>
      <c r="E494" s="6">
        <f t="shared" ca="1" si="1"/>
        <v>45334</v>
      </c>
      <c r="F494" s="6">
        <f t="shared" ca="1" si="2"/>
        <v>45323</v>
      </c>
      <c r="G494" s="7"/>
    </row>
    <row r="495" spans="1:7" x14ac:dyDescent="0.2">
      <c r="A495" s="3">
        <f ca="1">IFERROR(__xludf.DUMMYFUNCTION("""COMPUTED_VALUE"""),7131)</f>
        <v>7131</v>
      </c>
      <c r="B495" s="6">
        <f ca="1">IFERROR(__xludf.DUMMYFUNCTION("""COMPUTED_VALUE"""),45340.4192129629)</f>
        <v>45340.419212962901</v>
      </c>
      <c r="C495" s="3" t="str">
        <f ca="1">IFERROR(__xludf.DUMMYFUNCTION("""COMPUTED_VALUE"""),"purchase")</f>
        <v>purchase</v>
      </c>
      <c r="D495" s="6">
        <f t="shared" ca="1" si="0"/>
        <v>45340</v>
      </c>
      <c r="E495" s="6">
        <f t="shared" ca="1" si="1"/>
        <v>45334</v>
      </c>
      <c r="F495" s="6">
        <f t="shared" ca="1" si="2"/>
        <v>45323</v>
      </c>
      <c r="G495" s="7"/>
    </row>
    <row r="496" spans="1:7" x14ac:dyDescent="0.2">
      <c r="A496" s="3">
        <f ca="1">IFERROR(__xludf.DUMMYFUNCTION("""COMPUTED_VALUE"""),2250)</f>
        <v>2250</v>
      </c>
      <c r="B496" s="6">
        <f ca="1">IFERROR(__xludf.DUMMYFUNCTION("""COMPUTED_VALUE"""),45340.8022337963)</f>
        <v>45340.802233796298</v>
      </c>
      <c r="C496" s="3" t="str">
        <f ca="1">IFERROR(__xludf.DUMMYFUNCTION("""COMPUTED_VALUE"""),"purchase")</f>
        <v>purchase</v>
      </c>
      <c r="D496" s="6">
        <f t="shared" ca="1" si="0"/>
        <v>45340</v>
      </c>
      <c r="E496" s="6">
        <f t="shared" ca="1" si="1"/>
        <v>45334</v>
      </c>
      <c r="F496" s="6">
        <f t="shared" ca="1" si="2"/>
        <v>45323</v>
      </c>
      <c r="G496" s="7"/>
    </row>
    <row r="497" spans="1:7" x14ac:dyDescent="0.2">
      <c r="A497" s="3">
        <f ca="1">IFERROR(__xludf.DUMMYFUNCTION("""COMPUTED_VALUE"""),2400)</f>
        <v>2400</v>
      </c>
      <c r="B497" s="6">
        <f ca="1">IFERROR(__xludf.DUMMYFUNCTION("""COMPUTED_VALUE"""),45340.8440856481)</f>
        <v>45340.844085648103</v>
      </c>
      <c r="C497" s="3" t="str">
        <f ca="1">IFERROR(__xludf.DUMMYFUNCTION("""COMPUTED_VALUE"""),"purchase")</f>
        <v>purchase</v>
      </c>
      <c r="D497" s="6">
        <f t="shared" ca="1" si="0"/>
        <v>45340</v>
      </c>
      <c r="E497" s="6">
        <f t="shared" ca="1" si="1"/>
        <v>45334</v>
      </c>
      <c r="F497" s="6">
        <f t="shared" ca="1" si="2"/>
        <v>45323</v>
      </c>
      <c r="G497" s="7"/>
    </row>
    <row r="498" spans="1:7" x14ac:dyDescent="0.2">
      <c r="A498" s="3">
        <f ca="1">IFERROR(__xludf.DUMMYFUNCTION("""COMPUTED_VALUE"""),6022)</f>
        <v>6022</v>
      </c>
      <c r="B498" s="6">
        <f ca="1">IFERROR(__xludf.DUMMYFUNCTION("""COMPUTED_VALUE"""),45341.0270486111)</f>
        <v>45341.027048611097</v>
      </c>
      <c r="C498" s="3" t="str">
        <f ca="1">IFERROR(__xludf.DUMMYFUNCTION("""COMPUTED_VALUE"""),"purchase")</f>
        <v>purchase</v>
      </c>
      <c r="D498" s="6">
        <f t="shared" ca="1" si="0"/>
        <v>45341</v>
      </c>
      <c r="E498" s="6">
        <f t="shared" ca="1" si="1"/>
        <v>45341</v>
      </c>
      <c r="F498" s="6">
        <f t="shared" ca="1" si="2"/>
        <v>45323</v>
      </c>
      <c r="G498" s="7"/>
    </row>
    <row r="499" spans="1:7" x14ac:dyDescent="0.2">
      <c r="A499" s="3">
        <f ca="1">IFERROR(__xludf.DUMMYFUNCTION("""COMPUTED_VALUE"""),7547)</f>
        <v>7547</v>
      </c>
      <c r="B499" s="6">
        <f ca="1">IFERROR(__xludf.DUMMYFUNCTION("""COMPUTED_VALUE"""),45341.0957638888)</f>
        <v>45341.095763888799</v>
      </c>
      <c r="C499" s="3" t="str">
        <f ca="1">IFERROR(__xludf.DUMMYFUNCTION("""COMPUTED_VALUE"""),"purchase")</f>
        <v>purchase</v>
      </c>
      <c r="D499" s="6">
        <f t="shared" ca="1" si="0"/>
        <v>45341</v>
      </c>
      <c r="E499" s="6">
        <f t="shared" ca="1" si="1"/>
        <v>45341</v>
      </c>
      <c r="F499" s="6">
        <f t="shared" ca="1" si="2"/>
        <v>45323</v>
      </c>
      <c r="G499" s="7"/>
    </row>
    <row r="500" spans="1:7" x14ac:dyDescent="0.2">
      <c r="A500" s="3">
        <f ca="1">IFERROR(__xludf.DUMMYFUNCTION("""COMPUTED_VALUE"""),1678)</f>
        <v>1678</v>
      </c>
      <c r="B500" s="6">
        <f ca="1">IFERROR(__xludf.DUMMYFUNCTION("""COMPUTED_VALUE"""),45341.1592939814)</f>
        <v>45341.1592939814</v>
      </c>
      <c r="C500" s="3" t="str">
        <f ca="1">IFERROR(__xludf.DUMMYFUNCTION("""COMPUTED_VALUE"""),"purchase")</f>
        <v>purchase</v>
      </c>
      <c r="D500" s="6">
        <f t="shared" ca="1" si="0"/>
        <v>45341</v>
      </c>
      <c r="E500" s="6">
        <f t="shared" ca="1" si="1"/>
        <v>45341</v>
      </c>
      <c r="F500" s="6">
        <f t="shared" ca="1" si="2"/>
        <v>45323</v>
      </c>
      <c r="G500" s="7"/>
    </row>
    <row r="501" spans="1:7" x14ac:dyDescent="0.2">
      <c r="A501" s="3">
        <f ca="1">IFERROR(__xludf.DUMMYFUNCTION("""COMPUTED_VALUE"""),7040)</f>
        <v>7040</v>
      </c>
      <c r="B501" s="6">
        <f ca="1">IFERROR(__xludf.DUMMYFUNCTION("""COMPUTED_VALUE"""),45341.3349652777)</f>
        <v>45341.334965277703</v>
      </c>
      <c r="C501" s="3" t="str">
        <f ca="1">IFERROR(__xludf.DUMMYFUNCTION("""COMPUTED_VALUE"""),"purchase")</f>
        <v>purchase</v>
      </c>
      <c r="D501" s="6">
        <f t="shared" ca="1" si="0"/>
        <v>45341</v>
      </c>
      <c r="E501" s="6">
        <f t="shared" ca="1" si="1"/>
        <v>45341</v>
      </c>
      <c r="F501" s="6">
        <f t="shared" ca="1" si="2"/>
        <v>45323</v>
      </c>
      <c r="G501" s="7"/>
    </row>
    <row r="502" spans="1:7" x14ac:dyDescent="0.2">
      <c r="A502" s="3">
        <f ca="1">IFERROR(__xludf.DUMMYFUNCTION("""COMPUTED_VALUE"""),6252)</f>
        <v>6252</v>
      </c>
      <c r="B502" s="6">
        <f ca="1">IFERROR(__xludf.DUMMYFUNCTION("""COMPUTED_VALUE"""),45341.3885648148)</f>
        <v>45341.388564814799</v>
      </c>
      <c r="C502" s="3" t="str">
        <f ca="1">IFERROR(__xludf.DUMMYFUNCTION("""COMPUTED_VALUE"""),"purchase")</f>
        <v>purchase</v>
      </c>
      <c r="D502" s="6">
        <f t="shared" ca="1" si="0"/>
        <v>45341</v>
      </c>
      <c r="E502" s="6">
        <f t="shared" ca="1" si="1"/>
        <v>45341</v>
      </c>
      <c r="F502" s="6">
        <f t="shared" ca="1" si="2"/>
        <v>45323</v>
      </c>
      <c r="G502" s="7"/>
    </row>
    <row r="503" spans="1:7" x14ac:dyDescent="0.2">
      <c r="A503" s="3">
        <f ca="1">IFERROR(__xludf.DUMMYFUNCTION("""COMPUTED_VALUE"""),6863)</f>
        <v>6863</v>
      </c>
      <c r="B503" s="6">
        <f ca="1">IFERROR(__xludf.DUMMYFUNCTION("""COMPUTED_VALUE"""),45341.5619444444)</f>
        <v>45341.561944444402</v>
      </c>
      <c r="C503" s="3" t="str">
        <f ca="1">IFERROR(__xludf.DUMMYFUNCTION("""COMPUTED_VALUE"""),"purchase")</f>
        <v>purchase</v>
      </c>
      <c r="D503" s="6">
        <f t="shared" ca="1" si="0"/>
        <v>45341</v>
      </c>
      <c r="E503" s="6">
        <f t="shared" ca="1" si="1"/>
        <v>45341</v>
      </c>
      <c r="F503" s="6">
        <f t="shared" ca="1" si="2"/>
        <v>45323</v>
      </c>
      <c r="G503" s="7"/>
    </row>
    <row r="504" spans="1:7" x14ac:dyDescent="0.2">
      <c r="A504" s="3">
        <f ca="1">IFERROR(__xludf.DUMMYFUNCTION("""COMPUTED_VALUE"""),3622)</f>
        <v>3622</v>
      </c>
      <c r="B504" s="6">
        <f ca="1">IFERROR(__xludf.DUMMYFUNCTION("""COMPUTED_VALUE"""),45341.5663425925)</f>
        <v>45341.566342592501</v>
      </c>
      <c r="C504" s="3" t="str">
        <f ca="1">IFERROR(__xludf.DUMMYFUNCTION("""COMPUTED_VALUE"""),"purchase")</f>
        <v>purchase</v>
      </c>
      <c r="D504" s="6">
        <f t="shared" ca="1" si="0"/>
        <v>45341</v>
      </c>
      <c r="E504" s="6">
        <f t="shared" ca="1" si="1"/>
        <v>45341</v>
      </c>
      <c r="F504" s="6">
        <f t="shared" ca="1" si="2"/>
        <v>45323</v>
      </c>
      <c r="G504" s="7"/>
    </row>
    <row r="505" spans="1:7" x14ac:dyDescent="0.2">
      <c r="A505" s="3">
        <f ca="1">IFERROR(__xludf.DUMMYFUNCTION("""COMPUTED_VALUE"""),1050)</f>
        <v>1050</v>
      </c>
      <c r="B505" s="6">
        <f ca="1">IFERROR(__xludf.DUMMYFUNCTION("""COMPUTED_VALUE"""),45341.5833101851)</f>
        <v>45341.583310185102</v>
      </c>
      <c r="C505" s="3" t="str">
        <f ca="1">IFERROR(__xludf.DUMMYFUNCTION("""COMPUTED_VALUE"""),"purchase")</f>
        <v>purchase</v>
      </c>
      <c r="D505" s="6">
        <f t="shared" ca="1" si="0"/>
        <v>45341</v>
      </c>
      <c r="E505" s="6">
        <f t="shared" ca="1" si="1"/>
        <v>45341</v>
      </c>
      <c r="F505" s="6">
        <f t="shared" ca="1" si="2"/>
        <v>45323</v>
      </c>
      <c r="G505" s="7"/>
    </row>
    <row r="506" spans="1:7" x14ac:dyDescent="0.2">
      <c r="A506" s="3">
        <f ca="1">IFERROR(__xludf.DUMMYFUNCTION("""COMPUTED_VALUE"""),4463)</f>
        <v>4463</v>
      </c>
      <c r="B506" s="6">
        <f ca="1">IFERROR(__xludf.DUMMYFUNCTION("""COMPUTED_VALUE"""),45341.6045601851)</f>
        <v>45341.6045601851</v>
      </c>
      <c r="C506" s="3" t="str">
        <f ca="1">IFERROR(__xludf.DUMMYFUNCTION("""COMPUTED_VALUE"""),"purchase")</f>
        <v>purchase</v>
      </c>
      <c r="D506" s="6">
        <f t="shared" ca="1" si="0"/>
        <v>45341</v>
      </c>
      <c r="E506" s="6">
        <f t="shared" ca="1" si="1"/>
        <v>45341</v>
      </c>
      <c r="F506" s="6">
        <f t="shared" ca="1" si="2"/>
        <v>45323</v>
      </c>
      <c r="G506" s="7"/>
    </row>
    <row r="507" spans="1:7" x14ac:dyDescent="0.2">
      <c r="A507" s="3">
        <f ca="1">IFERROR(__xludf.DUMMYFUNCTION("""COMPUTED_VALUE"""),1702)</f>
        <v>1702</v>
      </c>
      <c r="B507" s="6">
        <f ca="1">IFERROR(__xludf.DUMMYFUNCTION("""COMPUTED_VALUE"""),45341.6079398148)</f>
        <v>45341.607939814799</v>
      </c>
      <c r="C507" s="3" t="str">
        <f ca="1">IFERROR(__xludf.DUMMYFUNCTION("""COMPUTED_VALUE"""),"purchase")</f>
        <v>purchase</v>
      </c>
      <c r="D507" s="6">
        <f t="shared" ca="1" si="0"/>
        <v>45341</v>
      </c>
      <c r="E507" s="6">
        <f t="shared" ca="1" si="1"/>
        <v>45341</v>
      </c>
      <c r="F507" s="6">
        <f t="shared" ca="1" si="2"/>
        <v>45323</v>
      </c>
      <c r="G507" s="7"/>
    </row>
    <row r="508" spans="1:7" x14ac:dyDescent="0.2">
      <c r="A508" s="3">
        <f ca="1">IFERROR(__xludf.DUMMYFUNCTION("""COMPUTED_VALUE"""),3543)</f>
        <v>3543</v>
      </c>
      <c r="B508" s="6">
        <f ca="1">IFERROR(__xludf.DUMMYFUNCTION("""COMPUTED_VALUE"""),45341.6757638888)</f>
        <v>45341.675763888801</v>
      </c>
      <c r="C508" s="3" t="str">
        <f ca="1">IFERROR(__xludf.DUMMYFUNCTION("""COMPUTED_VALUE"""),"purchase")</f>
        <v>purchase</v>
      </c>
      <c r="D508" s="6">
        <f t="shared" ca="1" si="0"/>
        <v>45341</v>
      </c>
      <c r="E508" s="6">
        <f t="shared" ca="1" si="1"/>
        <v>45341</v>
      </c>
      <c r="F508" s="6">
        <f t="shared" ca="1" si="2"/>
        <v>45323</v>
      </c>
      <c r="G508" s="7"/>
    </row>
    <row r="509" spans="1:7" x14ac:dyDescent="0.2">
      <c r="A509" s="3">
        <f ca="1">IFERROR(__xludf.DUMMYFUNCTION("""COMPUTED_VALUE"""),497)</f>
        <v>497</v>
      </c>
      <c r="B509" s="6">
        <f ca="1">IFERROR(__xludf.DUMMYFUNCTION("""COMPUTED_VALUE"""),45341.7623958333)</f>
        <v>45341.762395833299</v>
      </c>
      <c r="C509" s="3" t="str">
        <f ca="1">IFERROR(__xludf.DUMMYFUNCTION("""COMPUTED_VALUE"""),"purchase")</f>
        <v>purchase</v>
      </c>
      <c r="D509" s="6">
        <f t="shared" ca="1" si="0"/>
        <v>45341</v>
      </c>
      <c r="E509" s="6">
        <f t="shared" ca="1" si="1"/>
        <v>45341</v>
      </c>
      <c r="F509" s="6">
        <f t="shared" ca="1" si="2"/>
        <v>45323</v>
      </c>
      <c r="G509" s="7"/>
    </row>
    <row r="510" spans="1:7" x14ac:dyDescent="0.2">
      <c r="A510" s="3">
        <f ca="1">IFERROR(__xludf.DUMMYFUNCTION("""COMPUTED_VALUE"""),574)</f>
        <v>574</v>
      </c>
      <c r="B510" s="6">
        <f ca="1">IFERROR(__xludf.DUMMYFUNCTION("""COMPUTED_VALUE"""),45341.9086805555)</f>
        <v>45341.908680555498</v>
      </c>
      <c r="C510" s="3" t="str">
        <f ca="1">IFERROR(__xludf.DUMMYFUNCTION("""COMPUTED_VALUE"""),"purchase")</f>
        <v>purchase</v>
      </c>
      <c r="D510" s="6">
        <f t="shared" ca="1" si="0"/>
        <v>45341</v>
      </c>
      <c r="E510" s="6">
        <f t="shared" ca="1" si="1"/>
        <v>45341</v>
      </c>
      <c r="F510" s="6">
        <f t="shared" ca="1" si="2"/>
        <v>45323</v>
      </c>
      <c r="G510" s="7"/>
    </row>
    <row r="511" spans="1:7" x14ac:dyDescent="0.2">
      <c r="A511" s="3">
        <f ca="1">IFERROR(__xludf.DUMMYFUNCTION("""COMPUTED_VALUE"""),6233)</f>
        <v>6233</v>
      </c>
      <c r="B511" s="6">
        <f ca="1">IFERROR(__xludf.DUMMYFUNCTION("""COMPUTED_VALUE"""),45342.1438425925)</f>
        <v>45342.143842592501</v>
      </c>
      <c r="C511" s="3" t="str">
        <f ca="1">IFERROR(__xludf.DUMMYFUNCTION("""COMPUTED_VALUE"""),"purchase")</f>
        <v>purchase</v>
      </c>
      <c r="D511" s="6">
        <f t="shared" ca="1" si="0"/>
        <v>45342</v>
      </c>
      <c r="E511" s="6">
        <f t="shared" ca="1" si="1"/>
        <v>45341</v>
      </c>
      <c r="F511" s="6">
        <f t="shared" ca="1" si="2"/>
        <v>45323</v>
      </c>
      <c r="G511" s="7"/>
    </row>
    <row r="512" spans="1:7" x14ac:dyDescent="0.2">
      <c r="A512" s="3">
        <f ca="1">IFERROR(__xludf.DUMMYFUNCTION("""COMPUTED_VALUE"""),677)</f>
        <v>677</v>
      </c>
      <c r="B512" s="6">
        <f ca="1">IFERROR(__xludf.DUMMYFUNCTION("""COMPUTED_VALUE"""),45342.2325231481)</f>
        <v>45342.232523148101</v>
      </c>
      <c r="C512" s="3" t="str">
        <f ca="1">IFERROR(__xludf.DUMMYFUNCTION("""COMPUTED_VALUE"""),"purchase")</f>
        <v>purchase</v>
      </c>
      <c r="D512" s="6">
        <f t="shared" ca="1" si="0"/>
        <v>45342</v>
      </c>
      <c r="E512" s="6">
        <f t="shared" ca="1" si="1"/>
        <v>45341</v>
      </c>
      <c r="F512" s="6">
        <f t="shared" ca="1" si="2"/>
        <v>45323</v>
      </c>
      <c r="G512" s="7"/>
    </row>
    <row r="513" spans="1:7" x14ac:dyDescent="0.2">
      <c r="A513" s="3">
        <f ca="1">IFERROR(__xludf.DUMMYFUNCTION("""COMPUTED_VALUE"""),1818)</f>
        <v>1818</v>
      </c>
      <c r="B513" s="6">
        <f ca="1">IFERROR(__xludf.DUMMYFUNCTION("""COMPUTED_VALUE"""),45342.3018981481)</f>
        <v>45342.3018981481</v>
      </c>
      <c r="C513" s="3" t="str">
        <f ca="1">IFERROR(__xludf.DUMMYFUNCTION("""COMPUTED_VALUE"""),"purchase")</f>
        <v>purchase</v>
      </c>
      <c r="D513" s="6">
        <f t="shared" ca="1" si="0"/>
        <v>45342</v>
      </c>
      <c r="E513" s="6">
        <f t="shared" ca="1" si="1"/>
        <v>45341</v>
      </c>
      <c r="F513" s="6">
        <f t="shared" ca="1" si="2"/>
        <v>45323</v>
      </c>
      <c r="G513" s="7"/>
    </row>
    <row r="514" spans="1:7" x14ac:dyDescent="0.2">
      <c r="A514" s="3">
        <f ca="1">IFERROR(__xludf.DUMMYFUNCTION("""COMPUTED_VALUE"""),92)</f>
        <v>92</v>
      </c>
      <c r="B514" s="6">
        <f ca="1">IFERROR(__xludf.DUMMYFUNCTION("""COMPUTED_VALUE"""),45342.3779282407)</f>
        <v>45342.377928240698</v>
      </c>
      <c r="C514" s="3" t="str">
        <f ca="1">IFERROR(__xludf.DUMMYFUNCTION("""COMPUTED_VALUE"""),"purchase")</f>
        <v>purchase</v>
      </c>
      <c r="D514" s="6">
        <f t="shared" ca="1" si="0"/>
        <v>45342</v>
      </c>
      <c r="E514" s="6">
        <f t="shared" ca="1" si="1"/>
        <v>45341</v>
      </c>
      <c r="F514" s="6">
        <f t="shared" ca="1" si="2"/>
        <v>45323</v>
      </c>
      <c r="G514" s="7"/>
    </row>
    <row r="515" spans="1:7" x14ac:dyDescent="0.2">
      <c r="A515" s="3">
        <f ca="1">IFERROR(__xludf.DUMMYFUNCTION("""COMPUTED_VALUE"""),5787)</f>
        <v>5787</v>
      </c>
      <c r="B515" s="6">
        <f ca="1">IFERROR(__xludf.DUMMYFUNCTION("""COMPUTED_VALUE"""),45342.4000694444)</f>
        <v>45342.400069444397</v>
      </c>
      <c r="C515" s="3" t="str">
        <f ca="1">IFERROR(__xludf.DUMMYFUNCTION("""COMPUTED_VALUE"""),"purchase")</f>
        <v>purchase</v>
      </c>
      <c r="D515" s="6">
        <f t="shared" ca="1" si="0"/>
        <v>45342</v>
      </c>
      <c r="E515" s="6">
        <f t="shared" ca="1" si="1"/>
        <v>45341</v>
      </c>
      <c r="F515" s="6">
        <f t="shared" ca="1" si="2"/>
        <v>45323</v>
      </c>
      <c r="G515" s="7"/>
    </row>
    <row r="516" spans="1:7" x14ac:dyDescent="0.2">
      <c r="A516" s="3">
        <f ca="1">IFERROR(__xludf.DUMMYFUNCTION("""COMPUTED_VALUE"""),7133)</f>
        <v>7133</v>
      </c>
      <c r="B516" s="6">
        <f ca="1">IFERROR(__xludf.DUMMYFUNCTION("""COMPUTED_VALUE"""),45342.5951388888)</f>
        <v>45342.595138888799</v>
      </c>
      <c r="C516" s="3" t="str">
        <f ca="1">IFERROR(__xludf.DUMMYFUNCTION("""COMPUTED_VALUE"""),"purchase")</f>
        <v>purchase</v>
      </c>
      <c r="D516" s="6">
        <f t="shared" ca="1" si="0"/>
        <v>45342</v>
      </c>
      <c r="E516" s="6">
        <f t="shared" ca="1" si="1"/>
        <v>45341</v>
      </c>
      <c r="F516" s="6">
        <f t="shared" ca="1" si="2"/>
        <v>45323</v>
      </c>
      <c r="G516" s="7"/>
    </row>
    <row r="517" spans="1:7" x14ac:dyDescent="0.2">
      <c r="A517" s="3">
        <f ca="1">IFERROR(__xludf.DUMMYFUNCTION("""COMPUTED_VALUE"""),712)</f>
        <v>712</v>
      </c>
      <c r="B517" s="6">
        <f ca="1">IFERROR(__xludf.DUMMYFUNCTION("""COMPUTED_VALUE"""),45342.7168518518)</f>
        <v>45342.716851851801</v>
      </c>
      <c r="C517" s="3" t="str">
        <f ca="1">IFERROR(__xludf.DUMMYFUNCTION("""COMPUTED_VALUE"""),"purchase")</f>
        <v>purchase</v>
      </c>
      <c r="D517" s="6">
        <f t="shared" ca="1" si="0"/>
        <v>45342</v>
      </c>
      <c r="E517" s="6">
        <f t="shared" ca="1" si="1"/>
        <v>45341</v>
      </c>
      <c r="F517" s="6">
        <f t="shared" ca="1" si="2"/>
        <v>45323</v>
      </c>
      <c r="G517" s="7"/>
    </row>
    <row r="518" spans="1:7" x14ac:dyDescent="0.2">
      <c r="A518" s="3">
        <f ca="1">IFERROR(__xludf.DUMMYFUNCTION("""COMPUTED_VALUE"""),1245)</f>
        <v>1245</v>
      </c>
      <c r="B518" s="6">
        <f ca="1">IFERROR(__xludf.DUMMYFUNCTION("""COMPUTED_VALUE"""),45342.8189351851)</f>
        <v>45342.818935185103</v>
      </c>
      <c r="C518" s="3" t="str">
        <f ca="1">IFERROR(__xludf.DUMMYFUNCTION("""COMPUTED_VALUE"""),"purchase")</f>
        <v>purchase</v>
      </c>
      <c r="D518" s="6">
        <f t="shared" ca="1" si="0"/>
        <v>45342</v>
      </c>
      <c r="E518" s="6">
        <f t="shared" ca="1" si="1"/>
        <v>45341</v>
      </c>
      <c r="F518" s="6">
        <f t="shared" ca="1" si="2"/>
        <v>45323</v>
      </c>
      <c r="G518" s="7"/>
    </row>
    <row r="519" spans="1:7" x14ac:dyDescent="0.2">
      <c r="A519" s="3">
        <f ca="1">IFERROR(__xludf.DUMMYFUNCTION("""COMPUTED_VALUE"""),3796)</f>
        <v>3796</v>
      </c>
      <c r="B519" s="6">
        <f ca="1">IFERROR(__xludf.DUMMYFUNCTION("""COMPUTED_VALUE"""),45342.8361111111)</f>
        <v>45342.836111111101</v>
      </c>
      <c r="C519" s="3" t="str">
        <f ca="1">IFERROR(__xludf.DUMMYFUNCTION("""COMPUTED_VALUE"""),"purchase")</f>
        <v>purchase</v>
      </c>
      <c r="D519" s="6">
        <f t="shared" ca="1" si="0"/>
        <v>45342</v>
      </c>
      <c r="E519" s="6">
        <f t="shared" ca="1" si="1"/>
        <v>45341</v>
      </c>
      <c r="F519" s="6">
        <f t="shared" ca="1" si="2"/>
        <v>45323</v>
      </c>
      <c r="G519" s="7"/>
    </row>
    <row r="520" spans="1:7" x14ac:dyDescent="0.2">
      <c r="A520" s="3">
        <f ca="1">IFERROR(__xludf.DUMMYFUNCTION("""COMPUTED_VALUE"""),1514)</f>
        <v>1514</v>
      </c>
      <c r="B520" s="6">
        <f ca="1">IFERROR(__xludf.DUMMYFUNCTION("""COMPUTED_VALUE"""),45342.903761574)</f>
        <v>45342.903761574002</v>
      </c>
      <c r="C520" s="3" t="str">
        <f ca="1">IFERROR(__xludf.DUMMYFUNCTION("""COMPUTED_VALUE"""),"purchase")</f>
        <v>purchase</v>
      </c>
      <c r="D520" s="6">
        <f t="shared" ca="1" si="0"/>
        <v>45342</v>
      </c>
      <c r="E520" s="6">
        <f t="shared" ca="1" si="1"/>
        <v>45341</v>
      </c>
      <c r="F520" s="6">
        <f t="shared" ca="1" si="2"/>
        <v>45323</v>
      </c>
      <c r="G520" s="7"/>
    </row>
    <row r="521" spans="1:7" x14ac:dyDescent="0.2">
      <c r="A521" s="3">
        <f ca="1">IFERROR(__xludf.DUMMYFUNCTION("""COMPUTED_VALUE"""),2459)</f>
        <v>2459</v>
      </c>
      <c r="B521" s="6">
        <f ca="1">IFERROR(__xludf.DUMMYFUNCTION("""COMPUTED_VALUE"""),45342.9443171296)</f>
        <v>45342.944317129601</v>
      </c>
      <c r="C521" s="3" t="str">
        <f ca="1">IFERROR(__xludf.DUMMYFUNCTION("""COMPUTED_VALUE"""),"purchase")</f>
        <v>purchase</v>
      </c>
      <c r="D521" s="6">
        <f t="shared" ca="1" si="0"/>
        <v>45342</v>
      </c>
      <c r="E521" s="6">
        <f t="shared" ca="1" si="1"/>
        <v>45341</v>
      </c>
      <c r="F521" s="6">
        <f t="shared" ca="1" si="2"/>
        <v>45323</v>
      </c>
      <c r="G521" s="7"/>
    </row>
    <row r="522" spans="1:7" x14ac:dyDescent="0.2">
      <c r="A522" s="3">
        <f ca="1">IFERROR(__xludf.DUMMYFUNCTION("""COMPUTED_VALUE"""),2629)</f>
        <v>2629</v>
      </c>
      <c r="B522" s="6">
        <f ca="1">IFERROR(__xludf.DUMMYFUNCTION("""COMPUTED_VALUE"""),45343.0644097222)</f>
        <v>45343.064409722203</v>
      </c>
      <c r="C522" s="3" t="str">
        <f ca="1">IFERROR(__xludf.DUMMYFUNCTION("""COMPUTED_VALUE"""),"purchase")</f>
        <v>purchase</v>
      </c>
      <c r="D522" s="6">
        <f t="shared" ca="1" si="0"/>
        <v>45343</v>
      </c>
      <c r="E522" s="6">
        <f t="shared" ca="1" si="1"/>
        <v>45341</v>
      </c>
      <c r="F522" s="6">
        <f t="shared" ca="1" si="2"/>
        <v>45323</v>
      </c>
      <c r="G522" s="7"/>
    </row>
    <row r="523" spans="1:7" x14ac:dyDescent="0.2">
      <c r="A523" s="3">
        <f ca="1">IFERROR(__xludf.DUMMYFUNCTION("""COMPUTED_VALUE"""),4768)</f>
        <v>4768</v>
      </c>
      <c r="B523" s="6">
        <f ca="1">IFERROR(__xludf.DUMMYFUNCTION("""COMPUTED_VALUE"""),45343.1259027777)</f>
        <v>45343.125902777698</v>
      </c>
      <c r="C523" s="3" t="str">
        <f ca="1">IFERROR(__xludf.DUMMYFUNCTION("""COMPUTED_VALUE"""),"purchase")</f>
        <v>purchase</v>
      </c>
      <c r="D523" s="6">
        <f t="shared" ca="1" si="0"/>
        <v>45343</v>
      </c>
      <c r="E523" s="6">
        <f t="shared" ca="1" si="1"/>
        <v>45341</v>
      </c>
      <c r="F523" s="6">
        <f t="shared" ca="1" si="2"/>
        <v>45323</v>
      </c>
      <c r="G523" s="7"/>
    </row>
    <row r="524" spans="1:7" x14ac:dyDescent="0.2">
      <c r="A524" s="3">
        <f ca="1">IFERROR(__xludf.DUMMYFUNCTION("""COMPUTED_VALUE"""),6996)</f>
        <v>6996</v>
      </c>
      <c r="B524" s="6">
        <f ca="1">IFERROR(__xludf.DUMMYFUNCTION("""COMPUTED_VALUE"""),45343.1828472222)</f>
        <v>45343.182847222197</v>
      </c>
      <c r="C524" s="3" t="str">
        <f ca="1">IFERROR(__xludf.DUMMYFUNCTION("""COMPUTED_VALUE"""),"purchase")</f>
        <v>purchase</v>
      </c>
      <c r="D524" s="6">
        <f t="shared" ca="1" si="0"/>
        <v>45343</v>
      </c>
      <c r="E524" s="6">
        <f t="shared" ca="1" si="1"/>
        <v>45341</v>
      </c>
      <c r="F524" s="6">
        <f t="shared" ca="1" si="2"/>
        <v>45323</v>
      </c>
      <c r="G524" s="7"/>
    </row>
    <row r="525" spans="1:7" x14ac:dyDescent="0.2">
      <c r="A525" s="3">
        <f ca="1">IFERROR(__xludf.DUMMYFUNCTION("""COMPUTED_VALUE"""),5539)</f>
        <v>5539</v>
      </c>
      <c r="B525" s="6">
        <f ca="1">IFERROR(__xludf.DUMMYFUNCTION("""COMPUTED_VALUE"""),45343.2908912037)</f>
        <v>45343.290891203702</v>
      </c>
      <c r="C525" s="3" t="str">
        <f ca="1">IFERROR(__xludf.DUMMYFUNCTION("""COMPUTED_VALUE"""),"purchase")</f>
        <v>purchase</v>
      </c>
      <c r="D525" s="6">
        <f t="shared" ca="1" si="0"/>
        <v>45343</v>
      </c>
      <c r="E525" s="6">
        <f t="shared" ca="1" si="1"/>
        <v>45341</v>
      </c>
      <c r="F525" s="6">
        <f t="shared" ca="1" si="2"/>
        <v>45323</v>
      </c>
      <c r="G525" s="7"/>
    </row>
    <row r="526" spans="1:7" x14ac:dyDescent="0.2">
      <c r="A526" s="3">
        <f ca="1">IFERROR(__xludf.DUMMYFUNCTION("""COMPUTED_VALUE"""),2003)</f>
        <v>2003</v>
      </c>
      <c r="B526" s="6">
        <f ca="1">IFERROR(__xludf.DUMMYFUNCTION("""COMPUTED_VALUE"""),45343.4432638888)</f>
        <v>45343.443263888803</v>
      </c>
      <c r="C526" s="3" t="str">
        <f ca="1">IFERROR(__xludf.DUMMYFUNCTION("""COMPUTED_VALUE"""),"purchase")</f>
        <v>purchase</v>
      </c>
      <c r="D526" s="6">
        <f t="shared" ca="1" si="0"/>
        <v>45343</v>
      </c>
      <c r="E526" s="6">
        <f t="shared" ca="1" si="1"/>
        <v>45341</v>
      </c>
      <c r="F526" s="6">
        <f t="shared" ca="1" si="2"/>
        <v>45323</v>
      </c>
      <c r="G526" s="7"/>
    </row>
    <row r="527" spans="1:7" x14ac:dyDescent="0.2">
      <c r="A527" s="3">
        <f ca="1">IFERROR(__xludf.DUMMYFUNCTION("""COMPUTED_VALUE"""),5357)</f>
        <v>5357</v>
      </c>
      <c r="B527" s="6">
        <f ca="1">IFERROR(__xludf.DUMMYFUNCTION("""COMPUTED_VALUE"""),45343.4683680555)</f>
        <v>45343.468368055503</v>
      </c>
      <c r="C527" s="3" t="str">
        <f ca="1">IFERROR(__xludf.DUMMYFUNCTION("""COMPUTED_VALUE"""),"purchase")</f>
        <v>purchase</v>
      </c>
      <c r="D527" s="6">
        <f t="shared" ca="1" si="0"/>
        <v>45343</v>
      </c>
      <c r="E527" s="6">
        <f t="shared" ca="1" si="1"/>
        <v>45341</v>
      </c>
      <c r="F527" s="6">
        <f t="shared" ca="1" si="2"/>
        <v>45323</v>
      </c>
      <c r="G527" s="7"/>
    </row>
    <row r="528" spans="1:7" x14ac:dyDescent="0.2">
      <c r="A528" s="3">
        <f ca="1">IFERROR(__xludf.DUMMYFUNCTION("""COMPUTED_VALUE"""),1452)</f>
        <v>1452</v>
      </c>
      <c r="B528" s="6">
        <f ca="1">IFERROR(__xludf.DUMMYFUNCTION("""COMPUTED_VALUE"""),45343.5004282407)</f>
        <v>45343.500428240703</v>
      </c>
      <c r="C528" s="3" t="str">
        <f ca="1">IFERROR(__xludf.DUMMYFUNCTION("""COMPUTED_VALUE"""),"purchase")</f>
        <v>purchase</v>
      </c>
      <c r="D528" s="6">
        <f t="shared" ca="1" si="0"/>
        <v>45343</v>
      </c>
      <c r="E528" s="6">
        <f t="shared" ca="1" si="1"/>
        <v>45341</v>
      </c>
      <c r="F528" s="6">
        <f t="shared" ca="1" si="2"/>
        <v>45323</v>
      </c>
      <c r="G528" s="7"/>
    </row>
    <row r="529" spans="1:7" x14ac:dyDescent="0.2">
      <c r="A529" s="3">
        <f ca="1">IFERROR(__xludf.DUMMYFUNCTION("""COMPUTED_VALUE"""),58)</f>
        <v>58</v>
      </c>
      <c r="B529" s="6">
        <f ca="1">IFERROR(__xludf.DUMMYFUNCTION("""COMPUTED_VALUE"""),45343.6084837963)</f>
        <v>45343.608483796299</v>
      </c>
      <c r="C529" s="3" t="str">
        <f ca="1">IFERROR(__xludf.DUMMYFUNCTION("""COMPUTED_VALUE"""),"purchase")</f>
        <v>purchase</v>
      </c>
      <c r="D529" s="6">
        <f t="shared" ca="1" si="0"/>
        <v>45343</v>
      </c>
      <c r="E529" s="6">
        <f t="shared" ca="1" si="1"/>
        <v>45341</v>
      </c>
      <c r="F529" s="6">
        <f t="shared" ca="1" si="2"/>
        <v>45323</v>
      </c>
      <c r="G529" s="7"/>
    </row>
    <row r="530" spans="1:7" x14ac:dyDescent="0.2">
      <c r="A530" s="3">
        <f ca="1">IFERROR(__xludf.DUMMYFUNCTION("""COMPUTED_VALUE"""),3930)</f>
        <v>3930</v>
      </c>
      <c r="B530" s="6">
        <f ca="1">IFERROR(__xludf.DUMMYFUNCTION("""COMPUTED_VALUE"""),45343.9664583333)</f>
        <v>45343.9664583333</v>
      </c>
      <c r="C530" s="3" t="str">
        <f ca="1">IFERROR(__xludf.DUMMYFUNCTION("""COMPUTED_VALUE"""),"purchase")</f>
        <v>purchase</v>
      </c>
      <c r="D530" s="6">
        <f t="shared" ca="1" si="0"/>
        <v>45343</v>
      </c>
      <c r="E530" s="6">
        <f t="shared" ca="1" si="1"/>
        <v>45341</v>
      </c>
      <c r="F530" s="6">
        <f t="shared" ca="1" si="2"/>
        <v>45323</v>
      </c>
      <c r="G530" s="7"/>
    </row>
    <row r="531" spans="1:7" x14ac:dyDescent="0.2">
      <c r="A531" s="3">
        <f ca="1">IFERROR(__xludf.DUMMYFUNCTION("""COMPUTED_VALUE"""),7260)</f>
        <v>7260</v>
      </c>
      <c r="B531" s="6">
        <f ca="1">IFERROR(__xludf.DUMMYFUNCTION("""COMPUTED_VALUE"""),45344.0692129629)</f>
        <v>45344.069212962902</v>
      </c>
      <c r="C531" s="3" t="str">
        <f ca="1">IFERROR(__xludf.DUMMYFUNCTION("""COMPUTED_VALUE"""),"purchase")</f>
        <v>purchase</v>
      </c>
      <c r="D531" s="6">
        <f t="shared" ca="1" si="0"/>
        <v>45344</v>
      </c>
      <c r="E531" s="6">
        <f t="shared" ca="1" si="1"/>
        <v>45341</v>
      </c>
      <c r="F531" s="6">
        <f t="shared" ca="1" si="2"/>
        <v>45323</v>
      </c>
      <c r="G531" s="7"/>
    </row>
    <row r="532" spans="1:7" x14ac:dyDescent="0.2">
      <c r="A532" s="3">
        <f ca="1">IFERROR(__xludf.DUMMYFUNCTION("""COMPUTED_VALUE"""),122)</f>
        <v>122</v>
      </c>
      <c r="B532" s="6">
        <f ca="1">IFERROR(__xludf.DUMMYFUNCTION("""COMPUTED_VALUE"""),45344.095324074)</f>
        <v>45344.095324073998</v>
      </c>
      <c r="C532" s="3" t="str">
        <f ca="1">IFERROR(__xludf.DUMMYFUNCTION("""COMPUTED_VALUE"""),"purchase")</f>
        <v>purchase</v>
      </c>
      <c r="D532" s="6">
        <f t="shared" ca="1" si="0"/>
        <v>45344</v>
      </c>
      <c r="E532" s="6">
        <f t="shared" ca="1" si="1"/>
        <v>45341</v>
      </c>
      <c r="F532" s="6">
        <f t="shared" ca="1" si="2"/>
        <v>45323</v>
      </c>
      <c r="G532" s="7"/>
    </row>
    <row r="533" spans="1:7" x14ac:dyDescent="0.2">
      <c r="A533" s="3">
        <f ca="1">IFERROR(__xludf.DUMMYFUNCTION("""COMPUTED_VALUE"""),7282)</f>
        <v>7282</v>
      </c>
      <c r="B533" s="6">
        <f ca="1">IFERROR(__xludf.DUMMYFUNCTION("""COMPUTED_VALUE"""),45344.1080671296)</f>
        <v>45344.1080671296</v>
      </c>
      <c r="C533" s="3" t="str">
        <f ca="1">IFERROR(__xludf.DUMMYFUNCTION("""COMPUTED_VALUE"""),"purchase")</f>
        <v>purchase</v>
      </c>
      <c r="D533" s="6">
        <f t="shared" ca="1" si="0"/>
        <v>45344</v>
      </c>
      <c r="E533" s="6">
        <f t="shared" ca="1" si="1"/>
        <v>45341</v>
      </c>
      <c r="F533" s="6">
        <f t="shared" ca="1" si="2"/>
        <v>45323</v>
      </c>
      <c r="G533" s="7"/>
    </row>
    <row r="534" spans="1:7" x14ac:dyDescent="0.2">
      <c r="A534" s="3">
        <f ca="1">IFERROR(__xludf.DUMMYFUNCTION("""COMPUTED_VALUE"""),7217)</f>
        <v>7217</v>
      </c>
      <c r="B534" s="6">
        <f ca="1">IFERROR(__xludf.DUMMYFUNCTION("""COMPUTED_VALUE"""),45344.1654513888)</f>
        <v>45344.165451388799</v>
      </c>
      <c r="C534" s="3" t="str">
        <f ca="1">IFERROR(__xludf.DUMMYFUNCTION("""COMPUTED_VALUE"""),"purchase")</f>
        <v>purchase</v>
      </c>
      <c r="D534" s="6">
        <f t="shared" ca="1" si="0"/>
        <v>45344</v>
      </c>
      <c r="E534" s="6">
        <f t="shared" ca="1" si="1"/>
        <v>45341</v>
      </c>
      <c r="F534" s="6">
        <f t="shared" ca="1" si="2"/>
        <v>45323</v>
      </c>
      <c r="G534" s="7"/>
    </row>
    <row r="535" spans="1:7" x14ac:dyDescent="0.2">
      <c r="A535" s="3">
        <f ca="1">IFERROR(__xludf.DUMMYFUNCTION("""COMPUTED_VALUE"""),5304)</f>
        <v>5304</v>
      </c>
      <c r="B535" s="6">
        <f ca="1">IFERROR(__xludf.DUMMYFUNCTION("""COMPUTED_VALUE"""),45344.3282638888)</f>
        <v>45344.328263888798</v>
      </c>
      <c r="C535" s="3" t="str">
        <f ca="1">IFERROR(__xludf.DUMMYFUNCTION("""COMPUTED_VALUE"""),"purchase")</f>
        <v>purchase</v>
      </c>
      <c r="D535" s="6">
        <f t="shared" ca="1" si="0"/>
        <v>45344</v>
      </c>
      <c r="E535" s="6">
        <f t="shared" ca="1" si="1"/>
        <v>45341</v>
      </c>
      <c r="F535" s="6">
        <f t="shared" ca="1" si="2"/>
        <v>45323</v>
      </c>
      <c r="G535" s="7"/>
    </row>
    <row r="536" spans="1:7" x14ac:dyDescent="0.2">
      <c r="A536" s="3">
        <f ca="1">IFERROR(__xludf.DUMMYFUNCTION("""COMPUTED_VALUE"""),881)</f>
        <v>881</v>
      </c>
      <c r="B536" s="6">
        <f ca="1">IFERROR(__xludf.DUMMYFUNCTION("""COMPUTED_VALUE"""),45344.3365162037)</f>
        <v>45344.336516203701</v>
      </c>
      <c r="C536" s="3" t="str">
        <f ca="1">IFERROR(__xludf.DUMMYFUNCTION("""COMPUTED_VALUE"""),"purchase")</f>
        <v>purchase</v>
      </c>
      <c r="D536" s="6">
        <f t="shared" ca="1" si="0"/>
        <v>45344</v>
      </c>
      <c r="E536" s="6">
        <f t="shared" ca="1" si="1"/>
        <v>45341</v>
      </c>
      <c r="F536" s="6">
        <f t="shared" ca="1" si="2"/>
        <v>45323</v>
      </c>
      <c r="G536" s="7"/>
    </row>
    <row r="537" spans="1:7" x14ac:dyDescent="0.2">
      <c r="A537" s="3">
        <f ca="1">IFERROR(__xludf.DUMMYFUNCTION("""COMPUTED_VALUE"""),6952)</f>
        <v>6952</v>
      </c>
      <c r="B537" s="6">
        <f ca="1">IFERROR(__xludf.DUMMYFUNCTION("""COMPUTED_VALUE"""),45344.390474537)</f>
        <v>45344.390474537002</v>
      </c>
      <c r="C537" s="3" t="str">
        <f ca="1">IFERROR(__xludf.DUMMYFUNCTION("""COMPUTED_VALUE"""),"purchase")</f>
        <v>purchase</v>
      </c>
      <c r="D537" s="6">
        <f t="shared" ca="1" si="0"/>
        <v>45344</v>
      </c>
      <c r="E537" s="6">
        <f t="shared" ca="1" si="1"/>
        <v>45341</v>
      </c>
      <c r="F537" s="6">
        <f t="shared" ca="1" si="2"/>
        <v>45323</v>
      </c>
      <c r="G537" s="7"/>
    </row>
    <row r="538" spans="1:7" x14ac:dyDescent="0.2">
      <c r="A538" s="3">
        <f ca="1">IFERROR(__xludf.DUMMYFUNCTION("""COMPUTED_VALUE"""),7033)</f>
        <v>7033</v>
      </c>
      <c r="B538" s="6">
        <f ca="1">IFERROR(__xludf.DUMMYFUNCTION("""COMPUTED_VALUE"""),45344.5447222222)</f>
        <v>45344.544722222199</v>
      </c>
      <c r="C538" s="3" t="str">
        <f ca="1">IFERROR(__xludf.DUMMYFUNCTION("""COMPUTED_VALUE"""),"purchase")</f>
        <v>purchase</v>
      </c>
      <c r="D538" s="6">
        <f t="shared" ca="1" si="0"/>
        <v>45344</v>
      </c>
      <c r="E538" s="6">
        <f t="shared" ca="1" si="1"/>
        <v>45341</v>
      </c>
      <c r="F538" s="6">
        <f t="shared" ca="1" si="2"/>
        <v>45323</v>
      </c>
      <c r="G538" s="7"/>
    </row>
    <row r="539" spans="1:7" x14ac:dyDescent="0.2">
      <c r="A539" s="3">
        <f ca="1">IFERROR(__xludf.DUMMYFUNCTION("""COMPUTED_VALUE"""),1204)</f>
        <v>1204</v>
      </c>
      <c r="B539" s="6">
        <f ca="1">IFERROR(__xludf.DUMMYFUNCTION("""COMPUTED_VALUE"""),45344.675011574)</f>
        <v>45344.675011574</v>
      </c>
      <c r="C539" s="3" t="str">
        <f ca="1">IFERROR(__xludf.DUMMYFUNCTION("""COMPUTED_VALUE"""),"purchase")</f>
        <v>purchase</v>
      </c>
      <c r="D539" s="6">
        <f t="shared" ca="1" si="0"/>
        <v>45344</v>
      </c>
      <c r="E539" s="6">
        <f t="shared" ca="1" si="1"/>
        <v>45341</v>
      </c>
      <c r="F539" s="6">
        <f t="shared" ca="1" si="2"/>
        <v>45323</v>
      </c>
      <c r="G539" s="7"/>
    </row>
    <row r="540" spans="1:7" x14ac:dyDescent="0.2">
      <c r="A540" s="3">
        <f ca="1">IFERROR(__xludf.DUMMYFUNCTION("""COMPUTED_VALUE"""),3471)</f>
        <v>3471</v>
      </c>
      <c r="B540" s="6">
        <f ca="1">IFERROR(__xludf.DUMMYFUNCTION("""COMPUTED_VALUE"""),45344.736724537)</f>
        <v>45344.736724536997</v>
      </c>
      <c r="C540" s="3" t="str">
        <f ca="1">IFERROR(__xludf.DUMMYFUNCTION("""COMPUTED_VALUE"""),"purchase")</f>
        <v>purchase</v>
      </c>
      <c r="D540" s="6">
        <f t="shared" ca="1" si="0"/>
        <v>45344</v>
      </c>
      <c r="E540" s="6">
        <f t="shared" ca="1" si="1"/>
        <v>45341</v>
      </c>
      <c r="F540" s="6">
        <f t="shared" ca="1" si="2"/>
        <v>45323</v>
      </c>
      <c r="G540" s="7"/>
    </row>
    <row r="541" spans="1:7" x14ac:dyDescent="0.2">
      <c r="A541" s="3">
        <f ca="1">IFERROR(__xludf.DUMMYFUNCTION("""COMPUTED_VALUE"""),5503)</f>
        <v>5503</v>
      </c>
      <c r="B541" s="6">
        <f ca="1">IFERROR(__xludf.DUMMYFUNCTION("""COMPUTED_VALUE"""),45344.8195254629)</f>
        <v>45344.819525462903</v>
      </c>
      <c r="C541" s="3" t="str">
        <f ca="1">IFERROR(__xludf.DUMMYFUNCTION("""COMPUTED_VALUE"""),"purchase")</f>
        <v>purchase</v>
      </c>
      <c r="D541" s="6">
        <f t="shared" ca="1" si="0"/>
        <v>45344</v>
      </c>
      <c r="E541" s="6">
        <f t="shared" ca="1" si="1"/>
        <v>45341</v>
      </c>
      <c r="F541" s="6">
        <f t="shared" ca="1" si="2"/>
        <v>45323</v>
      </c>
      <c r="G541" s="7"/>
    </row>
    <row r="542" spans="1:7" x14ac:dyDescent="0.2">
      <c r="A542" s="3">
        <f ca="1">IFERROR(__xludf.DUMMYFUNCTION("""COMPUTED_VALUE"""),333)</f>
        <v>333</v>
      </c>
      <c r="B542" s="6">
        <f ca="1">IFERROR(__xludf.DUMMYFUNCTION("""COMPUTED_VALUE"""),45344.8411921296)</f>
        <v>45344.841192129599</v>
      </c>
      <c r="C542" s="3" t="str">
        <f ca="1">IFERROR(__xludf.DUMMYFUNCTION("""COMPUTED_VALUE"""),"purchase")</f>
        <v>purchase</v>
      </c>
      <c r="D542" s="6">
        <f t="shared" ca="1" si="0"/>
        <v>45344</v>
      </c>
      <c r="E542" s="6">
        <f t="shared" ca="1" si="1"/>
        <v>45341</v>
      </c>
      <c r="F542" s="6">
        <f t="shared" ca="1" si="2"/>
        <v>45323</v>
      </c>
      <c r="G542" s="7"/>
    </row>
    <row r="543" spans="1:7" x14ac:dyDescent="0.2">
      <c r="A543" s="3">
        <f ca="1">IFERROR(__xludf.DUMMYFUNCTION("""COMPUTED_VALUE"""),7805)</f>
        <v>7805</v>
      </c>
      <c r="B543" s="6">
        <f ca="1">IFERROR(__xludf.DUMMYFUNCTION("""COMPUTED_VALUE"""),45344.9110185184)</f>
        <v>45344.911018518498</v>
      </c>
      <c r="C543" s="3" t="str">
        <f ca="1">IFERROR(__xludf.DUMMYFUNCTION("""COMPUTED_VALUE"""),"purchase")</f>
        <v>purchase</v>
      </c>
      <c r="D543" s="6">
        <f t="shared" ca="1" si="0"/>
        <v>45344</v>
      </c>
      <c r="E543" s="6">
        <f t="shared" ca="1" si="1"/>
        <v>45341</v>
      </c>
      <c r="F543" s="6">
        <f t="shared" ca="1" si="2"/>
        <v>45323</v>
      </c>
      <c r="G543" s="7"/>
    </row>
    <row r="544" spans="1:7" x14ac:dyDescent="0.2">
      <c r="A544" s="3">
        <f ca="1">IFERROR(__xludf.DUMMYFUNCTION("""COMPUTED_VALUE"""),1563)</f>
        <v>1563</v>
      </c>
      <c r="B544" s="6">
        <f ca="1">IFERROR(__xludf.DUMMYFUNCTION("""COMPUTED_VALUE"""),45344.9885416666)</f>
        <v>45344.9885416666</v>
      </c>
      <c r="C544" s="3" t="str">
        <f ca="1">IFERROR(__xludf.DUMMYFUNCTION("""COMPUTED_VALUE"""),"purchase")</f>
        <v>purchase</v>
      </c>
      <c r="D544" s="6">
        <f t="shared" ca="1" si="0"/>
        <v>45344</v>
      </c>
      <c r="E544" s="6">
        <f t="shared" ca="1" si="1"/>
        <v>45341</v>
      </c>
      <c r="F544" s="6">
        <f t="shared" ca="1" si="2"/>
        <v>45323</v>
      </c>
      <c r="G544" s="7"/>
    </row>
    <row r="545" spans="1:7" x14ac:dyDescent="0.2">
      <c r="A545" s="3">
        <f ca="1">IFERROR(__xludf.DUMMYFUNCTION("""COMPUTED_VALUE"""),7606)</f>
        <v>7606</v>
      </c>
      <c r="B545" s="6">
        <f ca="1">IFERROR(__xludf.DUMMYFUNCTION("""COMPUTED_VALUE"""),45345.2217939814)</f>
        <v>45345.2217939814</v>
      </c>
      <c r="C545" s="3" t="str">
        <f ca="1">IFERROR(__xludf.DUMMYFUNCTION("""COMPUTED_VALUE"""),"purchase")</f>
        <v>purchase</v>
      </c>
      <c r="D545" s="6">
        <f t="shared" ca="1" si="0"/>
        <v>45345</v>
      </c>
      <c r="E545" s="6">
        <f t="shared" ca="1" si="1"/>
        <v>45341</v>
      </c>
      <c r="F545" s="6">
        <f t="shared" ca="1" si="2"/>
        <v>45323</v>
      </c>
      <c r="G545" s="7"/>
    </row>
    <row r="546" spans="1:7" x14ac:dyDescent="0.2">
      <c r="A546" s="3">
        <f ca="1">IFERROR(__xludf.DUMMYFUNCTION("""COMPUTED_VALUE"""),1508)</f>
        <v>1508</v>
      </c>
      <c r="B546" s="6">
        <f ca="1">IFERROR(__xludf.DUMMYFUNCTION("""COMPUTED_VALUE"""),45345.2530671296)</f>
        <v>45345.253067129597</v>
      </c>
      <c r="C546" s="3" t="str">
        <f ca="1">IFERROR(__xludf.DUMMYFUNCTION("""COMPUTED_VALUE"""),"purchase")</f>
        <v>purchase</v>
      </c>
      <c r="D546" s="6">
        <f t="shared" ca="1" si="0"/>
        <v>45345</v>
      </c>
      <c r="E546" s="6">
        <f t="shared" ca="1" si="1"/>
        <v>45341</v>
      </c>
      <c r="F546" s="6">
        <f t="shared" ca="1" si="2"/>
        <v>45323</v>
      </c>
      <c r="G546" s="7"/>
    </row>
    <row r="547" spans="1:7" x14ac:dyDescent="0.2">
      <c r="A547" s="3">
        <f ca="1">IFERROR(__xludf.DUMMYFUNCTION("""COMPUTED_VALUE"""),1791)</f>
        <v>1791</v>
      </c>
      <c r="B547" s="6">
        <f ca="1">IFERROR(__xludf.DUMMYFUNCTION("""COMPUTED_VALUE"""),45345.2542129629)</f>
        <v>45345.2542129629</v>
      </c>
      <c r="C547" s="3" t="str">
        <f ca="1">IFERROR(__xludf.DUMMYFUNCTION("""COMPUTED_VALUE"""),"purchase")</f>
        <v>purchase</v>
      </c>
      <c r="D547" s="6">
        <f t="shared" ca="1" si="0"/>
        <v>45345</v>
      </c>
      <c r="E547" s="6">
        <f t="shared" ca="1" si="1"/>
        <v>45341</v>
      </c>
      <c r="F547" s="6">
        <f t="shared" ca="1" si="2"/>
        <v>45323</v>
      </c>
      <c r="G547" s="7"/>
    </row>
    <row r="548" spans="1:7" x14ac:dyDescent="0.2">
      <c r="A548" s="3">
        <f ca="1">IFERROR(__xludf.DUMMYFUNCTION("""COMPUTED_VALUE"""),1672)</f>
        <v>1672</v>
      </c>
      <c r="B548" s="6">
        <f ca="1">IFERROR(__xludf.DUMMYFUNCTION("""COMPUTED_VALUE"""),45345.312662037)</f>
        <v>45345.312662037002</v>
      </c>
      <c r="C548" s="3" t="str">
        <f ca="1">IFERROR(__xludf.DUMMYFUNCTION("""COMPUTED_VALUE"""),"purchase")</f>
        <v>purchase</v>
      </c>
      <c r="D548" s="6">
        <f t="shared" ca="1" si="0"/>
        <v>45345</v>
      </c>
      <c r="E548" s="6">
        <f t="shared" ca="1" si="1"/>
        <v>45341</v>
      </c>
      <c r="F548" s="6">
        <f t="shared" ca="1" si="2"/>
        <v>45323</v>
      </c>
      <c r="G548" s="7"/>
    </row>
    <row r="549" spans="1:7" x14ac:dyDescent="0.2">
      <c r="A549" s="3">
        <f ca="1">IFERROR(__xludf.DUMMYFUNCTION("""COMPUTED_VALUE"""),411)</f>
        <v>411</v>
      </c>
      <c r="B549" s="6">
        <f ca="1">IFERROR(__xludf.DUMMYFUNCTION("""COMPUTED_VALUE"""),45345.3939004629)</f>
        <v>45345.393900462899</v>
      </c>
      <c r="C549" s="3" t="str">
        <f ca="1">IFERROR(__xludf.DUMMYFUNCTION("""COMPUTED_VALUE"""),"purchase")</f>
        <v>purchase</v>
      </c>
      <c r="D549" s="6">
        <f t="shared" ca="1" si="0"/>
        <v>45345</v>
      </c>
      <c r="E549" s="6">
        <f t="shared" ca="1" si="1"/>
        <v>45341</v>
      </c>
      <c r="F549" s="6">
        <f t="shared" ca="1" si="2"/>
        <v>45323</v>
      </c>
      <c r="G549" s="7"/>
    </row>
    <row r="550" spans="1:7" x14ac:dyDescent="0.2">
      <c r="A550" s="3">
        <f ca="1">IFERROR(__xludf.DUMMYFUNCTION("""COMPUTED_VALUE"""),3862)</f>
        <v>3862</v>
      </c>
      <c r="B550" s="6">
        <f ca="1">IFERROR(__xludf.DUMMYFUNCTION("""COMPUTED_VALUE"""),45345.4005555555)</f>
        <v>45345.400555555498</v>
      </c>
      <c r="C550" s="3" t="str">
        <f ca="1">IFERROR(__xludf.DUMMYFUNCTION("""COMPUTED_VALUE"""),"purchase")</f>
        <v>purchase</v>
      </c>
      <c r="D550" s="6">
        <f t="shared" ca="1" si="0"/>
        <v>45345</v>
      </c>
      <c r="E550" s="6">
        <f t="shared" ca="1" si="1"/>
        <v>45341</v>
      </c>
      <c r="F550" s="6">
        <f t="shared" ca="1" si="2"/>
        <v>45323</v>
      </c>
      <c r="G550" s="7"/>
    </row>
    <row r="551" spans="1:7" x14ac:dyDescent="0.2">
      <c r="A551" s="3">
        <f ca="1">IFERROR(__xludf.DUMMYFUNCTION("""COMPUTED_VALUE"""),255)</f>
        <v>255</v>
      </c>
      <c r="B551" s="6">
        <f ca="1">IFERROR(__xludf.DUMMYFUNCTION("""COMPUTED_VALUE"""),45345.4053472222)</f>
        <v>45345.4053472222</v>
      </c>
      <c r="C551" s="3" t="str">
        <f ca="1">IFERROR(__xludf.DUMMYFUNCTION("""COMPUTED_VALUE"""),"purchase")</f>
        <v>purchase</v>
      </c>
      <c r="D551" s="6">
        <f t="shared" ca="1" si="0"/>
        <v>45345</v>
      </c>
      <c r="E551" s="6">
        <f t="shared" ca="1" si="1"/>
        <v>45341</v>
      </c>
      <c r="F551" s="6">
        <f t="shared" ca="1" si="2"/>
        <v>45323</v>
      </c>
      <c r="G551" s="7"/>
    </row>
    <row r="552" spans="1:7" x14ac:dyDescent="0.2">
      <c r="A552" s="3">
        <f ca="1">IFERROR(__xludf.DUMMYFUNCTION("""COMPUTED_VALUE"""),743)</f>
        <v>743</v>
      </c>
      <c r="B552" s="6">
        <f ca="1">IFERROR(__xludf.DUMMYFUNCTION("""COMPUTED_VALUE"""),45345.4508333333)</f>
        <v>45345.4508333333</v>
      </c>
      <c r="C552" s="3" t="str">
        <f ca="1">IFERROR(__xludf.DUMMYFUNCTION("""COMPUTED_VALUE"""),"purchase")</f>
        <v>purchase</v>
      </c>
      <c r="D552" s="6">
        <f t="shared" ca="1" si="0"/>
        <v>45345</v>
      </c>
      <c r="E552" s="6">
        <f t="shared" ca="1" si="1"/>
        <v>45341</v>
      </c>
      <c r="F552" s="6">
        <f t="shared" ca="1" si="2"/>
        <v>45323</v>
      </c>
      <c r="G552" s="7"/>
    </row>
    <row r="553" spans="1:7" x14ac:dyDescent="0.2">
      <c r="A553" s="3">
        <f ca="1">IFERROR(__xludf.DUMMYFUNCTION("""COMPUTED_VALUE"""),5890)</f>
        <v>5890</v>
      </c>
      <c r="B553" s="6">
        <f ca="1">IFERROR(__xludf.DUMMYFUNCTION("""COMPUTED_VALUE"""),45345.6990277777)</f>
        <v>45345.6990277777</v>
      </c>
      <c r="C553" s="3" t="str">
        <f ca="1">IFERROR(__xludf.DUMMYFUNCTION("""COMPUTED_VALUE"""),"purchase")</f>
        <v>purchase</v>
      </c>
      <c r="D553" s="6">
        <f t="shared" ca="1" si="0"/>
        <v>45345</v>
      </c>
      <c r="E553" s="6">
        <f t="shared" ca="1" si="1"/>
        <v>45341</v>
      </c>
      <c r="F553" s="6">
        <f t="shared" ca="1" si="2"/>
        <v>45323</v>
      </c>
      <c r="G553" s="7"/>
    </row>
    <row r="554" spans="1:7" x14ac:dyDescent="0.2">
      <c r="A554" s="3">
        <f ca="1">IFERROR(__xludf.DUMMYFUNCTION("""COMPUTED_VALUE"""),5957)</f>
        <v>5957</v>
      </c>
      <c r="B554" s="6">
        <f ca="1">IFERROR(__xludf.DUMMYFUNCTION("""COMPUTED_VALUE"""),45345.7381828703)</f>
        <v>45345.7381828703</v>
      </c>
      <c r="C554" s="3" t="str">
        <f ca="1">IFERROR(__xludf.DUMMYFUNCTION("""COMPUTED_VALUE"""),"purchase")</f>
        <v>purchase</v>
      </c>
      <c r="D554" s="6">
        <f t="shared" ca="1" si="0"/>
        <v>45345</v>
      </c>
      <c r="E554" s="6">
        <f t="shared" ca="1" si="1"/>
        <v>45341</v>
      </c>
      <c r="F554" s="6">
        <f t="shared" ca="1" si="2"/>
        <v>45323</v>
      </c>
      <c r="G554" s="7"/>
    </row>
    <row r="555" spans="1:7" x14ac:dyDescent="0.2">
      <c r="A555" s="3">
        <f ca="1">IFERROR(__xludf.DUMMYFUNCTION("""COMPUTED_VALUE"""),3096)</f>
        <v>3096</v>
      </c>
      <c r="B555" s="6">
        <f ca="1">IFERROR(__xludf.DUMMYFUNCTION("""COMPUTED_VALUE"""),45345.7957523148)</f>
        <v>45345.7957523148</v>
      </c>
      <c r="C555" s="3" t="str">
        <f ca="1">IFERROR(__xludf.DUMMYFUNCTION("""COMPUTED_VALUE"""),"purchase")</f>
        <v>purchase</v>
      </c>
      <c r="D555" s="6">
        <f t="shared" ca="1" si="0"/>
        <v>45345</v>
      </c>
      <c r="E555" s="6">
        <f t="shared" ca="1" si="1"/>
        <v>45341</v>
      </c>
      <c r="F555" s="6">
        <f t="shared" ca="1" si="2"/>
        <v>45323</v>
      </c>
      <c r="G555" s="7"/>
    </row>
    <row r="556" spans="1:7" x14ac:dyDescent="0.2">
      <c r="A556" s="3">
        <f ca="1">IFERROR(__xludf.DUMMYFUNCTION("""COMPUTED_VALUE"""),2261)</f>
        <v>2261</v>
      </c>
      <c r="B556" s="6">
        <f ca="1">IFERROR(__xludf.DUMMYFUNCTION("""COMPUTED_VALUE"""),45346.171261574)</f>
        <v>45346.171261574003</v>
      </c>
      <c r="C556" s="3" t="str">
        <f ca="1">IFERROR(__xludf.DUMMYFUNCTION("""COMPUTED_VALUE"""),"purchase")</f>
        <v>purchase</v>
      </c>
      <c r="D556" s="6">
        <f t="shared" ca="1" si="0"/>
        <v>45346</v>
      </c>
      <c r="E556" s="6">
        <f t="shared" ca="1" si="1"/>
        <v>45341</v>
      </c>
      <c r="F556" s="6">
        <f t="shared" ca="1" si="2"/>
        <v>45323</v>
      </c>
      <c r="G556" s="7"/>
    </row>
    <row r="557" spans="1:7" x14ac:dyDescent="0.2">
      <c r="A557" s="3">
        <f ca="1">IFERROR(__xludf.DUMMYFUNCTION("""COMPUTED_VALUE"""),5047)</f>
        <v>5047</v>
      </c>
      <c r="B557" s="6">
        <f ca="1">IFERROR(__xludf.DUMMYFUNCTION("""COMPUTED_VALUE"""),45346.633599537)</f>
        <v>45346.633599537003</v>
      </c>
      <c r="C557" s="3" t="str">
        <f ca="1">IFERROR(__xludf.DUMMYFUNCTION("""COMPUTED_VALUE"""),"purchase")</f>
        <v>purchase</v>
      </c>
      <c r="D557" s="6">
        <f t="shared" ca="1" si="0"/>
        <v>45346</v>
      </c>
      <c r="E557" s="6">
        <f t="shared" ca="1" si="1"/>
        <v>45341</v>
      </c>
      <c r="F557" s="6">
        <f t="shared" ca="1" si="2"/>
        <v>45323</v>
      </c>
      <c r="G557" s="7"/>
    </row>
    <row r="558" spans="1:7" x14ac:dyDescent="0.2">
      <c r="A558" s="3">
        <f ca="1">IFERROR(__xludf.DUMMYFUNCTION("""COMPUTED_VALUE"""),415)</f>
        <v>415</v>
      </c>
      <c r="B558" s="6">
        <f ca="1">IFERROR(__xludf.DUMMYFUNCTION("""COMPUTED_VALUE"""),45346.6918055555)</f>
        <v>45346.6918055555</v>
      </c>
      <c r="C558" s="3" t="str">
        <f ca="1">IFERROR(__xludf.DUMMYFUNCTION("""COMPUTED_VALUE"""),"purchase")</f>
        <v>purchase</v>
      </c>
      <c r="D558" s="6">
        <f t="shared" ca="1" si="0"/>
        <v>45346</v>
      </c>
      <c r="E558" s="6">
        <f t="shared" ca="1" si="1"/>
        <v>45341</v>
      </c>
      <c r="F558" s="6">
        <f t="shared" ca="1" si="2"/>
        <v>45323</v>
      </c>
      <c r="G558" s="7"/>
    </row>
    <row r="559" spans="1:7" x14ac:dyDescent="0.2">
      <c r="A559" s="3">
        <f ca="1">IFERROR(__xludf.DUMMYFUNCTION("""COMPUTED_VALUE"""),74)</f>
        <v>74</v>
      </c>
      <c r="B559" s="6">
        <f ca="1">IFERROR(__xludf.DUMMYFUNCTION("""COMPUTED_VALUE"""),45346.6951504629)</f>
        <v>45346.695150462903</v>
      </c>
      <c r="C559" s="3" t="str">
        <f ca="1">IFERROR(__xludf.DUMMYFUNCTION("""COMPUTED_VALUE"""),"purchase")</f>
        <v>purchase</v>
      </c>
      <c r="D559" s="6">
        <f t="shared" ca="1" si="0"/>
        <v>45346</v>
      </c>
      <c r="E559" s="6">
        <f t="shared" ca="1" si="1"/>
        <v>45341</v>
      </c>
      <c r="F559" s="6">
        <f t="shared" ca="1" si="2"/>
        <v>45323</v>
      </c>
      <c r="G559" s="7"/>
    </row>
    <row r="560" spans="1:7" x14ac:dyDescent="0.2">
      <c r="A560" s="3">
        <f ca="1">IFERROR(__xludf.DUMMYFUNCTION("""COMPUTED_VALUE"""),1010)</f>
        <v>1010</v>
      </c>
      <c r="B560" s="6">
        <f ca="1">IFERROR(__xludf.DUMMYFUNCTION("""COMPUTED_VALUE"""),45346.7149652777)</f>
        <v>45346.714965277701</v>
      </c>
      <c r="C560" s="3" t="str">
        <f ca="1">IFERROR(__xludf.DUMMYFUNCTION("""COMPUTED_VALUE"""),"purchase")</f>
        <v>purchase</v>
      </c>
      <c r="D560" s="6">
        <f t="shared" ca="1" si="0"/>
        <v>45346</v>
      </c>
      <c r="E560" s="6">
        <f t="shared" ca="1" si="1"/>
        <v>45341</v>
      </c>
      <c r="F560" s="6">
        <f t="shared" ca="1" si="2"/>
        <v>45323</v>
      </c>
      <c r="G560" s="7"/>
    </row>
    <row r="561" spans="1:7" x14ac:dyDescent="0.2">
      <c r="A561" s="3">
        <f ca="1">IFERROR(__xludf.DUMMYFUNCTION("""COMPUTED_VALUE"""),6817)</f>
        <v>6817</v>
      </c>
      <c r="B561" s="6">
        <f ca="1">IFERROR(__xludf.DUMMYFUNCTION("""COMPUTED_VALUE"""),45346.7496064814)</f>
        <v>45346.749606481397</v>
      </c>
      <c r="C561" s="3" t="str">
        <f ca="1">IFERROR(__xludf.DUMMYFUNCTION("""COMPUTED_VALUE"""),"purchase")</f>
        <v>purchase</v>
      </c>
      <c r="D561" s="6">
        <f t="shared" ca="1" si="0"/>
        <v>45346</v>
      </c>
      <c r="E561" s="6">
        <f t="shared" ca="1" si="1"/>
        <v>45341</v>
      </c>
      <c r="F561" s="6">
        <f t="shared" ca="1" si="2"/>
        <v>45323</v>
      </c>
      <c r="G561" s="7"/>
    </row>
    <row r="562" spans="1:7" x14ac:dyDescent="0.2">
      <c r="A562" s="3">
        <f ca="1">IFERROR(__xludf.DUMMYFUNCTION("""COMPUTED_VALUE"""),3661)</f>
        <v>3661</v>
      </c>
      <c r="B562" s="6">
        <f ca="1">IFERROR(__xludf.DUMMYFUNCTION("""COMPUTED_VALUE"""),45346.7745601851)</f>
        <v>45346.774560185098</v>
      </c>
      <c r="C562" s="3" t="str">
        <f ca="1">IFERROR(__xludf.DUMMYFUNCTION("""COMPUTED_VALUE"""),"purchase")</f>
        <v>purchase</v>
      </c>
      <c r="D562" s="6">
        <f t="shared" ca="1" si="0"/>
        <v>45346</v>
      </c>
      <c r="E562" s="6">
        <f t="shared" ca="1" si="1"/>
        <v>45341</v>
      </c>
      <c r="F562" s="6">
        <f t="shared" ca="1" si="2"/>
        <v>45323</v>
      </c>
      <c r="G562" s="7"/>
    </row>
    <row r="563" spans="1:7" x14ac:dyDescent="0.2">
      <c r="A563" s="3">
        <f ca="1">IFERROR(__xludf.DUMMYFUNCTION("""COMPUTED_VALUE"""),3482)</f>
        <v>3482</v>
      </c>
      <c r="B563" s="6">
        <f ca="1">IFERROR(__xludf.DUMMYFUNCTION("""COMPUTED_VALUE"""),45346.967349537)</f>
        <v>45346.967349537001</v>
      </c>
      <c r="C563" s="3" t="str">
        <f ca="1">IFERROR(__xludf.DUMMYFUNCTION("""COMPUTED_VALUE"""),"purchase")</f>
        <v>purchase</v>
      </c>
      <c r="D563" s="6">
        <f t="shared" ca="1" si="0"/>
        <v>45346</v>
      </c>
      <c r="E563" s="6">
        <f t="shared" ca="1" si="1"/>
        <v>45341</v>
      </c>
      <c r="F563" s="6">
        <f t="shared" ca="1" si="2"/>
        <v>45323</v>
      </c>
      <c r="G563" s="7"/>
    </row>
    <row r="564" spans="1:7" x14ac:dyDescent="0.2">
      <c r="A564" s="3">
        <f ca="1">IFERROR(__xludf.DUMMYFUNCTION("""COMPUTED_VALUE"""),3659)</f>
        <v>3659</v>
      </c>
      <c r="B564" s="6">
        <f ca="1">IFERROR(__xludf.DUMMYFUNCTION("""COMPUTED_VALUE"""),45347.0767592592)</f>
        <v>45347.076759259202</v>
      </c>
      <c r="C564" s="3" t="str">
        <f ca="1">IFERROR(__xludf.DUMMYFUNCTION("""COMPUTED_VALUE"""),"purchase")</f>
        <v>purchase</v>
      </c>
      <c r="D564" s="6">
        <f t="shared" ca="1" si="0"/>
        <v>45347</v>
      </c>
      <c r="E564" s="6">
        <f t="shared" ca="1" si="1"/>
        <v>45341</v>
      </c>
      <c r="F564" s="6">
        <f t="shared" ca="1" si="2"/>
        <v>45323</v>
      </c>
      <c r="G564" s="7"/>
    </row>
    <row r="565" spans="1:7" x14ac:dyDescent="0.2">
      <c r="A565" s="3">
        <f ca="1">IFERROR(__xludf.DUMMYFUNCTION("""COMPUTED_VALUE"""),80)</f>
        <v>80</v>
      </c>
      <c r="B565" s="6">
        <f ca="1">IFERROR(__xludf.DUMMYFUNCTION("""COMPUTED_VALUE"""),45347.2156597222)</f>
        <v>45347.215659722198</v>
      </c>
      <c r="C565" s="3" t="str">
        <f ca="1">IFERROR(__xludf.DUMMYFUNCTION("""COMPUTED_VALUE"""),"purchase")</f>
        <v>purchase</v>
      </c>
      <c r="D565" s="6">
        <f t="shared" ca="1" si="0"/>
        <v>45347</v>
      </c>
      <c r="E565" s="6">
        <f t="shared" ca="1" si="1"/>
        <v>45341</v>
      </c>
      <c r="F565" s="6">
        <f t="shared" ca="1" si="2"/>
        <v>45323</v>
      </c>
      <c r="G565" s="7"/>
    </row>
    <row r="566" spans="1:7" x14ac:dyDescent="0.2">
      <c r="A566" s="3">
        <f ca="1">IFERROR(__xludf.DUMMYFUNCTION("""COMPUTED_VALUE"""),2289)</f>
        <v>2289</v>
      </c>
      <c r="B566" s="6">
        <f ca="1">IFERROR(__xludf.DUMMYFUNCTION("""COMPUTED_VALUE"""),45347.5313773148)</f>
        <v>45347.531377314801</v>
      </c>
      <c r="C566" s="3" t="str">
        <f ca="1">IFERROR(__xludf.DUMMYFUNCTION("""COMPUTED_VALUE"""),"purchase")</f>
        <v>purchase</v>
      </c>
      <c r="D566" s="6">
        <f t="shared" ca="1" si="0"/>
        <v>45347</v>
      </c>
      <c r="E566" s="6">
        <f t="shared" ca="1" si="1"/>
        <v>45341</v>
      </c>
      <c r="F566" s="6">
        <f t="shared" ca="1" si="2"/>
        <v>45323</v>
      </c>
      <c r="G566" s="7"/>
    </row>
    <row r="567" spans="1:7" x14ac:dyDescent="0.2">
      <c r="A567" s="3">
        <f ca="1">IFERROR(__xludf.DUMMYFUNCTION("""COMPUTED_VALUE"""),3788)</f>
        <v>3788</v>
      </c>
      <c r="B567" s="6">
        <f ca="1">IFERROR(__xludf.DUMMYFUNCTION("""COMPUTED_VALUE"""),45347.7167361111)</f>
        <v>45347.716736111099</v>
      </c>
      <c r="C567" s="3" t="str">
        <f ca="1">IFERROR(__xludf.DUMMYFUNCTION("""COMPUTED_VALUE"""),"purchase")</f>
        <v>purchase</v>
      </c>
      <c r="D567" s="6">
        <f t="shared" ca="1" si="0"/>
        <v>45347</v>
      </c>
      <c r="E567" s="6">
        <f t="shared" ca="1" si="1"/>
        <v>45341</v>
      </c>
      <c r="F567" s="6">
        <f t="shared" ca="1" si="2"/>
        <v>45323</v>
      </c>
      <c r="G567" s="7"/>
    </row>
    <row r="568" spans="1:7" x14ac:dyDescent="0.2">
      <c r="A568" s="3">
        <f ca="1">IFERROR(__xludf.DUMMYFUNCTION("""COMPUTED_VALUE"""),3351)</f>
        <v>3351</v>
      </c>
      <c r="B568" s="6">
        <f ca="1">IFERROR(__xludf.DUMMYFUNCTION("""COMPUTED_VALUE"""),45347.9088888888)</f>
        <v>45347.9088888888</v>
      </c>
      <c r="C568" s="3" t="str">
        <f ca="1">IFERROR(__xludf.DUMMYFUNCTION("""COMPUTED_VALUE"""),"purchase")</f>
        <v>purchase</v>
      </c>
      <c r="D568" s="6">
        <f t="shared" ca="1" si="0"/>
        <v>45347</v>
      </c>
      <c r="E568" s="6">
        <f t="shared" ca="1" si="1"/>
        <v>45341</v>
      </c>
      <c r="F568" s="6">
        <f t="shared" ca="1" si="2"/>
        <v>45323</v>
      </c>
      <c r="G568" s="7"/>
    </row>
    <row r="569" spans="1:7" x14ac:dyDescent="0.2">
      <c r="A569" s="3">
        <f ca="1">IFERROR(__xludf.DUMMYFUNCTION("""COMPUTED_VALUE"""),1196)</f>
        <v>1196</v>
      </c>
      <c r="B569" s="6">
        <f ca="1">IFERROR(__xludf.DUMMYFUNCTION("""COMPUTED_VALUE"""),45347.9740972222)</f>
        <v>45347.974097222199</v>
      </c>
      <c r="C569" s="3" t="str">
        <f ca="1">IFERROR(__xludf.DUMMYFUNCTION("""COMPUTED_VALUE"""),"purchase")</f>
        <v>purchase</v>
      </c>
      <c r="D569" s="6">
        <f t="shared" ca="1" si="0"/>
        <v>45347</v>
      </c>
      <c r="E569" s="6">
        <f t="shared" ca="1" si="1"/>
        <v>45341</v>
      </c>
      <c r="F569" s="6">
        <f t="shared" ca="1" si="2"/>
        <v>45323</v>
      </c>
      <c r="G569" s="7"/>
    </row>
    <row r="570" spans="1:7" x14ac:dyDescent="0.2">
      <c r="A570" s="3">
        <f ca="1">IFERROR(__xludf.DUMMYFUNCTION("""COMPUTED_VALUE"""),5163)</f>
        <v>5163</v>
      </c>
      <c r="B570" s="6">
        <f ca="1">IFERROR(__xludf.DUMMYFUNCTION("""COMPUTED_VALUE"""),45348.0766782407)</f>
        <v>45348.076678240701</v>
      </c>
      <c r="C570" s="3" t="str">
        <f ca="1">IFERROR(__xludf.DUMMYFUNCTION("""COMPUTED_VALUE"""),"purchase")</f>
        <v>purchase</v>
      </c>
      <c r="D570" s="6">
        <f t="shared" ca="1" si="0"/>
        <v>45348</v>
      </c>
      <c r="E570" s="6">
        <f t="shared" ca="1" si="1"/>
        <v>45348</v>
      </c>
      <c r="F570" s="6">
        <f t="shared" ca="1" si="2"/>
        <v>45323</v>
      </c>
      <c r="G570" s="7"/>
    </row>
    <row r="571" spans="1:7" x14ac:dyDescent="0.2">
      <c r="A571" s="3">
        <f ca="1">IFERROR(__xludf.DUMMYFUNCTION("""COMPUTED_VALUE"""),5915)</f>
        <v>5915</v>
      </c>
      <c r="B571" s="6">
        <f ca="1">IFERROR(__xludf.DUMMYFUNCTION("""COMPUTED_VALUE"""),45348.1168402777)</f>
        <v>45348.116840277697</v>
      </c>
      <c r="C571" s="3" t="str">
        <f ca="1">IFERROR(__xludf.DUMMYFUNCTION("""COMPUTED_VALUE"""),"purchase")</f>
        <v>purchase</v>
      </c>
      <c r="D571" s="6">
        <f t="shared" ca="1" si="0"/>
        <v>45348</v>
      </c>
      <c r="E571" s="6">
        <f t="shared" ca="1" si="1"/>
        <v>45348</v>
      </c>
      <c r="F571" s="6">
        <f t="shared" ca="1" si="2"/>
        <v>45323</v>
      </c>
      <c r="G571" s="7"/>
    </row>
    <row r="572" spans="1:7" x14ac:dyDescent="0.2">
      <c r="A572" s="3">
        <f ca="1">IFERROR(__xludf.DUMMYFUNCTION("""COMPUTED_VALUE"""),7047)</f>
        <v>7047</v>
      </c>
      <c r="B572" s="6">
        <f ca="1">IFERROR(__xludf.DUMMYFUNCTION("""COMPUTED_VALUE"""),45348.1933680555)</f>
        <v>45348.193368055501</v>
      </c>
      <c r="C572" s="3" t="str">
        <f ca="1">IFERROR(__xludf.DUMMYFUNCTION("""COMPUTED_VALUE"""),"purchase")</f>
        <v>purchase</v>
      </c>
      <c r="D572" s="6">
        <f t="shared" ca="1" si="0"/>
        <v>45348</v>
      </c>
      <c r="E572" s="6">
        <f t="shared" ca="1" si="1"/>
        <v>45348</v>
      </c>
      <c r="F572" s="6">
        <f t="shared" ca="1" si="2"/>
        <v>45323</v>
      </c>
      <c r="G572" s="7"/>
    </row>
    <row r="573" spans="1:7" x14ac:dyDescent="0.2">
      <c r="A573" s="3">
        <f ca="1">IFERROR(__xludf.DUMMYFUNCTION("""COMPUTED_VALUE"""),3470)</f>
        <v>3470</v>
      </c>
      <c r="B573" s="6">
        <f ca="1">IFERROR(__xludf.DUMMYFUNCTION("""COMPUTED_VALUE"""),45348.194224537)</f>
        <v>45348.194224537001</v>
      </c>
      <c r="C573" s="3" t="str">
        <f ca="1">IFERROR(__xludf.DUMMYFUNCTION("""COMPUTED_VALUE"""),"purchase")</f>
        <v>purchase</v>
      </c>
      <c r="D573" s="6">
        <f t="shared" ca="1" si="0"/>
        <v>45348</v>
      </c>
      <c r="E573" s="6">
        <f t="shared" ca="1" si="1"/>
        <v>45348</v>
      </c>
      <c r="F573" s="6">
        <f t="shared" ca="1" si="2"/>
        <v>45323</v>
      </c>
      <c r="G573" s="7"/>
    </row>
    <row r="574" spans="1:7" x14ac:dyDescent="0.2">
      <c r="A574" s="3">
        <f ca="1">IFERROR(__xludf.DUMMYFUNCTION("""COMPUTED_VALUE"""),329)</f>
        <v>329</v>
      </c>
      <c r="B574" s="6">
        <f ca="1">IFERROR(__xludf.DUMMYFUNCTION("""COMPUTED_VALUE"""),45348.2387731481)</f>
        <v>45348.238773148099</v>
      </c>
      <c r="C574" s="3" t="str">
        <f ca="1">IFERROR(__xludf.DUMMYFUNCTION("""COMPUTED_VALUE"""),"purchase")</f>
        <v>purchase</v>
      </c>
      <c r="D574" s="6">
        <f t="shared" ca="1" si="0"/>
        <v>45348</v>
      </c>
      <c r="E574" s="6">
        <f t="shared" ca="1" si="1"/>
        <v>45348</v>
      </c>
      <c r="F574" s="6">
        <f t="shared" ca="1" si="2"/>
        <v>45323</v>
      </c>
      <c r="G574" s="7"/>
    </row>
    <row r="575" spans="1:7" x14ac:dyDescent="0.2">
      <c r="A575" s="3">
        <f ca="1">IFERROR(__xludf.DUMMYFUNCTION("""COMPUTED_VALUE"""),6488)</f>
        <v>6488</v>
      </c>
      <c r="B575" s="6">
        <f ca="1">IFERROR(__xludf.DUMMYFUNCTION("""COMPUTED_VALUE"""),45348.2707060185)</f>
        <v>45348.270706018498</v>
      </c>
      <c r="C575" s="3" t="str">
        <f ca="1">IFERROR(__xludf.DUMMYFUNCTION("""COMPUTED_VALUE"""),"purchase")</f>
        <v>purchase</v>
      </c>
      <c r="D575" s="6">
        <f t="shared" ca="1" si="0"/>
        <v>45348</v>
      </c>
      <c r="E575" s="6">
        <f t="shared" ca="1" si="1"/>
        <v>45348</v>
      </c>
      <c r="F575" s="6">
        <f t="shared" ca="1" si="2"/>
        <v>45323</v>
      </c>
      <c r="G575" s="7"/>
    </row>
    <row r="576" spans="1:7" x14ac:dyDescent="0.2">
      <c r="A576" s="3">
        <f ca="1">IFERROR(__xludf.DUMMYFUNCTION("""COMPUTED_VALUE"""),4858)</f>
        <v>4858</v>
      </c>
      <c r="B576" s="6">
        <f ca="1">IFERROR(__xludf.DUMMYFUNCTION("""COMPUTED_VALUE"""),45348.2714814814)</f>
        <v>45348.271481481403</v>
      </c>
      <c r="C576" s="3" t="str">
        <f ca="1">IFERROR(__xludf.DUMMYFUNCTION("""COMPUTED_VALUE"""),"purchase")</f>
        <v>purchase</v>
      </c>
      <c r="D576" s="6">
        <f t="shared" ca="1" si="0"/>
        <v>45348</v>
      </c>
      <c r="E576" s="6">
        <f t="shared" ca="1" si="1"/>
        <v>45348</v>
      </c>
      <c r="F576" s="6">
        <f t="shared" ca="1" si="2"/>
        <v>45323</v>
      </c>
      <c r="G576" s="7"/>
    </row>
    <row r="577" spans="1:7" x14ac:dyDescent="0.2">
      <c r="A577" s="3">
        <f ca="1">IFERROR(__xludf.DUMMYFUNCTION("""COMPUTED_VALUE"""),1616)</f>
        <v>1616</v>
      </c>
      <c r="B577" s="6">
        <f ca="1">IFERROR(__xludf.DUMMYFUNCTION("""COMPUTED_VALUE"""),45348.3030555555)</f>
        <v>45348.303055555501</v>
      </c>
      <c r="C577" s="3" t="str">
        <f ca="1">IFERROR(__xludf.DUMMYFUNCTION("""COMPUTED_VALUE"""),"purchase")</f>
        <v>purchase</v>
      </c>
      <c r="D577" s="6">
        <f t="shared" ca="1" si="0"/>
        <v>45348</v>
      </c>
      <c r="E577" s="6">
        <f t="shared" ca="1" si="1"/>
        <v>45348</v>
      </c>
      <c r="F577" s="6">
        <f t="shared" ca="1" si="2"/>
        <v>45323</v>
      </c>
      <c r="G577" s="7"/>
    </row>
    <row r="578" spans="1:7" x14ac:dyDescent="0.2">
      <c r="A578" s="3">
        <f ca="1">IFERROR(__xludf.DUMMYFUNCTION("""COMPUTED_VALUE"""),7701)</f>
        <v>7701</v>
      </c>
      <c r="B578" s="6">
        <f ca="1">IFERROR(__xludf.DUMMYFUNCTION("""COMPUTED_VALUE"""),45348.4998379629)</f>
        <v>45348.499837962903</v>
      </c>
      <c r="C578" s="3" t="str">
        <f ca="1">IFERROR(__xludf.DUMMYFUNCTION("""COMPUTED_VALUE"""),"purchase")</f>
        <v>purchase</v>
      </c>
      <c r="D578" s="6">
        <f t="shared" ca="1" si="0"/>
        <v>45348</v>
      </c>
      <c r="E578" s="6">
        <f t="shared" ca="1" si="1"/>
        <v>45348</v>
      </c>
      <c r="F578" s="6">
        <f t="shared" ca="1" si="2"/>
        <v>45323</v>
      </c>
      <c r="G578" s="7"/>
    </row>
    <row r="579" spans="1:7" x14ac:dyDescent="0.2">
      <c r="A579" s="3">
        <f ca="1">IFERROR(__xludf.DUMMYFUNCTION("""COMPUTED_VALUE"""),2900)</f>
        <v>2900</v>
      </c>
      <c r="B579" s="6">
        <f ca="1">IFERROR(__xludf.DUMMYFUNCTION("""COMPUTED_VALUE"""),45348.5268402777)</f>
        <v>45348.5268402777</v>
      </c>
      <c r="C579" s="3" t="str">
        <f ca="1">IFERROR(__xludf.DUMMYFUNCTION("""COMPUTED_VALUE"""),"purchase")</f>
        <v>purchase</v>
      </c>
      <c r="D579" s="6">
        <f t="shared" ca="1" si="0"/>
        <v>45348</v>
      </c>
      <c r="E579" s="6">
        <f t="shared" ca="1" si="1"/>
        <v>45348</v>
      </c>
      <c r="F579" s="6">
        <f t="shared" ca="1" si="2"/>
        <v>45323</v>
      </c>
      <c r="G579" s="7"/>
    </row>
    <row r="580" spans="1:7" x14ac:dyDescent="0.2">
      <c r="A580" s="3">
        <f ca="1">IFERROR(__xludf.DUMMYFUNCTION("""COMPUTED_VALUE"""),4343)</f>
        <v>4343</v>
      </c>
      <c r="B580" s="6">
        <f ca="1">IFERROR(__xludf.DUMMYFUNCTION("""COMPUTED_VALUE"""),45348.7929398148)</f>
        <v>45348.792939814797</v>
      </c>
      <c r="C580" s="3" t="str">
        <f ca="1">IFERROR(__xludf.DUMMYFUNCTION("""COMPUTED_VALUE"""),"purchase")</f>
        <v>purchase</v>
      </c>
      <c r="D580" s="6">
        <f t="shared" ca="1" si="0"/>
        <v>45348</v>
      </c>
      <c r="E580" s="6">
        <f t="shared" ca="1" si="1"/>
        <v>45348</v>
      </c>
      <c r="F580" s="6">
        <f t="shared" ca="1" si="2"/>
        <v>45323</v>
      </c>
      <c r="G580" s="7"/>
    </row>
    <row r="581" spans="1:7" x14ac:dyDescent="0.2">
      <c r="A581" s="3">
        <f ca="1">IFERROR(__xludf.DUMMYFUNCTION("""COMPUTED_VALUE"""),2690)</f>
        <v>2690</v>
      </c>
      <c r="B581" s="6">
        <f ca="1">IFERROR(__xludf.DUMMYFUNCTION("""COMPUTED_VALUE"""),45348.9233217592)</f>
        <v>45348.923321759197</v>
      </c>
      <c r="C581" s="3" t="str">
        <f ca="1">IFERROR(__xludf.DUMMYFUNCTION("""COMPUTED_VALUE"""),"purchase")</f>
        <v>purchase</v>
      </c>
      <c r="D581" s="6">
        <f t="shared" ca="1" si="0"/>
        <v>45348</v>
      </c>
      <c r="E581" s="6">
        <f t="shared" ca="1" si="1"/>
        <v>45348</v>
      </c>
      <c r="F581" s="6">
        <f t="shared" ca="1" si="2"/>
        <v>45323</v>
      </c>
      <c r="G581" s="7"/>
    </row>
    <row r="582" spans="1:7" x14ac:dyDescent="0.2">
      <c r="A582" s="3">
        <f ca="1">IFERROR(__xludf.DUMMYFUNCTION("""COMPUTED_VALUE"""),1296)</f>
        <v>1296</v>
      </c>
      <c r="B582" s="6">
        <f ca="1">IFERROR(__xludf.DUMMYFUNCTION("""COMPUTED_VALUE"""),45348.9755208333)</f>
        <v>45348.975520833301</v>
      </c>
      <c r="C582" s="3" t="str">
        <f ca="1">IFERROR(__xludf.DUMMYFUNCTION("""COMPUTED_VALUE"""),"purchase")</f>
        <v>purchase</v>
      </c>
      <c r="D582" s="6">
        <f t="shared" ca="1" si="0"/>
        <v>45348</v>
      </c>
      <c r="E582" s="6">
        <f t="shared" ca="1" si="1"/>
        <v>45348</v>
      </c>
      <c r="F582" s="6">
        <f t="shared" ca="1" si="2"/>
        <v>45323</v>
      </c>
      <c r="G582" s="7"/>
    </row>
    <row r="583" spans="1:7" x14ac:dyDescent="0.2">
      <c r="A583" s="3">
        <f ca="1">IFERROR(__xludf.DUMMYFUNCTION("""COMPUTED_VALUE"""),3348)</f>
        <v>3348</v>
      </c>
      <c r="B583" s="6">
        <f ca="1">IFERROR(__xludf.DUMMYFUNCTION("""COMPUTED_VALUE"""),45348.980162037)</f>
        <v>45348.980162036998</v>
      </c>
      <c r="C583" s="3" t="str">
        <f ca="1">IFERROR(__xludf.DUMMYFUNCTION("""COMPUTED_VALUE"""),"purchase")</f>
        <v>purchase</v>
      </c>
      <c r="D583" s="6">
        <f t="shared" ca="1" si="0"/>
        <v>45348</v>
      </c>
      <c r="E583" s="6">
        <f t="shared" ca="1" si="1"/>
        <v>45348</v>
      </c>
      <c r="F583" s="6">
        <f t="shared" ca="1" si="2"/>
        <v>45323</v>
      </c>
      <c r="G583" s="7"/>
    </row>
    <row r="584" spans="1:7" x14ac:dyDescent="0.2">
      <c r="A584" s="3">
        <f ca="1">IFERROR(__xludf.DUMMYFUNCTION("""COMPUTED_VALUE"""),7208)</f>
        <v>7208</v>
      </c>
      <c r="B584" s="6">
        <f ca="1">IFERROR(__xludf.DUMMYFUNCTION("""COMPUTED_VALUE"""),45348.9946412037)</f>
        <v>45348.994641203702</v>
      </c>
      <c r="C584" s="3" t="str">
        <f ca="1">IFERROR(__xludf.DUMMYFUNCTION("""COMPUTED_VALUE"""),"purchase")</f>
        <v>purchase</v>
      </c>
      <c r="D584" s="6">
        <f t="shared" ca="1" si="0"/>
        <v>45348</v>
      </c>
      <c r="E584" s="6">
        <f t="shared" ca="1" si="1"/>
        <v>45348</v>
      </c>
      <c r="F584" s="6">
        <f t="shared" ca="1" si="2"/>
        <v>45323</v>
      </c>
      <c r="G584" s="7"/>
    </row>
    <row r="585" spans="1:7" x14ac:dyDescent="0.2">
      <c r="A585" s="3">
        <f ca="1">IFERROR(__xludf.DUMMYFUNCTION("""COMPUTED_VALUE"""),3483)</f>
        <v>3483</v>
      </c>
      <c r="B585" s="6">
        <f ca="1">IFERROR(__xludf.DUMMYFUNCTION("""COMPUTED_VALUE"""),45349.0034143518)</f>
        <v>45349.003414351799</v>
      </c>
      <c r="C585" s="3" t="str">
        <f ca="1">IFERROR(__xludf.DUMMYFUNCTION("""COMPUTED_VALUE"""),"purchase")</f>
        <v>purchase</v>
      </c>
      <c r="D585" s="6">
        <f t="shared" ca="1" si="0"/>
        <v>45349</v>
      </c>
      <c r="E585" s="6">
        <f t="shared" ca="1" si="1"/>
        <v>45348</v>
      </c>
      <c r="F585" s="6">
        <f t="shared" ca="1" si="2"/>
        <v>45323</v>
      </c>
      <c r="G585" s="7"/>
    </row>
    <row r="586" spans="1:7" x14ac:dyDescent="0.2">
      <c r="A586" s="3">
        <f ca="1">IFERROR(__xludf.DUMMYFUNCTION("""COMPUTED_VALUE"""),3438)</f>
        <v>3438</v>
      </c>
      <c r="B586" s="6">
        <f ca="1">IFERROR(__xludf.DUMMYFUNCTION("""COMPUTED_VALUE"""),45349.0242013888)</f>
        <v>45349.024201388798</v>
      </c>
      <c r="C586" s="3" t="str">
        <f ca="1">IFERROR(__xludf.DUMMYFUNCTION("""COMPUTED_VALUE"""),"purchase")</f>
        <v>purchase</v>
      </c>
      <c r="D586" s="6">
        <f t="shared" ca="1" si="0"/>
        <v>45349</v>
      </c>
      <c r="E586" s="6">
        <f t="shared" ca="1" si="1"/>
        <v>45348</v>
      </c>
      <c r="F586" s="6">
        <f t="shared" ca="1" si="2"/>
        <v>45323</v>
      </c>
      <c r="G586" s="7"/>
    </row>
    <row r="587" spans="1:7" x14ac:dyDescent="0.2">
      <c r="A587" s="3">
        <f ca="1">IFERROR(__xludf.DUMMYFUNCTION("""COMPUTED_VALUE"""),3136)</f>
        <v>3136</v>
      </c>
      <c r="B587" s="6">
        <f ca="1">IFERROR(__xludf.DUMMYFUNCTION("""COMPUTED_VALUE"""),45349.0641087962)</f>
        <v>45349.064108796199</v>
      </c>
      <c r="C587" s="3" t="str">
        <f ca="1">IFERROR(__xludf.DUMMYFUNCTION("""COMPUTED_VALUE"""),"purchase")</f>
        <v>purchase</v>
      </c>
      <c r="D587" s="6">
        <f t="shared" ca="1" si="0"/>
        <v>45349</v>
      </c>
      <c r="E587" s="6">
        <f t="shared" ca="1" si="1"/>
        <v>45348</v>
      </c>
      <c r="F587" s="6">
        <f t="shared" ca="1" si="2"/>
        <v>45323</v>
      </c>
      <c r="G587" s="7"/>
    </row>
    <row r="588" spans="1:7" x14ac:dyDescent="0.2">
      <c r="A588" s="3">
        <f ca="1">IFERROR(__xludf.DUMMYFUNCTION("""COMPUTED_VALUE"""),6637)</f>
        <v>6637</v>
      </c>
      <c r="B588" s="6">
        <f ca="1">IFERROR(__xludf.DUMMYFUNCTION("""COMPUTED_VALUE"""),45349.0676504629)</f>
        <v>45349.067650462901</v>
      </c>
      <c r="C588" s="3" t="str">
        <f ca="1">IFERROR(__xludf.DUMMYFUNCTION("""COMPUTED_VALUE"""),"purchase")</f>
        <v>purchase</v>
      </c>
      <c r="D588" s="6">
        <f t="shared" ca="1" si="0"/>
        <v>45349</v>
      </c>
      <c r="E588" s="6">
        <f t="shared" ca="1" si="1"/>
        <v>45348</v>
      </c>
      <c r="F588" s="6">
        <f t="shared" ca="1" si="2"/>
        <v>45323</v>
      </c>
      <c r="G588" s="7"/>
    </row>
    <row r="589" spans="1:7" x14ac:dyDescent="0.2">
      <c r="A589" s="3">
        <f ca="1">IFERROR(__xludf.DUMMYFUNCTION("""COMPUTED_VALUE"""),1545)</f>
        <v>1545</v>
      </c>
      <c r="B589" s="6">
        <f ca="1">IFERROR(__xludf.DUMMYFUNCTION("""COMPUTED_VALUE"""),45349.3817129629)</f>
        <v>45349.381712962902</v>
      </c>
      <c r="C589" s="3" t="str">
        <f ca="1">IFERROR(__xludf.DUMMYFUNCTION("""COMPUTED_VALUE"""),"purchase")</f>
        <v>purchase</v>
      </c>
      <c r="D589" s="6">
        <f t="shared" ca="1" si="0"/>
        <v>45349</v>
      </c>
      <c r="E589" s="6">
        <f t="shared" ca="1" si="1"/>
        <v>45348</v>
      </c>
      <c r="F589" s="6">
        <f t="shared" ca="1" si="2"/>
        <v>45323</v>
      </c>
      <c r="G589" s="7"/>
    </row>
    <row r="590" spans="1:7" x14ac:dyDescent="0.2">
      <c r="A590" s="3">
        <f ca="1">IFERROR(__xludf.DUMMYFUNCTION("""COMPUTED_VALUE"""),7994)</f>
        <v>7994</v>
      </c>
      <c r="B590" s="6">
        <f ca="1">IFERROR(__xludf.DUMMYFUNCTION("""COMPUTED_VALUE"""),45349.4760648148)</f>
        <v>45349.4760648148</v>
      </c>
      <c r="C590" s="3" t="str">
        <f ca="1">IFERROR(__xludf.DUMMYFUNCTION("""COMPUTED_VALUE"""),"purchase")</f>
        <v>purchase</v>
      </c>
      <c r="D590" s="6">
        <f t="shared" ca="1" si="0"/>
        <v>45349</v>
      </c>
      <c r="E590" s="6">
        <f t="shared" ca="1" si="1"/>
        <v>45348</v>
      </c>
      <c r="F590" s="6">
        <f t="shared" ca="1" si="2"/>
        <v>45323</v>
      </c>
      <c r="G590" s="7"/>
    </row>
    <row r="591" spans="1:7" x14ac:dyDescent="0.2">
      <c r="A591" s="3">
        <f ca="1">IFERROR(__xludf.DUMMYFUNCTION("""COMPUTED_VALUE"""),199)</f>
        <v>199</v>
      </c>
      <c r="B591" s="6">
        <f ca="1">IFERROR(__xludf.DUMMYFUNCTION("""COMPUTED_VALUE"""),45349.4878703703)</f>
        <v>45349.4878703703</v>
      </c>
      <c r="C591" s="3" t="str">
        <f ca="1">IFERROR(__xludf.DUMMYFUNCTION("""COMPUTED_VALUE"""),"purchase")</f>
        <v>purchase</v>
      </c>
      <c r="D591" s="6">
        <f t="shared" ca="1" si="0"/>
        <v>45349</v>
      </c>
      <c r="E591" s="6">
        <f t="shared" ca="1" si="1"/>
        <v>45348</v>
      </c>
      <c r="F591" s="6">
        <f t="shared" ca="1" si="2"/>
        <v>45323</v>
      </c>
      <c r="G591" s="7"/>
    </row>
    <row r="592" spans="1:7" x14ac:dyDescent="0.2">
      <c r="A592" s="3">
        <f ca="1">IFERROR(__xludf.DUMMYFUNCTION("""COMPUTED_VALUE"""),3329)</f>
        <v>3329</v>
      </c>
      <c r="B592" s="6">
        <f ca="1">IFERROR(__xludf.DUMMYFUNCTION("""COMPUTED_VALUE"""),45349.5699189814)</f>
        <v>45349.569918981397</v>
      </c>
      <c r="C592" s="3" t="str">
        <f ca="1">IFERROR(__xludf.DUMMYFUNCTION("""COMPUTED_VALUE"""),"purchase")</f>
        <v>purchase</v>
      </c>
      <c r="D592" s="6">
        <f t="shared" ca="1" si="0"/>
        <v>45349</v>
      </c>
      <c r="E592" s="6">
        <f t="shared" ca="1" si="1"/>
        <v>45348</v>
      </c>
      <c r="F592" s="6">
        <f t="shared" ca="1" si="2"/>
        <v>45323</v>
      </c>
      <c r="G592" s="7"/>
    </row>
    <row r="593" spans="1:7" x14ac:dyDescent="0.2">
      <c r="A593" s="3">
        <f ca="1">IFERROR(__xludf.DUMMYFUNCTION("""COMPUTED_VALUE"""),6606)</f>
        <v>6606</v>
      </c>
      <c r="B593" s="6">
        <f ca="1">IFERROR(__xludf.DUMMYFUNCTION("""COMPUTED_VALUE"""),45349.6179050925)</f>
        <v>45349.617905092498</v>
      </c>
      <c r="C593" s="3" t="str">
        <f ca="1">IFERROR(__xludf.DUMMYFUNCTION("""COMPUTED_VALUE"""),"purchase")</f>
        <v>purchase</v>
      </c>
      <c r="D593" s="6">
        <f t="shared" ca="1" si="0"/>
        <v>45349</v>
      </c>
      <c r="E593" s="6">
        <f t="shared" ca="1" si="1"/>
        <v>45348</v>
      </c>
      <c r="F593" s="6">
        <f t="shared" ca="1" si="2"/>
        <v>45323</v>
      </c>
      <c r="G593" s="7"/>
    </row>
    <row r="594" spans="1:7" x14ac:dyDescent="0.2">
      <c r="A594" s="3">
        <f ca="1">IFERROR(__xludf.DUMMYFUNCTION("""COMPUTED_VALUE"""),2500)</f>
        <v>2500</v>
      </c>
      <c r="B594" s="6">
        <f ca="1">IFERROR(__xludf.DUMMYFUNCTION("""COMPUTED_VALUE"""),45349.6312037037)</f>
        <v>45349.631203703699</v>
      </c>
      <c r="C594" s="3" t="str">
        <f ca="1">IFERROR(__xludf.DUMMYFUNCTION("""COMPUTED_VALUE"""),"purchase")</f>
        <v>purchase</v>
      </c>
      <c r="D594" s="6">
        <f t="shared" ca="1" si="0"/>
        <v>45349</v>
      </c>
      <c r="E594" s="6">
        <f t="shared" ca="1" si="1"/>
        <v>45348</v>
      </c>
      <c r="F594" s="6">
        <f t="shared" ca="1" si="2"/>
        <v>45323</v>
      </c>
      <c r="G594" s="7"/>
    </row>
    <row r="595" spans="1:7" x14ac:dyDescent="0.2">
      <c r="A595" s="3">
        <f ca="1">IFERROR(__xludf.DUMMYFUNCTION("""COMPUTED_VALUE"""),2958)</f>
        <v>2958</v>
      </c>
      <c r="B595" s="6">
        <f ca="1">IFERROR(__xludf.DUMMYFUNCTION("""COMPUTED_VALUE"""),45349.736099537)</f>
        <v>45349.736099537004</v>
      </c>
      <c r="C595" s="3" t="str">
        <f ca="1">IFERROR(__xludf.DUMMYFUNCTION("""COMPUTED_VALUE"""),"purchase")</f>
        <v>purchase</v>
      </c>
      <c r="D595" s="6">
        <f t="shared" ca="1" si="0"/>
        <v>45349</v>
      </c>
      <c r="E595" s="6">
        <f t="shared" ca="1" si="1"/>
        <v>45348</v>
      </c>
      <c r="F595" s="6">
        <f t="shared" ca="1" si="2"/>
        <v>45323</v>
      </c>
      <c r="G595" s="7"/>
    </row>
    <row r="596" spans="1:7" x14ac:dyDescent="0.2">
      <c r="A596" s="3">
        <f ca="1">IFERROR(__xludf.DUMMYFUNCTION("""COMPUTED_VALUE"""),4740)</f>
        <v>4740</v>
      </c>
      <c r="B596" s="6">
        <f ca="1">IFERROR(__xludf.DUMMYFUNCTION("""COMPUTED_VALUE"""),45349.9086805555)</f>
        <v>45349.908680555498</v>
      </c>
      <c r="C596" s="3" t="str">
        <f ca="1">IFERROR(__xludf.DUMMYFUNCTION("""COMPUTED_VALUE"""),"purchase")</f>
        <v>purchase</v>
      </c>
      <c r="D596" s="6">
        <f t="shared" ca="1" si="0"/>
        <v>45349</v>
      </c>
      <c r="E596" s="6">
        <f t="shared" ca="1" si="1"/>
        <v>45348</v>
      </c>
      <c r="F596" s="6">
        <f t="shared" ca="1" si="2"/>
        <v>45323</v>
      </c>
      <c r="G596" s="7"/>
    </row>
    <row r="597" spans="1:7" x14ac:dyDescent="0.2">
      <c r="A597" s="3">
        <f ca="1">IFERROR(__xludf.DUMMYFUNCTION("""COMPUTED_VALUE"""),4383)</f>
        <v>4383</v>
      </c>
      <c r="B597" s="6">
        <f ca="1">IFERROR(__xludf.DUMMYFUNCTION("""COMPUTED_VALUE"""),45349.9593981481)</f>
        <v>45349.959398148101</v>
      </c>
      <c r="C597" s="3" t="str">
        <f ca="1">IFERROR(__xludf.DUMMYFUNCTION("""COMPUTED_VALUE"""),"purchase")</f>
        <v>purchase</v>
      </c>
      <c r="D597" s="6">
        <f t="shared" ca="1" si="0"/>
        <v>45349</v>
      </c>
      <c r="E597" s="6">
        <f t="shared" ca="1" si="1"/>
        <v>45348</v>
      </c>
      <c r="F597" s="6">
        <f t="shared" ca="1" si="2"/>
        <v>45323</v>
      </c>
      <c r="G597" s="7"/>
    </row>
    <row r="598" spans="1:7" x14ac:dyDescent="0.2">
      <c r="A598" s="3">
        <f ca="1">IFERROR(__xludf.DUMMYFUNCTION("""COMPUTED_VALUE"""),6476)</f>
        <v>6476</v>
      </c>
      <c r="B598" s="6">
        <f ca="1">IFERROR(__xludf.DUMMYFUNCTION("""COMPUTED_VALUE"""),45350.2780555555)</f>
        <v>45350.2780555555</v>
      </c>
      <c r="C598" s="3" t="str">
        <f ca="1">IFERROR(__xludf.DUMMYFUNCTION("""COMPUTED_VALUE"""),"purchase")</f>
        <v>purchase</v>
      </c>
      <c r="D598" s="6">
        <f t="shared" ca="1" si="0"/>
        <v>45350</v>
      </c>
      <c r="E598" s="6">
        <f t="shared" ca="1" si="1"/>
        <v>45348</v>
      </c>
      <c r="F598" s="6">
        <f t="shared" ca="1" si="2"/>
        <v>45323</v>
      </c>
      <c r="G598" s="7"/>
    </row>
    <row r="599" spans="1:7" x14ac:dyDescent="0.2">
      <c r="A599" s="3">
        <f ca="1">IFERROR(__xludf.DUMMYFUNCTION("""COMPUTED_VALUE"""),6217)</f>
        <v>6217</v>
      </c>
      <c r="B599" s="6">
        <f ca="1">IFERROR(__xludf.DUMMYFUNCTION("""COMPUTED_VALUE"""),45350.5362962963)</f>
        <v>45350.536296296297</v>
      </c>
      <c r="C599" s="3" t="str">
        <f ca="1">IFERROR(__xludf.DUMMYFUNCTION("""COMPUTED_VALUE"""),"purchase")</f>
        <v>purchase</v>
      </c>
      <c r="D599" s="6">
        <f t="shared" ca="1" si="0"/>
        <v>45350</v>
      </c>
      <c r="E599" s="6">
        <f t="shared" ca="1" si="1"/>
        <v>45348</v>
      </c>
      <c r="F599" s="6">
        <f t="shared" ca="1" si="2"/>
        <v>45323</v>
      </c>
      <c r="G599" s="7"/>
    </row>
    <row r="600" spans="1:7" x14ac:dyDescent="0.2">
      <c r="A600" s="3">
        <f ca="1">IFERROR(__xludf.DUMMYFUNCTION("""COMPUTED_VALUE"""),182)</f>
        <v>182</v>
      </c>
      <c r="B600" s="6">
        <f ca="1">IFERROR(__xludf.DUMMYFUNCTION("""COMPUTED_VALUE"""),45350.5596875)</f>
        <v>45350.559687499997</v>
      </c>
      <c r="C600" s="3" t="str">
        <f ca="1">IFERROR(__xludf.DUMMYFUNCTION("""COMPUTED_VALUE"""),"purchase")</f>
        <v>purchase</v>
      </c>
      <c r="D600" s="6">
        <f t="shared" ca="1" si="0"/>
        <v>45350</v>
      </c>
      <c r="E600" s="6">
        <f t="shared" ca="1" si="1"/>
        <v>45348</v>
      </c>
      <c r="F600" s="6">
        <f t="shared" ca="1" si="2"/>
        <v>45323</v>
      </c>
      <c r="G600" s="7"/>
    </row>
    <row r="601" spans="1:7" x14ac:dyDescent="0.2">
      <c r="A601" s="3">
        <f ca="1">IFERROR(__xludf.DUMMYFUNCTION("""COMPUTED_VALUE"""),7945)</f>
        <v>7945</v>
      </c>
      <c r="B601" s="6">
        <f ca="1">IFERROR(__xludf.DUMMYFUNCTION("""COMPUTED_VALUE"""),45350.8046759259)</f>
        <v>45350.804675925901</v>
      </c>
      <c r="C601" s="3" t="str">
        <f ca="1">IFERROR(__xludf.DUMMYFUNCTION("""COMPUTED_VALUE"""),"purchase")</f>
        <v>purchase</v>
      </c>
      <c r="D601" s="6">
        <f t="shared" ca="1" si="0"/>
        <v>45350</v>
      </c>
      <c r="E601" s="6">
        <f t="shared" ca="1" si="1"/>
        <v>45348</v>
      </c>
      <c r="F601" s="6">
        <f t="shared" ca="1" si="2"/>
        <v>45323</v>
      </c>
      <c r="G601" s="7"/>
    </row>
    <row r="602" spans="1:7" x14ac:dyDescent="0.2">
      <c r="A602" s="3">
        <f ca="1">IFERROR(__xludf.DUMMYFUNCTION("""COMPUTED_VALUE"""),7000)</f>
        <v>7000</v>
      </c>
      <c r="B602" s="6">
        <f ca="1">IFERROR(__xludf.DUMMYFUNCTION("""COMPUTED_VALUE"""),45350.9163425925)</f>
        <v>45350.9163425925</v>
      </c>
      <c r="C602" s="3" t="str">
        <f ca="1">IFERROR(__xludf.DUMMYFUNCTION("""COMPUTED_VALUE"""),"purchase")</f>
        <v>purchase</v>
      </c>
      <c r="D602" s="6">
        <f t="shared" ca="1" si="0"/>
        <v>45350</v>
      </c>
      <c r="E602" s="6">
        <f t="shared" ca="1" si="1"/>
        <v>45348</v>
      </c>
      <c r="F602" s="6">
        <f t="shared" ca="1" si="2"/>
        <v>45323</v>
      </c>
      <c r="G602" s="7"/>
    </row>
    <row r="603" spans="1:7" x14ac:dyDescent="0.2">
      <c r="A603" s="3">
        <f ca="1">IFERROR(__xludf.DUMMYFUNCTION("""COMPUTED_VALUE"""),4538)</f>
        <v>4538</v>
      </c>
      <c r="B603" s="6">
        <f ca="1">IFERROR(__xludf.DUMMYFUNCTION("""COMPUTED_VALUE"""),45351.0165046296)</f>
        <v>45351.016504629602</v>
      </c>
      <c r="C603" s="3" t="str">
        <f ca="1">IFERROR(__xludf.DUMMYFUNCTION("""COMPUTED_VALUE"""),"purchase")</f>
        <v>purchase</v>
      </c>
      <c r="D603" s="6">
        <f t="shared" ca="1" si="0"/>
        <v>45351</v>
      </c>
      <c r="E603" s="6">
        <f t="shared" ca="1" si="1"/>
        <v>45348</v>
      </c>
      <c r="F603" s="6">
        <f t="shared" ca="1" si="2"/>
        <v>45323</v>
      </c>
      <c r="G603" s="7"/>
    </row>
    <row r="604" spans="1:7" x14ac:dyDescent="0.2">
      <c r="A604" s="3">
        <f ca="1">IFERROR(__xludf.DUMMYFUNCTION("""COMPUTED_VALUE"""),1184)</f>
        <v>1184</v>
      </c>
      <c r="B604" s="6">
        <f ca="1">IFERROR(__xludf.DUMMYFUNCTION("""COMPUTED_VALUE"""),45351.1318287037)</f>
        <v>45351.131828703699</v>
      </c>
      <c r="C604" s="3" t="str">
        <f ca="1">IFERROR(__xludf.DUMMYFUNCTION("""COMPUTED_VALUE"""),"purchase")</f>
        <v>purchase</v>
      </c>
      <c r="D604" s="6">
        <f t="shared" ca="1" si="0"/>
        <v>45351</v>
      </c>
      <c r="E604" s="6">
        <f t="shared" ca="1" si="1"/>
        <v>45348</v>
      </c>
      <c r="F604" s="6">
        <f t="shared" ca="1" si="2"/>
        <v>45323</v>
      </c>
      <c r="G604" s="7"/>
    </row>
    <row r="605" spans="1:7" x14ac:dyDescent="0.2">
      <c r="A605" s="3">
        <f ca="1">IFERROR(__xludf.DUMMYFUNCTION("""COMPUTED_VALUE"""),3258)</f>
        <v>3258</v>
      </c>
      <c r="B605" s="6">
        <f ca="1">IFERROR(__xludf.DUMMYFUNCTION("""COMPUTED_VALUE"""),45351.1419791666)</f>
        <v>45351.141979166598</v>
      </c>
      <c r="C605" s="3" t="str">
        <f ca="1">IFERROR(__xludf.DUMMYFUNCTION("""COMPUTED_VALUE"""),"purchase")</f>
        <v>purchase</v>
      </c>
      <c r="D605" s="6">
        <f t="shared" ca="1" si="0"/>
        <v>45351</v>
      </c>
      <c r="E605" s="6">
        <f t="shared" ca="1" si="1"/>
        <v>45348</v>
      </c>
      <c r="F605" s="6">
        <f t="shared" ca="1" si="2"/>
        <v>45323</v>
      </c>
      <c r="G605" s="7"/>
    </row>
    <row r="606" spans="1:7" x14ac:dyDescent="0.2">
      <c r="A606" s="3">
        <f ca="1">IFERROR(__xludf.DUMMYFUNCTION("""COMPUTED_VALUE"""),3814)</f>
        <v>3814</v>
      </c>
      <c r="B606" s="6">
        <f ca="1">IFERROR(__xludf.DUMMYFUNCTION("""COMPUTED_VALUE"""),45351.1612731481)</f>
        <v>45351.1612731481</v>
      </c>
      <c r="C606" s="3" t="str">
        <f ca="1">IFERROR(__xludf.DUMMYFUNCTION("""COMPUTED_VALUE"""),"purchase")</f>
        <v>purchase</v>
      </c>
      <c r="D606" s="6">
        <f t="shared" ca="1" si="0"/>
        <v>45351</v>
      </c>
      <c r="E606" s="6">
        <f t="shared" ca="1" si="1"/>
        <v>45348</v>
      </c>
      <c r="F606" s="6">
        <f t="shared" ca="1" si="2"/>
        <v>45323</v>
      </c>
      <c r="G606" s="7"/>
    </row>
    <row r="607" spans="1:7" x14ac:dyDescent="0.2">
      <c r="A607" s="3">
        <f ca="1">IFERROR(__xludf.DUMMYFUNCTION("""COMPUTED_VALUE"""),5012)</f>
        <v>5012</v>
      </c>
      <c r="B607" s="6">
        <f ca="1">IFERROR(__xludf.DUMMYFUNCTION("""COMPUTED_VALUE"""),45351.3851157407)</f>
        <v>45351.385115740697</v>
      </c>
      <c r="C607" s="3" t="str">
        <f ca="1">IFERROR(__xludf.DUMMYFUNCTION("""COMPUTED_VALUE"""),"purchase")</f>
        <v>purchase</v>
      </c>
      <c r="D607" s="6">
        <f t="shared" ca="1" si="0"/>
        <v>45351</v>
      </c>
      <c r="E607" s="6">
        <f t="shared" ca="1" si="1"/>
        <v>45348</v>
      </c>
      <c r="F607" s="6">
        <f t="shared" ca="1" si="2"/>
        <v>45323</v>
      </c>
      <c r="G607" s="7"/>
    </row>
    <row r="608" spans="1:7" x14ac:dyDescent="0.2">
      <c r="A608" s="3">
        <f ca="1">IFERROR(__xludf.DUMMYFUNCTION("""COMPUTED_VALUE"""),6049)</f>
        <v>6049</v>
      </c>
      <c r="B608" s="6">
        <f ca="1">IFERROR(__xludf.DUMMYFUNCTION("""COMPUTED_VALUE"""),45351.4865277777)</f>
        <v>45351.486527777699</v>
      </c>
      <c r="C608" s="3" t="str">
        <f ca="1">IFERROR(__xludf.DUMMYFUNCTION("""COMPUTED_VALUE"""),"purchase")</f>
        <v>purchase</v>
      </c>
      <c r="D608" s="6">
        <f t="shared" ca="1" si="0"/>
        <v>45351</v>
      </c>
      <c r="E608" s="6">
        <f t="shared" ca="1" si="1"/>
        <v>45348</v>
      </c>
      <c r="F608" s="6">
        <f t="shared" ca="1" si="2"/>
        <v>45323</v>
      </c>
      <c r="G608" s="7"/>
    </row>
    <row r="609" spans="1:7" x14ac:dyDescent="0.2">
      <c r="A609" s="3">
        <f ca="1">IFERROR(__xludf.DUMMYFUNCTION("""COMPUTED_VALUE"""),6713)</f>
        <v>6713</v>
      </c>
      <c r="B609" s="6">
        <f ca="1">IFERROR(__xludf.DUMMYFUNCTION("""COMPUTED_VALUE"""),45351.4914930555)</f>
        <v>45351.491493055502</v>
      </c>
      <c r="C609" s="3" t="str">
        <f ca="1">IFERROR(__xludf.DUMMYFUNCTION("""COMPUTED_VALUE"""),"purchase")</f>
        <v>purchase</v>
      </c>
      <c r="D609" s="6">
        <f t="shared" ca="1" si="0"/>
        <v>45351</v>
      </c>
      <c r="E609" s="6">
        <f t="shared" ca="1" si="1"/>
        <v>45348</v>
      </c>
      <c r="F609" s="6">
        <f t="shared" ca="1" si="2"/>
        <v>45323</v>
      </c>
      <c r="G609" s="7"/>
    </row>
    <row r="610" spans="1:7" x14ac:dyDescent="0.2">
      <c r="A610" s="3">
        <f ca="1">IFERROR(__xludf.DUMMYFUNCTION("""COMPUTED_VALUE"""),3729)</f>
        <v>3729</v>
      </c>
      <c r="B610" s="6">
        <f ca="1">IFERROR(__xludf.DUMMYFUNCTION("""COMPUTED_VALUE"""),45351.5245486111)</f>
        <v>45351.524548611102</v>
      </c>
      <c r="C610" s="3" t="str">
        <f ca="1">IFERROR(__xludf.DUMMYFUNCTION("""COMPUTED_VALUE"""),"purchase")</f>
        <v>purchase</v>
      </c>
      <c r="D610" s="6">
        <f t="shared" ca="1" si="0"/>
        <v>45351</v>
      </c>
      <c r="E610" s="6">
        <f t="shared" ca="1" si="1"/>
        <v>45348</v>
      </c>
      <c r="F610" s="6">
        <f t="shared" ca="1" si="2"/>
        <v>45323</v>
      </c>
      <c r="G610" s="7"/>
    </row>
    <row r="611" spans="1:7" x14ac:dyDescent="0.2">
      <c r="A611" s="3">
        <f ca="1">IFERROR(__xludf.DUMMYFUNCTION("""COMPUTED_VALUE"""),4861)</f>
        <v>4861</v>
      </c>
      <c r="B611" s="6">
        <f ca="1">IFERROR(__xludf.DUMMYFUNCTION("""COMPUTED_VALUE"""),45351.5785416666)</f>
        <v>45351.578541666597</v>
      </c>
      <c r="C611" s="3" t="str">
        <f ca="1">IFERROR(__xludf.DUMMYFUNCTION("""COMPUTED_VALUE"""),"purchase")</f>
        <v>purchase</v>
      </c>
      <c r="D611" s="6">
        <f t="shared" ca="1" si="0"/>
        <v>45351</v>
      </c>
      <c r="E611" s="6">
        <f t="shared" ca="1" si="1"/>
        <v>45348</v>
      </c>
      <c r="F611" s="6">
        <f t="shared" ca="1" si="2"/>
        <v>45323</v>
      </c>
      <c r="G611" s="7"/>
    </row>
    <row r="612" spans="1:7" x14ac:dyDescent="0.2">
      <c r="A612" s="3">
        <f ca="1">IFERROR(__xludf.DUMMYFUNCTION("""COMPUTED_VALUE"""),1316)</f>
        <v>1316</v>
      </c>
      <c r="B612" s="6">
        <f ca="1">IFERROR(__xludf.DUMMYFUNCTION("""COMPUTED_VALUE"""),45351.655625)</f>
        <v>45351.655624999999</v>
      </c>
      <c r="C612" s="3" t="str">
        <f ca="1">IFERROR(__xludf.DUMMYFUNCTION("""COMPUTED_VALUE"""),"purchase")</f>
        <v>purchase</v>
      </c>
      <c r="D612" s="6">
        <f t="shared" ca="1" si="0"/>
        <v>45351</v>
      </c>
      <c r="E612" s="6">
        <f t="shared" ca="1" si="1"/>
        <v>45348</v>
      </c>
      <c r="F612" s="6">
        <f t="shared" ca="1" si="2"/>
        <v>45323</v>
      </c>
      <c r="G612" s="7"/>
    </row>
    <row r="613" spans="1:7" x14ac:dyDescent="0.2">
      <c r="A613" s="3">
        <f ca="1">IFERROR(__xludf.DUMMYFUNCTION("""COMPUTED_VALUE"""),2182)</f>
        <v>2182</v>
      </c>
      <c r="B613" s="6">
        <f ca="1">IFERROR(__xludf.DUMMYFUNCTION("""COMPUTED_VALUE"""),45351.7788078703)</f>
        <v>45351.778807870302</v>
      </c>
      <c r="C613" s="3" t="str">
        <f ca="1">IFERROR(__xludf.DUMMYFUNCTION("""COMPUTED_VALUE"""),"purchase")</f>
        <v>purchase</v>
      </c>
      <c r="D613" s="6">
        <f t="shared" ca="1" si="0"/>
        <v>45351</v>
      </c>
      <c r="E613" s="6">
        <f t="shared" ca="1" si="1"/>
        <v>45348</v>
      </c>
      <c r="F613" s="6">
        <f t="shared" ca="1" si="2"/>
        <v>45323</v>
      </c>
      <c r="G613" s="7"/>
    </row>
    <row r="614" spans="1:7" x14ac:dyDescent="0.2">
      <c r="A614" s="3">
        <f ca="1">IFERROR(__xludf.DUMMYFUNCTION("""COMPUTED_VALUE"""),1418)</f>
        <v>1418</v>
      </c>
      <c r="B614" s="6">
        <f ca="1">IFERROR(__xludf.DUMMYFUNCTION("""COMPUTED_VALUE"""),45351.8431018518)</f>
        <v>45351.843101851802</v>
      </c>
      <c r="C614" s="3" t="str">
        <f ca="1">IFERROR(__xludf.DUMMYFUNCTION("""COMPUTED_VALUE"""),"purchase")</f>
        <v>purchase</v>
      </c>
      <c r="D614" s="6">
        <f t="shared" ca="1" si="0"/>
        <v>45351</v>
      </c>
      <c r="E614" s="6">
        <f t="shared" ca="1" si="1"/>
        <v>45348</v>
      </c>
      <c r="F614" s="6">
        <f t="shared" ca="1" si="2"/>
        <v>45323</v>
      </c>
      <c r="G614" s="7"/>
    </row>
    <row r="615" spans="1:7" x14ac:dyDescent="0.2">
      <c r="A615" s="3">
        <f ca="1">IFERROR(__xludf.DUMMYFUNCTION("""COMPUTED_VALUE"""),7101)</f>
        <v>7101</v>
      </c>
      <c r="B615" s="6">
        <f ca="1">IFERROR(__xludf.DUMMYFUNCTION("""COMPUTED_VALUE"""),45351.9124884259)</f>
        <v>45351.9124884259</v>
      </c>
      <c r="C615" s="3" t="str">
        <f ca="1">IFERROR(__xludf.DUMMYFUNCTION("""COMPUTED_VALUE"""),"purchase")</f>
        <v>purchase</v>
      </c>
      <c r="D615" s="6">
        <f t="shared" ca="1" si="0"/>
        <v>45351</v>
      </c>
      <c r="E615" s="6">
        <f t="shared" ca="1" si="1"/>
        <v>45348</v>
      </c>
      <c r="F615" s="6">
        <f t="shared" ca="1" si="2"/>
        <v>45323</v>
      </c>
      <c r="G615" s="7"/>
    </row>
    <row r="616" spans="1:7" x14ac:dyDescent="0.2">
      <c r="A616" s="3">
        <f ca="1">IFERROR(__xludf.DUMMYFUNCTION("""COMPUTED_VALUE"""),3461)</f>
        <v>3461</v>
      </c>
      <c r="B616" s="6">
        <f ca="1">IFERROR(__xludf.DUMMYFUNCTION("""COMPUTED_VALUE"""),45352.0420601851)</f>
        <v>45352.0420601851</v>
      </c>
      <c r="C616" s="3" t="str">
        <f ca="1">IFERROR(__xludf.DUMMYFUNCTION("""COMPUTED_VALUE"""),"purchase")</f>
        <v>purchase</v>
      </c>
      <c r="D616" s="6">
        <f t="shared" ca="1" si="0"/>
        <v>45352</v>
      </c>
      <c r="E616" s="6">
        <f t="shared" ca="1" si="1"/>
        <v>45348</v>
      </c>
      <c r="F616" s="6">
        <f t="shared" ca="1" si="2"/>
        <v>45352</v>
      </c>
      <c r="G616" s="7"/>
    </row>
    <row r="617" spans="1:7" x14ac:dyDescent="0.2">
      <c r="A617" s="3">
        <f ca="1">IFERROR(__xludf.DUMMYFUNCTION("""COMPUTED_VALUE"""),623)</f>
        <v>623</v>
      </c>
      <c r="B617" s="6">
        <f ca="1">IFERROR(__xludf.DUMMYFUNCTION("""COMPUTED_VALUE"""),45352.1592708333)</f>
        <v>45352.159270833297</v>
      </c>
      <c r="C617" s="3" t="str">
        <f ca="1">IFERROR(__xludf.DUMMYFUNCTION("""COMPUTED_VALUE"""),"purchase")</f>
        <v>purchase</v>
      </c>
      <c r="D617" s="6">
        <f t="shared" ca="1" si="0"/>
        <v>45352</v>
      </c>
      <c r="E617" s="6">
        <f t="shared" ca="1" si="1"/>
        <v>45348</v>
      </c>
      <c r="F617" s="6">
        <f t="shared" ca="1" si="2"/>
        <v>45352</v>
      </c>
      <c r="G617" s="7"/>
    </row>
    <row r="618" spans="1:7" x14ac:dyDescent="0.2">
      <c r="A618" s="3">
        <f ca="1">IFERROR(__xludf.DUMMYFUNCTION("""COMPUTED_VALUE"""),5325)</f>
        <v>5325</v>
      </c>
      <c r="B618" s="6">
        <f ca="1">IFERROR(__xludf.DUMMYFUNCTION("""COMPUTED_VALUE"""),45352.1680902777)</f>
        <v>45352.168090277701</v>
      </c>
      <c r="C618" s="3" t="str">
        <f ca="1">IFERROR(__xludf.DUMMYFUNCTION("""COMPUTED_VALUE"""),"purchase")</f>
        <v>purchase</v>
      </c>
      <c r="D618" s="6">
        <f t="shared" ca="1" si="0"/>
        <v>45352</v>
      </c>
      <c r="E618" s="6">
        <f t="shared" ca="1" si="1"/>
        <v>45348</v>
      </c>
      <c r="F618" s="6">
        <f t="shared" ca="1" si="2"/>
        <v>45352</v>
      </c>
      <c r="G618" s="7"/>
    </row>
    <row r="619" spans="1:7" x14ac:dyDescent="0.2">
      <c r="A619" s="3">
        <f ca="1">IFERROR(__xludf.DUMMYFUNCTION("""COMPUTED_VALUE"""),5455)</f>
        <v>5455</v>
      </c>
      <c r="B619" s="6">
        <f ca="1">IFERROR(__xludf.DUMMYFUNCTION("""COMPUTED_VALUE"""),45352.168761574)</f>
        <v>45352.168761574001</v>
      </c>
      <c r="C619" s="3" t="str">
        <f ca="1">IFERROR(__xludf.DUMMYFUNCTION("""COMPUTED_VALUE"""),"purchase")</f>
        <v>purchase</v>
      </c>
      <c r="D619" s="6">
        <f t="shared" ca="1" si="0"/>
        <v>45352</v>
      </c>
      <c r="E619" s="6">
        <f t="shared" ca="1" si="1"/>
        <v>45348</v>
      </c>
      <c r="F619" s="6">
        <f t="shared" ca="1" si="2"/>
        <v>45352</v>
      </c>
      <c r="G619" s="7"/>
    </row>
    <row r="620" spans="1:7" x14ac:dyDescent="0.2">
      <c r="A620" s="3">
        <f ca="1">IFERROR(__xludf.DUMMYFUNCTION("""COMPUTED_VALUE"""),5753)</f>
        <v>5753</v>
      </c>
      <c r="B620" s="6">
        <f ca="1">IFERROR(__xludf.DUMMYFUNCTION("""COMPUTED_VALUE"""),45352.2988888888)</f>
        <v>45352.298888888799</v>
      </c>
      <c r="C620" s="3" t="str">
        <f ca="1">IFERROR(__xludf.DUMMYFUNCTION("""COMPUTED_VALUE"""),"purchase")</f>
        <v>purchase</v>
      </c>
      <c r="D620" s="6">
        <f t="shared" ca="1" si="0"/>
        <v>45352</v>
      </c>
      <c r="E620" s="6">
        <f t="shared" ca="1" si="1"/>
        <v>45348</v>
      </c>
      <c r="F620" s="6">
        <f t="shared" ca="1" si="2"/>
        <v>45352</v>
      </c>
      <c r="G620" s="7"/>
    </row>
    <row r="621" spans="1:7" x14ac:dyDescent="0.2">
      <c r="A621" s="3">
        <f ca="1">IFERROR(__xludf.DUMMYFUNCTION("""COMPUTED_VALUE"""),111)</f>
        <v>111</v>
      </c>
      <c r="B621" s="6">
        <f ca="1">IFERROR(__xludf.DUMMYFUNCTION("""COMPUTED_VALUE"""),45352.3181712963)</f>
        <v>45352.318171296298</v>
      </c>
      <c r="C621" s="3" t="str">
        <f ca="1">IFERROR(__xludf.DUMMYFUNCTION("""COMPUTED_VALUE"""),"purchase")</f>
        <v>purchase</v>
      </c>
      <c r="D621" s="6">
        <f t="shared" ca="1" si="0"/>
        <v>45352</v>
      </c>
      <c r="E621" s="6">
        <f t="shared" ca="1" si="1"/>
        <v>45348</v>
      </c>
      <c r="F621" s="6">
        <f t="shared" ca="1" si="2"/>
        <v>45352</v>
      </c>
      <c r="G621" s="7"/>
    </row>
    <row r="622" spans="1:7" x14ac:dyDescent="0.2">
      <c r="A622" s="3">
        <f ca="1">IFERROR(__xludf.DUMMYFUNCTION("""COMPUTED_VALUE"""),1923)</f>
        <v>1923</v>
      </c>
      <c r="B622" s="6">
        <f ca="1">IFERROR(__xludf.DUMMYFUNCTION("""COMPUTED_VALUE"""),45352.3369444444)</f>
        <v>45352.336944444403</v>
      </c>
      <c r="C622" s="3" t="str">
        <f ca="1">IFERROR(__xludf.DUMMYFUNCTION("""COMPUTED_VALUE"""),"purchase")</f>
        <v>purchase</v>
      </c>
      <c r="D622" s="6">
        <f t="shared" ca="1" si="0"/>
        <v>45352</v>
      </c>
      <c r="E622" s="6">
        <f t="shared" ca="1" si="1"/>
        <v>45348</v>
      </c>
      <c r="F622" s="6">
        <f t="shared" ca="1" si="2"/>
        <v>45352</v>
      </c>
      <c r="G622" s="7"/>
    </row>
    <row r="623" spans="1:7" x14ac:dyDescent="0.2">
      <c r="A623" s="3">
        <f ca="1">IFERROR(__xludf.DUMMYFUNCTION("""COMPUTED_VALUE"""),3858)</f>
        <v>3858</v>
      </c>
      <c r="B623" s="6">
        <f ca="1">IFERROR(__xludf.DUMMYFUNCTION("""COMPUTED_VALUE"""),45352.4164351851)</f>
        <v>45352.4164351851</v>
      </c>
      <c r="C623" s="3" t="str">
        <f ca="1">IFERROR(__xludf.DUMMYFUNCTION("""COMPUTED_VALUE"""),"purchase")</f>
        <v>purchase</v>
      </c>
      <c r="D623" s="6">
        <f t="shared" ca="1" si="0"/>
        <v>45352</v>
      </c>
      <c r="E623" s="6">
        <f t="shared" ca="1" si="1"/>
        <v>45348</v>
      </c>
      <c r="F623" s="6">
        <f t="shared" ca="1" si="2"/>
        <v>45352</v>
      </c>
      <c r="G623" s="7"/>
    </row>
    <row r="624" spans="1:7" x14ac:dyDescent="0.2">
      <c r="A624" s="3">
        <f ca="1">IFERROR(__xludf.DUMMYFUNCTION("""COMPUTED_VALUE"""),5493)</f>
        <v>5493</v>
      </c>
      <c r="B624" s="6">
        <f ca="1">IFERROR(__xludf.DUMMYFUNCTION("""COMPUTED_VALUE"""),45352.5422569444)</f>
        <v>45352.542256944398</v>
      </c>
      <c r="C624" s="3" t="str">
        <f ca="1">IFERROR(__xludf.DUMMYFUNCTION("""COMPUTED_VALUE"""),"purchase")</f>
        <v>purchase</v>
      </c>
      <c r="D624" s="6">
        <f t="shared" ca="1" si="0"/>
        <v>45352</v>
      </c>
      <c r="E624" s="6">
        <f t="shared" ca="1" si="1"/>
        <v>45348</v>
      </c>
      <c r="F624" s="6">
        <f t="shared" ca="1" si="2"/>
        <v>45352</v>
      </c>
      <c r="G624" s="7"/>
    </row>
    <row r="625" spans="1:7" x14ac:dyDescent="0.2">
      <c r="A625" s="3">
        <f ca="1">IFERROR(__xludf.DUMMYFUNCTION("""COMPUTED_VALUE"""),398)</f>
        <v>398</v>
      </c>
      <c r="B625" s="6">
        <f ca="1">IFERROR(__xludf.DUMMYFUNCTION("""COMPUTED_VALUE"""),45352.5745023148)</f>
        <v>45352.574502314797</v>
      </c>
      <c r="C625" s="3" t="str">
        <f ca="1">IFERROR(__xludf.DUMMYFUNCTION("""COMPUTED_VALUE"""),"purchase")</f>
        <v>purchase</v>
      </c>
      <c r="D625" s="6">
        <f t="shared" ca="1" si="0"/>
        <v>45352</v>
      </c>
      <c r="E625" s="6">
        <f t="shared" ca="1" si="1"/>
        <v>45348</v>
      </c>
      <c r="F625" s="6">
        <f t="shared" ca="1" si="2"/>
        <v>45352</v>
      </c>
      <c r="G625" s="7"/>
    </row>
    <row r="626" spans="1:7" x14ac:dyDescent="0.2">
      <c r="A626" s="3">
        <f ca="1">IFERROR(__xludf.DUMMYFUNCTION("""COMPUTED_VALUE"""),1447)</f>
        <v>1447</v>
      </c>
      <c r="B626" s="6">
        <f ca="1">IFERROR(__xludf.DUMMYFUNCTION("""COMPUTED_VALUE"""),45352.6201388888)</f>
        <v>45352.6201388888</v>
      </c>
      <c r="C626" s="3" t="str">
        <f ca="1">IFERROR(__xludf.DUMMYFUNCTION("""COMPUTED_VALUE"""),"purchase")</f>
        <v>purchase</v>
      </c>
      <c r="D626" s="6">
        <f t="shared" ca="1" si="0"/>
        <v>45352</v>
      </c>
      <c r="E626" s="6">
        <f t="shared" ca="1" si="1"/>
        <v>45348</v>
      </c>
      <c r="F626" s="6">
        <f t="shared" ca="1" si="2"/>
        <v>45352</v>
      </c>
      <c r="G626" s="7"/>
    </row>
    <row r="627" spans="1:7" x14ac:dyDescent="0.2">
      <c r="A627" s="3">
        <f ca="1">IFERROR(__xludf.DUMMYFUNCTION("""COMPUTED_VALUE"""),2376)</f>
        <v>2376</v>
      </c>
      <c r="B627" s="6">
        <f ca="1">IFERROR(__xludf.DUMMYFUNCTION("""COMPUTED_VALUE"""),45352.7320023148)</f>
        <v>45352.732002314799</v>
      </c>
      <c r="C627" s="3" t="str">
        <f ca="1">IFERROR(__xludf.DUMMYFUNCTION("""COMPUTED_VALUE"""),"purchase")</f>
        <v>purchase</v>
      </c>
      <c r="D627" s="6">
        <f t="shared" ca="1" si="0"/>
        <v>45352</v>
      </c>
      <c r="E627" s="6">
        <f t="shared" ca="1" si="1"/>
        <v>45348</v>
      </c>
      <c r="F627" s="6">
        <f t="shared" ca="1" si="2"/>
        <v>45352</v>
      </c>
      <c r="G627" s="7"/>
    </row>
    <row r="628" spans="1:7" x14ac:dyDescent="0.2">
      <c r="A628" s="3">
        <f ca="1">IFERROR(__xludf.DUMMYFUNCTION("""COMPUTED_VALUE"""),1484)</f>
        <v>1484</v>
      </c>
      <c r="B628" s="6">
        <f ca="1">IFERROR(__xludf.DUMMYFUNCTION("""COMPUTED_VALUE"""),45352.7407407407)</f>
        <v>45352.740740740701</v>
      </c>
      <c r="C628" s="3" t="str">
        <f ca="1">IFERROR(__xludf.DUMMYFUNCTION("""COMPUTED_VALUE"""),"purchase")</f>
        <v>purchase</v>
      </c>
      <c r="D628" s="6">
        <f t="shared" ca="1" si="0"/>
        <v>45352</v>
      </c>
      <c r="E628" s="6">
        <f t="shared" ca="1" si="1"/>
        <v>45348</v>
      </c>
      <c r="F628" s="6">
        <f t="shared" ca="1" si="2"/>
        <v>45352</v>
      </c>
      <c r="G628" s="7"/>
    </row>
    <row r="629" spans="1:7" x14ac:dyDescent="0.2">
      <c r="A629" s="3">
        <f ca="1">IFERROR(__xludf.DUMMYFUNCTION("""COMPUTED_VALUE"""),7331)</f>
        <v>7331</v>
      </c>
      <c r="B629" s="6">
        <f ca="1">IFERROR(__xludf.DUMMYFUNCTION("""COMPUTED_VALUE"""),45352.9080787037)</f>
        <v>45352.908078703702</v>
      </c>
      <c r="C629" s="3" t="str">
        <f ca="1">IFERROR(__xludf.DUMMYFUNCTION("""COMPUTED_VALUE"""),"purchase")</f>
        <v>purchase</v>
      </c>
      <c r="D629" s="6">
        <f t="shared" ca="1" si="0"/>
        <v>45352</v>
      </c>
      <c r="E629" s="6">
        <f t="shared" ca="1" si="1"/>
        <v>45348</v>
      </c>
      <c r="F629" s="6">
        <f t="shared" ca="1" si="2"/>
        <v>45352</v>
      </c>
      <c r="G629" s="7"/>
    </row>
    <row r="630" spans="1:7" x14ac:dyDescent="0.2">
      <c r="A630" s="3">
        <f ca="1">IFERROR(__xludf.DUMMYFUNCTION("""COMPUTED_VALUE"""),4326)</f>
        <v>4326</v>
      </c>
      <c r="B630" s="6">
        <f ca="1">IFERROR(__xludf.DUMMYFUNCTION("""COMPUTED_VALUE"""),45353.078761574)</f>
        <v>45353.078761573997</v>
      </c>
      <c r="C630" s="3" t="str">
        <f ca="1">IFERROR(__xludf.DUMMYFUNCTION("""COMPUTED_VALUE"""),"purchase")</f>
        <v>purchase</v>
      </c>
      <c r="D630" s="6">
        <f t="shared" ca="1" si="0"/>
        <v>45353</v>
      </c>
      <c r="E630" s="6">
        <f t="shared" ca="1" si="1"/>
        <v>45348</v>
      </c>
      <c r="F630" s="6">
        <f t="shared" ca="1" si="2"/>
        <v>45352</v>
      </c>
      <c r="G630" s="7"/>
    </row>
    <row r="631" spans="1:7" x14ac:dyDescent="0.2">
      <c r="A631" s="3">
        <f ca="1">IFERROR(__xludf.DUMMYFUNCTION("""COMPUTED_VALUE"""),6089)</f>
        <v>6089</v>
      </c>
      <c r="B631" s="6">
        <f ca="1">IFERROR(__xludf.DUMMYFUNCTION("""COMPUTED_VALUE"""),45353.0913078703)</f>
        <v>45353.091307870302</v>
      </c>
      <c r="C631" s="3" t="str">
        <f ca="1">IFERROR(__xludf.DUMMYFUNCTION("""COMPUTED_VALUE"""),"purchase")</f>
        <v>purchase</v>
      </c>
      <c r="D631" s="6">
        <f t="shared" ca="1" si="0"/>
        <v>45353</v>
      </c>
      <c r="E631" s="6">
        <f t="shared" ca="1" si="1"/>
        <v>45348</v>
      </c>
      <c r="F631" s="6">
        <f t="shared" ca="1" si="2"/>
        <v>45352</v>
      </c>
      <c r="G631" s="7"/>
    </row>
    <row r="632" spans="1:7" x14ac:dyDescent="0.2">
      <c r="A632" s="3">
        <f ca="1">IFERROR(__xludf.DUMMYFUNCTION("""COMPUTED_VALUE"""),7452)</f>
        <v>7452</v>
      </c>
      <c r="B632" s="6">
        <f ca="1">IFERROR(__xludf.DUMMYFUNCTION("""COMPUTED_VALUE"""),45353.1903125)</f>
        <v>45353.190312500003</v>
      </c>
      <c r="C632" s="3" t="str">
        <f ca="1">IFERROR(__xludf.DUMMYFUNCTION("""COMPUTED_VALUE"""),"purchase")</f>
        <v>purchase</v>
      </c>
      <c r="D632" s="6">
        <f t="shared" ca="1" si="0"/>
        <v>45353</v>
      </c>
      <c r="E632" s="6">
        <f t="shared" ca="1" si="1"/>
        <v>45348</v>
      </c>
      <c r="F632" s="6">
        <f t="shared" ca="1" si="2"/>
        <v>45352</v>
      </c>
      <c r="G632" s="7"/>
    </row>
    <row r="633" spans="1:7" x14ac:dyDescent="0.2">
      <c r="A633" s="3">
        <f ca="1">IFERROR(__xludf.DUMMYFUNCTION("""COMPUTED_VALUE"""),587)</f>
        <v>587</v>
      </c>
      <c r="B633" s="6">
        <f ca="1">IFERROR(__xludf.DUMMYFUNCTION("""COMPUTED_VALUE"""),45353.1927430555)</f>
        <v>45353.192743055501</v>
      </c>
      <c r="C633" s="3" t="str">
        <f ca="1">IFERROR(__xludf.DUMMYFUNCTION("""COMPUTED_VALUE"""),"purchase")</f>
        <v>purchase</v>
      </c>
      <c r="D633" s="6">
        <f t="shared" ca="1" si="0"/>
        <v>45353</v>
      </c>
      <c r="E633" s="6">
        <f t="shared" ca="1" si="1"/>
        <v>45348</v>
      </c>
      <c r="F633" s="6">
        <f t="shared" ca="1" si="2"/>
        <v>45352</v>
      </c>
      <c r="G633" s="7"/>
    </row>
    <row r="634" spans="1:7" x14ac:dyDescent="0.2">
      <c r="A634" s="3">
        <f ca="1">IFERROR(__xludf.DUMMYFUNCTION("""COMPUTED_VALUE"""),3144)</f>
        <v>3144</v>
      </c>
      <c r="B634" s="6">
        <f ca="1">IFERROR(__xludf.DUMMYFUNCTION("""COMPUTED_VALUE"""),45353.6412962962)</f>
        <v>45353.641296296199</v>
      </c>
      <c r="C634" s="3" t="str">
        <f ca="1">IFERROR(__xludf.DUMMYFUNCTION("""COMPUTED_VALUE"""),"purchase")</f>
        <v>purchase</v>
      </c>
      <c r="D634" s="6">
        <f t="shared" ca="1" si="0"/>
        <v>45353</v>
      </c>
      <c r="E634" s="6">
        <f t="shared" ca="1" si="1"/>
        <v>45348</v>
      </c>
      <c r="F634" s="6">
        <f t="shared" ca="1" si="2"/>
        <v>45352</v>
      </c>
      <c r="G634" s="7"/>
    </row>
    <row r="635" spans="1:7" x14ac:dyDescent="0.2">
      <c r="A635" s="3">
        <f ca="1">IFERROR(__xludf.DUMMYFUNCTION("""COMPUTED_VALUE"""),3247)</f>
        <v>3247</v>
      </c>
      <c r="B635" s="6">
        <f ca="1">IFERROR(__xludf.DUMMYFUNCTION("""COMPUTED_VALUE"""),45353.6843171296)</f>
        <v>45353.684317129599</v>
      </c>
      <c r="C635" s="3" t="str">
        <f ca="1">IFERROR(__xludf.DUMMYFUNCTION("""COMPUTED_VALUE"""),"purchase")</f>
        <v>purchase</v>
      </c>
      <c r="D635" s="6">
        <f t="shared" ca="1" si="0"/>
        <v>45353</v>
      </c>
      <c r="E635" s="6">
        <f t="shared" ca="1" si="1"/>
        <v>45348</v>
      </c>
      <c r="F635" s="6">
        <f t="shared" ca="1" si="2"/>
        <v>45352</v>
      </c>
      <c r="G635" s="7"/>
    </row>
    <row r="636" spans="1:7" x14ac:dyDescent="0.2">
      <c r="A636" s="3">
        <f ca="1">IFERROR(__xludf.DUMMYFUNCTION("""COMPUTED_VALUE"""),3525)</f>
        <v>3525</v>
      </c>
      <c r="B636" s="6">
        <f ca="1">IFERROR(__xludf.DUMMYFUNCTION("""COMPUTED_VALUE"""),45353.8919675925)</f>
        <v>45353.891967592499</v>
      </c>
      <c r="C636" s="3" t="str">
        <f ca="1">IFERROR(__xludf.DUMMYFUNCTION("""COMPUTED_VALUE"""),"purchase")</f>
        <v>purchase</v>
      </c>
      <c r="D636" s="6">
        <f t="shared" ca="1" si="0"/>
        <v>45353</v>
      </c>
      <c r="E636" s="6">
        <f t="shared" ca="1" si="1"/>
        <v>45348</v>
      </c>
      <c r="F636" s="6">
        <f t="shared" ca="1" si="2"/>
        <v>45352</v>
      </c>
      <c r="G636" s="7"/>
    </row>
    <row r="637" spans="1:7" x14ac:dyDescent="0.2">
      <c r="A637" s="3">
        <f ca="1">IFERROR(__xludf.DUMMYFUNCTION("""COMPUTED_VALUE"""),1386)</f>
        <v>1386</v>
      </c>
      <c r="B637" s="6">
        <f ca="1">IFERROR(__xludf.DUMMYFUNCTION("""COMPUTED_VALUE"""),45353.9028356481)</f>
        <v>45353.902835648099</v>
      </c>
      <c r="C637" s="3" t="str">
        <f ca="1">IFERROR(__xludf.DUMMYFUNCTION("""COMPUTED_VALUE"""),"purchase")</f>
        <v>purchase</v>
      </c>
      <c r="D637" s="6">
        <f t="shared" ca="1" si="0"/>
        <v>45353</v>
      </c>
      <c r="E637" s="6">
        <f t="shared" ca="1" si="1"/>
        <v>45348</v>
      </c>
      <c r="F637" s="6">
        <f t="shared" ca="1" si="2"/>
        <v>45352</v>
      </c>
      <c r="G637" s="7"/>
    </row>
    <row r="638" spans="1:7" x14ac:dyDescent="0.2">
      <c r="A638" s="3">
        <f ca="1">IFERROR(__xludf.DUMMYFUNCTION("""COMPUTED_VALUE"""),4086)</f>
        <v>4086</v>
      </c>
      <c r="B638" s="6">
        <f ca="1">IFERROR(__xludf.DUMMYFUNCTION("""COMPUTED_VALUE"""),45354.0407060185)</f>
        <v>45354.040706018503</v>
      </c>
      <c r="C638" s="3" t="str">
        <f ca="1">IFERROR(__xludf.DUMMYFUNCTION("""COMPUTED_VALUE"""),"purchase")</f>
        <v>purchase</v>
      </c>
      <c r="D638" s="6">
        <f t="shared" ca="1" si="0"/>
        <v>45354</v>
      </c>
      <c r="E638" s="6">
        <f t="shared" ca="1" si="1"/>
        <v>45348</v>
      </c>
      <c r="F638" s="6">
        <f t="shared" ca="1" si="2"/>
        <v>45352</v>
      </c>
      <c r="G638" s="7"/>
    </row>
    <row r="639" spans="1:7" x14ac:dyDescent="0.2">
      <c r="A639" s="3">
        <f ca="1">IFERROR(__xludf.DUMMYFUNCTION("""COMPUTED_VALUE"""),971)</f>
        <v>971</v>
      </c>
      <c r="B639" s="6">
        <f ca="1">IFERROR(__xludf.DUMMYFUNCTION("""COMPUTED_VALUE"""),45354.0431481481)</f>
        <v>45354.043148148099</v>
      </c>
      <c r="C639" s="3" t="str">
        <f ca="1">IFERROR(__xludf.DUMMYFUNCTION("""COMPUTED_VALUE"""),"purchase")</f>
        <v>purchase</v>
      </c>
      <c r="D639" s="6">
        <f t="shared" ca="1" si="0"/>
        <v>45354</v>
      </c>
      <c r="E639" s="6">
        <f t="shared" ca="1" si="1"/>
        <v>45348</v>
      </c>
      <c r="F639" s="6">
        <f t="shared" ca="1" si="2"/>
        <v>45352</v>
      </c>
      <c r="G639" s="7"/>
    </row>
    <row r="640" spans="1:7" x14ac:dyDescent="0.2">
      <c r="A640" s="3">
        <f ca="1">IFERROR(__xludf.DUMMYFUNCTION("""COMPUTED_VALUE"""),2305)</f>
        <v>2305</v>
      </c>
      <c r="B640" s="6">
        <f ca="1">IFERROR(__xludf.DUMMYFUNCTION("""COMPUTED_VALUE"""),45354.1495138888)</f>
        <v>45354.149513888799</v>
      </c>
      <c r="C640" s="3" t="str">
        <f ca="1">IFERROR(__xludf.DUMMYFUNCTION("""COMPUTED_VALUE"""),"purchase")</f>
        <v>purchase</v>
      </c>
      <c r="D640" s="6">
        <f t="shared" ca="1" si="0"/>
        <v>45354</v>
      </c>
      <c r="E640" s="6">
        <f t="shared" ca="1" si="1"/>
        <v>45348</v>
      </c>
      <c r="F640" s="6">
        <f t="shared" ca="1" si="2"/>
        <v>45352</v>
      </c>
      <c r="G640" s="7"/>
    </row>
    <row r="641" spans="1:7" x14ac:dyDescent="0.2">
      <c r="A641" s="3">
        <f ca="1">IFERROR(__xludf.DUMMYFUNCTION("""COMPUTED_VALUE"""),7129)</f>
        <v>7129</v>
      </c>
      <c r="B641" s="6">
        <f ca="1">IFERROR(__xludf.DUMMYFUNCTION("""COMPUTED_VALUE"""),45354.1525231481)</f>
        <v>45354.152523148099</v>
      </c>
      <c r="C641" s="3" t="str">
        <f ca="1">IFERROR(__xludf.DUMMYFUNCTION("""COMPUTED_VALUE"""),"purchase")</f>
        <v>purchase</v>
      </c>
      <c r="D641" s="6">
        <f t="shared" ca="1" si="0"/>
        <v>45354</v>
      </c>
      <c r="E641" s="6">
        <f t="shared" ca="1" si="1"/>
        <v>45348</v>
      </c>
      <c r="F641" s="6">
        <f t="shared" ca="1" si="2"/>
        <v>45352</v>
      </c>
      <c r="G641" s="7"/>
    </row>
    <row r="642" spans="1:7" x14ac:dyDescent="0.2">
      <c r="A642" s="3">
        <f ca="1">IFERROR(__xludf.DUMMYFUNCTION("""COMPUTED_VALUE"""),1340)</f>
        <v>1340</v>
      </c>
      <c r="B642" s="6">
        <f ca="1">IFERROR(__xludf.DUMMYFUNCTION("""COMPUTED_VALUE"""),45354.4836921296)</f>
        <v>45354.483692129601</v>
      </c>
      <c r="C642" s="3" t="str">
        <f ca="1">IFERROR(__xludf.DUMMYFUNCTION("""COMPUTED_VALUE"""),"purchase")</f>
        <v>purchase</v>
      </c>
      <c r="D642" s="6">
        <f t="shared" ca="1" si="0"/>
        <v>45354</v>
      </c>
      <c r="E642" s="6">
        <f t="shared" ca="1" si="1"/>
        <v>45348</v>
      </c>
      <c r="F642" s="6">
        <f t="shared" ca="1" si="2"/>
        <v>45352</v>
      </c>
      <c r="G642" s="7"/>
    </row>
    <row r="643" spans="1:7" x14ac:dyDescent="0.2">
      <c r="A643" s="3">
        <f ca="1">IFERROR(__xludf.DUMMYFUNCTION("""COMPUTED_VALUE"""),6700)</f>
        <v>6700</v>
      </c>
      <c r="B643" s="6">
        <f ca="1">IFERROR(__xludf.DUMMYFUNCTION("""COMPUTED_VALUE"""),45354.5994675925)</f>
        <v>45354.599467592503</v>
      </c>
      <c r="C643" s="3" t="str">
        <f ca="1">IFERROR(__xludf.DUMMYFUNCTION("""COMPUTED_VALUE"""),"purchase")</f>
        <v>purchase</v>
      </c>
      <c r="D643" s="6">
        <f t="shared" ca="1" si="0"/>
        <v>45354</v>
      </c>
      <c r="E643" s="6">
        <f t="shared" ca="1" si="1"/>
        <v>45348</v>
      </c>
      <c r="F643" s="6">
        <f t="shared" ca="1" si="2"/>
        <v>45352</v>
      </c>
      <c r="G643" s="7"/>
    </row>
    <row r="644" spans="1:7" x14ac:dyDescent="0.2">
      <c r="A644" s="3">
        <f ca="1">IFERROR(__xludf.DUMMYFUNCTION("""COMPUTED_VALUE"""),1804)</f>
        <v>1804</v>
      </c>
      <c r="B644" s="6">
        <f ca="1">IFERROR(__xludf.DUMMYFUNCTION("""COMPUTED_VALUE"""),45354.7424074074)</f>
        <v>45354.742407407401</v>
      </c>
      <c r="C644" s="3" t="str">
        <f ca="1">IFERROR(__xludf.DUMMYFUNCTION("""COMPUTED_VALUE"""),"purchase")</f>
        <v>purchase</v>
      </c>
      <c r="D644" s="6">
        <f t="shared" ca="1" si="0"/>
        <v>45354</v>
      </c>
      <c r="E644" s="6">
        <f t="shared" ca="1" si="1"/>
        <v>45348</v>
      </c>
      <c r="F644" s="6">
        <f t="shared" ca="1" si="2"/>
        <v>45352</v>
      </c>
      <c r="G644" s="7"/>
    </row>
    <row r="645" spans="1:7" x14ac:dyDescent="0.2">
      <c r="A645" s="3">
        <f ca="1">IFERROR(__xludf.DUMMYFUNCTION("""COMPUTED_VALUE"""),7545)</f>
        <v>7545</v>
      </c>
      <c r="B645" s="6">
        <f ca="1">IFERROR(__xludf.DUMMYFUNCTION("""COMPUTED_VALUE"""),45354.7565509259)</f>
        <v>45354.7565509259</v>
      </c>
      <c r="C645" s="3" t="str">
        <f ca="1">IFERROR(__xludf.DUMMYFUNCTION("""COMPUTED_VALUE"""),"purchase")</f>
        <v>purchase</v>
      </c>
      <c r="D645" s="6">
        <f t="shared" ca="1" si="0"/>
        <v>45354</v>
      </c>
      <c r="E645" s="6">
        <f t="shared" ca="1" si="1"/>
        <v>45348</v>
      </c>
      <c r="F645" s="6">
        <f t="shared" ca="1" si="2"/>
        <v>45352</v>
      </c>
      <c r="G645" s="7"/>
    </row>
    <row r="646" spans="1:7" x14ac:dyDescent="0.2">
      <c r="A646" s="3">
        <f ca="1">IFERROR(__xludf.DUMMYFUNCTION("""COMPUTED_VALUE"""),6062)</f>
        <v>6062</v>
      </c>
      <c r="B646" s="6">
        <f ca="1">IFERROR(__xludf.DUMMYFUNCTION("""COMPUTED_VALUE"""),45354.9554861111)</f>
        <v>45354.955486111103</v>
      </c>
      <c r="C646" s="3" t="str">
        <f ca="1">IFERROR(__xludf.DUMMYFUNCTION("""COMPUTED_VALUE"""),"purchase")</f>
        <v>purchase</v>
      </c>
      <c r="D646" s="6">
        <f t="shared" ca="1" si="0"/>
        <v>45354</v>
      </c>
      <c r="E646" s="6">
        <f t="shared" ca="1" si="1"/>
        <v>45348</v>
      </c>
      <c r="F646" s="6">
        <f t="shared" ca="1" si="2"/>
        <v>45352</v>
      </c>
      <c r="G646" s="7"/>
    </row>
    <row r="647" spans="1:7" x14ac:dyDescent="0.2">
      <c r="A647" s="3">
        <f ca="1">IFERROR(__xludf.DUMMYFUNCTION("""COMPUTED_VALUE"""),1851)</f>
        <v>1851</v>
      </c>
      <c r="B647" s="6">
        <f ca="1">IFERROR(__xludf.DUMMYFUNCTION("""COMPUTED_VALUE"""),45355.2344907407)</f>
        <v>45355.234490740702</v>
      </c>
      <c r="C647" s="3" t="str">
        <f ca="1">IFERROR(__xludf.DUMMYFUNCTION("""COMPUTED_VALUE"""),"purchase")</f>
        <v>purchase</v>
      </c>
      <c r="D647" s="6">
        <f t="shared" ca="1" si="0"/>
        <v>45355</v>
      </c>
      <c r="E647" s="6">
        <f t="shared" ca="1" si="1"/>
        <v>45355</v>
      </c>
      <c r="F647" s="6">
        <f t="shared" ca="1" si="2"/>
        <v>45352</v>
      </c>
      <c r="G647" s="7"/>
    </row>
    <row r="648" spans="1:7" x14ac:dyDescent="0.2">
      <c r="A648" s="3">
        <f ca="1">IFERROR(__xludf.DUMMYFUNCTION("""COMPUTED_VALUE"""),6508)</f>
        <v>6508</v>
      </c>
      <c r="B648" s="6">
        <f ca="1">IFERROR(__xludf.DUMMYFUNCTION("""COMPUTED_VALUE"""),45355.3592708333)</f>
        <v>45355.359270833302</v>
      </c>
      <c r="C648" s="3" t="str">
        <f ca="1">IFERROR(__xludf.DUMMYFUNCTION("""COMPUTED_VALUE"""),"purchase")</f>
        <v>purchase</v>
      </c>
      <c r="D648" s="6">
        <f t="shared" ca="1" si="0"/>
        <v>45355</v>
      </c>
      <c r="E648" s="6">
        <f t="shared" ca="1" si="1"/>
        <v>45355</v>
      </c>
      <c r="F648" s="6">
        <f t="shared" ca="1" si="2"/>
        <v>45352</v>
      </c>
      <c r="G648" s="7"/>
    </row>
    <row r="649" spans="1:7" x14ac:dyDescent="0.2">
      <c r="A649" s="3">
        <f ca="1">IFERROR(__xludf.DUMMYFUNCTION("""COMPUTED_VALUE"""),1671)</f>
        <v>1671</v>
      </c>
      <c r="B649" s="6">
        <f ca="1">IFERROR(__xludf.DUMMYFUNCTION("""COMPUTED_VALUE"""),45355.5576388888)</f>
        <v>45355.5576388888</v>
      </c>
      <c r="C649" s="3" t="str">
        <f ca="1">IFERROR(__xludf.DUMMYFUNCTION("""COMPUTED_VALUE"""),"purchase")</f>
        <v>purchase</v>
      </c>
      <c r="D649" s="6">
        <f t="shared" ca="1" si="0"/>
        <v>45355</v>
      </c>
      <c r="E649" s="6">
        <f t="shared" ca="1" si="1"/>
        <v>45355</v>
      </c>
      <c r="F649" s="6">
        <f t="shared" ca="1" si="2"/>
        <v>45352</v>
      </c>
      <c r="G649" s="7"/>
    </row>
    <row r="650" spans="1:7" x14ac:dyDescent="0.2">
      <c r="A650" s="3">
        <f ca="1">IFERROR(__xludf.DUMMYFUNCTION("""COMPUTED_VALUE"""),4673)</f>
        <v>4673</v>
      </c>
      <c r="B650" s="6">
        <f ca="1">IFERROR(__xludf.DUMMYFUNCTION("""COMPUTED_VALUE"""),45355.6218171296)</f>
        <v>45355.621817129599</v>
      </c>
      <c r="C650" s="3" t="str">
        <f ca="1">IFERROR(__xludf.DUMMYFUNCTION("""COMPUTED_VALUE"""),"purchase")</f>
        <v>purchase</v>
      </c>
      <c r="D650" s="6">
        <f t="shared" ca="1" si="0"/>
        <v>45355</v>
      </c>
      <c r="E650" s="6">
        <f t="shared" ca="1" si="1"/>
        <v>45355</v>
      </c>
      <c r="F650" s="6">
        <f t="shared" ca="1" si="2"/>
        <v>45352</v>
      </c>
      <c r="G650" s="7"/>
    </row>
    <row r="651" spans="1:7" x14ac:dyDescent="0.2">
      <c r="A651" s="3">
        <f ca="1">IFERROR(__xludf.DUMMYFUNCTION("""COMPUTED_VALUE"""),6193)</f>
        <v>6193</v>
      </c>
      <c r="B651" s="6">
        <f ca="1">IFERROR(__xludf.DUMMYFUNCTION("""COMPUTED_VALUE"""),45355.6973379629)</f>
        <v>45355.697337962898</v>
      </c>
      <c r="C651" s="3" t="str">
        <f ca="1">IFERROR(__xludf.DUMMYFUNCTION("""COMPUTED_VALUE"""),"purchase")</f>
        <v>purchase</v>
      </c>
      <c r="D651" s="6">
        <f t="shared" ca="1" si="0"/>
        <v>45355</v>
      </c>
      <c r="E651" s="6">
        <f t="shared" ca="1" si="1"/>
        <v>45355</v>
      </c>
      <c r="F651" s="6">
        <f t="shared" ca="1" si="2"/>
        <v>45352</v>
      </c>
      <c r="G651" s="7"/>
    </row>
    <row r="652" spans="1:7" x14ac:dyDescent="0.2">
      <c r="A652" s="3">
        <f ca="1">IFERROR(__xludf.DUMMYFUNCTION("""COMPUTED_VALUE"""),479)</f>
        <v>479</v>
      </c>
      <c r="B652" s="6">
        <f ca="1">IFERROR(__xludf.DUMMYFUNCTION("""COMPUTED_VALUE"""),45355.7267592592)</f>
        <v>45355.726759259203</v>
      </c>
      <c r="C652" s="3" t="str">
        <f ca="1">IFERROR(__xludf.DUMMYFUNCTION("""COMPUTED_VALUE"""),"purchase")</f>
        <v>purchase</v>
      </c>
      <c r="D652" s="6">
        <f t="shared" ca="1" si="0"/>
        <v>45355</v>
      </c>
      <c r="E652" s="6">
        <f t="shared" ca="1" si="1"/>
        <v>45355</v>
      </c>
      <c r="F652" s="6">
        <f t="shared" ca="1" si="2"/>
        <v>45352</v>
      </c>
      <c r="G652" s="7"/>
    </row>
    <row r="653" spans="1:7" x14ac:dyDescent="0.2">
      <c r="A653" s="3">
        <f ca="1">IFERROR(__xludf.DUMMYFUNCTION("""COMPUTED_VALUE"""),7833)</f>
        <v>7833</v>
      </c>
      <c r="B653" s="6">
        <f ca="1">IFERROR(__xludf.DUMMYFUNCTION("""COMPUTED_VALUE"""),45355.7685069444)</f>
        <v>45355.768506944398</v>
      </c>
      <c r="C653" s="3" t="str">
        <f ca="1">IFERROR(__xludf.DUMMYFUNCTION("""COMPUTED_VALUE"""),"purchase")</f>
        <v>purchase</v>
      </c>
      <c r="D653" s="6">
        <f t="shared" ca="1" si="0"/>
        <v>45355</v>
      </c>
      <c r="E653" s="6">
        <f t="shared" ca="1" si="1"/>
        <v>45355</v>
      </c>
      <c r="F653" s="6">
        <f t="shared" ca="1" si="2"/>
        <v>45352</v>
      </c>
      <c r="G653" s="7"/>
    </row>
    <row r="654" spans="1:7" x14ac:dyDescent="0.2">
      <c r="A654" s="3">
        <f ca="1">IFERROR(__xludf.DUMMYFUNCTION("""COMPUTED_VALUE"""),6100)</f>
        <v>6100</v>
      </c>
      <c r="B654" s="6">
        <f ca="1">IFERROR(__xludf.DUMMYFUNCTION("""COMPUTED_VALUE"""),45355.7913888888)</f>
        <v>45355.7913888888</v>
      </c>
      <c r="C654" s="3" t="str">
        <f ca="1">IFERROR(__xludf.DUMMYFUNCTION("""COMPUTED_VALUE"""),"purchase")</f>
        <v>purchase</v>
      </c>
      <c r="D654" s="6">
        <f t="shared" ca="1" si="0"/>
        <v>45355</v>
      </c>
      <c r="E654" s="6">
        <f t="shared" ca="1" si="1"/>
        <v>45355</v>
      </c>
      <c r="F654" s="6">
        <f t="shared" ca="1" si="2"/>
        <v>45352</v>
      </c>
      <c r="G654" s="7"/>
    </row>
    <row r="655" spans="1:7" x14ac:dyDescent="0.2">
      <c r="A655" s="3">
        <f ca="1">IFERROR(__xludf.DUMMYFUNCTION("""COMPUTED_VALUE"""),5509)</f>
        <v>5509</v>
      </c>
      <c r="B655" s="6">
        <f ca="1">IFERROR(__xludf.DUMMYFUNCTION("""COMPUTED_VALUE"""),45355.9426157406)</f>
        <v>45355.9426157407</v>
      </c>
      <c r="C655" s="3" t="str">
        <f ca="1">IFERROR(__xludf.DUMMYFUNCTION("""COMPUTED_VALUE"""),"purchase")</f>
        <v>purchase</v>
      </c>
      <c r="D655" s="6">
        <f t="shared" ca="1" si="0"/>
        <v>45355</v>
      </c>
      <c r="E655" s="6">
        <f t="shared" ca="1" si="1"/>
        <v>45355</v>
      </c>
      <c r="F655" s="6">
        <f t="shared" ca="1" si="2"/>
        <v>45352</v>
      </c>
      <c r="G655" s="7"/>
    </row>
    <row r="656" spans="1:7" x14ac:dyDescent="0.2">
      <c r="A656" s="3">
        <f ca="1">IFERROR(__xludf.DUMMYFUNCTION("""COMPUTED_VALUE"""),1110)</f>
        <v>1110</v>
      </c>
      <c r="B656" s="6">
        <f ca="1">IFERROR(__xludf.DUMMYFUNCTION("""COMPUTED_VALUE"""),45356.0129861111)</f>
        <v>45356.012986111098</v>
      </c>
      <c r="C656" s="3" t="str">
        <f ca="1">IFERROR(__xludf.DUMMYFUNCTION("""COMPUTED_VALUE"""),"purchase")</f>
        <v>purchase</v>
      </c>
      <c r="D656" s="6">
        <f t="shared" ca="1" si="0"/>
        <v>45356</v>
      </c>
      <c r="E656" s="6">
        <f t="shared" ca="1" si="1"/>
        <v>45355</v>
      </c>
      <c r="F656" s="6">
        <f t="shared" ca="1" si="2"/>
        <v>45352</v>
      </c>
      <c r="G656" s="7"/>
    </row>
    <row r="657" spans="1:7" x14ac:dyDescent="0.2">
      <c r="A657" s="3">
        <f ca="1">IFERROR(__xludf.DUMMYFUNCTION("""COMPUTED_VALUE"""),6721)</f>
        <v>6721</v>
      </c>
      <c r="B657" s="6">
        <f ca="1">IFERROR(__xludf.DUMMYFUNCTION("""COMPUTED_VALUE"""),45356.1214236111)</f>
        <v>45356.121423611097</v>
      </c>
      <c r="C657" s="3" t="str">
        <f ca="1">IFERROR(__xludf.DUMMYFUNCTION("""COMPUTED_VALUE"""),"purchase")</f>
        <v>purchase</v>
      </c>
      <c r="D657" s="6">
        <f t="shared" ca="1" si="0"/>
        <v>45356</v>
      </c>
      <c r="E657" s="6">
        <f t="shared" ca="1" si="1"/>
        <v>45355</v>
      </c>
      <c r="F657" s="6">
        <f t="shared" ca="1" si="2"/>
        <v>45352</v>
      </c>
      <c r="G657" s="7"/>
    </row>
    <row r="658" spans="1:7" x14ac:dyDescent="0.2">
      <c r="A658" s="3">
        <f ca="1">IFERROR(__xludf.DUMMYFUNCTION("""COMPUTED_VALUE"""),7637)</f>
        <v>7637</v>
      </c>
      <c r="B658" s="6">
        <f ca="1">IFERROR(__xludf.DUMMYFUNCTION("""COMPUTED_VALUE"""),45356.2199884259)</f>
        <v>45356.219988425903</v>
      </c>
      <c r="C658" s="3" t="str">
        <f ca="1">IFERROR(__xludf.DUMMYFUNCTION("""COMPUTED_VALUE"""),"purchase")</f>
        <v>purchase</v>
      </c>
      <c r="D658" s="6">
        <f t="shared" ca="1" si="0"/>
        <v>45356</v>
      </c>
      <c r="E658" s="6">
        <f t="shared" ca="1" si="1"/>
        <v>45355</v>
      </c>
      <c r="F658" s="6">
        <f t="shared" ca="1" si="2"/>
        <v>45352</v>
      </c>
      <c r="G658" s="7"/>
    </row>
    <row r="659" spans="1:7" x14ac:dyDescent="0.2">
      <c r="A659" s="3">
        <f ca="1">IFERROR(__xludf.DUMMYFUNCTION("""COMPUTED_VALUE"""),1993)</f>
        <v>1993</v>
      </c>
      <c r="B659" s="6">
        <f ca="1">IFERROR(__xludf.DUMMYFUNCTION("""COMPUTED_VALUE"""),45356.3222569444)</f>
        <v>45356.322256944397</v>
      </c>
      <c r="C659" s="3" t="str">
        <f ca="1">IFERROR(__xludf.DUMMYFUNCTION("""COMPUTED_VALUE"""),"purchase")</f>
        <v>purchase</v>
      </c>
      <c r="D659" s="6">
        <f t="shared" ca="1" si="0"/>
        <v>45356</v>
      </c>
      <c r="E659" s="6">
        <f t="shared" ca="1" si="1"/>
        <v>45355</v>
      </c>
      <c r="F659" s="6">
        <f t="shared" ca="1" si="2"/>
        <v>45352</v>
      </c>
      <c r="G659" s="7"/>
    </row>
    <row r="660" spans="1:7" x14ac:dyDescent="0.2">
      <c r="A660" s="3">
        <f ca="1">IFERROR(__xludf.DUMMYFUNCTION("""COMPUTED_VALUE"""),177)</f>
        <v>177</v>
      </c>
      <c r="B660" s="6">
        <f ca="1">IFERROR(__xludf.DUMMYFUNCTION("""COMPUTED_VALUE"""),45356.396724537)</f>
        <v>45356.396724537</v>
      </c>
      <c r="C660" s="3" t="str">
        <f ca="1">IFERROR(__xludf.DUMMYFUNCTION("""COMPUTED_VALUE"""),"purchase")</f>
        <v>purchase</v>
      </c>
      <c r="D660" s="6">
        <f t="shared" ca="1" si="0"/>
        <v>45356</v>
      </c>
      <c r="E660" s="6">
        <f t="shared" ca="1" si="1"/>
        <v>45355</v>
      </c>
      <c r="F660" s="6">
        <f t="shared" ca="1" si="2"/>
        <v>45352</v>
      </c>
      <c r="G660" s="7"/>
    </row>
    <row r="661" spans="1:7" x14ac:dyDescent="0.2">
      <c r="A661" s="3">
        <f ca="1">IFERROR(__xludf.DUMMYFUNCTION("""COMPUTED_VALUE"""),1224)</f>
        <v>1224</v>
      </c>
      <c r="B661" s="6">
        <f ca="1">IFERROR(__xludf.DUMMYFUNCTION("""COMPUTED_VALUE"""),45356.6409953703)</f>
        <v>45356.640995370297</v>
      </c>
      <c r="C661" s="3" t="str">
        <f ca="1">IFERROR(__xludf.DUMMYFUNCTION("""COMPUTED_VALUE"""),"purchase")</f>
        <v>purchase</v>
      </c>
      <c r="D661" s="6">
        <f t="shared" ca="1" si="0"/>
        <v>45356</v>
      </c>
      <c r="E661" s="6">
        <f t="shared" ca="1" si="1"/>
        <v>45355</v>
      </c>
      <c r="F661" s="6">
        <f t="shared" ca="1" si="2"/>
        <v>45352</v>
      </c>
      <c r="G661" s="7"/>
    </row>
    <row r="662" spans="1:7" x14ac:dyDescent="0.2">
      <c r="A662" s="3">
        <f ca="1">IFERROR(__xludf.DUMMYFUNCTION("""COMPUTED_VALUE"""),7793)</f>
        <v>7793</v>
      </c>
      <c r="B662" s="6">
        <f ca="1">IFERROR(__xludf.DUMMYFUNCTION("""COMPUTED_VALUE"""),45356.8715972222)</f>
        <v>45356.871597222198</v>
      </c>
      <c r="C662" s="3" t="str">
        <f ca="1">IFERROR(__xludf.DUMMYFUNCTION("""COMPUTED_VALUE"""),"purchase")</f>
        <v>purchase</v>
      </c>
      <c r="D662" s="6">
        <f t="shared" ca="1" si="0"/>
        <v>45356</v>
      </c>
      <c r="E662" s="6">
        <f t="shared" ca="1" si="1"/>
        <v>45355</v>
      </c>
      <c r="F662" s="6">
        <f t="shared" ca="1" si="2"/>
        <v>45352</v>
      </c>
      <c r="G662" s="7"/>
    </row>
    <row r="663" spans="1:7" x14ac:dyDescent="0.2">
      <c r="A663" s="3">
        <f ca="1">IFERROR(__xludf.DUMMYFUNCTION("""COMPUTED_VALUE"""),2803)</f>
        <v>2803</v>
      </c>
      <c r="B663" s="6">
        <f ca="1">IFERROR(__xludf.DUMMYFUNCTION("""COMPUTED_VALUE"""),45357.0930902777)</f>
        <v>45357.093090277704</v>
      </c>
      <c r="C663" s="3" t="str">
        <f ca="1">IFERROR(__xludf.DUMMYFUNCTION("""COMPUTED_VALUE"""),"purchase")</f>
        <v>purchase</v>
      </c>
      <c r="D663" s="6">
        <f t="shared" ca="1" si="0"/>
        <v>45357</v>
      </c>
      <c r="E663" s="6">
        <f t="shared" ca="1" si="1"/>
        <v>45355</v>
      </c>
      <c r="F663" s="6">
        <f t="shared" ca="1" si="2"/>
        <v>45352</v>
      </c>
      <c r="G663" s="7"/>
    </row>
    <row r="664" spans="1:7" x14ac:dyDescent="0.2">
      <c r="A664" s="3">
        <f ca="1">IFERROR(__xludf.DUMMYFUNCTION("""COMPUTED_VALUE"""),180)</f>
        <v>180</v>
      </c>
      <c r="B664" s="6">
        <f ca="1">IFERROR(__xludf.DUMMYFUNCTION("""COMPUTED_VALUE"""),45357.1442939814)</f>
        <v>45357.144293981401</v>
      </c>
      <c r="C664" s="3" t="str">
        <f ca="1">IFERROR(__xludf.DUMMYFUNCTION("""COMPUTED_VALUE"""),"purchase")</f>
        <v>purchase</v>
      </c>
      <c r="D664" s="6">
        <f t="shared" ca="1" si="0"/>
        <v>45357</v>
      </c>
      <c r="E664" s="6">
        <f t="shared" ca="1" si="1"/>
        <v>45355</v>
      </c>
      <c r="F664" s="6">
        <f t="shared" ca="1" si="2"/>
        <v>45352</v>
      </c>
      <c r="G664" s="7"/>
    </row>
    <row r="665" spans="1:7" x14ac:dyDescent="0.2">
      <c r="A665" s="3">
        <f ca="1">IFERROR(__xludf.DUMMYFUNCTION("""COMPUTED_VALUE"""),1406)</f>
        <v>1406</v>
      </c>
      <c r="B665" s="6">
        <f ca="1">IFERROR(__xludf.DUMMYFUNCTION("""COMPUTED_VALUE"""),45357.1450347222)</f>
        <v>45357.145034722198</v>
      </c>
      <c r="C665" s="3" t="str">
        <f ca="1">IFERROR(__xludf.DUMMYFUNCTION("""COMPUTED_VALUE"""),"purchase")</f>
        <v>purchase</v>
      </c>
      <c r="D665" s="6">
        <f t="shared" ca="1" si="0"/>
        <v>45357</v>
      </c>
      <c r="E665" s="6">
        <f t="shared" ca="1" si="1"/>
        <v>45355</v>
      </c>
      <c r="F665" s="6">
        <f t="shared" ca="1" si="2"/>
        <v>45352</v>
      </c>
      <c r="G665" s="7"/>
    </row>
    <row r="666" spans="1:7" x14ac:dyDescent="0.2">
      <c r="A666" s="3">
        <f ca="1">IFERROR(__xludf.DUMMYFUNCTION("""COMPUTED_VALUE"""),2997)</f>
        <v>2997</v>
      </c>
      <c r="B666" s="6">
        <f ca="1">IFERROR(__xludf.DUMMYFUNCTION("""COMPUTED_VALUE"""),45357.1919212962)</f>
        <v>45357.191921296297</v>
      </c>
      <c r="C666" s="3" t="str">
        <f ca="1">IFERROR(__xludf.DUMMYFUNCTION("""COMPUTED_VALUE"""),"purchase")</f>
        <v>purchase</v>
      </c>
      <c r="D666" s="6">
        <f t="shared" ca="1" si="0"/>
        <v>45357</v>
      </c>
      <c r="E666" s="6">
        <f t="shared" ca="1" si="1"/>
        <v>45355</v>
      </c>
      <c r="F666" s="6">
        <f t="shared" ca="1" si="2"/>
        <v>45352</v>
      </c>
      <c r="G666" s="7"/>
    </row>
    <row r="667" spans="1:7" x14ac:dyDescent="0.2">
      <c r="A667" s="3">
        <f ca="1">IFERROR(__xludf.DUMMYFUNCTION("""COMPUTED_VALUE"""),7432)</f>
        <v>7432</v>
      </c>
      <c r="B667" s="6">
        <f ca="1">IFERROR(__xludf.DUMMYFUNCTION("""COMPUTED_VALUE"""),45357.3384375)</f>
        <v>45357.338437500002</v>
      </c>
      <c r="C667" s="3" t="str">
        <f ca="1">IFERROR(__xludf.DUMMYFUNCTION("""COMPUTED_VALUE"""),"purchase")</f>
        <v>purchase</v>
      </c>
      <c r="D667" s="6">
        <f t="shared" ca="1" si="0"/>
        <v>45357</v>
      </c>
      <c r="E667" s="6">
        <f t="shared" ca="1" si="1"/>
        <v>45355</v>
      </c>
      <c r="F667" s="6">
        <f t="shared" ca="1" si="2"/>
        <v>45352</v>
      </c>
      <c r="G667" s="7"/>
    </row>
    <row r="668" spans="1:7" x14ac:dyDescent="0.2">
      <c r="A668" s="3">
        <f ca="1">IFERROR(__xludf.DUMMYFUNCTION("""COMPUTED_VALUE"""),294)</f>
        <v>294</v>
      </c>
      <c r="B668" s="6">
        <f ca="1">IFERROR(__xludf.DUMMYFUNCTION("""COMPUTED_VALUE"""),45357.4241203702)</f>
        <v>45357.424120370299</v>
      </c>
      <c r="C668" s="3" t="str">
        <f ca="1">IFERROR(__xludf.DUMMYFUNCTION("""COMPUTED_VALUE"""),"purchase")</f>
        <v>purchase</v>
      </c>
      <c r="D668" s="6">
        <f t="shared" ca="1" si="0"/>
        <v>45357</v>
      </c>
      <c r="E668" s="6">
        <f t="shared" ca="1" si="1"/>
        <v>45355</v>
      </c>
      <c r="F668" s="6">
        <f t="shared" ca="1" si="2"/>
        <v>45352</v>
      </c>
      <c r="G668" s="7"/>
    </row>
    <row r="669" spans="1:7" x14ac:dyDescent="0.2">
      <c r="A669" s="3">
        <f ca="1">IFERROR(__xludf.DUMMYFUNCTION("""COMPUTED_VALUE"""),1666)</f>
        <v>1666</v>
      </c>
      <c r="B669" s="6">
        <f ca="1">IFERROR(__xludf.DUMMYFUNCTION("""COMPUTED_VALUE"""),45357.4253703703)</f>
        <v>45357.4253703703</v>
      </c>
      <c r="C669" s="3" t="str">
        <f ca="1">IFERROR(__xludf.DUMMYFUNCTION("""COMPUTED_VALUE"""),"purchase")</f>
        <v>purchase</v>
      </c>
      <c r="D669" s="6">
        <f t="shared" ca="1" si="0"/>
        <v>45357</v>
      </c>
      <c r="E669" s="6">
        <f t="shared" ca="1" si="1"/>
        <v>45355</v>
      </c>
      <c r="F669" s="6">
        <f t="shared" ca="1" si="2"/>
        <v>45352</v>
      </c>
      <c r="G669" s="7"/>
    </row>
    <row r="670" spans="1:7" x14ac:dyDescent="0.2">
      <c r="A670" s="3">
        <f ca="1">IFERROR(__xludf.DUMMYFUNCTION("""COMPUTED_VALUE"""),1490)</f>
        <v>1490</v>
      </c>
      <c r="B670" s="6">
        <f ca="1">IFERROR(__xludf.DUMMYFUNCTION("""COMPUTED_VALUE"""),45357.4291550925)</f>
        <v>45357.429155092497</v>
      </c>
      <c r="C670" s="3" t="str">
        <f ca="1">IFERROR(__xludf.DUMMYFUNCTION("""COMPUTED_VALUE"""),"purchase")</f>
        <v>purchase</v>
      </c>
      <c r="D670" s="6">
        <f t="shared" ca="1" si="0"/>
        <v>45357</v>
      </c>
      <c r="E670" s="6">
        <f t="shared" ca="1" si="1"/>
        <v>45355</v>
      </c>
      <c r="F670" s="6">
        <f t="shared" ca="1" si="2"/>
        <v>45352</v>
      </c>
      <c r="G670" s="7"/>
    </row>
    <row r="671" spans="1:7" x14ac:dyDescent="0.2">
      <c r="A671" s="3">
        <f ca="1">IFERROR(__xludf.DUMMYFUNCTION("""COMPUTED_VALUE"""),6748)</f>
        <v>6748</v>
      </c>
      <c r="B671" s="6">
        <f ca="1">IFERROR(__xludf.DUMMYFUNCTION("""COMPUTED_VALUE"""),45357.7931828703)</f>
        <v>45357.7931828703</v>
      </c>
      <c r="C671" s="3" t="str">
        <f ca="1">IFERROR(__xludf.DUMMYFUNCTION("""COMPUTED_VALUE"""),"purchase")</f>
        <v>purchase</v>
      </c>
      <c r="D671" s="6">
        <f t="shared" ca="1" si="0"/>
        <v>45357</v>
      </c>
      <c r="E671" s="6">
        <f t="shared" ca="1" si="1"/>
        <v>45355</v>
      </c>
      <c r="F671" s="6">
        <f t="shared" ca="1" si="2"/>
        <v>45352</v>
      </c>
      <c r="G671" s="7"/>
    </row>
    <row r="672" spans="1:7" x14ac:dyDescent="0.2">
      <c r="A672" s="3">
        <f ca="1">IFERROR(__xludf.DUMMYFUNCTION("""COMPUTED_VALUE"""),3474)</f>
        <v>3474</v>
      </c>
      <c r="B672" s="6">
        <f ca="1">IFERROR(__xludf.DUMMYFUNCTION("""COMPUTED_VALUE"""),45357.8379861111)</f>
        <v>45357.837986111103</v>
      </c>
      <c r="C672" s="3" t="str">
        <f ca="1">IFERROR(__xludf.DUMMYFUNCTION("""COMPUTED_VALUE"""),"purchase")</f>
        <v>purchase</v>
      </c>
      <c r="D672" s="6">
        <f t="shared" ca="1" si="0"/>
        <v>45357</v>
      </c>
      <c r="E672" s="6">
        <f t="shared" ca="1" si="1"/>
        <v>45355</v>
      </c>
      <c r="F672" s="6">
        <f t="shared" ca="1" si="2"/>
        <v>45352</v>
      </c>
      <c r="G672" s="7"/>
    </row>
    <row r="673" spans="1:7" x14ac:dyDescent="0.2">
      <c r="A673" s="3">
        <f ca="1">IFERROR(__xludf.DUMMYFUNCTION("""COMPUTED_VALUE"""),7943)</f>
        <v>7943</v>
      </c>
      <c r="B673" s="6">
        <f ca="1">IFERROR(__xludf.DUMMYFUNCTION("""COMPUTED_VALUE"""),45357.8423726851)</f>
        <v>45357.842372685103</v>
      </c>
      <c r="C673" s="3" t="str">
        <f ca="1">IFERROR(__xludf.DUMMYFUNCTION("""COMPUTED_VALUE"""),"purchase")</f>
        <v>purchase</v>
      </c>
      <c r="D673" s="6">
        <f t="shared" ca="1" si="0"/>
        <v>45357</v>
      </c>
      <c r="E673" s="6">
        <f t="shared" ca="1" si="1"/>
        <v>45355</v>
      </c>
      <c r="F673" s="6">
        <f t="shared" ca="1" si="2"/>
        <v>45352</v>
      </c>
      <c r="G673" s="7"/>
    </row>
    <row r="674" spans="1:7" x14ac:dyDescent="0.2">
      <c r="A674" s="3">
        <f ca="1">IFERROR(__xludf.DUMMYFUNCTION("""COMPUTED_VALUE"""),2642)</f>
        <v>2642</v>
      </c>
      <c r="B674" s="6">
        <f ca="1">IFERROR(__xludf.DUMMYFUNCTION("""COMPUTED_VALUE"""),45357.9252314814)</f>
        <v>45357.9252314814</v>
      </c>
      <c r="C674" s="3" t="str">
        <f ca="1">IFERROR(__xludf.DUMMYFUNCTION("""COMPUTED_VALUE"""),"purchase")</f>
        <v>purchase</v>
      </c>
      <c r="D674" s="6">
        <f t="shared" ca="1" si="0"/>
        <v>45357</v>
      </c>
      <c r="E674" s="6">
        <f t="shared" ca="1" si="1"/>
        <v>45355</v>
      </c>
      <c r="F674" s="6">
        <f t="shared" ca="1" si="2"/>
        <v>45352</v>
      </c>
      <c r="G674" s="7"/>
    </row>
    <row r="675" spans="1:7" x14ac:dyDescent="0.2">
      <c r="A675" s="3">
        <f ca="1">IFERROR(__xludf.DUMMYFUNCTION("""COMPUTED_VALUE"""),7640)</f>
        <v>7640</v>
      </c>
      <c r="B675" s="6">
        <f ca="1">IFERROR(__xludf.DUMMYFUNCTION("""COMPUTED_VALUE"""),45357.9836689814)</f>
        <v>45357.983668981396</v>
      </c>
      <c r="C675" s="3" t="str">
        <f ca="1">IFERROR(__xludf.DUMMYFUNCTION("""COMPUTED_VALUE"""),"purchase")</f>
        <v>purchase</v>
      </c>
      <c r="D675" s="6">
        <f t="shared" ca="1" si="0"/>
        <v>45357</v>
      </c>
      <c r="E675" s="6">
        <f t="shared" ca="1" si="1"/>
        <v>45355</v>
      </c>
      <c r="F675" s="6">
        <f t="shared" ca="1" si="2"/>
        <v>45352</v>
      </c>
      <c r="G675" s="7"/>
    </row>
    <row r="676" spans="1:7" x14ac:dyDescent="0.2">
      <c r="A676" s="3">
        <f ca="1">IFERROR(__xludf.DUMMYFUNCTION("""COMPUTED_VALUE"""),3935)</f>
        <v>3935</v>
      </c>
      <c r="B676" s="6">
        <f ca="1">IFERROR(__xludf.DUMMYFUNCTION("""COMPUTED_VALUE"""),45358.3397685185)</f>
        <v>45358.339768518497</v>
      </c>
      <c r="C676" s="3" t="str">
        <f ca="1">IFERROR(__xludf.DUMMYFUNCTION("""COMPUTED_VALUE"""),"purchase")</f>
        <v>purchase</v>
      </c>
      <c r="D676" s="6">
        <f t="shared" ca="1" si="0"/>
        <v>45358</v>
      </c>
      <c r="E676" s="6">
        <f t="shared" ca="1" si="1"/>
        <v>45355</v>
      </c>
      <c r="F676" s="6">
        <f t="shared" ca="1" si="2"/>
        <v>45352</v>
      </c>
      <c r="G676" s="7"/>
    </row>
    <row r="677" spans="1:7" x14ac:dyDescent="0.2">
      <c r="A677" s="3">
        <f ca="1">IFERROR(__xludf.DUMMYFUNCTION("""COMPUTED_VALUE"""),1408)</f>
        <v>1408</v>
      </c>
      <c r="B677" s="6">
        <f ca="1">IFERROR(__xludf.DUMMYFUNCTION("""COMPUTED_VALUE"""),45358.4124074074)</f>
        <v>45358.412407407399</v>
      </c>
      <c r="C677" s="3" t="str">
        <f ca="1">IFERROR(__xludf.DUMMYFUNCTION("""COMPUTED_VALUE"""),"purchase")</f>
        <v>purchase</v>
      </c>
      <c r="D677" s="6">
        <f t="shared" ca="1" si="0"/>
        <v>45358</v>
      </c>
      <c r="E677" s="6">
        <f t="shared" ca="1" si="1"/>
        <v>45355</v>
      </c>
      <c r="F677" s="6">
        <f t="shared" ca="1" si="2"/>
        <v>45352</v>
      </c>
      <c r="G677" s="7"/>
    </row>
    <row r="678" spans="1:7" x14ac:dyDescent="0.2">
      <c r="A678" s="3">
        <f ca="1">IFERROR(__xludf.DUMMYFUNCTION("""COMPUTED_VALUE"""),3873)</f>
        <v>3873</v>
      </c>
      <c r="B678" s="6">
        <f ca="1">IFERROR(__xludf.DUMMYFUNCTION("""COMPUTED_VALUE"""),45358.5393634259)</f>
        <v>45358.539363425902</v>
      </c>
      <c r="C678" s="3" t="str">
        <f ca="1">IFERROR(__xludf.DUMMYFUNCTION("""COMPUTED_VALUE"""),"purchase")</f>
        <v>purchase</v>
      </c>
      <c r="D678" s="6">
        <f t="shared" ca="1" si="0"/>
        <v>45358</v>
      </c>
      <c r="E678" s="6">
        <f t="shared" ca="1" si="1"/>
        <v>45355</v>
      </c>
      <c r="F678" s="6">
        <f t="shared" ca="1" si="2"/>
        <v>45352</v>
      </c>
      <c r="G678" s="7"/>
    </row>
    <row r="679" spans="1:7" x14ac:dyDescent="0.2">
      <c r="A679" s="3">
        <f ca="1">IFERROR(__xludf.DUMMYFUNCTION("""COMPUTED_VALUE"""),6533)</f>
        <v>6533</v>
      </c>
      <c r="B679" s="6">
        <f ca="1">IFERROR(__xludf.DUMMYFUNCTION("""COMPUTED_VALUE"""),45358.6596064814)</f>
        <v>45358.6596064814</v>
      </c>
      <c r="C679" s="3" t="str">
        <f ca="1">IFERROR(__xludf.DUMMYFUNCTION("""COMPUTED_VALUE"""),"purchase")</f>
        <v>purchase</v>
      </c>
      <c r="D679" s="6">
        <f t="shared" ca="1" si="0"/>
        <v>45358</v>
      </c>
      <c r="E679" s="6">
        <f t="shared" ca="1" si="1"/>
        <v>45355</v>
      </c>
      <c r="F679" s="6">
        <f t="shared" ca="1" si="2"/>
        <v>45352</v>
      </c>
      <c r="G679" s="7"/>
    </row>
    <row r="680" spans="1:7" x14ac:dyDescent="0.2">
      <c r="A680" s="3">
        <f ca="1">IFERROR(__xludf.DUMMYFUNCTION("""COMPUTED_VALUE"""),3609)</f>
        <v>3609</v>
      </c>
      <c r="B680" s="6">
        <f ca="1">IFERROR(__xludf.DUMMYFUNCTION("""COMPUTED_VALUE"""),45358.7038078703)</f>
        <v>45358.703807870297</v>
      </c>
      <c r="C680" s="3" t="str">
        <f ca="1">IFERROR(__xludf.DUMMYFUNCTION("""COMPUTED_VALUE"""),"purchase")</f>
        <v>purchase</v>
      </c>
      <c r="D680" s="6">
        <f t="shared" ca="1" si="0"/>
        <v>45358</v>
      </c>
      <c r="E680" s="6">
        <f t="shared" ca="1" si="1"/>
        <v>45355</v>
      </c>
      <c r="F680" s="6">
        <f t="shared" ca="1" si="2"/>
        <v>45352</v>
      </c>
      <c r="G680" s="7"/>
    </row>
    <row r="681" spans="1:7" x14ac:dyDescent="0.2">
      <c r="A681" s="3">
        <f ca="1">IFERROR(__xludf.DUMMYFUNCTION("""COMPUTED_VALUE"""),7565)</f>
        <v>7565</v>
      </c>
      <c r="B681" s="6">
        <f ca="1">IFERROR(__xludf.DUMMYFUNCTION("""COMPUTED_VALUE"""),45358.9512152777)</f>
        <v>45358.951215277702</v>
      </c>
      <c r="C681" s="3" t="str">
        <f ca="1">IFERROR(__xludf.DUMMYFUNCTION("""COMPUTED_VALUE"""),"purchase")</f>
        <v>purchase</v>
      </c>
      <c r="D681" s="6">
        <f t="shared" ca="1" si="0"/>
        <v>45358</v>
      </c>
      <c r="E681" s="6">
        <f t="shared" ca="1" si="1"/>
        <v>45355</v>
      </c>
      <c r="F681" s="6">
        <f t="shared" ca="1" si="2"/>
        <v>45352</v>
      </c>
      <c r="G681" s="7"/>
    </row>
    <row r="682" spans="1:7" x14ac:dyDescent="0.2">
      <c r="A682" s="3">
        <f ca="1">IFERROR(__xludf.DUMMYFUNCTION("""COMPUTED_VALUE"""),694)</f>
        <v>694</v>
      </c>
      <c r="B682" s="6">
        <f ca="1">IFERROR(__xludf.DUMMYFUNCTION("""COMPUTED_VALUE"""),45358.9631481481)</f>
        <v>45358.963148148097</v>
      </c>
      <c r="C682" s="3" t="str">
        <f ca="1">IFERROR(__xludf.DUMMYFUNCTION("""COMPUTED_VALUE"""),"purchase")</f>
        <v>purchase</v>
      </c>
      <c r="D682" s="6">
        <f t="shared" ca="1" si="0"/>
        <v>45358</v>
      </c>
      <c r="E682" s="6">
        <f t="shared" ca="1" si="1"/>
        <v>45355</v>
      </c>
      <c r="F682" s="6">
        <f t="shared" ca="1" si="2"/>
        <v>45352</v>
      </c>
      <c r="G682" s="7"/>
    </row>
    <row r="683" spans="1:7" x14ac:dyDescent="0.2">
      <c r="A683" s="3">
        <f ca="1">IFERROR(__xludf.DUMMYFUNCTION("""COMPUTED_VALUE"""),2837)</f>
        <v>2837</v>
      </c>
      <c r="B683" s="6">
        <f ca="1">IFERROR(__xludf.DUMMYFUNCTION("""COMPUTED_VALUE"""),45359.1705671296)</f>
        <v>45359.1705671296</v>
      </c>
      <c r="C683" s="3" t="str">
        <f ca="1">IFERROR(__xludf.DUMMYFUNCTION("""COMPUTED_VALUE"""),"purchase")</f>
        <v>purchase</v>
      </c>
      <c r="D683" s="6">
        <f t="shared" ca="1" si="0"/>
        <v>45359</v>
      </c>
      <c r="E683" s="6">
        <f t="shared" ca="1" si="1"/>
        <v>45355</v>
      </c>
      <c r="F683" s="6">
        <f t="shared" ca="1" si="2"/>
        <v>45352</v>
      </c>
      <c r="G683" s="7"/>
    </row>
    <row r="684" spans="1:7" x14ac:dyDescent="0.2">
      <c r="A684" s="3">
        <f ca="1">IFERROR(__xludf.DUMMYFUNCTION("""COMPUTED_VALUE"""),5334)</f>
        <v>5334</v>
      </c>
      <c r="B684" s="6">
        <f ca="1">IFERROR(__xludf.DUMMYFUNCTION("""COMPUTED_VALUE"""),45359.1707175925)</f>
        <v>45359.170717592497</v>
      </c>
      <c r="C684" s="3" t="str">
        <f ca="1">IFERROR(__xludf.DUMMYFUNCTION("""COMPUTED_VALUE"""),"purchase")</f>
        <v>purchase</v>
      </c>
      <c r="D684" s="6">
        <f t="shared" ca="1" si="0"/>
        <v>45359</v>
      </c>
      <c r="E684" s="6">
        <f t="shared" ca="1" si="1"/>
        <v>45355</v>
      </c>
      <c r="F684" s="6">
        <f t="shared" ca="1" si="2"/>
        <v>45352</v>
      </c>
      <c r="G684" s="7"/>
    </row>
    <row r="685" spans="1:7" x14ac:dyDescent="0.2">
      <c r="A685" s="3">
        <f ca="1">IFERROR(__xludf.DUMMYFUNCTION("""COMPUTED_VALUE"""),6366)</f>
        <v>6366</v>
      </c>
      <c r="B685" s="6">
        <f ca="1">IFERROR(__xludf.DUMMYFUNCTION("""COMPUTED_VALUE"""),45359.2330439814)</f>
        <v>45359.233043981403</v>
      </c>
      <c r="C685" s="3" t="str">
        <f ca="1">IFERROR(__xludf.DUMMYFUNCTION("""COMPUTED_VALUE"""),"purchase")</f>
        <v>purchase</v>
      </c>
      <c r="D685" s="6">
        <f t="shared" ca="1" si="0"/>
        <v>45359</v>
      </c>
      <c r="E685" s="6">
        <f t="shared" ca="1" si="1"/>
        <v>45355</v>
      </c>
      <c r="F685" s="6">
        <f t="shared" ca="1" si="2"/>
        <v>45352</v>
      </c>
      <c r="G685" s="7"/>
    </row>
    <row r="686" spans="1:7" x14ac:dyDescent="0.2">
      <c r="A686" s="3">
        <f ca="1">IFERROR(__xludf.DUMMYFUNCTION("""COMPUTED_VALUE"""),4739)</f>
        <v>4739</v>
      </c>
      <c r="B686" s="6">
        <f ca="1">IFERROR(__xludf.DUMMYFUNCTION("""COMPUTED_VALUE"""),45359.3229861111)</f>
        <v>45359.322986111103</v>
      </c>
      <c r="C686" s="3" t="str">
        <f ca="1">IFERROR(__xludf.DUMMYFUNCTION("""COMPUTED_VALUE"""),"purchase")</f>
        <v>purchase</v>
      </c>
      <c r="D686" s="6">
        <f t="shared" ca="1" si="0"/>
        <v>45359</v>
      </c>
      <c r="E686" s="6">
        <f t="shared" ca="1" si="1"/>
        <v>45355</v>
      </c>
      <c r="F686" s="6">
        <f t="shared" ca="1" si="2"/>
        <v>45352</v>
      </c>
      <c r="G686" s="7"/>
    </row>
    <row r="687" spans="1:7" x14ac:dyDescent="0.2">
      <c r="A687" s="3">
        <f ca="1">IFERROR(__xludf.DUMMYFUNCTION("""COMPUTED_VALUE"""),7686)</f>
        <v>7686</v>
      </c>
      <c r="B687" s="6">
        <f ca="1">IFERROR(__xludf.DUMMYFUNCTION("""COMPUTED_VALUE"""),45359.330162037)</f>
        <v>45359.330162036997</v>
      </c>
      <c r="C687" s="3" t="str">
        <f ca="1">IFERROR(__xludf.DUMMYFUNCTION("""COMPUTED_VALUE"""),"purchase")</f>
        <v>purchase</v>
      </c>
      <c r="D687" s="6">
        <f t="shared" ca="1" si="0"/>
        <v>45359</v>
      </c>
      <c r="E687" s="6">
        <f t="shared" ca="1" si="1"/>
        <v>45355</v>
      </c>
      <c r="F687" s="6">
        <f t="shared" ca="1" si="2"/>
        <v>45352</v>
      </c>
      <c r="G687" s="7"/>
    </row>
    <row r="688" spans="1:7" x14ac:dyDescent="0.2">
      <c r="A688" s="3">
        <f ca="1">IFERROR(__xludf.DUMMYFUNCTION("""COMPUTED_VALUE"""),4344)</f>
        <v>4344</v>
      </c>
      <c r="B688" s="6">
        <f ca="1">IFERROR(__xludf.DUMMYFUNCTION("""COMPUTED_VALUE"""),45359.3317708333)</f>
        <v>45359.331770833298</v>
      </c>
      <c r="C688" s="3" t="str">
        <f ca="1">IFERROR(__xludf.DUMMYFUNCTION("""COMPUTED_VALUE"""),"purchase")</f>
        <v>purchase</v>
      </c>
      <c r="D688" s="6">
        <f t="shared" ca="1" si="0"/>
        <v>45359</v>
      </c>
      <c r="E688" s="6">
        <f t="shared" ca="1" si="1"/>
        <v>45355</v>
      </c>
      <c r="F688" s="6">
        <f t="shared" ca="1" si="2"/>
        <v>45352</v>
      </c>
      <c r="G688" s="7"/>
    </row>
    <row r="689" spans="1:7" x14ac:dyDescent="0.2">
      <c r="A689" s="3">
        <f ca="1">IFERROR(__xludf.DUMMYFUNCTION("""COMPUTED_VALUE"""),6871)</f>
        <v>6871</v>
      </c>
      <c r="B689" s="6">
        <f ca="1">IFERROR(__xludf.DUMMYFUNCTION("""COMPUTED_VALUE"""),45359.374375)</f>
        <v>45359.374374999999</v>
      </c>
      <c r="C689" s="3" t="str">
        <f ca="1">IFERROR(__xludf.DUMMYFUNCTION("""COMPUTED_VALUE"""),"purchase")</f>
        <v>purchase</v>
      </c>
      <c r="D689" s="6">
        <f t="shared" ca="1" si="0"/>
        <v>45359</v>
      </c>
      <c r="E689" s="6">
        <f t="shared" ca="1" si="1"/>
        <v>45355</v>
      </c>
      <c r="F689" s="6">
        <f t="shared" ca="1" si="2"/>
        <v>45352</v>
      </c>
      <c r="G689" s="7"/>
    </row>
    <row r="690" spans="1:7" x14ac:dyDescent="0.2">
      <c r="A690" s="3">
        <f ca="1">IFERROR(__xludf.DUMMYFUNCTION("""COMPUTED_VALUE"""),252)</f>
        <v>252</v>
      </c>
      <c r="B690" s="6">
        <f ca="1">IFERROR(__xludf.DUMMYFUNCTION("""COMPUTED_VALUE"""),45359.4106828703)</f>
        <v>45359.410682870301</v>
      </c>
      <c r="C690" s="3" t="str">
        <f ca="1">IFERROR(__xludf.DUMMYFUNCTION("""COMPUTED_VALUE"""),"purchase")</f>
        <v>purchase</v>
      </c>
      <c r="D690" s="6">
        <f t="shared" ca="1" si="0"/>
        <v>45359</v>
      </c>
      <c r="E690" s="6">
        <f t="shared" ca="1" si="1"/>
        <v>45355</v>
      </c>
      <c r="F690" s="6">
        <f t="shared" ca="1" si="2"/>
        <v>45352</v>
      </c>
      <c r="G690" s="7"/>
    </row>
    <row r="691" spans="1:7" x14ac:dyDescent="0.2">
      <c r="A691" s="3">
        <f ca="1">IFERROR(__xludf.DUMMYFUNCTION("""COMPUTED_VALUE"""),2797)</f>
        <v>2797</v>
      </c>
      <c r="B691" s="6">
        <f ca="1">IFERROR(__xludf.DUMMYFUNCTION("""COMPUTED_VALUE"""),45359.4509606481)</f>
        <v>45359.450960648101</v>
      </c>
      <c r="C691" s="3" t="str">
        <f ca="1">IFERROR(__xludf.DUMMYFUNCTION("""COMPUTED_VALUE"""),"purchase")</f>
        <v>purchase</v>
      </c>
      <c r="D691" s="6">
        <f t="shared" ca="1" si="0"/>
        <v>45359</v>
      </c>
      <c r="E691" s="6">
        <f t="shared" ca="1" si="1"/>
        <v>45355</v>
      </c>
      <c r="F691" s="6">
        <f t="shared" ca="1" si="2"/>
        <v>45352</v>
      </c>
      <c r="G691" s="7"/>
    </row>
    <row r="692" spans="1:7" x14ac:dyDescent="0.2">
      <c r="A692" s="3">
        <f ca="1">IFERROR(__xludf.DUMMYFUNCTION("""COMPUTED_VALUE"""),5401)</f>
        <v>5401</v>
      </c>
      <c r="B692" s="6">
        <f ca="1">IFERROR(__xludf.DUMMYFUNCTION("""COMPUTED_VALUE"""),45359.4523611111)</f>
        <v>45359.4523611111</v>
      </c>
      <c r="C692" s="3" t="str">
        <f ca="1">IFERROR(__xludf.DUMMYFUNCTION("""COMPUTED_VALUE"""),"purchase")</f>
        <v>purchase</v>
      </c>
      <c r="D692" s="6">
        <f t="shared" ca="1" si="0"/>
        <v>45359</v>
      </c>
      <c r="E692" s="6">
        <f t="shared" ca="1" si="1"/>
        <v>45355</v>
      </c>
      <c r="F692" s="6">
        <f t="shared" ca="1" si="2"/>
        <v>45352</v>
      </c>
      <c r="G692" s="7"/>
    </row>
    <row r="693" spans="1:7" x14ac:dyDescent="0.2">
      <c r="A693" s="3">
        <f ca="1">IFERROR(__xludf.DUMMYFUNCTION("""COMPUTED_VALUE"""),2358)</f>
        <v>2358</v>
      </c>
      <c r="B693" s="6">
        <f ca="1">IFERROR(__xludf.DUMMYFUNCTION("""COMPUTED_VALUE"""),45359.6444097222)</f>
        <v>45359.644409722197</v>
      </c>
      <c r="C693" s="3" t="str">
        <f ca="1">IFERROR(__xludf.DUMMYFUNCTION("""COMPUTED_VALUE"""),"purchase")</f>
        <v>purchase</v>
      </c>
      <c r="D693" s="6">
        <f t="shared" ca="1" si="0"/>
        <v>45359</v>
      </c>
      <c r="E693" s="6">
        <f t="shared" ca="1" si="1"/>
        <v>45355</v>
      </c>
      <c r="F693" s="6">
        <f t="shared" ca="1" si="2"/>
        <v>45352</v>
      </c>
      <c r="G693" s="7"/>
    </row>
    <row r="694" spans="1:7" x14ac:dyDescent="0.2">
      <c r="A694" s="3">
        <f ca="1">IFERROR(__xludf.DUMMYFUNCTION("""COMPUTED_VALUE"""),5460)</f>
        <v>5460</v>
      </c>
      <c r="B694" s="6">
        <f ca="1">IFERROR(__xludf.DUMMYFUNCTION("""COMPUTED_VALUE"""),45359.7526967592)</f>
        <v>45359.752696759198</v>
      </c>
      <c r="C694" s="3" t="str">
        <f ca="1">IFERROR(__xludf.DUMMYFUNCTION("""COMPUTED_VALUE"""),"purchase")</f>
        <v>purchase</v>
      </c>
      <c r="D694" s="6">
        <f t="shared" ca="1" si="0"/>
        <v>45359</v>
      </c>
      <c r="E694" s="6">
        <f t="shared" ca="1" si="1"/>
        <v>45355</v>
      </c>
      <c r="F694" s="6">
        <f t="shared" ca="1" si="2"/>
        <v>45352</v>
      </c>
      <c r="G694" s="7"/>
    </row>
    <row r="695" spans="1:7" x14ac:dyDescent="0.2">
      <c r="A695" s="3">
        <f ca="1">IFERROR(__xludf.DUMMYFUNCTION("""COMPUTED_VALUE"""),5705)</f>
        <v>5705</v>
      </c>
      <c r="B695" s="6">
        <f ca="1">IFERROR(__xludf.DUMMYFUNCTION("""COMPUTED_VALUE"""),45359.8593171296)</f>
        <v>45359.859317129602</v>
      </c>
      <c r="C695" s="3" t="str">
        <f ca="1">IFERROR(__xludf.DUMMYFUNCTION("""COMPUTED_VALUE"""),"purchase")</f>
        <v>purchase</v>
      </c>
      <c r="D695" s="6">
        <f t="shared" ca="1" si="0"/>
        <v>45359</v>
      </c>
      <c r="E695" s="6">
        <f t="shared" ca="1" si="1"/>
        <v>45355</v>
      </c>
      <c r="F695" s="6">
        <f t="shared" ca="1" si="2"/>
        <v>45352</v>
      </c>
      <c r="G695" s="7"/>
    </row>
    <row r="696" spans="1:7" x14ac:dyDescent="0.2">
      <c r="A696" s="3">
        <f ca="1">IFERROR(__xludf.DUMMYFUNCTION("""COMPUTED_VALUE"""),2893)</f>
        <v>2893</v>
      </c>
      <c r="B696" s="6">
        <f ca="1">IFERROR(__xludf.DUMMYFUNCTION("""COMPUTED_VALUE"""),45359.8875925925)</f>
        <v>45359.887592592502</v>
      </c>
      <c r="C696" s="3" t="str">
        <f ca="1">IFERROR(__xludf.DUMMYFUNCTION("""COMPUTED_VALUE"""),"purchase")</f>
        <v>purchase</v>
      </c>
      <c r="D696" s="6">
        <f t="shared" ca="1" si="0"/>
        <v>45359</v>
      </c>
      <c r="E696" s="6">
        <f t="shared" ca="1" si="1"/>
        <v>45355</v>
      </c>
      <c r="F696" s="6">
        <f t="shared" ca="1" si="2"/>
        <v>45352</v>
      </c>
      <c r="G696" s="7"/>
    </row>
    <row r="697" spans="1:7" x14ac:dyDescent="0.2">
      <c r="A697" s="3">
        <f ca="1">IFERROR(__xludf.DUMMYFUNCTION("""COMPUTED_VALUE"""),3160)</f>
        <v>3160</v>
      </c>
      <c r="B697" s="6">
        <f ca="1">IFERROR(__xludf.DUMMYFUNCTION("""COMPUTED_VALUE"""),45360.1218518518)</f>
        <v>45360.1218518518</v>
      </c>
      <c r="C697" s="3" t="str">
        <f ca="1">IFERROR(__xludf.DUMMYFUNCTION("""COMPUTED_VALUE"""),"purchase")</f>
        <v>purchase</v>
      </c>
      <c r="D697" s="6">
        <f t="shared" ca="1" si="0"/>
        <v>45360</v>
      </c>
      <c r="E697" s="6">
        <f t="shared" ca="1" si="1"/>
        <v>45355</v>
      </c>
      <c r="F697" s="6">
        <f t="shared" ca="1" si="2"/>
        <v>45352</v>
      </c>
      <c r="G697" s="7"/>
    </row>
    <row r="698" spans="1:7" x14ac:dyDescent="0.2">
      <c r="A698" s="3">
        <f ca="1">IFERROR(__xludf.DUMMYFUNCTION("""COMPUTED_VALUE"""),3806)</f>
        <v>3806</v>
      </c>
      <c r="B698" s="6">
        <f ca="1">IFERROR(__xludf.DUMMYFUNCTION("""COMPUTED_VALUE"""),45360.1424652777)</f>
        <v>45360.142465277699</v>
      </c>
      <c r="C698" s="3" t="str">
        <f ca="1">IFERROR(__xludf.DUMMYFUNCTION("""COMPUTED_VALUE"""),"purchase")</f>
        <v>purchase</v>
      </c>
      <c r="D698" s="6">
        <f t="shared" ca="1" si="0"/>
        <v>45360</v>
      </c>
      <c r="E698" s="6">
        <f t="shared" ca="1" si="1"/>
        <v>45355</v>
      </c>
      <c r="F698" s="6">
        <f t="shared" ca="1" si="2"/>
        <v>45352</v>
      </c>
      <c r="G698" s="7"/>
    </row>
    <row r="699" spans="1:7" x14ac:dyDescent="0.2">
      <c r="A699" s="3">
        <f ca="1">IFERROR(__xludf.DUMMYFUNCTION("""COMPUTED_VALUE"""),3559)</f>
        <v>3559</v>
      </c>
      <c r="B699" s="6">
        <f ca="1">IFERROR(__xludf.DUMMYFUNCTION("""COMPUTED_VALUE"""),45360.4327430555)</f>
        <v>45360.432743055499</v>
      </c>
      <c r="C699" s="3" t="str">
        <f ca="1">IFERROR(__xludf.DUMMYFUNCTION("""COMPUTED_VALUE"""),"purchase")</f>
        <v>purchase</v>
      </c>
      <c r="D699" s="6">
        <f t="shared" ca="1" si="0"/>
        <v>45360</v>
      </c>
      <c r="E699" s="6">
        <f t="shared" ca="1" si="1"/>
        <v>45355</v>
      </c>
      <c r="F699" s="6">
        <f t="shared" ca="1" si="2"/>
        <v>45352</v>
      </c>
      <c r="G699" s="7"/>
    </row>
    <row r="700" spans="1:7" x14ac:dyDescent="0.2">
      <c r="A700" s="3">
        <f ca="1">IFERROR(__xludf.DUMMYFUNCTION("""COMPUTED_VALUE"""),1544)</f>
        <v>1544</v>
      </c>
      <c r="B700" s="6">
        <f ca="1">IFERROR(__xludf.DUMMYFUNCTION("""COMPUTED_VALUE"""),45360.6644097222)</f>
        <v>45360.664409722202</v>
      </c>
      <c r="C700" s="3" t="str">
        <f ca="1">IFERROR(__xludf.DUMMYFUNCTION("""COMPUTED_VALUE"""),"purchase")</f>
        <v>purchase</v>
      </c>
      <c r="D700" s="6">
        <f t="shared" ca="1" si="0"/>
        <v>45360</v>
      </c>
      <c r="E700" s="6">
        <f t="shared" ca="1" si="1"/>
        <v>45355</v>
      </c>
      <c r="F700" s="6">
        <f t="shared" ca="1" si="2"/>
        <v>45352</v>
      </c>
      <c r="G700" s="7"/>
    </row>
    <row r="701" spans="1:7" x14ac:dyDescent="0.2">
      <c r="A701" s="3">
        <f ca="1">IFERROR(__xludf.DUMMYFUNCTION("""COMPUTED_VALUE"""),2463)</f>
        <v>2463</v>
      </c>
      <c r="B701" s="6">
        <f ca="1">IFERROR(__xludf.DUMMYFUNCTION("""COMPUTED_VALUE"""),45360.6652777777)</f>
        <v>45360.665277777698</v>
      </c>
      <c r="C701" s="3" t="str">
        <f ca="1">IFERROR(__xludf.DUMMYFUNCTION("""COMPUTED_VALUE"""),"purchase")</f>
        <v>purchase</v>
      </c>
      <c r="D701" s="6">
        <f t="shared" ca="1" si="0"/>
        <v>45360</v>
      </c>
      <c r="E701" s="6">
        <f t="shared" ca="1" si="1"/>
        <v>45355</v>
      </c>
      <c r="F701" s="6">
        <f t="shared" ca="1" si="2"/>
        <v>45352</v>
      </c>
      <c r="G701" s="7"/>
    </row>
    <row r="702" spans="1:7" x14ac:dyDescent="0.2">
      <c r="A702" s="3">
        <f ca="1">IFERROR(__xludf.DUMMYFUNCTION("""COMPUTED_VALUE"""),7116)</f>
        <v>7116</v>
      </c>
      <c r="B702" s="6">
        <f ca="1">IFERROR(__xludf.DUMMYFUNCTION("""COMPUTED_VALUE"""),45360.6928125)</f>
        <v>45360.692812499998</v>
      </c>
      <c r="C702" s="3" t="str">
        <f ca="1">IFERROR(__xludf.DUMMYFUNCTION("""COMPUTED_VALUE"""),"purchase")</f>
        <v>purchase</v>
      </c>
      <c r="D702" s="6">
        <f t="shared" ca="1" si="0"/>
        <v>45360</v>
      </c>
      <c r="E702" s="6">
        <f t="shared" ca="1" si="1"/>
        <v>45355</v>
      </c>
      <c r="F702" s="6">
        <f t="shared" ca="1" si="2"/>
        <v>45352</v>
      </c>
      <c r="G702" s="7"/>
    </row>
    <row r="703" spans="1:7" x14ac:dyDescent="0.2">
      <c r="A703" s="3">
        <f ca="1">IFERROR(__xludf.DUMMYFUNCTION("""COMPUTED_VALUE"""),4735)</f>
        <v>4735</v>
      </c>
      <c r="B703" s="6">
        <f ca="1">IFERROR(__xludf.DUMMYFUNCTION("""COMPUTED_VALUE"""),45360.8081712962)</f>
        <v>45360.808171296201</v>
      </c>
      <c r="C703" s="3" t="str">
        <f ca="1">IFERROR(__xludf.DUMMYFUNCTION("""COMPUTED_VALUE"""),"purchase")</f>
        <v>purchase</v>
      </c>
      <c r="D703" s="6">
        <f t="shared" ca="1" si="0"/>
        <v>45360</v>
      </c>
      <c r="E703" s="6">
        <f t="shared" ca="1" si="1"/>
        <v>45355</v>
      </c>
      <c r="F703" s="6">
        <f t="shared" ca="1" si="2"/>
        <v>45352</v>
      </c>
      <c r="G703" s="7"/>
    </row>
    <row r="704" spans="1:7" x14ac:dyDescent="0.2">
      <c r="A704" s="3">
        <f ca="1">IFERROR(__xludf.DUMMYFUNCTION("""COMPUTED_VALUE"""),2200)</f>
        <v>2200</v>
      </c>
      <c r="B704" s="6">
        <f ca="1">IFERROR(__xludf.DUMMYFUNCTION("""COMPUTED_VALUE"""),45360.8527083333)</f>
        <v>45360.852708333303</v>
      </c>
      <c r="C704" s="3" t="str">
        <f ca="1">IFERROR(__xludf.DUMMYFUNCTION("""COMPUTED_VALUE"""),"purchase")</f>
        <v>purchase</v>
      </c>
      <c r="D704" s="6">
        <f t="shared" ca="1" si="0"/>
        <v>45360</v>
      </c>
      <c r="E704" s="6">
        <f t="shared" ca="1" si="1"/>
        <v>45355</v>
      </c>
      <c r="F704" s="6">
        <f t="shared" ca="1" si="2"/>
        <v>45352</v>
      </c>
      <c r="G704" s="7"/>
    </row>
    <row r="705" spans="1:7" x14ac:dyDescent="0.2">
      <c r="A705" s="3">
        <f ca="1">IFERROR(__xludf.DUMMYFUNCTION("""COMPUTED_VALUE"""),240)</f>
        <v>240</v>
      </c>
      <c r="B705" s="6">
        <f ca="1">IFERROR(__xludf.DUMMYFUNCTION("""COMPUTED_VALUE"""),45360.8559027777)</f>
        <v>45360.855902777701</v>
      </c>
      <c r="C705" s="3" t="str">
        <f ca="1">IFERROR(__xludf.DUMMYFUNCTION("""COMPUTED_VALUE"""),"purchase")</f>
        <v>purchase</v>
      </c>
      <c r="D705" s="6">
        <f t="shared" ca="1" si="0"/>
        <v>45360</v>
      </c>
      <c r="E705" s="6">
        <f t="shared" ca="1" si="1"/>
        <v>45355</v>
      </c>
      <c r="F705" s="6">
        <f t="shared" ca="1" si="2"/>
        <v>45352</v>
      </c>
      <c r="G705" s="7"/>
    </row>
    <row r="706" spans="1:7" x14ac:dyDescent="0.2">
      <c r="A706" s="3">
        <f ca="1">IFERROR(__xludf.DUMMYFUNCTION("""COMPUTED_VALUE"""),5266)</f>
        <v>5266</v>
      </c>
      <c r="B706" s="6">
        <f ca="1">IFERROR(__xludf.DUMMYFUNCTION("""COMPUTED_VALUE"""),45360.8999074074)</f>
        <v>45360.899907407402</v>
      </c>
      <c r="C706" s="3" t="str">
        <f ca="1">IFERROR(__xludf.DUMMYFUNCTION("""COMPUTED_VALUE"""),"purchase")</f>
        <v>purchase</v>
      </c>
      <c r="D706" s="6">
        <f t="shared" ca="1" si="0"/>
        <v>45360</v>
      </c>
      <c r="E706" s="6">
        <f t="shared" ca="1" si="1"/>
        <v>45355</v>
      </c>
      <c r="F706" s="6">
        <f t="shared" ca="1" si="2"/>
        <v>45352</v>
      </c>
      <c r="G706" s="7"/>
    </row>
    <row r="707" spans="1:7" x14ac:dyDescent="0.2">
      <c r="A707" s="3">
        <f ca="1">IFERROR(__xludf.DUMMYFUNCTION("""COMPUTED_VALUE"""),4056)</f>
        <v>4056</v>
      </c>
      <c r="B707" s="6">
        <f ca="1">IFERROR(__xludf.DUMMYFUNCTION("""COMPUTED_VALUE"""),45360.9196180555)</f>
        <v>45360.919618055501</v>
      </c>
      <c r="C707" s="3" t="str">
        <f ca="1">IFERROR(__xludf.DUMMYFUNCTION("""COMPUTED_VALUE"""),"purchase")</f>
        <v>purchase</v>
      </c>
      <c r="D707" s="6">
        <f t="shared" ca="1" si="0"/>
        <v>45360</v>
      </c>
      <c r="E707" s="6">
        <f t="shared" ca="1" si="1"/>
        <v>45355</v>
      </c>
      <c r="F707" s="6">
        <f t="shared" ca="1" si="2"/>
        <v>45352</v>
      </c>
      <c r="G707" s="7"/>
    </row>
    <row r="708" spans="1:7" x14ac:dyDescent="0.2">
      <c r="A708" s="3">
        <f ca="1">IFERROR(__xludf.DUMMYFUNCTION("""COMPUTED_VALUE"""),3291)</f>
        <v>3291</v>
      </c>
      <c r="B708" s="6">
        <f ca="1">IFERROR(__xludf.DUMMYFUNCTION("""COMPUTED_VALUE"""),45360.9743981481)</f>
        <v>45360.974398148101</v>
      </c>
      <c r="C708" s="3" t="str">
        <f ca="1">IFERROR(__xludf.DUMMYFUNCTION("""COMPUTED_VALUE"""),"purchase")</f>
        <v>purchase</v>
      </c>
      <c r="D708" s="6">
        <f t="shared" ca="1" si="0"/>
        <v>45360</v>
      </c>
      <c r="E708" s="6">
        <f t="shared" ca="1" si="1"/>
        <v>45355</v>
      </c>
      <c r="F708" s="6">
        <f t="shared" ca="1" si="2"/>
        <v>45352</v>
      </c>
      <c r="G708" s="7"/>
    </row>
    <row r="709" spans="1:7" x14ac:dyDescent="0.2">
      <c r="A709" s="3">
        <f ca="1">IFERROR(__xludf.DUMMYFUNCTION("""COMPUTED_VALUE"""),5082)</f>
        <v>5082</v>
      </c>
      <c r="B709" s="6">
        <f ca="1">IFERROR(__xludf.DUMMYFUNCTION("""COMPUTED_VALUE"""),45361.0252314814)</f>
        <v>45361.025231481399</v>
      </c>
      <c r="C709" s="3" t="str">
        <f ca="1">IFERROR(__xludf.DUMMYFUNCTION("""COMPUTED_VALUE"""),"purchase")</f>
        <v>purchase</v>
      </c>
      <c r="D709" s="6">
        <f t="shared" ca="1" si="0"/>
        <v>45361</v>
      </c>
      <c r="E709" s="6">
        <f t="shared" ca="1" si="1"/>
        <v>45355</v>
      </c>
      <c r="F709" s="6">
        <f t="shared" ca="1" si="2"/>
        <v>45352</v>
      </c>
      <c r="G709" s="7"/>
    </row>
    <row r="710" spans="1:7" x14ac:dyDescent="0.2">
      <c r="A710" s="3">
        <f ca="1">IFERROR(__xludf.DUMMYFUNCTION("""COMPUTED_VALUE"""),2311)</f>
        <v>2311</v>
      </c>
      <c r="B710" s="6">
        <f ca="1">IFERROR(__xludf.DUMMYFUNCTION("""COMPUTED_VALUE"""),45361.0267013888)</f>
        <v>45361.026701388801</v>
      </c>
      <c r="C710" s="3" t="str">
        <f ca="1">IFERROR(__xludf.DUMMYFUNCTION("""COMPUTED_VALUE"""),"purchase")</f>
        <v>purchase</v>
      </c>
      <c r="D710" s="6">
        <f t="shared" ca="1" si="0"/>
        <v>45361</v>
      </c>
      <c r="E710" s="6">
        <f t="shared" ca="1" si="1"/>
        <v>45355</v>
      </c>
      <c r="F710" s="6">
        <f t="shared" ca="1" si="2"/>
        <v>45352</v>
      </c>
      <c r="G710" s="7"/>
    </row>
    <row r="711" spans="1:7" x14ac:dyDescent="0.2">
      <c r="A711" s="3">
        <f ca="1">IFERROR(__xludf.DUMMYFUNCTION("""COMPUTED_VALUE"""),7374)</f>
        <v>7374</v>
      </c>
      <c r="B711" s="6">
        <f ca="1">IFERROR(__xludf.DUMMYFUNCTION("""COMPUTED_VALUE"""),45361.1307175925)</f>
        <v>45361.130717592503</v>
      </c>
      <c r="C711" s="3" t="str">
        <f ca="1">IFERROR(__xludf.DUMMYFUNCTION("""COMPUTED_VALUE"""),"purchase")</f>
        <v>purchase</v>
      </c>
      <c r="D711" s="6">
        <f t="shared" ca="1" si="0"/>
        <v>45361</v>
      </c>
      <c r="E711" s="6">
        <f t="shared" ca="1" si="1"/>
        <v>45355</v>
      </c>
      <c r="F711" s="6">
        <f t="shared" ca="1" si="2"/>
        <v>45352</v>
      </c>
      <c r="G711" s="7"/>
    </row>
    <row r="712" spans="1:7" x14ac:dyDescent="0.2">
      <c r="A712" s="3">
        <f ca="1">IFERROR(__xludf.DUMMYFUNCTION("""COMPUTED_VALUE"""),4267)</f>
        <v>4267</v>
      </c>
      <c r="B712" s="6">
        <f ca="1">IFERROR(__xludf.DUMMYFUNCTION("""COMPUTED_VALUE"""),45361.1983449074)</f>
        <v>45361.198344907403</v>
      </c>
      <c r="C712" s="3" t="str">
        <f ca="1">IFERROR(__xludf.DUMMYFUNCTION("""COMPUTED_VALUE"""),"purchase")</f>
        <v>purchase</v>
      </c>
      <c r="D712" s="6">
        <f t="shared" ca="1" si="0"/>
        <v>45361</v>
      </c>
      <c r="E712" s="6">
        <f t="shared" ca="1" si="1"/>
        <v>45355</v>
      </c>
      <c r="F712" s="6">
        <f t="shared" ca="1" si="2"/>
        <v>45352</v>
      </c>
      <c r="G712" s="7"/>
    </row>
    <row r="713" spans="1:7" x14ac:dyDescent="0.2">
      <c r="A713" s="3">
        <f ca="1">IFERROR(__xludf.DUMMYFUNCTION("""COMPUTED_VALUE"""),6203)</f>
        <v>6203</v>
      </c>
      <c r="B713" s="6">
        <f ca="1">IFERROR(__xludf.DUMMYFUNCTION("""COMPUTED_VALUE"""),45361.2056134259)</f>
        <v>45361.205613425896</v>
      </c>
      <c r="C713" s="3" t="str">
        <f ca="1">IFERROR(__xludf.DUMMYFUNCTION("""COMPUTED_VALUE"""),"purchase")</f>
        <v>purchase</v>
      </c>
      <c r="D713" s="6">
        <f t="shared" ca="1" si="0"/>
        <v>45361</v>
      </c>
      <c r="E713" s="6">
        <f t="shared" ca="1" si="1"/>
        <v>45355</v>
      </c>
      <c r="F713" s="6">
        <f t="shared" ca="1" si="2"/>
        <v>45352</v>
      </c>
      <c r="G713" s="7"/>
    </row>
    <row r="714" spans="1:7" x14ac:dyDescent="0.2">
      <c r="A714" s="3">
        <f ca="1">IFERROR(__xludf.DUMMYFUNCTION("""COMPUTED_VALUE"""),3528)</f>
        <v>3528</v>
      </c>
      <c r="B714" s="6">
        <f ca="1">IFERROR(__xludf.DUMMYFUNCTION("""COMPUTED_VALUE"""),45361.2531134259)</f>
        <v>45361.253113425897</v>
      </c>
      <c r="C714" s="3" t="str">
        <f ca="1">IFERROR(__xludf.DUMMYFUNCTION("""COMPUTED_VALUE"""),"purchase")</f>
        <v>purchase</v>
      </c>
      <c r="D714" s="6">
        <f t="shared" ca="1" si="0"/>
        <v>45361</v>
      </c>
      <c r="E714" s="6">
        <f t="shared" ca="1" si="1"/>
        <v>45355</v>
      </c>
      <c r="F714" s="6">
        <f t="shared" ca="1" si="2"/>
        <v>45352</v>
      </c>
      <c r="G714" s="7"/>
    </row>
    <row r="715" spans="1:7" x14ac:dyDescent="0.2">
      <c r="A715" s="3">
        <f ca="1">IFERROR(__xludf.DUMMYFUNCTION("""COMPUTED_VALUE"""),4483)</f>
        <v>4483</v>
      </c>
      <c r="B715" s="6">
        <f ca="1">IFERROR(__xludf.DUMMYFUNCTION("""COMPUTED_VALUE"""),45361.2689351851)</f>
        <v>45361.2689351851</v>
      </c>
      <c r="C715" s="3" t="str">
        <f ca="1">IFERROR(__xludf.DUMMYFUNCTION("""COMPUTED_VALUE"""),"purchase")</f>
        <v>purchase</v>
      </c>
      <c r="D715" s="6">
        <f t="shared" ca="1" si="0"/>
        <v>45361</v>
      </c>
      <c r="E715" s="6">
        <f t="shared" ca="1" si="1"/>
        <v>45355</v>
      </c>
      <c r="F715" s="6">
        <f t="shared" ca="1" si="2"/>
        <v>45352</v>
      </c>
      <c r="G715" s="7"/>
    </row>
    <row r="716" spans="1:7" x14ac:dyDescent="0.2">
      <c r="A716" s="3">
        <f ca="1">IFERROR(__xludf.DUMMYFUNCTION("""COMPUTED_VALUE"""),1670)</f>
        <v>1670</v>
      </c>
      <c r="B716" s="6">
        <f ca="1">IFERROR(__xludf.DUMMYFUNCTION("""COMPUTED_VALUE"""),45361.4797222222)</f>
        <v>45361.479722222197</v>
      </c>
      <c r="C716" s="3" t="str">
        <f ca="1">IFERROR(__xludf.DUMMYFUNCTION("""COMPUTED_VALUE"""),"purchase")</f>
        <v>purchase</v>
      </c>
      <c r="D716" s="6">
        <f t="shared" ca="1" si="0"/>
        <v>45361</v>
      </c>
      <c r="E716" s="6">
        <f t="shared" ca="1" si="1"/>
        <v>45355</v>
      </c>
      <c r="F716" s="6">
        <f t="shared" ca="1" si="2"/>
        <v>45352</v>
      </c>
      <c r="G716" s="7"/>
    </row>
    <row r="717" spans="1:7" x14ac:dyDescent="0.2">
      <c r="A717" s="3">
        <f ca="1">IFERROR(__xludf.DUMMYFUNCTION("""COMPUTED_VALUE"""),3871)</f>
        <v>3871</v>
      </c>
      <c r="B717" s="6">
        <f ca="1">IFERROR(__xludf.DUMMYFUNCTION("""COMPUTED_VALUE"""),45361.5209375)</f>
        <v>45361.520937499998</v>
      </c>
      <c r="C717" s="3" t="str">
        <f ca="1">IFERROR(__xludf.DUMMYFUNCTION("""COMPUTED_VALUE"""),"purchase")</f>
        <v>purchase</v>
      </c>
      <c r="D717" s="6">
        <f t="shared" ca="1" si="0"/>
        <v>45361</v>
      </c>
      <c r="E717" s="6">
        <f t="shared" ca="1" si="1"/>
        <v>45355</v>
      </c>
      <c r="F717" s="6">
        <f t="shared" ca="1" si="2"/>
        <v>45352</v>
      </c>
      <c r="G717" s="7"/>
    </row>
    <row r="718" spans="1:7" x14ac:dyDescent="0.2">
      <c r="A718" s="3">
        <f ca="1">IFERROR(__xludf.DUMMYFUNCTION("""COMPUTED_VALUE"""),6671)</f>
        <v>6671</v>
      </c>
      <c r="B718" s="6">
        <f ca="1">IFERROR(__xludf.DUMMYFUNCTION("""COMPUTED_VALUE"""),45361.6700347222)</f>
        <v>45361.670034722199</v>
      </c>
      <c r="C718" s="3" t="str">
        <f ca="1">IFERROR(__xludf.DUMMYFUNCTION("""COMPUTED_VALUE"""),"purchase")</f>
        <v>purchase</v>
      </c>
      <c r="D718" s="6">
        <f t="shared" ca="1" si="0"/>
        <v>45361</v>
      </c>
      <c r="E718" s="6">
        <f t="shared" ca="1" si="1"/>
        <v>45355</v>
      </c>
      <c r="F718" s="6">
        <f t="shared" ca="1" si="2"/>
        <v>45352</v>
      </c>
      <c r="G718" s="7"/>
    </row>
    <row r="719" spans="1:7" x14ac:dyDescent="0.2">
      <c r="A719" s="3">
        <f ca="1">IFERROR(__xludf.DUMMYFUNCTION("""COMPUTED_VALUE"""),5008)</f>
        <v>5008</v>
      </c>
      <c r="B719" s="6">
        <f ca="1">IFERROR(__xludf.DUMMYFUNCTION("""COMPUTED_VALUE"""),45361.7000694444)</f>
        <v>45361.7000694444</v>
      </c>
      <c r="C719" s="3" t="str">
        <f ca="1">IFERROR(__xludf.DUMMYFUNCTION("""COMPUTED_VALUE"""),"purchase")</f>
        <v>purchase</v>
      </c>
      <c r="D719" s="6">
        <f t="shared" ca="1" si="0"/>
        <v>45361</v>
      </c>
      <c r="E719" s="6">
        <f t="shared" ca="1" si="1"/>
        <v>45355</v>
      </c>
      <c r="F719" s="6">
        <f t="shared" ca="1" si="2"/>
        <v>45352</v>
      </c>
      <c r="G719" s="7"/>
    </row>
    <row r="720" spans="1:7" x14ac:dyDescent="0.2">
      <c r="A720" s="3">
        <f ca="1">IFERROR(__xludf.DUMMYFUNCTION("""COMPUTED_VALUE"""),4650)</f>
        <v>4650</v>
      </c>
      <c r="B720" s="6">
        <f ca="1">IFERROR(__xludf.DUMMYFUNCTION("""COMPUTED_VALUE"""),45361.7016898148)</f>
        <v>45361.701689814799</v>
      </c>
      <c r="C720" s="3" t="str">
        <f ca="1">IFERROR(__xludf.DUMMYFUNCTION("""COMPUTED_VALUE"""),"purchase")</f>
        <v>purchase</v>
      </c>
      <c r="D720" s="6">
        <f t="shared" ca="1" si="0"/>
        <v>45361</v>
      </c>
      <c r="E720" s="6">
        <f t="shared" ca="1" si="1"/>
        <v>45355</v>
      </c>
      <c r="F720" s="6">
        <f t="shared" ca="1" si="2"/>
        <v>45352</v>
      </c>
      <c r="G720" s="7"/>
    </row>
    <row r="721" spans="1:7" x14ac:dyDescent="0.2">
      <c r="A721" s="3">
        <f ca="1">IFERROR(__xludf.DUMMYFUNCTION("""COMPUTED_VALUE"""),2303)</f>
        <v>2303</v>
      </c>
      <c r="B721" s="6">
        <f ca="1">IFERROR(__xludf.DUMMYFUNCTION("""COMPUTED_VALUE"""),45361.7171875)</f>
        <v>45361.717187499999</v>
      </c>
      <c r="C721" s="3" t="str">
        <f ca="1">IFERROR(__xludf.DUMMYFUNCTION("""COMPUTED_VALUE"""),"purchase")</f>
        <v>purchase</v>
      </c>
      <c r="D721" s="6">
        <f t="shared" ca="1" si="0"/>
        <v>45361</v>
      </c>
      <c r="E721" s="6">
        <f t="shared" ca="1" si="1"/>
        <v>45355</v>
      </c>
      <c r="F721" s="6">
        <f t="shared" ca="1" si="2"/>
        <v>45352</v>
      </c>
      <c r="G721" s="7"/>
    </row>
    <row r="722" spans="1:7" x14ac:dyDescent="0.2">
      <c r="A722" s="3">
        <f ca="1">IFERROR(__xludf.DUMMYFUNCTION("""COMPUTED_VALUE"""),3783)</f>
        <v>3783</v>
      </c>
      <c r="B722" s="6">
        <f ca="1">IFERROR(__xludf.DUMMYFUNCTION("""COMPUTED_VALUE"""),45361.7788773148)</f>
        <v>45361.778877314799</v>
      </c>
      <c r="C722" s="3" t="str">
        <f ca="1">IFERROR(__xludf.DUMMYFUNCTION("""COMPUTED_VALUE"""),"purchase")</f>
        <v>purchase</v>
      </c>
      <c r="D722" s="6">
        <f t="shared" ca="1" si="0"/>
        <v>45361</v>
      </c>
      <c r="E722" s="6">
        <f t="shared" ca="1" si="1"/>
        <v>45355</v>
      </c>
      <c r="F722" s="6">
        <f t="shared" ca="1" si="2"/>
        <v>45352</v>
      </c>
      <c r="G722" s="7"/>
    </row>
    <row r="723" spans="1:7" x14ac:dyDescent="0.2">
      <c r="A723" s="3">
        <f ca="1">IFERROR(__xludf.DUMMYFUNCTION("""COMPUTED_VALUE"""),6475)</f>
        <v>6475</v>
      </c>
      <c r="B723" s="6">
        <f ca="1">IFERROR(__xludf.DUMMYFUNCTION("""COMPUTED_VALUE"""),45361.8066666666)</f>
        <v>45361.806666666598</v>
      </c>
      <c r="C723" s="3" t="str">
        <f ca="1">IFERROR(__xludf.DUMMYFUNCTION("""COMPUTED_VALUE"""),"purchase")</f>
        <v>purchase</v>
      </c>
      <c r="D723" s="6">
        <f t="shared" ca="1" si="0"/>
        <v>45361</v>
      </c>
      <c r="E723" s="6">
        <f t="shared" ca="1" si="1"/>
        <v>45355</v>
      </c>
      <c r="F723" s="6">
        <f t="shared" ca="1" si="2"/>
        <v>45352</v>
      </c>
      <c r="G723" s="7"/>
    </row>
    <row r="724" spans="1:7" x14ac:dyDescent="0.2">
      <c r="A724" s="3">
        <f ca="1">IFERROR(__xludf.DUMMYFUNCTION("""COMPUTED_VALUE"""),6772)</f>
        <v>6772</v>
      </c>
      <c r="B724" s="6">
        <f ca="1">IFERROR(__xludf.DUMMYFUNCTION("""COMPUTED_VALUE"""),45361.8264004629)</f>
        <v>45361.826400462902</v>
      </c>
      <c r="C724" s="3" t="str">
        <f ca="1">IFERROR(__xludf.DUMMYFUNCTION("""COMPUTED_VALUE"""),"purchase")</f>
        <v>purchase</v>
      </c>
      <c r="D724" s="6">
        <f t="shared" ca="1" si="0"/>
        <v>45361</v>
      </c>
      <c r="E724" s="6">
        <f t="shared" ca="1" si="1"/>
        <v>45355</v>
      </c>
      <c r="F724" s="6">
        <f t="shared" ca="1" si="2"/>
        <v>45352</v>
      </c>
      <c r="G724" s="7"/>
    </row>
    <row r="725" spans="1:7" x14ac:dyDescent="0.2">
      <c r="A725" s="3">
        <f ca="1">IFERROR(__xludf.DUMMYFUNCTION("""COMPUTED_VALUE"""),2895)</f>
        <v>2895</v>
      </c>
      <c r="B725" s="6">
        <f ca="1">IFERROR(__xludf.DUMMYFUNCTION("""COMPUTED_VALUE"""),45361.9535532407)</f>
        <v>45361.953553240703</v>
      </c>
      <c r="C725" s="3" t="str">
        <f ca="1">IFERROR(__xludf.DUMMYFUNCTION("""COMPUTED_VALUE"""),"purchase")</f>
        <v>purchase</v>
      </c>
      <c r="D725" s="6">
        <f t="shared" ca="1" si="0"/>
        <v>45361</v>
      </c>
      <c r="E725" s="6">
        <f t="shared" ca="1" si="1"/>
        <v>45355</v>
      </c>
      <c r="F725" s="6">
        <f t="shared" ca="1" si="2"/>
        <v>45352</v>
      </c>
      <c r="G725" s="7"/>
    </row>
    <row r="726" spans="1:7" x14ac:dyDescent="0.2">
      <c r="A726" s="3">
        <f ca="1">IFERROR(__xludf.DUMMYFUNCTION("""COMPUTED_VALUE"""),2532)</f>
        <v>2532</v>
      </c>
      <c r="B726" s="6">
        <f ca="1">IFERROR(__xludf.DUMMYFUNCTION("""COMPUTED_VALUE"""),45361.9729629629)</f>
        <v>45361.9729629629</v>
      </c>
      <c r="C726" s="3" t="str">
        <f ca="1">IFERROR(__xludf.DUMMYFUNCTION("""COMPUTED_VALUE"""),"purchase")</f>
        <v>purchase</v>
      </c>
      <c r="D726" s="6">
        <f t="shared" ca="1" si="0"/>
        <v>45361</v>
      </c>
      <c r="E726" s="6">
        <f t="shared" ca="1" si="1"/>
        <v>45355</v>
      </c>
      <c r="F726" s="6">
        <f t="shared" ca="1" si="2"/>
        <v>45352</v>
      </c>
      <c r="G726" s="7"/>
    </row>
    <row r="727" spans="1:7" x14ac:dyDescent="0.2">
      <c r="A727" s="3">
        <f ca="1">IFERROR(__xludf.DUMMYFUNCTION("""COMPUTED_VALUE"""),1812)</f>
        <v>1812</v>
      </c>
      <c r="B727" s="6">
        <f ca="1">IFERROR(__xludf.DUMMYFUNCTION("""COMPUTED_VALUE"""),45362.00875)</f>
        <v>45362.008750000001</v>
      </c>
      <c r="C727" s="3" t="str">
        <f ca="1">IFERROR(__xludf.DUMMYFUNCTION("""COMPUTED_VALUE"""),"purchase")</f>
        <v>purchase</v>
      </c>
      <c r="D727" s="6">
        <f t="shared" ca="1" si="0"/>
        <v>45362</v>
      </c>
      <c r="E727" s="6">
        <f t="shared" ca="1" si="1"/>
        <v>45362</v>
      </c>
      <c r="F727" s="6">
        <f t="shared" ca="1" si="2"/>
        <v>45352</v>
      </c>
      <c r="G727" s="7"/>
    </row>
    <row r="728" spans="1:7" x14ac:dyDescent="0.2">
      <c r="A728" s="3">
        <f ca="1">IFERROR(__xludf.DUMMYFUNCTION("""COMPUTED_VALUE"""),812)</f>
        <v>812</v>
      </c>
      <c r="B728" s="6">
        <f ca="1">IFERROR(__xludf.DUMMYFUNCTION("""COMPUTED_VALUE"""),45362.091412037)</f>
        <v>45362.091412037</v>
      </c>
      <c r="C728" s="3" t="str">
        <f ca="1">IFERROR(__xludf.DUMMYFUNCTION("""COMPUTED_VALUE"""),"purchase")</f>
        <v>purchase</v>
      </c>
      <c r="D728" s="6">
        <f t="shared" ca="1" si="0"/>
        <v>45362</v>
      </c>
      <c r="E728" s="6">
        <f t="shared" ca="1" si="1"/>
        <v>45362</v>
      </c>
      <c r="F728" s="6">
        <f t="shared" ca="1" si="2"/>
        <v>45352</v>
      </c>
      <c r="G728" s="7"/>
    </row>
    <row r="729" spans="1:7" x14ac:dyDescent="0.2">
      <c r="A729" s="3">
        <f ca="1">IFERROR(__xludf.DUMMYFUNCTION("""COMPUTED_VALUE"""),7874)</f>
        <v>7874</v>
      </c>
      <c r="B729" s="6">
        <f ca="1">IFERROR(__xludf.DUMMYFUNCTION("""COMPUTED_VALUE"""),45362.0945717592)</f>
        <v>45362.094571759197</v>
      </c>
      <c r="C729" s="3" t="str">
        <f ca="1">IFERROR(__xludf.DUMMYFUNCTION("""COMPUTED_VALUE"""),"purchase")</f>
        <v>purchase</v>
      </c>
      <c r="D729" s="6">
        <f t="shared" ca="1" si="0"/>
        <v>45362</v>
      </c>
      <c r="E729" s="6">
        <f t="shared" ca="1" si="1"/>
        <v>45362</v>
      </c>
      <c r="F729" s="6">
        <f t="shared" ca="1" si="2"/>
        <v>45352</v>
      </c>
      <c r="G729" s="7"/>
    </row>
    <row r="730" spans="1:7" x14ac:dyDescent="0.2">
      <c r="A730" s="3">
        <f ca="1">IFERROR(__xludf.DUMMYFUNCTION("""COMPUTED_VALUE"""),6072)</f>
        <v>6072</v>
      </c>
      <c r="B730" s="6">
        <f ca="1">IFERROR(__xludf.DUMMYFUNCTION("""COMPUTED_VALUE"""),45362.1631597222)</f>
        <v>45362.1631597222</v>
      </c>
      <c r="C730" s="3" t="str">
        <f ca="1">IFERROR(__xludf.DUMMYFUNCTION("""COMPUTED_VALUE"""),"purchase")</f>
        <v>purchase</v>
      </c>
      <c r="D730" s="6">
        <f t="shared" ca="1" si="0"/>
        <v>45362</v>
      </c>
      <c r="E730" s="6">
        <f t="shared" ca="1" si="1"/>
        <v>45362</v>
      </c>
      <c r="F730" s="6">
        <f t="shared" ca="1" si="2"/>
        <v>45352</v>
      </c>
      <c r="G730" s="7"/>
    </row>
    <row r="731" spans="1:7" x14ac:dyDescent="0.2">
      <c r="A731" s="3">
        <f ca="1">IFERROR(__xludf.DUMMYFUNCTION("""COMPUTED_VALUE"""),3456)</f>
        <v>3456</v>
      </c>
      <c r="B731" s="6">
        <f ca="1">IFERROR(__xludf.DUMMYFUNCTION("""COMPUTED_VALUE"""),45362.3155092592)</f>
        <v>45362.315509259199</v>
      </c>
      <c r="C731" s="3" t="str">
        <f ca="1">IFERROR(__xludf.DUMMYFUNCTION("""COMPUTED_VALUE"""),"purchase")</f>
        <v>purchase</v>
      </c>
      <c r="D731" s="6">
        <f t="shared" ca="1" si="0"/>
        <v>45362</v>
      </c>
      <c r="E731" s="6">
        <f t="shared" ca="1" si="1"/>
        <v>45362</v>
      </c>
      <c r="F731" s="6">
        <f t="shared" ca="1" si="2"/>
        <v>45352</v>
      </c>
      <c r="G731" s="7"/>
    </row>
    <row r="732" spans="1:7" x14ac:dyDescent="0.2">
      <c r="A732" s="3">
        <f ca="1">IFERROR(__xludf.DUMMYFUNCTION("""COMPUTED_VALUE"""),7480)</f>
        <v>7480</v>
      </c>
      <c r="B732" s="6">
        <f ca="1">IFERROR(__xludf.DUMMYFUNCTION("""COMPUTED_VALUE"""),45362.3517013888)</f>
        <v>45362.351701388798</v>
      </c>
      <c r="C732" s="3" t="str">
        <f ca="1">IFERROR(__xludf.DUMMYFUNCTION("""COMPUTED_VALUE"""),"purchase")</f>
        <v>purchase</v>
      </c>
      <c r="D732" s="6">
        <f t="shared" ca="1" si="0"/>
        <v>45362</v>
      </c>
      <c r="E732" s="6">
        <f t="shared" ca="1" si="1"/>
        <v>45362</v>
      </c>
      <c r="F732" s="6">
        <f t="shared" ca="1" si="2"/>
        <v>45352</v>
      </c>
      <c r="G732" s="7"/>
    </row>
    <row r="733" spans="1:7" x14ac:dyDescent="0.2">
      <c r="A733" s="3">
        <f ca="1">IFERROR(__xludf.DUMMYFUNCTION("""COMPUTED_VALUE"""),6788)</f>
        <v>6788</v>
      </c>
      <c r="B733" s="6">
        <f ca="1">IFERROR(__xludf.DUMMYFUNCTION("""COMPUTED_VALUE"""),45362.469537037)</f>
        <v>45362.469537037003</v>
      </c>
      <c r="C733" s="3" t="str">
        <f ca="1">IFERROR(__xludf.DUMMYFUNCTION("""COMPUTED_VALUE"""),"purchase")</f>
        <v>purchase</v>
      </c>
      <c r="D733" s="6">
        <f t="shared" ca="1" si="0"/>
        <v>45362</v>
      </c>
      <c r="E733" s="6">
        <f t="shared" ca="1" si="1"/>
        <v>45362</v>
      </c>
      <c r="F733" s="6">
        <f t="shared" ca="1" si="2"/>
        <v>45352</v>
      </c>
      <c r="G733" s="7"/>
    </row>
    <row r="734" spans="1:7" x14ac:dyDescent="0.2">
      <c r="A734" s="3">
        <f ca="1">IFERROR(__xludf.DUMMYFUNCTION("""COMPUTED_VALUE"""),6919)</f>
        <v>6919</v>
      </c>
      <c r="B734" s="6">
        <f ca="1">IFERROR(__xludf.DUMMYFUNCTION("""COMPUTED_VALUE"""),45362.4778009259)</f>
        <v>45362.477800925903</v>
      </c>
      <c r="C734" s="3" t="str">
        <f ca="1">IFERROR(__xludf.DUMMYFUNCTION("""COMPUTED_VALUE"""),"purchase")</f>
        <v>purchase</v>
      </c>
      <c r="D734" s="6">
        <f t="shared" ca="1" si="0"/>
        <v>45362</v>
      </c>
      <c r="E734" s="6">
        <f t="shared" ca="1" si="1"/>
        <v>45362</v>
      </c>
      <c r="F734" s="6">
        <f t="shared" ca="1" si="2"/>
        <v>45352</v>
      </c>
      <c r="G734" s="7"/>
    </row>
    <row r="735" spans="1:7" x14ac:dyDescent="0.2">
      <c r="A735" s="3">
        <f ca="1">IFERROR(__xludf.DUMMYFUNCTION("""COMPUTED_VALUE"""),2174)</f>
        <v>2174</v>
      </c>
      <c r="B735" s="6">
        <f ca="1">IFERROR(__xludf.DUMMYFUNCTION("""COMPUTED_VALUE"""),45362.5124768518)</f>
        <v>45362.5124768518</v>
      </c>
      <c r="C735" s="3" t="str">
        <f ca="1">IFERROR(__xludf.DUMMYFUNCTION("""COMPUTED_VALUE"""),"purchase")</f>
        <v>purchase</v>
      </c>
      <c r="D735" s="6">
        <f t="shared" ca="1" si="0"/>
        <v>45362</v>
      </c>
      <c r="E735" s="6">
        <f t="shared" ca="1" si="1"/>
        <v>45362</v>
      </c>
      <c r="F735" s="6">
        <f t="shared" ca="1" si="2"/>
        <v>45352</v>
      </c>
      <c r="G735" s="7"/>
    </row>
    <row r="736" spans="1:7" x14ac:dyDescent="0.2">
      <c r="A736" s="3">
        <f ca="1">IFERROR(__xludf.DUMMYFUNCTION("""COMPUTED_VALUE"""),2630)</f>
        <v>2630</v>
      </c>
      <c r="B736" s="6">
        <f ca="1">IFERROR(__xludf.DUMMYFUNCTION("""COMPUTED_VALUE"""),45362.6737962962)</f>
        <v>45362.6737962962</v>
      </c>
      <c r="C736" s="3" t="str">
        <f ca="1">IFERROR(__xludf.DUMMYFUNCTION("""COMPUTED_VALUE"""),"purchase")</f>
        <v>purchase</v>
      </c>
      <c r="D736" s="6">
        <f t="shared" ca="1" si="0"/>
        <v>45362</v>
      </c>
      <c r="E736" s="6">
        <f t="shared" ca="1" si="1"/>
        <v>45362</v>
      </c>
      <c r="F736" s="6">
        <f t="shared" ca="1" si="2"/>
        <v>45352</v>
      </c>
      <c r="G736" s="7"/>
    </row>
    <row r="737" spans="1:7" x14ac:dyDescent="0.2">
      <c r="A737" s="3">
        <f ca="1">IFERROR(__xludf.DUMMYFUNCTION("""COMPUTED_VALUE"""),6574)</f>
        <v>6574</v>
      </c>
      <c r="B737" s="6">
        <f ca="1">IFERROR(__xludf.DUMMYFUNCTION("""COMPUTED_VALUE"""),45362.7455439814)</f>
        <v>45362.7455439814</v>
      </c>
      <c r="C737" s="3" t="str">
        <f ca="1">IFERROR(__xludf.DUMMYFUNCTION("""COMPUTED_VALUE"""),"purchase")</f>
        <v>purchase</v>
      </c>
      <c r="D737" s="6">
        <f t="shared" ca="1" si="0"/>
        <v>45362</v>
      </c>
      <c r="E737" s="6">
        <f t="shared" ca="1" si="1"/>
        <v>45362</v>
      </c>
      <c r="F737" s="6">
        <f t="shared" ca="1" si="2"/>
        <v>45352</v>
      </c>
      <c r="G737" s="7"/>
    </row>
    <row r="738" spans="1:7" x14ac:dyDescent="0.2">
      <c r="A738" s="3">
        <f ca="1">IFERROR(__xludf.DUMMYFUNCTION("""COMPUTED_VALUE"""),5013)</f>
        <v>5013</v>
      </c>
      <c r="B738" s="6">
        <f ca="1">IFERROR(__xludf.DUMMYFUNCTION("""COMPUTED_VALUE"""),45362.9759375)</f>
        <v>45362.975937499999</v>
      </c>
      <c r="C738" s="3" t="str">
        <f ca="1">IFERROR(__xludf.DUMMYFUNCTION("""COMPUTED_VALUE"""),"purchase")</f>
        <v>purchase</v>
      </c>
      <c r="D738" s="6">
        <f t="shared" ca="1" si="0"/>
        <v>45362</v>
      </c>
      <c r="E738" s="6">
        <f t="shared" ca="1" si="1"/>
        <v>45362</v>
      </c>
      <c r="F738" s="6">
        <f t="shared" ca="1" si="2"/>
        <v>45352</v>
      </c>
      <c r="G738" s="7"/>
    </row>
    <row r="739" spans="1:7" x14ac:dyDescent="0.2">
      <c r="A739" s="3">
        <f ca="1">IFERROR(__xludf.DUMMYFUNCTION("""COMPUTED_VALUE"""),354)</f>
        <v>354</v>
      </c>
      <c r="B739" s="6">
        <f ca="1">IFERROR(__xludf.DUMMYFUNCTION("""COMPUTED_VALUE"""),45363.0563310185)</f>
        <v>45363.056331018503</v>
      </c>
      <c r="C739" s="3" t="str">
        <f ca="1">IFERROR(__xludf.DUMMYFUNCTION("""COMPUTED_VALUE"""),"purchase")</f>
        <v>purchase</v>
      </c>
      <c r="D739" s="6">
        <f t="shared" ca="1" si="0"/>
        <v>45363</v>
      </c>
      <c r="E739" s="6">
        <f t="shared" ca="1" si="1"/>
        <v>45362</v>
      </c>
      <c r="F739" s="6">
        <f t="shared" ca="1" si="2"/>
        <v>45352</v>
      </c>
      <c r="G739" s="7"/>
    </row>
    <row r="740" spans="1:7" x14ac:dyDescent="0.2">
      <c r="A740" s="3">
        <f ca="1">IFERROR(__xludf.DUMMYFUNCTION("""COMPUTED_VALUE"""),1353)</f>
        <v>1353</v>
      </c>
      <c r="B740" s="6">
        <f ca="1">IFERROR(__xludf.DUMMYFUNCTION("""COMPUTED_VALUE"""),45363.113136574)</f>
        <v>45363.113136574</v>
      </c>
      <c r="C740" s="3" t="str">
        <f ca="1">IFERROR(__xludf.DUMMYFUNCTION("""COMPUTED_VALUE"""),"purchase")</f>
        <v>purchase</v>
      </c>
      <c r="D740" s="6">
        <f t="shared" ca="1" si="0"/>
        <v>45363</v>
      </c>
      <c r="E740" s="6">
        <f t="shared" ca="1" si="1"/>
        <v>45362</v>
      </c>
      <c r="F740" s="6">
        <f t="shared" ca="1" si="2"/>
        <v>45352</v>
      </c>
      <c r="G740" s="7"/>
    </row>
    <row r="741" spans="1:7" x14ac:dyDescent="0.2">
      <c r="A741" s="3">
        <f ca="1">IFERROR(__xludf.DUMMYFUNCTION("""COMPUTED_VALUE"""),6050)</f>
        <v>6050</v>
      </c>
      <c r="B741" s="6">
        <f ca="1">IFERROR(__xludf.DUMMYFUNCTION("""COMPUTED_VALUE"""),45363.2094907407)</f>
        <v>45363.209490740701</v>
      </c>
      <c r="C741" s="3" t="str">
        <f ca="1">IFERROR(__xludf.DUMMYFUNCTION("""COMPUTED_VALUE"""),"purchase")</f>
        <v>purchase</v>
      </c>
      <c r="D741" s="6">
        <f t="shared" ca="1" si="0"/>
        <v>45363</v>
      </c>
      <c r="E741" s="6">
        <f t="shared" ca="1" si="1"/>
        <v>45362</v>
      </c>
      <c r="F741" s="6">
        <f t="shared" ca="1" si="2"/>
        <v>45352</v>
      </c>
      <c r="G741" s="7"/>
    </row>
    <row r="742" spans="1:7" x14ac:dyDescent="0.2">
      <c r="A742" s="3">
        <f ca="1">IFERROR(__xludf.DUMMYFUNCTION("""COMPUTED_VALUE"""),4317)</f>
        <v>4317</v>
      </c>
      <c r="B742" s="6">
        <f ca="1">IFERROR(__xludf.DUMMYFUNCTION("""COMPUTED_VALUE"""),45363.4944212962)</f>
        <v>45363.4944212962</v>
      </c>
      <c r="C742" s="3" t="str">
        <f ca="1">IFERROR(__xludf.DUMMYFUNCTION("""COMPUTED_VALUE"""),"purchase")</f>
        <v>purchase</v>
      </c>
      <c r="D742" s="6">
        <f t="shared" ca="1" si="0"/>
        <v>45363</v>
      </c>
      <c r="E742" s="6">
        <f t="shared" ca="1" si="1"/>
        <v>45362</v>
      </c>
      <c r="F742" s="6">
        <f t="shared" ca="1" si="2"/>
        <v>45352</v>
      </c>
      <c r="G742" s="7"/>
    </row>
    <row r="743" spans="1:7" x14ac:dyDescent="0.2">
      <c r="A743" s="3">
        <f ca="1">IFERROR(__xludf.DUMMYFUNCTION("""COMPUTED_VALUE"""),4634)</f>
        <v>4634</v>
      </c>
      <c r="B743" s="6">
        <f ca="1">IFERROR(__xludf.DUMMYFUNCTION("""COMPUTED_VALUE"""),45363.745949074)</f>
        <v>45363.745949074</v>
      </c>
      <c r="C743" s="3" t="str">
        <f ca="1">IFERROR(__xludf.DUMMYFUNCTION("""COMPUTED_VALUE"""),"purchase")</f>
        <v>purchase</v>
      </c>
      <c r="D743" s="6">
        <f t="shared" ca="1" si="0"/>
        <v>45363</v>
      </c>
      <c r="E743" s="6">
        <f t="shared" ca="1" si="1"/>
        <v>45362</v>
      </c>
      <c r="F743" s="6">
        <f t="shared" ca="1" si="2"/>
        <v>45352</v>
      </c>
      <c r="G743" s="7"/>
    </row>
    <row r="744" spans="1:7" x14ac:dyDescent="0.2">
      <c r="A744" s="3">
        <f ca="1">IFERROR(__xludf.DUMMYFUNCTION("""COMPUTED_VALUE"""),5358)</f>
        <v>5358</v>
      </c>
      <c r="B744" s="6">
        <f ca="1">IFERROR(__xludf.DUMMYFUNCTION("""COMPUTED_VALUE"""),45363.8841319444)</f>
        <v>45363.884131944404</v>
      </c>
      <c r="C744" s="3" t="str">
        <f ca="1">IFERROR(__xludf.DUMMYFUNCTION("""COMPUTED_VALUE"""),"purchase")</f>
        <v>purchase</v>
      </c>
      <c r="D744" s="6">
        <f t="shared" ca="1" si="0"/>
        <v>45363</v>
      </c>
      <c r="E744" s="6">
        <f t="shared" ca="1" si="1"/>
        <v>45362</v>
      </c>
      <c r="F744" s="6">
        <f t="shared" ca="1" si="2"/>
        <v>45352</v>
      </c>
      <c r="G744" s="7"/>
    </row>
    <row r="745" spans="1:7" x14ac:dyDescent="0.2">
      <c r="A745" s="3">
        <f ca="1">IFERROR(__xludf.DUMMYFUNCTION("""COMPUTED_VALUE"""),1222)</f>
        <v>1222</v>
      </c>
      <c r="B745" s="6">
        <f ca="1">IFERROR(__xludf.DUMMYFUNCTION("""COMPUTED_VALUE"""),45363.9054282407)</f>
        <v>45363.905428240701</v>
      </c>
      <c r="C745" s="3" t="str">
        <f ca="1">IFERROR(__xludf.DUMMYFUNCTION("""COMPUTED_VALUE"""),"purchase")</f>
        <v>purchase</v>
      </c>
      <c r="D745" s="6">
        <f t="shared" ca="1" si="0"/>
        <v>45363</v>
      </c>
      <c r="E745" s="6">
        <f t="shared" ca="1" si="1"/>
        <v>45362</v>
      </c>
      <c r="F745" s="6">
        <f t="shared" ca="1" si="2"/>
        <v>45352</v>
      </c>
      <c r="G745" s="7"/>
    </row>
    <row r="746" spans="1:7" x14ac:dyDescent="0.2">
      <c r="A746" s="3">
        <f ca="1">IFERROR(__xludf.DUMMYFUNCTION("""COMPUTED_VALUE"""),7710)</f>
        <v>7710</v>
      </c>
      <c r="B746" s="6">
        <f ca="1">IFERROR(__xludf.DUMMYFUNCTION("""COMPUTED_VALUE"""),45364.0481597222)</f>
        <v>45364.048159722202</v>
      </c>
      <c r="C746" s="3" t="str">
        <f ca="1">IFERROR(__xludf.DUMMYFUNCTION("""COMPUTED_VALUE"""),"purchase")</f>
        <v>purchase</v>
      </c>
      <c r="D746" s="6">
        <f t="shared" ca="1" si="0"/>
        <v>45364</v>
      </c>
      <c r="E746" s="6">
        <f t="shared" ca="1" si="1"/>
        <v>45362</v>
      </c>
      <c r="F746" s="6">
        <f t="shared" ca="1" si="2"/>
        <v>45352</v>
      </c>
      <c r="G746" s="7"/>
    </row>
    <row r="747" spans="1:7" x14ac:dyDescent="0.2">
      <c r="A747" s="3">
        <f ca="1">IFERROR(__xludf.DUMMYFUNCTION("""COMPUTED_VALUE"""),5248)</f>
        <v>5248</v>
      </c>
      <c r="B747" s="6">
        <f ca="1">IFERROR(__xludf.DUMMYFUNCTION("""COMPUTED_VALUE"""),45364.1157754629)</f>
        <v>45364.115775462902</v>
      </c>
      <c r="C747" s="3" t="str">
        <f ca="1">IFERROR(__xludf.DUMMYFUNCTION("""COMPUTED_VALUE"""),"purchase")</f>
        <v>purchase</v>
      </c>
      <c r="D747" s="6">
        <f t="shared" ca="1" si="0"/>
        <v>45364</v>
      </c>
      <c r="E747" s="6">
        <f t="shared" ca="1" si="1"/>
        <v>45362</v>
      </c>
      <c r="F747" s="6">
        <f t="shared" ca="1" si="2"/>
        <v>45352</v>
      </c>
      <c r="G747" s="7"/>
    </row>
    <row r="748" spans="1:7" x14ac:dyDescent="0.2">
      <c r="A748" s="3">
        <f ca="1">IFERROR(__xludf.DUMMYFUNCTION("""COMPUTED_VALUE"""),3124)</f>
        <v>3124</v>
      </c>
      <c r="B748" s="6">
        <f ca="1">IFERROR(__xludf.DUMMYFUNCTION("""COMPUTED_VALUE"""),45364.1432638888)</f>
        <v>45364.1432638888</v>
      </c>
      <c r="C748" s="3" t="str">
        <f ca="1">IFERROR(__xludf.DUMMYFUNCTION("""COMPUTED_VALUE"""),"purchase")</f>
        <v>purchase</v>
      </c>
      <c r="D748" s="6">
        <f t="shared" ca="1" si="0"/>
        <v>45364</v>
      </c>
      <c r="E748" s="6">
        <f t="shared" ca="1" si="1"/>
        <v>45362</v>
      </c>
      <c r="F748" s="6">
        <f t="shared" ca="1" si="2"/>
        <v>45352</v>
      </c>
      <c r="G748" s="7"/>
    </row>
    <row r="749" spans="1:7" x14ac:dyDescent="0.2">
      <c r="A749" s="3">
        <f ca="1">IFERROR(__xludf.DUMMYFUNCTION("""COMPUTED_VALUE"""),6429)</f>
        <v>6429</v>
      </c>
      <c r="B749" s="6">
        <f ca="1">IFERROR(__xludf.DUMMYFUNCTION("""COMPUTED_VALUE"""),45364.1547337963)</f>
        <v>45364.154733796298</v>
      </c>
      <c r="C749" s="3" t="str">
        <f ca="1">IFERROR(__xludf.DUMMYFUNCTION("""COMPUTED_VALUE"""),"purchase")</f>
        <v>purchase</v>
      </c>
      <c r="D749" s="6">
        <f t="shared" ca="1" si="0"/>
        <v>45364</v>
      </c>
      <c r="E749" s="6">
        <f t="shared" ca="1" si="1"/>
        <v>45362</v>
      </c>
      <c r="F749" s="6">
        <f t="shared" ca="1" si="2"/>
        <v>45352</v>
      </c>
      <c r="G749" s="7"/>
    </row>
    <row r="750" spans="1:7" x14ac:dyDescent="0.2">
      <c r="A750" s="3">
        <f ca="1">IFERROR(__xludf.DUMMYFUNCTION("""COMPUTED_VALUE"""),5580)</f>
        <v>5580</v>
      </c>
      <c r="B750" s="6">
        <f ca="1">IFERROR(__xludf.DUMMYFUNCTION("""COMPUTED_VALUE"""),45364.1586689813)</f>
        <v>45364.158668981399</v>
      </c>
      <c r="C750" s="3" t="str">
        <f ca="1">IFERROR(__xludf.DUMMYFUNCTION("""COMPUTED_VALUE"""),"purchase")</f>
        <v>purchase</v>
      </c>
      <c r="D750" s="6">
        <f t="shared" ca="1" si="0"/>
        <v>45364</v>
      </c>
      <c r="E750" s="6">
        <f t="shared" ca="1" si="1"/>
        <v>45362</v>
      </c>
      <c r="F750" s="6">
        <f t="shared" ca="1" si="2"/>
        <v>45352</v>
      </c>
      <c r="G750" s="7"/>
    </row>
    <row r="751" spans="1:7" x14ac:dyDescent="0.2">
      <c r="A751" s="3">
        <f ca="1">IFERROR(__xludf.DUMMYFUNCTION("""COMPUTED_VALUE"""),878)</f>
        <v>878</v>
      </c>
      <c r="B751" s="6">
        <f ca="1">IFERROR(__xludf.DUMMYFUNCTION("""COMPUTED_VALUE"""),45364.2226041666)</f>
        <v>45364.2226041666</v>
      </c>
      <c r="C751" s="3" t="str">
        <f ca="1">IFERROR(__xludf.DUMMYFUNCTION("""COMPUTED_VALUE"""),"purchase")</f>
        <v>purchase</v>
      </c>
      <c r="D751" s="6">
        <f t="shared" ca="1" si="0"/>
        <v>45364</v>
      </c>
      <c r="E751" s="6">
        <f t="shared" ca="1" si="1"/>
        <v>45362</v>
      </c>
      <c r="F751" s="6">
        <f t="shared" ca="1" si="2"/>
        <v>45352</v>
      </c>
      <c r="G751" s="7"/>
    </row>
    <row r="752" spans="1:7" x14ac:dyDescent="0.2">
      <c r="A752" s="3">
        <f ca="1">IFERROR(__xludf.DUMMYFUNCTION("""COMPUTED_VALUE"""),5892)</f>
        <v>5892</v>
      </c>
      <c r="B752" s="6">
        <f ca="1">IFERROR(__xludf.DUMMYFUNCTION("""COMPUTED_VALUE"""),45364.2383564814)</f>
        <v>45364.238356481401</v>
      </c>
      <c r="C752" s="3" t="str">
        <f ca="1">IFERROR(__xludf.DUMMYFUNCTION("""COMPUTED_VALUE"""),"purchase")</f>
        <v>purchase</v>
      </c>
      <c r="D752" s="6">
        <f t="shared" ca="1" si="0"/>
        <v>45364</v>
      </c>
      <c r="E752" s="6">
        <f t="shared" ca="1" si="1"/>
        <v>45362</v>
      </c>
      <c r="F752" s="6">
        <f t="shared" ca="1" si="2"/>
        <v>45352</v>
      </c>
      <c r="G752" s="7"/>
    </row>
    <row r="753" spans="1:7" x14ac:dyDescent="0.2">
      <c r="A753" s="3">
        <f ca="1">IFERROR(__xludf.DUMMYFUNCTION("""COMPUTED_VALUE"""),4946)</f>
        <v>4946</v>
      </c>
      <c r="B753" s="6">
        <f ca="1">IFERROR(__xludf.DUMMYFUNCTION("""COMPUTED_VALUE"""),45364.283912037)</f>
        <v>45364.283912036997</v>
      </c>
      <c r="C753" s="3" t="str">
        <f ca="1">IFERROR(__xludf.DUMMYFUNCTION("""COMPUTED_VALUE"""),"purchase")</f>
        <v>purchase</v>
      </c>
      <c r="D753" s="6">
        <f t="shared" ca="1" si="0"/>
        <v>45364</v>
      </c>
      <c r="E753" s="6">
        <f t="shared" ca="1" si="1"/>
        <v>45362</v>
      </c>
      <c r="F753" s="6">
        <f t="shared" ca="1" si="2"/>
        <v>45352</v>
      </c>
      <c r="G753" s="7"/>
    </row>
    <row r="754" spans="1:7" x14ac:dyDescent="0.2">
      <c r="A754" s="3">
        <f ca="1">IFERROR(__xludf.DUMMYFUNCTION("""COMPUTED_VALUE"""),7864)</f>
        <v>7864</v>
      </c>
      <c r="B754" s="6">
        <f ca="1">IFERROR(__xludf.DUMMYFUNCTION("""COMPUTED_VALUE"""),45364.3366898148)</f>
        <v>45364.336689814802</v>
      </c>
      <c r="C754" s="3" t="str">
        <f ca="1">IFERROR(__xludf.DUMMYFUNCTION("""COMPUTED_VALUE"""),"purchase")</f>
        <v>purchase</v>
      </c>
      <c r="D754" s="6">
        <f t="shared" ca="1" si="0"/>
        <v>45364</v>
      </c>
      <c r="E754" s="6">
        <f t="shared" ca="1" si="1"/>
        <v>45362</v>
      </c>
      <c r="F754" s="6">
        <f t="shared" ca="1" si="2"/>
        <v>45352</v>
      </c>
      <c r="G754" s="7"/>
    </row>
    <row r="755" spans="1:7" x14ac:dyDescent="0.2">
      <c r="A755" s="3">
        <f ca="1">IFERROR(__xludf.DUMMYFUNCTION("""COMPUTED_VALUE"""),1336)</f>
        <v>1336</v>
      </c>
      <c r="B755" s="6">
        <f ca="1">IFERROR(__xludf.DUMMYFUNCTION("""COMPUTED_VALUE"""),45364.4811921296)</f>
        <v>45364.481192129599</v>
      </c>
      <c r="C755" s="3" t="str">
        <f ca="1">IFERROR(__xludf.DUMMYFUNCTION("""COMPUTED_VALUE"""),"purchase")</f>
        <v>purchase</v>
      </c>
      <c r="D755" s="6">
        <f t="shared" ca="1" si="0"/>
        <v>45364</v>
      </c>
      <c r="E755" s="6">
        <f t="shared" ca="1" si="1"/>
        <v>45362</v>
      </c>
      <c r="F755" s="6">
        <f t="shared" ca="1" si="2"/>
        <v>45352</v>
      </c>
      <c r="G755" s="7"/>
    </row>
    <row r="756" spans="1:7" x14ac:dyDescent="0.2">
      <c r="A756" s="3">
        <f ca="1">IFERROR(__xludf.DUMMYFUNCTION("""COMPUTED_VALUE"""),4405)</f>
        <v>4405</v>
      </c>
      <c r="B756" s="6">
        <f ca="1">IFERROR(__xludf.DUMMYFUNCTION("""COMPUTED_VALUE"""),45364.5732407407)</f>
        <v>45364.573240740698</v>
      </c>
      <c r="C756" s="3" t="str">
        <f ca="1">IFERROR(__xludf.DUMMYFUNCTION("""COMPUTED_VALUE"""),"purchase")</f>
        <v>purchase</v>
      </c>
      <c r="D756" s="6">
        <f t="shared" ca="1" si="0"/>
        <v>45364</v>
      </c>
      <c r="E756" s="6">
        <f t="shared" ca="1" si="1"/>
        <v>45362</v>
      </c>
      <c r="F756" s="6">
        <f t="shared" ca="1" si="2"/>
        <v>45352</v>
      </c>
      <c r="G756" s="7"/>
    </row>
    <row r="757" spans="1:7" x14ac:dyDescent="0.2">
      <c r="A757" s="3">
        <f ca="1">IFERROR(__xludf.DUMMYFUNCTION("""COMPUTED_VALUE"""),880)</f>
        <v>880</v>
      </c>
      <c r="B757" s="6">
        <f ca="1">IFERROR(__xludf.DUMMYFUNCTION("""COMPUTED_VALUE"""),45364.621886574)</f>
        <v>45364.621886574001</v>
      </c>
      <c r="C757" s="3" t="str">
        <f ca="1">IFERROR(__xludf.DUMMYFUNCTION("""COMPUTED_VALUE"""),"purchase")</f>
        <v>purchase</v>
      </c>
      <c r="D757" s="6">
        <f t="shared" ca="1" si="0"/>
        <v>45364</v>
      </c>
      <c r="E757" s="6">
        <f t="shared" ca="1" si="1"/>
        <v>45362</v>
      </c>
      <c r="F757" s="6">
        <f t="shared" ca="1" si="2"/>
        <v>45352</v>
      </c>
      <c r="G757" s="7"/>
    </row>
    <row r="758" spans="1:7" x14ac:dyDescent="0.2">
      <c r="A758" s="3">
        <f ca="1">IFERROR(__xludf.DUMMYFUNCTION("""COMPUTED_VALUE"""),839)</f>
        <v>839</v>
      </c>
      <c r="B758" s="6">
        <f ca="1">IFERROR(__xludf.DUMMYFUNCTION("""COMPUTED_VALUE"""),45364.6511805555)</f>
        <v>45364.651180555498</v>
      </c>
      <c r="C758" s="3" t="str">
        <f ca="1">IFERROR(__xludf.DUMMYFUNCTION("""COMPUTED_VALUE"""),"purchase")</f>
        <v>purchase</v>
      </c>
      <c r="D758" s="6">
        <f t="shared" ca="1" si="0"/>
        <v>45364</v>
      </c>
      <c r="E758" s="6">
        <f t="shared" ca="1" si="1"/>
        <v>45362</v>
      </c>
      <c r="F758" s="6">
        <f t="shared" ca="1" si="2"/>
        <v>45352</v>
      </c>
      <c r="G758" s="7"/>
    </row>
    <row r="759" spans="1:7" x14ac:dyDescent="0.2">
      <c r="A759" s="3">
        <f ca="1">IFERROR(__xludf.DUMMYFUNCTION("""COMPUTED_VALUE"""),2499)</f>
        <v>2499</v>
      </c>
      <c r="B759" s="6">
        <f ca="1">IFERROR(__xludf.DUMMYFUNCTION("""COMPUTED_VALUE"""),45364.697199074)</f>
        <v>45364.697199073998</v>
      </c>
      <c r="C759" s="3" t="str">
        <f ca="1">IFERROR(__xludf.DUMMYFUNCTION("""COMPUTED_VALUE"""),"purchase")</f>
        <v>purchase</v>
      </c>
      <c r="D759" s="6">
        <f t="shared" ca="1" si="0"/>
        <v>45364</v>
      </c>
      <c r="E759" s="6">
        <f t="shared" ca="1" si="1"/>
        <v>45362</v>
      </c>
      <c r="F759" s="6">
        <f t="shared" ca="1" si="2"/>
        <v>45352</v>
      </c>
      <c r="G759" s="7"/>
    </row>
    <row r="760" spans="1:7" x14ac:dyDescent="0.2">
      <c r="A760" s="3">
        <f ca="1">IFERROR(__xludf.DUMMYFUNCTION("""COMPUTED_VALUE"""),4371)</f>
        <v>4371</v>
      </c>
      <c r="B760" s="6">
        <f ca="1">IFERROR(__xludf.DUMMYFUNCTION("""COMPUTED_VALUE"""),45364.717199074)</f>
        <v>45364.717199074003</v>
      </c>
      <c r="C760" s="3" t="str">
        <f ca="1">IFERROR(__xludf.DUMMYFUNCTION("""COMPUTED_VALUE"""),"purchase")</f>
        <v>purchase</v>
      </c>
      <c r="D760" s="6">
        <f t="shared" ca="1" si="0"/>
        <v>45364</v>
      </c>
      <c r="E760" s="6">
        <f t="shared" ca="1" si="1"/>
        <v>45362</v>
      </c>
      <c r="F760" s="6">
        <f t="shared" ca="1" si="2"/>
        <v>45352</v>
      </c>
      <c r="G760" s="7"/>
    </row>
    <row r="761" spans="1:7" x14ac:dyDescent="0.2">
      <c r="A761" s="3">
        <f ca="1">IFERROR(__xludf.DUMMYFUNCTION("""COMPUTED_VALUE"""),7044)</f>
        <v>7044</v>
      </c>
      <c r="B761" s="6">
        <f ca="1">IFERROR(__xludf.DUMMYFUNCTION("""COMPUTED_VALUE"""),45364.8811111111)</f>
        <v>45364.881111111099</v>
      </c>
      <c r="C761" s="3" t="str">
        <f ca="1">IFERROR(__xludf.DUMMYFUNCTION("""COMPUTED_VALUE"""),"purchase")</f>
        <v>purchase</v>
      </c>
      <c r="D761" s="6">
        <f t="shared" ca="1" si="0"/>
        <v>45364</v>
      </c>
      <c r="E761" s="6">
        <f t="shared" ca="1" si="1"/>
        <v>45362</v>
      </c>
      <c r="F761" s="6">
        <f t="shared" ca="1" si="2"/>
        <v>45352</v>
      </c>
      <c r="G761" s="7"/>
    </row>
    <row r="762" spans="1:7" x14ac:dyDescent="0.2">
      <c r="A762" s="3">
        <f ca="1">IFERROR(__xludf.DUMMYFUNCTION("""COMPUTED_VALUE"""),7875)</f>
        <v>7875</v>
      </c>
      <c r="B762" s="6">
        <f ca="1">IFERROR(__xludf.DUMMYFUNCTION("""COMPUTED_VALUE"""),45365.1302199074)</f>
        <v>45365.130219907398</v>
      </c>
      <c r="C762" s="3" t="str">
        <f ca="1">IFERROR(__xludf.DUMMYFUNCTION("""COMPUTED_VALUE"""),"purchase")</f>
        <v>purchase</v>
      </c>
      <c r="D762" s="6">
        <f t="shared" ca="1" si="0"/>
        <v>45365</v>
      </c>
      <c r="E762" s="6">
        <f t="shared" ca="1" si="1"/>
        <v>45362</v>
      </c>
      <c r="F762" s="6">
        <f t="shared" ca="1" si="2"/>
        <v>45352</v>
      </c>
      <c r="G762" s="7"/>
    </row>
    <row r="763" spans="1:7" x14ac:dyDescent="0.2">
      <c r="A763" s="3">
        <f ca="1">IFERROR(__xludf.DUMMYFUNCTION("""COMPUTED_VALUE"""),322)</f>
        <v>322</v>
      </c>
      <c r="B763" s="6">
        <f ca="1">IFERROR(__xludf.DUMMYFUNCTION("""COMPUTED_VALUE"""),45365.2144791666)</f>
        <v>45365.2144791666</v>
      </c>
      <c r="C763" s="3" t="str">
        <f ca="1">IFERROR(__xludf.DUMMYFUNCTION("""COMPUTED_VALUE"""),"purchase")</f>
        <v>purchase</v>
      </c>
      <c r="D763" s="6">
        <f t="shared" ca="1" si="0"/>
        <v>45365</v>
      </c>
      <c r="E763" s="6">
        <f t="shared" ca="1" si="1"/>
        <v>45362</v>
      </c>
      <c r="F763" s="6">
        <f t="shared" ca="1" si="2"/>
        <v>45352</v>
      </c>
      <c r="G763" s="7"/>
    </row>
    <row r="764" spans="1:7" x14ac:dyDescent="0.2">
      <c r="A764" s="3">
        <f ca="1">IFERROR(__xludf.DUMMYFUNCTION("""COMPUTED_VALUE"""),4356)</f>
        <v>4356</v>
      </c>
      <c r="B764" s="6">
        <f ca="1">IFERROR(__xludf.DUMMYFUNCTION("""COMPUTED_VALUE"""),45365.2534375)</f>
        <v>45365.253437500003</v>
      </c>
      <c r="C764" s="3" t="str">
        <f ca="1">IFERROR(__xludf.DUMMYFUNCTION("""COMPUTED_VALUE"""),"purchase")</f>
        <v>purchase</v>
      </c>
      <c r="D764" s="6">
        <f t="shared" ca="1" si="0"/>
        <v>45365</v>
      </c>
      <c r="E764" s="6">
        <f t="shared" ca="1" si="1"/>
        <v>45362</v>
      </c>
      <c r="F764" s="6">
        <f t="shared" ca="1" si="2"/>
        <v>45352</v>
      </c>
      <c r="G764" s="7"/>
    </row>
    <row r="765" spans="1:7" x14ac:dyDescent="0.2">
      <c r="A765" s="3">
        <f ca="1">IFERROR(__xludf.DUMMYFUNCTION("""COMPUTED_VALUE"""),1403)</f>
        <v>1403</v>
      </c>
      <c r="B765" s="6">
        <f ca="1">IFERROR(__xludf.DUMMYFUNCTION("""COMPUTED_VALUE"""),45365.2785532406)</f>
        <v>45365.2785532407</v>
      </c>
      <c r="C765" s="3" t="str">
        <f ca="1">IFERROR(__xludf.DUMMYFUNCTION("""COMPUTED_VALUE"""),"purchase")</f>
        <v>purchase</v>
      </c>
      <c r="D765" s="6">
        <f t="shared" ca="1" si="0"/>
        <v>45365</v>
      </c>
      <c r="E765" s="6">
        <f t="shared" ca="1" si="1"/>
        <v>45362</v>
      </c>
      <c r="F765" s="6">
        <f t="shared" ca="1" si="2"/>
        <v>45352</v>
      </c>
      <c r="G765" s="7"/>
    </row>
    <row r="766" spans="1:7" x14ac:dyDescent="0.2">
      <c r="A766" s="3">
        <f ca="1">IFERROR(__xludf.DUMMYFUNCTION("""COMPUTED_VALUE"""),1787)</f>
        <v>1787</v>
      </c>
      <c r="B766" s="6">
        <f ca="1">IFERROR(__xludf.DUMMYFUNCTION("""COMPUTED_VALUE"""),45365.3130439814)</f>
        <v>45365.313043981398</v>
      </c>
      <c r="C766" s="3" t="str">
        <f ca="1">IFERROR(__xludf.DUMMYFUNCTION("""COMPUTED_VALUE"""),"purchase")</f>
        <v>purchase</v>
      </c>
      <c r="D766" s="6">
        <f t="shared" ca="1" si="0"/>
        <v>45365</v>
      </c>
      <c r="E766" s="6">
        <f t="shared" ca="1" si="1"/>
        <v>45362</v>
      </c>
      <c r="F766" s="6">
        <f t="shared" ca="1" si="2"/>
        <v>45352</v>
      </c>
      <c r="G766" s="7"/>
    </row>
    <row r="767" spans="1:7" x14ac:dyDescent="0.2">
      <c r="A767" s="3">
        <f ca="1">IFERROR(__xludf.DUMMYFUNCTION("""COMPUTED_VALUE"""),6247)</f>
        <v>6247</v>
      </c>
      <c r="B767" s="6">
        <f ca="1">IFERROR(__xludf.DUMMYFUNCTION("""COMPUTED_VALUE"""),45365.321099537)</f>
        <v>45365.321099537003</v>
      </c>
      <c r="C767" s="3" t="str">
        <f ca="1">IFERROR(__xludf.DUMMYFUNCTION("""COMPUTED_VALUE"""),"purchase")</f>
        <v>purchase</v>
      </c>
      <c r="D767" s="6">
        <f t="shared" ca="1" si="0"/>
        <v>45365</v>
      </c>
      <c r="E767" s="6">
        <f t="shared" ca="1" si="1"/>
        <v>45362</v>
      </c>
      <c r="F767" s="6">
        <f t="shared" ca="1" si="2"/>
        <v>45352</v>
      </c>
      <c r="G767" s="7"/>
    </row>
    <row r="768" spans="1:7" x14ac:dyDescent="0.2">
      <c r="A768" s="3">
        <f ca="1">IFERROR(__xludf.DUMMYFUNCTION("""COMPUTED_VALUE"""),368)</f>
        <v>368</v>
      </c>
      <c r="B768" s="6">
        <f ca="1">IFERROR(__xludf.DUMMYFUNCTION("""COMPUTED_VALUE"""),45365.3993981481)</f>
        <v>45365.399398148104</v>
      </c>
      <c r="C768" s="3" t="str">
        <f ca="1">IFERROR(__xludf.DUMMYFUNCTION("""COMPUTED_VALUE"""),"purchase")</f>
        <v>purchase</v>
      </c>
      <c r="D768" s="6">
        <f t="shared" ca="1" si="0"/>
        <v>45365</v>
      </c>
      <c r="E768" s="6">
        <f t="shared" ca="1" si="1"/>
        <v>45362</v>
      </c>
      <c r="F768" s="6">
        <f t="shared" ca="1" si="2"/>
        <v>45352</v>
      </c>
      <c r="G768" s="7"/>
    </row>
    <row r="769" spans="1:7" x14ac:dyDescent="0.2">
      <c r="A769" s="3">
        <f ca="1">IFERROR(__xludf.DUMMYFUNCTION("""COMPUTED_VALUE"""),7682)</f>
        <v>7682</v>
      </c>
      <c r="B769" s="6">
        <f ca="1">IFERROR(__xludf.DUMMYFUNCTION("""COMPUTED_VALUE"""),45365.4495833333)</f>
        <v>45365.449583333299</v>
      </c>
      <c r="C769" s="3" t="str">
        <f ca="1">IFERROR(__xludf.DUMMYFUNCTION("""COMPUTED_VALUE"""),"purchase")</f>
        <v>purchase</v>
      </c>
      <c r="D769" s="6">
        <f t="shared" ca="1" si="0"/>
        <v>45365</v>
      </c>
      <c r="E769" s="6">
        <f t="shared" ca="1" si="1"/>
        <v>45362</v>
      </c>
      <c r="F769" s="6">
        <f t="shared" ca="1" si="2"/>
        <v>45352</v>
      </c>
      <c r="G769" s="7"/>
    </row>
    <row r="770" spans="1:7" x14ac:dyDescent="0.2">
      <c r="A770" s="3">
        <f ca="1">IFERROR(__xludf.DUMMYFUNCTION("""COMPUTED_VALUE"""),998)</f>
        <v>998</v>
      </c>
      <c r="B770" s="6">
        <f ca="1">IFERROR(__xludf.DUMMYFUNCTION("""COMPUTED_VALUE"""),45365.4910185185)</f>
        <v>45365.4910185185</v>
      </c>
      <c r="C770" s="3" t="str">
        <f ca="1">IFERROR(__xludf.DUMMYFUNCTION("""COMPUTED_VALUE"""),"purchase")</f>
        <v>purchase</v>
      </c>
      <c r="D770" s="6">
        <f t="shared" ca="1" si="0"/>
        <v>45365</v>
      </c>
      <c r="E770" s="6">
        <f t="shared" ca="1" si="1"/>
        <v>45362</v>
      </c>
      <c r="F770" s="6">
        <f t="shared" ca="1" si="2"/>
        <v>45352</v>
      </c>
      <c r="G770" s="7"/>
    </row>
    <row r="771" spans="1:7" x14ac:dyDescent="0.2">
      <c r="A771" s="3">
        <f ca="1">IFERROR(__xludf.DUMMYFUNCTION("""COMPUTED_VALUE"""),5849)</f>
        <v>5849</v>
      </c>
      <c r="B771" s="6">
        <f ca="1">IFERROR(__xludf.DUMMYFUNCTION("""COMPUTED_VALUE"""),45365.4972569444)</f>
        <v>45365.4972569444</v>
      </c>
      <c r="C771" s="3" t="str">
        <f ca="1">IFERROR(__xludf.DUMMYFUNCTION("""COMPUTED_VALUE"""),"purchase")</f>
        <v>purchase</v>
      </c>
      <c r="D771" s="6">
        <f t="shared" ca="1" si="0"/>
        <v>45365</v>
      </c>
      <c r="E771" s="6">
        <f t="shared" ca="1" si="1"/>
        <v>45362</v>
      </c>
      <c r="F771" s="6">
        <f t="shared" ca="1" si="2"/>
        <v>45352</v>
      </c>
      <c r="G771" s="7"/>
    </row>
    <row r="772" spans="1:7" x14ac:dyDescent="0.2">
      <c r="A772" s="3">
        <f ca="1">IFERROR(__xludf.DUMMYFUNCTION("""COMPUTED_VALUE"""),5775)</f>
        <v>5775</v>
      </c>
      <c r="B772" s="6">
        <f ca="1">IFERROR(__xludf.DUMMYFUNCTION("""COMPUTED_VALUE"""),45365.5392824074)</f>
        <v>45365.539282407401</v>
      </c>
      <c r="C772" s="3" t="str">
        <f ca="1">IFERROR(__xludf.DUMMYFUNCTION("""COMPUTED_VALUE"""),"purchase")</f>
        <v>purchase</v>
      </c>
      <c r="D772" s="6">
        <f t="shared" ca="1" si="0"/>
        <v>45365</v>
      </c>
      <c r="E772" s="6">
        <f t="shared" ca="1" si="1"/>
        <v>45362</v>
      </c>
      <c r="F772" s="6">
        <f t="shared" ca="1" si="2"/>
        <v>45352</v>
      </c>
      <c r="G772" s="7"/>
    </row>
    <row r="773" spans="1:7" x14ac:dyDescent="0.2">
      <c r="A773" s="3">
        <f ca="1">IFERROR(__xludf.DUMMYFUNCTION("""COMPUTED_VALUE"""),7226)</f>
        <v>7226</v>
      </c>
      <c r="B773" s="6">
        <f ca="1">IFERROR(__xludf.DUMMYFUNCTION("""COMPUTED_VALUE"""),45365.5923842592)</f>
        <v>45365.592384259202</v>
      </c>
      <c r="C773" s="3" t="str">
        <f ca="1">IFERROR(__xludf.DUMMYFUNCTION("""COMPUTED_VALUE"""),"purchase")</f>
        <v>purchase</v>
      </c>
      <c r="D773" s="6">
        <f t="shared" ca="1" si="0"/>
        <v>45365</v>
      </c>
      <c r="E773" s="6">
        <f t="shared" ca="1" si="1"/>
        <v>45362</v>
      </c>
      <c r="F773" s="6">
        <f t="shared" ca="1" si="2"/>
        <v>45352</v>
      </c>
      <c r="G773" s="7"/>
    </row>
    <row r="774" spans="1:7" x14ac:dyDescent="0.2">
      <c r="A774" s="3">
        <f ca="1">IFERROR(__xludf.DUMMYFUNCTION("""COMPUTED_VALUE"""),3568)</f>
        <v>3568</v>
      </c>
      <c r="B774" s="6">
        <f ca="1">IFERROR(__xludf.DUMMYFUNCTION("""COMPUTED_VALUE"""),45365.6302199074)</f>
        <v>45365.630219907398</v>
      </c>
      <c r="C774" s="3" t="str">
        <f ca="1">IFERROR(__xludf.DUMMYFUNCTION("""COMPUTED_VALUE"""),"purchase")</f>
        <v>purchase</v>
      </c>
      <c r="D774" s="6">
        <f t="shared" ca="1" si="0"/>
        <v>45365</v>
      </c>
      <c r="E774" s="6">
        <f t="shared" ca="1" si="1"/>
        <v>45362</v>
      </c>
      <c r="F774" s="6">
        <f t="shared" ca="1" si="2"/>
        <v>45352</v>
      </c>
      <c r="G774" s="7"/>
    </row>
    <row r="775" spans="1:7" x14ac:dyDescent="0.2">
      <c r="A775" s="3">
        <f ca="1">IFERROR(__xludf.DUMMYFUNCTION("""COMPUTED_VALUE"""),3246)</f>
        <v>3246</v>
      </c>
      <c r="B775" s="6">
        <f ca="1">IFERROR(__xludf.DUMMYFUNCTION("""COMPUTED_VALUE"""),45365.7563657407)</f>
        <v>45365.756365740701</v>
      </c>
      <c r="C775" s="3" t="str">
        <f ca="1">IFERROR(__xludf.DUMMYFUNCTION("""COMPUTED_VALUE"""),"purchase")</f>
        <v>purchase</v>
      </c>
      <c r="D775" s="6">
        <f t="shared" ca="1" si="0"/>
        <v>45365</v>
      </c>
      <c r="E775" s="6">
        <f t="shared" ca="1" si="1"/>
        <v>45362</v>
      </c>
      <c r="F775" s="6">
        <f t="shared" ca="1" si="2"/>
        <v>45352</v>
      </c>
      <c r="G775" s="7"/>
    </row>
    <row r="776" spans="1:7" x14ac:dyDescent="0.2">
      <c r="A776" s="3">
        <f ca="1">IFERROR(__xludf.DUMMYFUNCTION("""COMPUTED_VALUE"""),49)</f>
        <v>49</v>
      </c>
      <c r="B776" s="6">
        <f ca="1">IFERROR(__xludf.DUMMYFUNCTION("""COMPUTED_VALUE"""),45365.824699074)</f>
        <v>45365.824699074001</v>
      </c>
      <c r="C776" s="3" t="str">
        <f ca="1">IFERROR(__xludf.DUMMYFUNCTION("""COMPUTED_VALUE"""),"purchase")</f>
        <v>purchase</v>
      </c>
      <c r="D776" s="6">
        <f t="shared" ca="1" si="0"/>
        <v>45365</v>
      </c>
      <c r="E776" s="6">
        <f t="shared" ca="1" si="1"/>
        <v>45362</v>
      </c>
      <c r="F776" s="6">
        <f t="shared" ca="1" si="2"/>
        <v>45352</v>
      </c>
      <c r="G776" s="7"/>
    </row>
    <row r="777" spans="1:7" x14ac:dyDescent="0.2">
      <c r="A777" s="3">
        <f ca="1">IFERROR(__xludf.DUMMYFUNCTION("""COMPUTED_VALUE"""),1707)</f>
        <v>1707</v>
      </c>
      <c r="B777" s="6">
        <f ca="1">IFERROR(__xludf.DUMMYFUNCTION("""COMPUTED_VALUE"""),45365.9011921296)</f>
        <v>45365.901192129597</v>
      </c>
      <c r="C777" s="3" t="str">
        <f ca="1">IFERROR(__xludf.DUMMYFUNCTION("""COMPUTED_VALUE"""),"purchase")</f>
        <v>purchase</v>
      </c>
      <c r="D777" s="6">
        <f t="shared" ca="1" si="0"/>
        <v>45365</v>
      </c>
      <c r="E777" s="6">
        <f t="shared" ca="1" si="1"/>
        <v>45362</v>
      </c>
      <c r="F777" s="6">
        <f t="shared" ca="1" si="2"/>
        <v>45352</v>
      </c>
      <c r="G777" s="7"/>
    </row>
    <row r="778" spans="1:7" x14ac:dyDescent="0.2">
      <c r="A778" s="3">
        <f ca="1">IFERROR(__xludf.DUMMYFUNCTION("""COMPUTED_VALUE"""),7829)</f>
        <v>7829</v>
      </c>
      <c r="B778" s="6">
        <f ca="1">IFERROR(__xludf.DUMMYFUNCTION("""COMPUTED_VALUE"""),45365.9213310185)</f>
        <v>45365.9213310185</v>
      </c>
      <c r="C778" s="3" t="str">
        <f ca="1">IFERROR(__xludf.DUMMYFUNCTION("""COMPUTED_VALUE"""),"purchase")</f>
        <v>purchase</v>
      </c>
      <c r="D778" s="6">
        <f t="shared" ca="1" si="0"/>
        <v>45365</v>
      </c>
      <c r="E778" s="6">
        <f t="shared" ca="1" si="1"/>
        <v>45362</v>
      </c>
      <c r="F778" s="6">
        <f t="shared" ca="1" si="2"/>
        <v>45352</v>
      </c>
      <c r="G778" s="7"/>
    </row>
    <row r="779" spans="1:7" x14ac:dyDescent="0.2">
      <c r="A779" s="3">
        <f ca="1">IFERROR(__xludf.DUMMYFUNCTION("""COMPUTED_VALUE"""),5752)</f>
        <v>5752</v>
      </c>
      <c r="B779" s="6">
        <f ca="1">IFERROR(__xludf.DUMMYFUNCTION("""COMPUTED_VALUE"""),45366.1101504629)</f>
        <v>45366.110150462897</v>
      </c>
      <c r="C779" s="3" t="str">
        <f ca="1">IFERROR(__xludf.DUMMYFUNCTION("""COMPUTED_VALUE"""),"purchase")</f>
        <v>purchase</v>
      </c>
      <c r="D779" s="6">
        <f t="shared" ca="1" si="0"/>
        <v>45366</v>
      </c>
      <c r="E779" s="6">
        <f t="shared" ca="1" si="1"/>
        <v>45362</v>
      </c>
      <c r="F779" s="6">
        <f t="shared" ca="1" si="2"/>
        <v>45352</v>
      </c>
      <c r="G779" s="7"/>
    </row>
    <row r="780" spans="1:7" x14ac:dyDescent="0.2">
      <c r="A780" s="3">
        <f ca="1">IFERROR(__xludf.DUMMYFUNCTION("""COMPUTED_VALUE"""),6745)</f>
        <v>6745</v>
      </c>
      <c r="B780" s="6">
        <f ca="1">IFERROR(__xludf.DUMMYFUNCTION("""COMPUTED_VALUE"""),45366.2425694444)</f>
        <v>45366.242569444403</v>
      </c>
      <c r="C780" s="3" t="str">
        <f ca="1">IFERROR(__xludf.DUMMYFUNCTION("""COMPUTED_VALUE"""),"purchase")</f>
        <v>purchase</v>
      </c>
      <c r="D780" s="6">
        <f t="shared" ca="1" si="0"/>
        <v>45366</v>
      </c>
      <c r="E780" s="6">
        <f t="shared" ca="1" si="1"/>
        <v>45362</v>
      </c>
      <c r="F780" s="6">
        <f t="shared" ca="1" si="2"/>
        <v>45352</v>
      </c>
      <c r="G780" s="7"/>
    </row>
    <row r="781" spans="1:7" x14ac:dyDescent="0.2">
      <c r="A781" s="3">
        <f ca="1">IFERROR(__xludf.DUMMYFUNCTION("""COMPUTED_VALUE"""),1018)</f>
        <v>1018</v>
      </c>
      <c r="B781" s="6">
        <f ca="1">IFERROR(__xludf.DUMMYFUNCTION("""COMPUTED_VALUE"""),45366.3370717592)</f>
        <v>45366.337071759197</v>
      </c>
      <c r="C781" s="3" t="str">
        <f ca="1">IFERROR(__xludf.DUMMYFUNCTION("""COMPUTED_VALUE"""),"purchase")</f>
        <v>purchase</v>
      </c>
      <c r="D781" s="6">
        <f t="shared" ca="1" si="0"/>
        <v>45366</v>
      </c>
      <c r="E781" s="6">
        <f t="shared" ca="1" si="1"/>
        <v>45362</v>
      </c>
      <c r="F781" s="6">
        <f t="shared" ca="1" si="2"/>
        <v>45352</v>
      </c>
      <c r="G781" s="7"/>
    </row>
    <row r="782" spans="1:7" x14ac:dyDescent="0.2">
      <c r="A782" s="3">
        <f ca="1">IFERROR(__xludf.DUMMYFUNCTION("""COMPUTED_VALUE"""),5877)</f>
        <v>5877</v>
      </c>
      <c r="B782" s="6">
        <f ca="1">IFERROR(__xludf.DUMMYFUNCTION("""COMPUTED_VALUE"""),45366.3993171296)</f>
        <v>45366.399317129602</v>
      </c>
      <c r="C782" s="3" t="str">
        <f ca="1">IFERROR(__xludf.DUMMYFUNCTION("""COMPUTED_VALUE"""),"purchase")</f>
        <v>purchase</v>
      </c>
      <c r="D782" s="6">
        <f t="shared" ca="1" si="0"/>
        <v>45366</v>
      </c>
      <c r="E782" s="6">
        <f t="shared" ca="1" si="1"/>
        <v>45362</v>
      </c>
      <c r="F782" s="6">
        <f t="shared" ca="1" si="2"/>
        <v>45352</v>
      </c>
      <c r="G782" s="7"/>
    </row>
    <row r="783" spans="1:7" x14ac:dyDescent="0.2">
      <c r="A783" s="3">
        <f ca="1">IFERROR(__xludf.DUMMYFUNCTION("""COMPUTED_VALUE"""),7946)</f>
        <v>7946</v>
      </c>
      <c r="B783" s="6">
        <f ca="1">IFERROR(__xludf.DUMMYFUNCTION("""COMPUTED_VALUE"""),45366.7403819444)</f>
        <v>45366.740381944401</v>
      </c>
      <c r="C783" s="3" t="str">
        <f ca="1">IFERROR(__xludf.DUMMYFUNCTION("""COMPUTED_VALUE"""),"purchase")</f>
        <v>purchase</v>
      </c>
      <c r="D783" s="6">
        <f t="shared" ca="1" si="0"/>
        <v>45366</v>
      </c>
      <c r="E783" s="6">
        <f t="shared" ca="1" si="1"/>
        <v>45362</v>
      </c>
      <c r="F783" s="6">
        <f t="shared" ca="1" si="2"/>
        <v>45352</v>
      </c>
      <c r="G783" s="7"/>
    </row>
    <row r="784" spans="1:7" x14ac:dyDescent="0.2">
      <c r="A784" s="3">
        <f ca="1">IFERROR(__xludf.DUMMYFUNCTION("""COMPUTED_VALUE"""),1468)</f>
        <v>1468</v>
      </c>
      <c r="B784" s="6">
        <f ca="1">IFERROR(__xludf.DUMMYFUNCTION("""COMPUTED_VALUE"""),45366.7863078703)</f>
        <v>45366.786307870301</v>
      </c>
      <c r="C784" s="3" t="str">
        <f ca="1">IFERROR(__xludf.DUMMYFUNCTION("""COMPUTED_VALUE"""),"purchase")</f>
        <v>purchase</v>
      </c>
      <c r="D784" s="6">
        <f t="shared" ca="1" si="0"/>
        <v>45366</v>
      </c>
      <c r="E784" s="6">
        <f t="shared" ca="1" si="1"/>
        <v>45362</v>
      </c>
      <c r="F784" s="6">
        <f t="shared" ca="1" si="2"/>
        <v>45352</v>
      </c>
      <c r="G784" s="7"/>
    </row>
    <row r="785" spans="1:7" x14ac:dyDescent="0.2">
      <c r="A785" s="3">
        <f ca="1">IFERROR(__xludf.DUMMYFUNCTION("""COMPUTED_VALUE"""),24)</f>
        <v>24</v>
      </c>
      <c r="B785" s="6">
        <f ca="1">IFERROR(__xludf.DUMMYFUNCTION("""COMPUTED_VALUE"""),45366.8003703703)</f>
        <v>45366.8003703703</v>
      </c>
      <c r="C785" s="3" t="str">
        <f ca="1">IFERROR(__xludf.DUMMYFUNCTION("""COMPUTED_VALUE"""),"purchase")</f>
        <v>purchase</v>
      </c>
      <c r="D785" s="6">
        <f t="shared" ca="1" si="0"/>
        <v>45366</v>
      </c>
      <c r="E785" s="6">
        <f t="shared" ca="1" si="1"/>
        <v>45362</v>
      </c>
      <c r="F785" s="6">
        <f t="shared" ca="1" si="2"/>
        <v>45352</v>
      </c>
      <c r="G785" s="7"/>
    </row>
    <row r="786" spans="1:7" x14ac:dyDescent="0.2">
      <c r="A786" s="3">
        <f ca="1">IFERROR(__xludf.DUMMYFUNCTION("""COMPUTED_VALUE"""),3215)</f>
        <v>3215</v>
      </c>
      <c r="B786" s="6">
        <f ca="1">IFERROR(__xludf.DUMMYFUNCTION("""COMPUTED_VALUE"""),45366.8480092592)</f>
        <v>45366.8480092592</v>
      </c>
      <c r="C786" s="3" t="str">
        <f ca="1">IFERROR(__xludf.DUMMYFUNCTION("""COMPUTED_VALUE"""),"purchase")</f>
        <v>purchase</v>
      </c>
      <c r="D786" s="6">
        <f t="shared" ca="1" si="0"/>
        <v>45366</v>
      </c>
      <c r="E786" s="6">
        <f t="shared" ca="1" si="1"/>
        <v>45362</v>
      </c>
      <c r="F786" s="6">
        <f t="shared" ca="1" si="2"/>
        <v>45352</v>
      </c>
      <c r="G786" s="7"/>
    </row>
    <row r="787" spans="1:7" x14ac:dyDescent="0.2">
      <c r="A787" s="3">
        <f ca="1">IFERROR(__xludf.DUMMYFUNCTION("""COMPUTED_VALUE"""),4451)</f>
        <v>4451</v>
      </c>
      <c r="B787" s="6">
        <f ca="1">IFERROR(__xludf.DUMMYFUNCTION("""COMPUTED_VALUE"""),45366.9675578703)</f>
        <v>45366.967557870303</v>
      </c>
      <c r="C787" s="3" t="str">
        <f ca="1">IFERROR(__xludf.DUMMYFUNCTION("""COMPUTED_VALUE"""),"purchase")</f>
        <v>purchase</v>
      </c>
      <c r="D787" s="6">
        <f t="shared" ca="1" si="0"/>
        <v>45366</v>
      </c>
      <c r="E787" s="6">
        <f t="shared" ca="1" si="1"/>
        <v>45362</v>
      </c>
      <c r="F787" s="6">
        <f t="shared" ca="1" si="2"/>
        <v>45352</v>
      </c>
      <c r="G787" s="7"/>
    </row>
    <row r="788" spans="1:7" x14ac:dyDescent="0.2">
      <c r="A788" s="3">
        <f ca="1">IFERROR(__xludf.DUMMYFUNCTION("""COMPUTED_VALUE"""),6890)</f>
        <v>6890</v>
      </c>
      <c r="B788" s="6">
        <f ca="1">IFERROR(__xludf.DUMMYFUNCTION("""COMPUTED_VALUE"""),45366.9829282407)</f>
        <v>45366.982928240701</v>
      </c>
      <c r="C788" s="3" t="str">
        <f ca="1">IFERROR(__xludf.DUMMYFUNCTION("""COMPUTED_VALUE"""),"purchase")</f>
        <v>purchase</v>
      </c>
      <c r="D788" s="6">
        <f t="shared" ca="1" si="0"/>
        <v>45366</v>
      </c>
      <c r="E788" s="6">
        <f t="shared" ca="1" si="1"/>
        <v>45362</v>
      </c>
      <c r="F788" s="6">
        <f t="shared" ca="1" si="2"/>
        <v>45352</v>
      </c>
      <c r="G788" s="7"/>
    </row>
    <row r="789" spans="1:7" x14ac:dyDescent="0.2">
      <c r="A789" s="3">
        <f ca="1">IFERROR(__xludf.DUMMYFUNCTION("""COMPUTED_VALUE"""),3839)</f>
        <v>3839</v>
      </c>
      <c r="B789" s="6">
        <f ca="1">IFERROR(__xludf.DUMMYFUNCTION("""COMPUTED_VALUE"""),45367.0482986111)</f>
        <v>45367.048298611102</v>
      </c>
      <c r="C789" s="3" t="str">
        <f ca="1">IFERROR(__xludf.DUMMYFUNCTION("""COMPUTED_VALUE"""),"purchase")</f>
        <v>purchase</v>
      </c>
      <c r="D789" s="6">
        <f t="shared" ca="1" si="0"/>
        <v>45367</v>
      </c>
      <c r="E789" s="6">
        <f t="shared" ca="1" si="1"/>
        <v>45362</v>
      </c>
      <c r="F789" s="6">
        <f t="shared" ca="1" si="2"/>
        <v>45352</v>
      </c>
      <c r="G789" s="7"/>
    </row>
    <row r="790" spans="1:7" x14ac:dyDescent="0.2">
      <c r="A790" s="3">
        <f ca="1">IFERROR(__xludf.DUMMYFUNCTION("""COMPUTED_VALUE"""),4382)</f>
        <v>4382</v>
      </c>
      <c r="B790" s="6">
        <f ca="1">IFERROR(__xludf.DUMMYFUNCTION("""COMPUTED_VALUE"""),45367.0780555555)</f>
        <v>45367.078055555503</v>
      </c>
      <c r="C790" s="3" t="str">
        <f ca="1">IFERROR(__xludf.DUMMYFUNCTION("""COMPUTED_VALUE"""),"purchase")</f>
        <v>purchase</v>
      </c>
      <c r="D790" s="6">
        <f t="shared" ca="1" si="0"/>
        <v>45367</v>
      </c>
      <c r="E790" s="6">
        <f t="shared" ca="1" si="1"/>
        <v>45362</v>
      </c>
      <c r="F790" s="6">
        <f t="shared" ca="1" si="2"/>
        <v>45352</v>
      </c>
      <c r="G790" s="7"/>
    </row>
    <row r="791" spans="1:7" x14ac:dyDescent="0.2">
      <c r="A791" s="3">
        <f ca="1">IFERROR(__xludf.DUMMYFUNCTION("""COMPUTED_VALUE"""),1003)</f>
        <v>1003</v>
      </c>
      <c r="B791" s="6">
        <f ca="1">IFERROR(__xludf.DUMMYFUNCTION("""COMPUTED_VALUE"""),45367.5165856481)</f>
        <v>45367.516585648104</v>
      </c>
      <c r="C791" s="3" t="str">
        <f ca="1">IFERROR(__xludf.DUMMYFUNCTION("""COMPUTED_VALUE"""),"purchase")</f>
        <v>purchase</v>
      </c>
      <c r="D791" s="6">
        <f t="shared" ca="1" si="0"/>
        <v>45367</v>
      </c>
      <c r="E791" s="6">
        <f t="shared" ca="1" si="1"/>
        <v>45362</v>
      </c>
      <c r="F791" s="6">
        <f t="shared" ca="1" si="2"/>
        <v>45352</v>
      </c>
      <c r="G791" s="7"/>
    </row>
    <row r="792" spans="1:7" x14ac:dyDescent="0.2">
      <c r="A792" s="3">
        <f ca="1">IFERROR(__xludf.DUMMYFUNCTION("""COMPUTED_VALUE"""),752)</f>
        <v>752</v>
      </c>
      <c r="B792" s="6">
        <f ca="1">IFERROR(__xludf.DUMMYFUNCTION("""COMPUTED_VALUE"""),45367.5718171296)</f>
        <v>45367.571817129603</v>
      </c>
      <c r="C792" s="3" t="str">
        <f ca="1">IFERROR(__xludf.DUMMYFUNCTION("""COMPUTED_VALUE"""),"purchase")</f>
        <v>purchase</v>
      </c>
      <c r="D792" s="6">
        <f t="shared" ca="1" si="0"/>
        <v>45367</v>
      </c>
      <c r="E792" s="6">
        <f t="shared" ca="1" si="1"/>
        <v>45362</v>
      </c>
      <c r="F792" s="6">
        <f t="shared" ca="1" si="2"/>
        <v>45352</v>
      </c>
      <c r="G792" s="7"/>
    </row>
    <row r="793" spans="1:7" x14ac:dyDescent="0.2">
      <c r="A793" s="3">
        <f ca="1">IFERROR(__xludf.DUMMYFUNCTION("""COMPUTED_VALUE"""),7865)</f>
        <v>7865</v>
      </c>
      <c r="B793" s="6">
        <f ca="1">IFERROR(__xludf.DUMMYFUNCTION("""COMPUTED_VALUE"""),45367.7080324074)</f>
        <v>45367.708032407398</v>
      </c>
      <c r="C793" s="3" t="str">
        <f ca="1">IFERROR(__xludf.DUMMYFUNCTION("""COMPUTED_VALUE"""),"purchase")</f>
        <v>purchase</v>
      </c>
      <c r="D793" s="6">
        <f t="shared" ca="1" si="0"/>
        <v>45367</v>
      </c>
      <c r="E793" s="6">
        <f t="shared" ca="1" si="1"/>
        <v>45362</v>
      </c>
      <c r="F793" s="6">
        <f t="shared" ca="1" si="2"/>
        <v>45352</v>
      </c>
      <c r="G793" s="7"/>
    </row>
    <row r="794" spans="1:7" x14ac:dyDescent="0.2">
      <c r="A794" s="3">
        <f ca="1">IFERROR(__xludf.DUMMYFUNCTION("""COMPUTED_VALUE"""),1415)</f>
        <v>1415</v>
      </c>
      <c r="B794" s="6">
        <f ca="1">IFERROR(__xludf.DUMMYFUNCTION("""COMPUTED_VALUE"""),45367.7791319444)</f>
        <v>45367.7791319444</v>
      </c>
      <c r="C794" s="3" t="str">
        <f ca="1">IFERROR(__xludf.DUMMYFUNCTION("""COMPUTED_VALUE"""),"purchase")</f>
        <v>purchase</v>
      </c>
      <c r="D794" s="6">
        <f t="shared" ca="1" si="0"/>
        <v>45367</v>
      </c>
      <c r="E794" s="6">
        <f t="shared" ca="1" si="1"/>
        <v>45362</v>
      </c>
      <c r="F794" s="6">
        <f t="shared" ca="1" si="2"/>
        <v>45352</v>
      </c>
      <c r="G794" s="7"/>
    </row>
    <row r="795" spans="1:7" x14ac:dyDescent="0.2">
      <c r="A795" s="3">
        <f ca="1">IFERROR(__xludf.DUMMYFUNCTION("""COMPUTED_VALUE"""),983)</f>
        <v>983</v>
      </c>
      <c r="B795" s="6">
        <f ca="1">IFERROR(__xludf.DUMMYFUNCTION("""COMPUTED_VALUE"""),45367.8024652777)</f>
        <v>45367.802465277702</v>
      </c>
      <c r="C795" s="3" t="str">
        <f ca="1">IFERROR(__xludf.DUMMYFUNCTION("""COMPUTED_VALUE"""),"purchase")</f>
        <v>purchase</v>
      </c>
      <c r="D795" s="6">
        <f t="shared" ca="1" si="0"/>
        <v>45367</v>
      </c>
      <c r="E795" s="6">
        <f t="shared" ca="1" si="1"/>
        <v>45362</v>
      </c>
      <c r="F795" s="6">
        <f t="shared" ca="1" si="2"/>
        <v>45352</v>
      </c>
      <c r="G795" s="7"/>
    </row>
    <row r="796" spans="1:7" x14ac:dyDescent="0.2">
      <c r="A796" s="3">
        <f ca="1">IFERROR(__xludf.DUMMYFUNCTION("""COMPUTED_VALUE"""),7172)</f>
        <v>7172</v>
      </c>
      <c r="B796" s="6">
        <f ca="1">IFERROR(__xludf.DUMMYFUNCTION("""COMPUTED_VALUE"""),45367.8450810185)</f>
        <v>45367.845081018502</v>
      </c>
      <c r="C796" s="3" t="str">
        <f ca="1">IFERROR(__xludf.DUMMYFUNCTION("""COMPUTED_VALUE"""),"purchase")</f>
        <v>purchase</v>
      </c>
      <c r="D796" s="6">
        <f t="shared" ca="1" si="0"/>
        <v>45367</v>
      </c>
      <c r="E796" s="6">
        <f t="shared" ca="1" si="1"/>
        <v>45362</v>
      </c>
      <c r="F796" s="6">
        <f t="shared" ca="1" si="2"/>
        <v>45352</v>
      </c>
      <c r="G796" s="7"/>
    </row>
    <row r="797" spans="1:7" x14ac:dyDescent="0.2">
      <c r="A797" s="3">
        <f ca="1">IFERROR(__xludf.DUMMYFUNCTION("""COMPUTED_VALUE"""),2860)</f>
        <v>2860</v>
      </c>
      <c r="B797" s="6">
        <f ca="1">IFERROR(__xludf.DUMMYFUNCTION("""COMPUTED_VALUE"""),45367.8606018518)</f>
        <v>45367.860601851797</v>
      </c>
      <c r="C797" s="3" t="str">
        <f ca="1">IFERROR(__xludf.DUMMYFUNCTION("""COMPUTED_VALUE"""),"purchase")</f>
        <v>purchase</v>
      </c>
      <c r="D797" s="6">
        <f t="shared" ca="1" si="0"/>
        <v>45367</v>
      </c>
      <c r="E797" s="6">
        <f t="shared" ca="1" si="1"/>
        <v>45362</v>
      </c>
      <c r="F797" s="6">
        <f t="shared" ca="1" si="2"/>
        <v>45352</v>
      </c>
      <c r="G797" s="7"/>
    </row>
    <row r="798" spans="1:7" x14ac:dyDescent="0.2">
      <c r="A798" s="3">
        <f ca="1">IFERROR(__xludf.DUMMYFUNCTION("""COMPUTED_VALUE"""),7183)</f>
        <v>7183</v>
      </c>
      <c r="B798" s="6">
        <f ca="1">IFERROR(__xludf.DUMMYFUNCTION("""COMPUTED_VALUE"""),45368.1238773148)</f>
        <v>45368.1238773148</v>
      </c>
      <c r="C798" s="3" t="str">
        <f ca="1">IFERROR(__xludf.DUMMYFUNCTION("""COMPUTED_VALUE"""),"purchase")</f>
        <v>purchase</v>
      </c>
      <c r="D798" s="6">
        <f t="shared" ca="1" si="0"/>
        <v>45368</v>
      </c>
      <c r="E798" s="6">
        <f t="shared" ca="1" si="1"/>
        <v>45362</v>
      </c>
      <c r="F798" s="6">
        <f t="shared" ca="1" si="2"/>
        <v>45352</v>
      </c>
      <c r="G798" s="7"/>
    </row>
    <row r="799" spans="1:7" x14ac:dyDescent="0.2">
      <c r="A799" s="3">
        <f ca="1">IFERROR(__xludf.DUMMYFUNCTION("""COMPUTED_VALUE"""),4077)</f>
        <v>4077</v>
      </c>
      <c r="B799" s="6">
        <f ca="1">IFERROR(__xludf.DUMMYFUNCTION("""COMPUTED_VALUE"""),45368.1398263887)</f>
        <v>45368.139826388797</v>
      </c>
      <c r="C799" s="3" t="str">
        <f ca="1">IFERROR(__xludf.DUMMYFUNCTION("""COMPUTED_VALUE"""),"purchase")</f>
        <v>purchase</v>
      </c>
      <c r="D799" s="6">
        <f t="shared" ca="1" si="0"/>
        <v>45368</v>
      </c>
      <c r="E799" s="6">
        <f t="shared" ca="1" si="1"/>
        <v>45362</v>
      </c>
      <c r="F799" s="6">
        <f t="shared" ca="1" si="2"/>
        <v>45352</v>
      </c>
      <c r="G799" s="7"/>
    </row>
    <row r="800" spans="1:7" x14ac:dyDescent="0.2">
      <c r="A800" s="3">
        <f ca="1">IFERROR(__xludf.DUMMYFUNCTION("""COMPUTED_VALUE"""),6607)</f>
        <v>6607</v>
      </c>
      <c r="B800" s="6">
        <f ca="1">IFERROR(__xludf.DUMMYFUNCTION("""COMPUTED_VALUE"""),45368.5369097222)</f>
        <v>45368.536909722199</v>
      </c>
      <c r="C800" s="3" t="str">
        <f ca="1">IFERROR(__xludf.DUMMYFUNCTION("""COMPUTED_VALUE"""),"purchase")</f>
        <v>purchase</v>
      </c>
      <c r="D800" s="6">
        <f t="shared" ca="1" si="0"/>
        <v>45368</v>
      </c>
      <c r="E800" s="6">
        <f t="shared" ca="1" si="1"/>
        <v>45362</v>
      </c>
      <c r="F800" s="6">
        <f t="shared" ca="1" si="2"/>
        <v>45352</v>
      </c>
      <c r="G800" s="7"/>
    </row>
    <row r="801" spans="1:7" x14ac:dyDescent="0.2">
      <c r="A801" s="3">
        <f ca="1">IFERROR(__xludf.DUMMYFUNCTION("""COMPUTED_VALUE"""),2488)</f>
        <v>2488</v>
      </c>
      <c r="B801" s="6">
        <f ca="1">IFERROR(__xludf.DUMMYFUNCTION("""COMPUTED_VALUE"""),45368.5490509259)</f>
        <v>45368.549050925903</v>
      </c>
      <c r="C801" s="3" t="str">
        <f ca="1">IFERROR(__xludf.DUMMYFUNCTION("""COMPUTED_VALUE"""),"purchase")</f>
        <v>purchase</v>
      </c>
      <c r="D801" s="6">
        <f t="shared" ca="1" si="0"/>
        <v>45368</v>
      </c>
      <c r="E801" s="6">
        <f t="shared" ca="1" si="1"/>
        <v>45362</v>
      </c>
      <c r="F801" s="6">
        <f t="shared" ca="1" si="2"/>
        <v>45352</v>
      </c>
      <c r="G801" s="7"/>
    </row>
    <row r="802" spans="1:7" x14ac:dyDescent="0.2">
      <c r="A802" s="3">
        <f ca="1">IFERROR(__xludf.DUMMYFUNCTION("""COMPUTED_VALUE"""),905)</f>
        <v>905</v>
      </c>
      <c r="B802" s="6">
        <f ca="1">IFERROR(__xludf.DUMMYFUNCTION("""COMPUTED_VALUE"""),45368.6219675925)</f>
        <v>45368.621967592502</v>
      </c>
      <c r="C802" s="3" t="str">
        <f ca="1">IFERROR(__xludf.DUMMYFUNCTION("""COMPUTED_VALUE"""),"purchase")</f>
        <v>purchase</v>
      </c>
      <c r="D802" s="6">
        <f t="shared" ca="1" si="0"/>
        <v>45368</v>
      </c>
      <c r="E802" s="6">
        <f t="shared" ca="1" si="1"/>
        <v>45362</v>
      </c>
      <c r="F802" s="6">
        <f t="shared" ca="1" si="2"/>
        <v>45352</v>
      </c>
      <c r="G802" s="7"/>
    </row>
    <row r="803" spans="1:7" x14ac:dyDescent="0.2">
      <c r="A803" s="3">
        <f ca="1">IFERROR(__xludf.DUMMYFUNCTION("""COMPUTED_VALUE"""),4388)</f>
        <v>4388</v>
      </c>
      <c r="B803" s="6">
        <f ca="1">IFERROR(__xludf.DUMMYFUNCTION("""COMPUTED_VALUE"""),45368.7403587963)</f>
        <v>45368.740358796298</v>
      </c>
      <c r="C803" s="3" t="str">
        <f ca="1">IFERROR(__xludf.DUMMYFUNCTION("""COMPUTED_VALUE"""),"purchase")</f>
        <v>purchase</v>
      </c>
      <c r="D803" s="6">
        <f t="shared" ca="1" si="0"/>
        <v>45368</v>
      </c>
      <c r="E803" s="6">
        <f t="shared" ca="1" si="1"/>
        <v>45362</v>
      </c>
      <c r="F803" s="6">
        <f t="shared" ca="1" si="2"/>
        <v>45352</v>
      </c>
      <c r="G803" s="7"/>
    </row>
    <row r="804" spans="1:7" x14ac:dyDescent="0.2">
      <c r="A804" s="3">
        <f ca="1">IFERROR(__xludf.DUMMYFUNCTION("""COMPUTED_VALUE"""),7002)</f>
        <v>7002</v>
      </c>
      <c r="B804" s="6">
        <f ca="1">IFERROR(__xludf.DUMMYFUNCTION("""COMPUTED_VALUE"""),45368.7967824074)</f>
        <v>45368.7967824074</v>
      </c>
      <c r="C804" s="3" t="str">
        <f ca="1">IFERROR(__xludf.DUMMYFUNCTION("""COMPUTED_VALUE"""),"purchase")</f>
        <v>purchase</v>
      </c>
      <c r="D804" s="6">
        <f t="shared" ca="1" si="0"/>
        <v>45368</v>
      </c>
      <c r="E804" s="6">
        <f t="shared" ca="1" si="1"/>
        <v>45362</v>
      </c>
      <c r="F804" s="6">
        <f t="shared" ca="1" si="2"/>
        <v>45352</v>
      </c>
      <c r="G804" s="7"/>
    </row>
    <row r="805" spans="1:7" x14ac:dyDescent="0.2">
      <c r="A805" s="3">
        <f ca="1">IFERROR(__xludf.DUMMYFUNCTION("""COMPUTED_VALUE"""),6335)</f>
        <v>6335</v>
      </c>
      <c r="B805" s="6">
        <f ca="1">IFERROR(__xludf.DUMMYFUNCTION("""COMPUTED_VALUE"""),45368.8350231481)</f>
        <v>45368.835023148102</v>
      </c>
      <c r="C805" s="3" t="str">
        <f ca="1">IFERROR(__xludf.DUMMYFUNCTION("""COMPUTED_VALUE"""),"purchase")</f>
        <v>purchase</v>
      </c>
      <c r="D805" s="6">
        <f t="shared" ca="1" si="0"/>
        <v>45368</v>
      </c>
      <c r="E805" s="6">
        <f t="shared" ca="1" si="1"/>
        <v>45362</v>
      </c>
      <c r="F805" s="6">
        <f t="shared" ca="1" si="2"/>
        <v>45352</v>
      </c>
      <c r="G805" s="7"/>
    </row>
    <row r="806" spans="1:7" x14ac:dyDescent="0.2">
      <c r="A806" s="3">
        <f ca="1">IFERROR(__xludf.DUMMYFUNCTION("""COMPUTED_VALUE"""),3933)</f>
        <v>3933</v>
      </c>
      <c r="B806" s="6">
        <f ca="1">IFERROR(__xludf.DUMMYFUNCTION("""COMPUTED_VALUE"""),45368.8372916666)</f>
        <v>45368.837291666598</v>
      </c>
      <c r="C806" s="3" t="str">
        <f ca="1">IFERROR(__xludf.DUMMYFUNCTION("""COMPUTED_VALUE"""),"purchase")</f>
        <v>purchase</v>
      </c>
      <c r="D806" s="6">
        <f t="shared" ca="1" si="0"/>
        <v>45368</v>
      </c>
      <c r="E806" s="6">
        <f t="shared" ca="1" si="1"/>
        <v>45362</v>
      </c>
      <c r="F806" s="6">
        <f t="shared" ca="1" si="2"/>
        <v>45352</v>
      </c>
      <c r="G806" s="7"/>
    </row>
    <row r="807" spans="1:7" x14ac:dyDescent="0.2">
      <c r="A807" s="3">
        <f ca="1">IFERROR(__xludf.DUMMYFUNCTION("""COMPUTED_VALUE"""),4596)</f>
        <v>4596</v>
      </c>
      <c r="B807" s="6">
        <f ca="1">IFERROR(__xludf.DUMMYFUNCTION("""COMPUTED_VALUE"""),45368.8420833333)</f>
        <v>45368.8420833333</v>
      </c>
      <c r="C807" s="3" t="str">
        <f ca="1">IFERROR(__xludf.DUMMYFUNCTION("""COMPUTED_VALUE"""),"purchase")</f>
        <v>purchase</v>
      </c>
      <c r="D807" s="6">
        <f t="shared" ca="1" si="0"/>
        <v>45368</v>
      </c>
      <c r="E807" s="6">
        <f t="shared" ca="1" si="1"/>
        <v>45362</v>
      </c>
      <c r="F807" s="6">
        <f t="shared" ca="1" si="2"/>
        <v>45352</v>
      </c>
      <c r="G807" s="7"/>
    </row>
    <row r="808" spans="1:7" x14ac:dyDescent="0.2">
      <c r="A808" s="3">
        <f ca="1">IFERROR(__xludf.DUMMYFUNCTION("""COMPUTED_VALUE"""),57)</f>
        <v>57</v>
      </c>
      <c r="B808" s="6">
        <f ca="1">IFERROR(__xludf.DUMMYFUNCTION("""COMPUTED_VALUE"""),45368.9366435185)</f>
        <v>45368.9366435185</v>
      </c>
      <c r="C808" s="3" t="str">
        <f ca="1">IFERROR(__xludf.DUMMYFUNCTION("""COMPUTED_VALUE"""),"purchase")</f>
        <v>purchase</v>
      </c>
      <c r="D808" s="6">
        <f t="shared" ca="1" si="0"/>
        <v>45368</v>
      </c>
      <c r="E808" s="6">
        <f t="shared" ca="1" si="1"/>
        <v>45362</v>
      </c>
      <c r="F808" s="6">
        <f t="shared" ca="1" si="2"/>
        <v>45352</v>
      </c>
      <c r="G808" s="7"/>
    </row>
    <row r="809" spans="1:7" x14ac:dyDescent="0.2">
      <c r="A809" s="3">
        <f ca="1">IFERROR(__xludf.DUMMYFUNCTION("""COMPUTED_VALUE"""),2178)</f>
        <v>2178</v>
      </c>
      <c r="B809" s="6">
        <f ca="1">IFERROR(__xludf.DUMMYFUNCTION("""COMPUTED_VALUE"""),45369.002974537)</f>
        <v>45369.002974536997</v>
      </c>
      <c r="C809" s="3" t="str">
        <f ca="1">IFERROR(__xludf.DUMMYFUNCTION("""COMPUTED_VALUE"""),"purchase")</f>
        <v>purchase</v>
      </c>
      <c r="D809" s="6">
        <f t="shared" ca="1" si="0"/>
        <v>45369</v>
      </c>
      <c r="E809" s="6">
        <f t="shared" ca="1" si="1"/>
        <v>45369</v>
      </c>
      <c r="F809" s="6">
        <f t="shared" ca="1" si="2"/>
        <v>45352</v>
      </c>
      <c r="G809" s="7"/>
    </row>
    <row r="810" spans="1:7" x14ac:dyDescent="0.2">
      <c r="A810" s="3">
        <f ca="1">IFERROR(__xludf.DUMMYFUNCTION("""COMPUTED_VALUE"""),2139)</f>
        <v>2139</v>
      </c>
      <c r="B810" s="6">
        <f ca="1">IFERROR(__xludf.DUMMYFUNCTION("""COMPUTED_VALUE"""),45369.040324074)</f>
        <v>45369.040324073998</v>
      </c>
      <c r="C810" s="3" t="str">
        <f ca="1">IFERROR(__xludf.DUMMYFUNCTION("""COMPUTED_VALUE"""),"purchase")</f>
        <v>purchase</v>
      </c>
      <c r="D810" s="6">
        <f t="shared" ca="1" si="0"/>
        <v>45369</v>
      </c>
      <c r="E810" s="6">
        <f t="shared" ca="1" si="1"/>
        <v>45369</v>
      </c>
      <c r="F810" s="6">
        <f t="shared" ca="1" si="2"/>
        <v>45352</v>
      </c>
      <c r="G810" s="7"/>
    </row>
    <row r="811" spans="1:7" x14ac:dyDescent="0.2">
      <c r="A811" s="3">
        <f ca="1">IFERROR(__xludf.DUMMYFUNCTION("""COMPUTED_VALUE"""),5495)</f>
        <v>5495</v>
      </c>
      <c r="B811" s="6">
        <f ca="1">IFERROR(__xludf.DUMMYFUNCTION("""COMPUTED_VALUE"""),45369.1868402777)</f>
        <v>45369.186840277704</v>
      </c>
      <c r="C811" s="3" t="str">
        <f ca="1">IFERROR(__xludf.DUMMYFUNCTION("""COMPUTED_VALUE"""),"purchase")</f>
        <v>purchase</v>
      </c>
      <c r="D811" s="6">
        <f t="shared" ca="1" si="0"/>
        <v>45369</v>
      </c>
      <c r="E811" s="6">
        <f t="shared" ca="1" si="1"/>
        <v>45369</v>
      </c>
      <c r="F811" s="6">
        <f t="shared" ca="1" si="2"/>
        <v>45352</v>
      </c>
      <c r="G811" s="7"/>
    </row>
    <row r="812" spans="1:7" x14ac:dyDescent="0.2">
      <c r="A812" s="3">
        <f ca="1">IFERROR(__xludf.DUMMYFUNCTION("""COMPUTED_VALUE"""),3621)</f>
        <v>3621</v>
      </c>
      <c r="B812" s="6">
        <f ca="1">IFERROR(__xludf.DUMMYFUNCTION("""COMPUTED_VALUE"""),45369.2003819444)</f>
        <v>45369.2003819444</v>
      </c>
      <c r="C812" s="3" t="str">
        <f ca="1">IFERROR(__xludf.DUMMYFUNCTION("""COMPUTED_VALUE"""),"purchase")</f>
        <v>purchase</v>
      </c>
      <c r="D812" s="6">
        <f t="shared" ca="1" si="0"/>
        <v>45369</v>
      </c>
      <c r="E812" s="6">
        <f t="shared" ca="1" si="1"/>
        <v>45369</v>
      </c>
      <c r="F812" s="6">
        <f t="shared" ca="1" si="2"/>
        <v>45352</v>
      </c>
      <c r="G812" s="7"/>
    </row>
    <row r="813" spans="1:7" x14ac:dyDescent="0.2">
      <c r="A813" s="3">
        <f ca="1">IFERROR(__xludf.DUMMYFUNCTION("""COMPUTED_VALUE"""),4314)</f>
        <v>4314</v>
      </c>
      <c r="B813" s="6">
        <f ca="1">IFERROR(__xludf.DUMMYFUNCTION("""COMPUTED_VALUE"""),45369.2268634259)</f>
        <v>45369.226863425902</v>
      </c>
      <c r="C813" s="3" t="str">
        <f ca="1">IFERROR(__xludf.DUMMYFUNCTION("""COMPUTED_VALUE"""),"purchase")</f>
        <v>purchase</v>
      </c>
      <c r="D813" s="6">
        <f t="shared" ca="1" si="0"/>
        <v>45369</v>
      </c>
      <c r="E813" s="6">
        <f t="shared" ca="1" si="1"/>
        <v>45369</v>
      </c>
      <c r="F813" s="6">
        <f t="shared" ca="1" si="2"/>
        <v>45352</v>
      </c>
      <c r="G813" s="7"/>
    </row>
    <row r="814" spans="1:7" x14ac:dyDescent="0.2">
      <c r="A814" s="3">
        <f ca="1">IFERROR(__xludf.DUMMYFUNCTION("""COMPUTED_VALUE"""),3962)</f>
        <v>3962</v>
      </c>
      <c r="B814" s="6">
        <f ca="1">IFERROR(__xludf.DUMMYFUNCTION("""COMPUTED_VALUE"""),45369.3840162037)</f>
        <v>45369.384016203701</v>
      </c>
      <c r="C814" s="3" t="str">
        <f ca="1">IFERROR(__xludf.DUMMYFUNCTION("""COMPUTED_VALUE"""),"purchase")</f>
        <v>purchase</v>
      </c>
      <c r="D814" s="6">
        <f t="shared" ca="1" si="0"/>
        <v>45369</v>
      </c>
      <c r="E814" s="6">
        <f t="shared" ca="1" si="1"/>
        <v>45369</v>
      </c>
      <c r="F814" s="6">
        <f t="shared" ca="1" si="2"/>
        <v>45352</v>
      </c>
      <c r="G814" s="7"/>
    </row>
    <row r="815" spans="1:7" x14ac:dyDescent="0.2">
      <c r="A815" s="3">
        <f ca="1">IFERROR(__xludf.DUMMYFUNCTION("""COMPUTED_VALUE"""),6439)</f>
        <v>6439</v>
      </c>
      <c r="B815" s="6">
        <f ca="1">IFERROR(__xludf.DUMMYFUNCTION("""COMPUTED_VALUE"""),45369.4022222222)</f>
        <v>45369.402222222197</v>
      </c>
      <c r="C815" s="3" t="str">
        <f ca="1">IFERROR(__xludf.DUMMYFUNCTION("""COMPUTED_VALUE"""),"purchase")</f>
        <v>purchase</v>
      </c>
      <c r="D815" s="6">
        <f t="shared" ca="1" si="0"/>
        <v>45369</v>
      </c>
      <c r="E815" s="6">
        <f t="shared" ca="1" si="1"/>
        <v>45369</v>
      </c>
      <c r="F815" s="6">
        <f t="shared" ca="1" si="2"/>
        <v>45352</v>
      </c>
      <c r="G815" s="7"/>
    </row>
    <row r="816" spans="1:7" x14ac:dyDescent="0.2">
      <c r="A816" s="3">
        <f ca="1">IFERROR(__xludf.DUMMYFUNCTION("""COMPUTED_VALUE"""),2919)</f>
        <v>2919</v>
      </c>
      <c r="B816" s="6">
        <f ca="1">IFERROR(__xludf.DUMMYFUNCTION("""COMPUTED_VALUE"""),45369.4497800925)</f>
        <v>45369.449780092502</v>
      </c>
      <c r="C816" s="3" t="str">
        <f ca="1">IFERROR(__xludf.DUMMYFUNCTION("""COMPUTED_VALUE"""),"purchase")</f>
        <v>purchase</v>
      </c>
      <c r="D816" s="6">
        <f t="shared" ca="1" si="0"/>
        <v>45369</v>
      </c>
      <c r="E816" s="6">
        <f t="shared" ca="1" si="1"/>
        <v>45369</v>
      </c>
      <c r="F816" s="6">
        <f t="shared" ca="1" si="2"/>
        <v>45352</v>
      </c>
      <c r="G816" s="7"/>
    </row>
    <row r="817" spans="1:7" x14ac:dyDescent="0.2">
      <c r="A817" s="3">
        <f ca="1">IFERROR(__xludf.DUMMYFUNCTION("""COMPUTED_VALUE"""),34)</f>
        <v>34</v>
      </c>
      <c r="B817" s="6">
        <f ca="1">IFERROR(__xludf.DUMMYFUNCTION("""COMPUTED_VALUE"""),45369.5816550925)</f>
        <v>45369.581655092501</v>
      </c>
      <c r="C817" s="3" t="str">
        <f ca="1">IFERROR(__xludf.DUMMYFUNCTION("""COMPUTED_VALUE"""),"purchase")</f>
        <v>purchase</v>
      </c>
      <c r="D817" s="6">
        <f t="shared" ca="1" si="0"/>
        <v>45369</v>
      </c>
      <c r="E817" s="6">
        <f t="shared" ca="1" si="1"/>
        <v>45369</v>
      </c>
      <c r="F817" s="6">
        <f t="shared" ca="1" si="2"/>
        <v>45352</v>
      </c>
      <c r="G817" s="7"/>
    </row>
    <row r="818" spans="1:7" x14ac:dyDescent="0.2">
      <c r="A818" s="3">
        <f ca="1">IFERROR(__xludf.DUMMYFUNCTION("""COMPUTED_VALUE"""),5258)</f>
        <v>5258</v>
      </c>
      <c r="B818" s="6">
        <f ca="1">IFERROR(__xludf.DUMMYFUNCTION("""COMPUTED_VALUE"""),45369.6986921296)</f>
        <v>45369.698692129597</v>
      </c>
      <c r="C818" s="3" t="str">
        <f ca="1">IFERROR(__xludf.DUMMYFUNCTION("""COMPUTED_VALUE"""),"purchase")</f>
        <v>purchase</v>
      </c>
      <c r="D818" s="6">
        <f t="shared" ca="1" si="0"/>
        <v>45369</v>
      </c>
      <c r="E818" s="6">
        <f t="shared" ca="1" si="1"/>
        <v>45369</v>
      </c>
      <c r="F818" s="6">
        <f t="shared" ca="1" si="2"/>
        <v>45352</v>
      </c>
      <c r="G818" s="7"/>
    </row>
    <row r="819" spans="1:7" x14ac:dyDescent="0.2">
      <c r="A819" s="3">
        <f ca="1">IFERROR(__xludf.DUMMYFUNCTION("""COMPUTED_VALUE"""),433)</f>
        <v>433</v>
      </c>
      <c r="B819" s="6">
        <f ca="1">IFERROR(__xludf.DUMMYFUNCTION("""COMPUTED_VALUE"""),45369.8338541666)</f>
        <v>45369.833854166602</v>
      </c>
      <c r="C819" s="3" t="str">
        <f ca="1">IFERROR(__xludf.DUMMYFUNCTION("""COMPUTED_VALUE"""),"purchase")</f>
        <v>purchase</v>
      </c>
      <c r="D819" s="6">
        <f t="shared" ca="1" si="0"/>
        <v>45369</v>
      </c>
      <c r="E819" s="6">
        <f t="shared" ca="1" si="1"/>
        <v>45369</v>
      </c>
      <c r="F819" s="6">
        <f t="shared" ca="1" si="2"/>
        <v>45352</v>
      </c>
      <c r="G819" s="7"/>
    </row>
    <row r="820" spans="1:7" x14ac:dyDescent="0.2">
      <c r="A820" s="3">
        <f ca="1">IFERROR(__xludf.DUMMYFUNCTION("""COMPUTED_VALUE"""),1182)</f>
        <v>1182</v>
      </c>
      <c r="B820" s="6">
        <f ca="1">IFERROR(__xludf.DUMMYFUNCTION("""COMPUTED_VALUE"""),45370.0830671295)</f>
        <v>45370.083067129599</v>
      </c>
      <c r="C820" s="3" t="str">
        <f ca="1">IFERROR(__xludf.DUMMYFUNCTION("""COMPUTED_VALUE"""),"purchase")</f>
        <v>purchase</v>
      </c>
      <c r="D820" s="6">
        <f t="shared" ca="1" si="0"/>
        <v>45370</v>
      </c>
      <c r="E820" s="6">
        <f t="shared" ca="1" si="1"/>
        <v>45369</v>
      </c>
      <c r="F820" s="6">
        <f t="shared" ca="1" si="2"/>
        <v>45352</v>
      </c>
      <c r="G820" s="7"/>
    </row>
    <row r="821" spans="1:7" x14ac:dyDescent="0.2">
      <c r="A821" s="3">
        <f ca="1">IFERROR(__xludf.DUMMYFUNCTION("""COMPUTED_VALUE"""),5474)</f>
        <v>5474</v>
      </c>
      <c r="B821" s="6">
        <f ca="1">IFERROR(__xludf.DUMMYFUNCTION("""COMPUTED_VALUE"""),45370.1187384259)</f>
        <v>45370.118738425903</v>
      </c>
      <c r="C821" s="3" t="str">
        <f ca="1">IFERROR(__xludf.DUMMYFUNCTION("""COMPUTED_VALUE"""),"purchase")</f>
        <v>purchase</v>
      </c>
      <c r="D821" s="6">
        <f t="shared" ca="1" si="0"/>
        <v>45370</v>
      </c>
      <c r="E821" s="6">
        <f t="shared" ca="1" si="1"/>
        <v>45369</v>
      </c>
      <c r="F821" s="6">
        <f t="shared" ca="1" si="2"/>
        <v>45352</v>
      </c>
      <c r="G821" s="7"/>
    </row>
    <row r="822" spans="1:7" x14ac:dyDescent="0.2">
      <c r="A822" s="3">
        <f ca="1">IFERROR(__xludf.DUMMYFUNCTION("""COMPUTED_VALUE"""),2808)</f>
        <v>2808</v>
      </c>
      <c r="B822" s="6">
        <f ca="1">IFERROR(__xludf.DUMMYFUNCTION("""COMPUTED_VALUE"""),45370.2716087963)</f>
        <v>45370.271608796298</v>
      </c>
      <c r="C822" s="3" t="str">
        <f ca="1">IFERROR(__xludf.DUMMYFUNCTION("""COMPUTED_VALUE"""),"purchase")</f>
        <v>purchase</v>
      </c>
      <c r="D822" s="6">
        <f t="shared" ca="1" si="0"/>
        <v>45370</v>
      </c>
      <c r="E822" s="6">
        <f t="shared" ca="1" si="1"/>
        <v>45369</v>
      </c>
      <c r="F822" s="6">
        <f t="shared" ca="1" si="2"/>
        <v>45352</v>
      </c>
      <c r="G822" s="7"/>
    </row>
    <row r="823" spans="1:7" x14ac:dyDescent="0.2">
      <c r="A823" s="3">
        <f ca="1">IFERROR(__xludf.DUMMYFUNCTION("""COMPUTED_VALUE"""),2346)</f>
        <v>2346</v>
      </c>
      <c r="B823" s="6">
        <f ca="1">IFERROR(__xludf.DUMMYFUNCTION("""COMPUTED_VALUE"""),45370.2812962963)</f>
        <v>45370.2812962963</v>
      </c>
      <c r="C823" s="3" t="str">
        <f ca="1">IFERROR(__xludf.DUMMYFUNCTION("""COMPUTED_VALUE"""),"purchase")</f>
        <v>purchase</v>
      </c>
      <c r="D823" s="6">
        <f t="shared" ca="1" si="0"/>
        <v>45370</v>
      </c>
      <c r="E823" s="6">
        <f t="shared" ca="1" si="1"/>
        <v>45369</v>
      </c>
      <c r="F823" s="6">
        <f t="shared" ca="1" si="2"/>
        <v>45352</v>
      </c>
      <c r="G823" s="7"/>
    </row>
    <row r="824" spans="1:7" x14ac:dyDescent="0.2">
      <c r="A824" s="3">
        <f ca="1">IFERROR(__xludf.DUMMYFUNCTION("""COMPUTED_VALUE"""),4831)</f>
        <v>4831</v>
      </c>
      <c r="B824" s="6">
        <f ca="1">IFERROR(__xludf.DUMMYFUNCTION("""COMPUTED_VALUE"""),45370.3984375)</f>
        <v>45370.3984375</v>
      </c>
      <c r="C824" s="3" t="str">
        <f ca="1">IFERROR(__xludf.DUMMYFUNCTION("""COMPUTED_VALUE"""),"purchase")</f>
        <v>purchase</v>
      </c>
      <c r="D824" s="6">
        <f t="shared" ca="1" si="0"/>
        <v>45370</v>
      </c>
      <c r="E824" s="6">
        <f t="shared" ca="1" si="1"/>
        <v>45369</v>
      </c>
      <c r="F824" s="6">
        <f t="shared" ca="1" si="2"/>
        <v>45352</v>
      </c>
      <c r="G824" s="7"/>
    </row>
    <row r="825" spans="1:7" x14ac:dyDescent="0.2">
      <c r="A825" s="3">
        <f ca="1">IFERROR(__xludf.DUMMYFUNCTION("""COMPUTED_VALUE"""),2023)</f>
        <v>2023</v>
      </c>
      <c r="B825" s="6">
        <f ca="1">IFERROR(__xludf.DUMMYFUNCTION("""COMPUTED_VALUE"""),45370.4371064814)</f>
        <v>45370.437106481397</v>
      </c>
      <c r="C825" s="3" t="str">
        <f ca="1">IFERROR(__xludf.DUMMYFUNCTION("""COMPUTED_VALUE"""),"purchase")</f>
        <v>purchase</v>
      </c>
      <c r="D825" s="6">
        <f t="shared" ca="1" si="0"/>
        <v>45370</v>
      </c>
      <c r="E825" s="6">
        <f t="shared" ca="1" si="1"/>
        <v>45369</v>
      </c>
      <c r="F825" s="6">
        <f t="shared" ca="1" si="2"/>
        <v>45352</v>
      </c>
      <c r="G825" s="7"/>
    </row>
    <row r="826" spans="1:7" x14ac:dyDescent="0.2">
      <c r="A826" s="3">
        <f ca="1">IFERROR(__xludf.DUMMYFUNCTION("""COMPUTED_VALUE"""),3685)</f>
        <v>3685</v>
      </c>
      <c r="B826" s="6">
        <f ca="1">IFERROR(__xludf.DUMMYFUNCTION("""COMPUTED_VALUE"""),45370.6323032407)</f>
        <v>45370.632303240702</v>
      </c>
      <c r="C826" s="3" t="str">
        <f ca="1">IFERROR(__xludf.DUMMYFUNCTION("""COMPUTED_VALUE"""),"purchase")</f>
        <v>purchase</v>
      </c>
      <c r="D826" s="6">
        <f t="shared" ca="1" si="0"/>
        <v>45370</v>
      </c>
      <c r="E826" s="6">
        <f t="shared" ca="1" si="1"/>
        <v>45369</v>
      </c>
      <c r="F826" s="6">
        <f t="shared" ca="1" si="2"/>
        <v>45352</v>
      </c>
      <c r="G826" s="7"/>
    </row>
    <row r="827" spans="1:7" x14ac:dyDescent="0.2">
      <c r="A827" s="3">
        <f ca="1">IFERROR(__xludf.DUMMYFUNCTION("""COMPUTED_VALUE"""),4828)</f>
        <v>4828</v>
      </c>
      <c r="B827" s="6">
        <f ca="1">IFERROR(__xludf.DUMMYFUNCTION("""COMPUTED_VALUE"""),45370.7468634259)</f>
        <v>45370.746863425898</v>
      </c>
      <c r="C827" s="3" t="str">
        <f ca="1">IFERROR(__xludf.DUMMYFUNCTION("""COMPUTED_VALUE"""),"purchase")</f>
        <v>purchase</v>
      </c>
      <c r="D827" s="6">
        <f t="shared" ca="1" si="0"/>
        <v>45370</v>
      </c>
      <c r="E827" s="6">
        <f t="shared" ca="1" si="1"/>
        <v>45369</v>
      </c>
      <c r="F827" s="6">
        <f t="shared" ca="1" si="2"/>
        <v>45352</v>
      </c>
      <c r="G827" s="7"/>
    </row>
    <row r="828" spans="1:7" x14ac:dyDescent="0.2">
      <c r="A828" s="3">
        <f ca="1">IFERROR(__xludf.DUMMYFUNCTION("""COMPUTED_VALUE"""),6493)</f>
        <v>6493</v>
      </c>
      <c r="B828" s="6">
        <f ca="1">IFERROR(__xludf.DUMMYFUNCTION("""COMPUTED_VALUE"""),45370.7587037037)</f>
        <v>45370.758703703701</v>
      </c>
      <c r="C828" s="3" t="str">
        <f ca="1">IFERROR(__xludf.DUMMYFUNCTION("""COMPUTED_VALUE"""),"purchase")</f>
        <v>purchase</v>
      </c>
      <c r="D828" s="6">
        <f t="shared" ca="1" si="0"/>
        <v>45370</v>
      </c>
      <c r="E828" s="6">
        <f t="shared" ca="1" si="1"/>
        <v>45369</v>
      </c>
      <c r="F828" s="6">
        <f t="shared" ca="1" si="2"/>
        <v>45352</v>
      </c>
      <c r="G828" s="7"/>
    </row>
    <row r="829" spans="1:7" x14ac:dyDescent="0.2">
      <c r="A829" s="3">
        <f ca="1">IFERROR(__xludf.DUMMYFUNCTION("""COMPUTED_VALUE"""),260)</f>
        <v>260</v>
      </c>
      <c r="B829" s="6">
        <f ca="1">IFERROR(__xludf.DUMMYFUNCTION("""COMPUTED_VALUE"""),45370.965162037)</f>
        <v>45370.965162036999</v>
      </c>
      <c r="C829" s="3" t="str">
        <f ca="1">IFERROR(__xludf.DUMMYFUNCTION("""COMPUTED_VALUE"""),"purchase")</f>
        <v>purchase</v>
      </c>
      <c r="D829" s="6">
        <f t="shared" ca="1" si="0"/>
        <v>45370</v>
      </c>
      <c r="E829" s="6">
        <f t="shared" ca="1" si="1"/>
        <v>45369</v>
      </c>
      <c r="F829" s="6">
        <f t="shared" ca="1" si="2"/>
        <v>45352</v>
      </c>
      <c r="G829" s="7"/>
    </row>
    <row r="830" spans="1:7" x14ac:dyDescent="0.2">
      <c r="A830" s="3">
        <f ca="1">IFERROR(__xludf.DUMMYFUNCTION("""COMPUTED_VALUE"""),4252)</f>
        <v>4252</v>
      </c>
      <c r="B830" s="6">
        <f ca="1">IFERROR(__xludf.DUMMYFUNCTION("""COMPUTED_VALUE"""),45370.9786921296)</f>
        <v>45370.978692129604</v>
      </c>
      <c r="C830" s="3" t="str">
        <f ca="1">IFERROR(__xludf.DUMMYFUNCTION("""COMPUTED_VALUE"""),"purchase")</f>
        <v>purchase</v>
      </c>
      <c r="D830" s="6">
        <f t="shared" ca="1" si="0"/>
        <v>45370</v>
      </c>
      <c r="E830" s="6">
        <f t="shared" ca="1" si="1"/>
        <v>45369</v>
      </c>
      <c r="F830" s="6">
        <f t="shared" ca="1" si="2"/>
        <v>45352</v>
      </c>
      <c r="G830" s="7"/>
    </row>
    <row r="831" spans="1:7" x14ac:dyDescent="0.2">
      <c r="A831" s="3">
        <f ca="1">IFERROR(__xludf.DUMMYFUNCTION("""COMPUTED_VALUE"""),7613)</f>
        <v>7613</v>
      </c>
      <c r="B831" s="6">
        <f ca="1">IFERROR(__xludf.DUMMYFUNCTION("""COMPUTED_VALUE"""),45371.2159953703)</f>
        <v>45371.215995370301</v>
      </c>
      <c r="C831" s="3" t="str">
        <f ca="1">IFERROR(__xludf.DUMMYFUNCTION("""COMPUTED_VALUE"""),"purchase")</f>
        <v>purchase</v>
      </c>
      <c r="D831" s="6">
        <f t="shared" ca="1" si="0"/>
        <v>45371</v>
      </c>
      <c r="E831" s="6">
        <f t="shared" ca="1" si="1"/>
        <v>45369</v>
      </c>
      <c r="F831" s="6">
        <f t="shared" ca="1" si="2"/>
        <v>45352</v>
      </c>
      <c r="G831" s="7"/>
    </row>
    <row r="832" spans="1:7" x14ac:dyDescent="0.2">
      <c r="A832" s="3">
        <f ca="1">IFERROR(__xludf.DUMMYFUNCTION("""COMPUTED_VALUE"""),3406)</f>
        <v>3406</v>
      </c>
      <c r="B832" s="6">
        <f ca="1">IFERROR(__xludf.DUMMYFUNCTION("""COMPUTED_VALUE"""),45371.2588194444)</f>
        <v>45371.258819444403</v>
      </c>
      <c r="C832" s="3" t="str">
        <f ca="1">IFERROR(__xludf.DUMMYFUNCTION("""COMPUTED_VALUE"""),"purchase")</f>
        <v>purchase</v>
      </c>
      <c r="D832" s="6">
        <f t="shared" ca="1" si="0"/>
        <v>45371</v>
      </c>
      <c r="E832" s="6">
        <f t="shared" ca="1" si="1"/>
        <v>45369</v>
      </c>
      <c r="F832" s="6">
        <f t="shared" ca="1" si="2"/>
        <v>45352</v>
      </c>
      <c r="G832" s="7"/>
    </row>
    <row r="833" spans="1:7" x14ac:dyDescent="0.2">
      <c r="A833" s="3">
        <f ca="1">IFERROR(__xludf.DUMMYFUNCTION("""COMPUTED_VALUE"""),1942)</f>
        <v>1942</v>
      </c>
      <c r="B833" s="6">
        <f ca="1">IFERROR(__xludf.DUMMYFUNCTION("""COMPUTED_VALUE"""),45371.2771527777)</f>
        <v>45371.2771527777</v>
      </c>
      <c r="C833" s="3" t="str">
        <f ca="1">IFERROR(__xludf.DUMMYFUNCTION("""COMPUTED_VALUE"""),"purchase")</f>
        <v>purchase</v>
      </c>
      <c r="D833" s="6">
        <f t="shared" ca="1" si="0"/>
        <v>45371</v>
      </c>
      <c r="E833" s="6">
        <f t="shared" ca="1" si="1"/>
        <v>45369</v>
      </c>
      <c r="F833" s="6">
        <f t="shared" ca="1" si="2"/>
        <v>45352</v>
      </c>
      <c r="G833" s="7"/>
    </row>
    <row r="834" spans="1:7" x14ac:dyDescent="0.2">
      <c r="A834" s="3">
        <f ca="1">IFERROR(__xludf.DUMMYFUNCTION("""COMPUTED_VALUE"""),6063)</f>
        <v>6063</v>
      </c>
      <c r="B834" s="6">
        <f ca="1">IFERROR(__xludf.DUMMYFUNCTION("""COMPUTED_VALUE"""),45371.3319791666)</f>
        <v>45371.3319791666</v>
      </c>
      <c r="C834" s="3" t="str">
        <f ca="1">IFERROR(__xludf.DUMMYFUNCTION("""COMPUTED_VALUE"""),"purchase")</f>
        <v>purchase</v>
      </c>
      <c r="D834" s="6">
        <f t="shared" ca="1" si="0"/>
        <v>45371</v>
      </c>
      <c r="E834" s="6">
        <f t="shared" ca="1" si="1"/>
        <v>45369</v>
      </c>
      <c r="F834" s="6">
        <f t="shared" ca="1" si="2"/>
        <v>45352</v>
      </c>
      <c r="G834" s="7"/>
    </row>
    <row r="835" spans="1:7" x14ac:dyDescent="0.2">
      <c r="A835" s="3">
        <f ca="1">IFERROR(__xludf.DUMMYFUNCTION("""COMPUTED_VALUE"""),2928)</f>
        <v>2928</v>
      </c>
      <c r="B835" s="6">
        <f ca="1">IFERROR(__xludf.DUMMYFUNCTION("""COMPUTED_VALUE"""),45371.4840972222)</f>
        <v>45371.484097222201</v>
      </c>
      <c r="C835" s="3" t="str">
        <f ca="1">IFERROR(__xludf.DUMMYFUNCTION("""COMPUTED_VALUE"""),"purchase")</f>
        <v>purchase</v>
      </c>
      <c r="D835" s="6">
        <f t="shared" ca="1" si="0"/>
        <v>45371</v>
      </c>
      <c r="E835" s="6">
        <f t="shared" ca="1" si="1"/>
        <v>45369</v>
      </c>
      <c r="F835" s="6">
        <f t="shared" ca="1" si="2"/>
        <v>45352</v>
      </c>
      <c r="G835" s="7"/>
    </row>
    <row r="836" spans="1:7" x14ac:dyDescent="0.2">
      <c r="A836" s="3">
        <f ca="1">IFERROR(__xludf.DUMMYFUNCTION("""COMPUTED_VALUE"""),1177)</f>
        <v>1177</v>
      </c>
      <c r="B836" s="6">
        <f ca="1">IFERROR(__xludf.DUMMYFUNCTION("""COMPUTED_VALUE"""),45371.6120717592)</f>
        <v>45371.612071759198</v>
      </c>
      <c r="C836" s="3" t="str">
        <f ca="1">IFERROR(__xludf.DUMMYFUNCTION("""COMPUTED_VALUE"""),"purchase")</f>
        <v>purchase</v>
      </c>
      <c r="D836" s="6">
        <f t="shared" ca="1" si="0"/>
        <v>45371</v>
      </c>
      <c r="E836" s="6">
        <f t="shared" ca="1" si="1"/>
        <v>45369</v>
      </c>
      <c r="F836" s="6">
        <f t="shared" ca="1" si="2"/>
        <v>45352</v>
      </c>
      <c r="G836" s="7"/>
    </row>
    <row r="837" spans="1:7" x14ac:dyDescent="0.2">
      <c r="A837" s="3">
        <f ca="1">IFERROR(__xludf.DUMMYFUNCTION("""COMPUTED_VALUE"""),2211)</f>
        <v>2211</v>
      </c>
      <c r="B837" s="6">
        <f ca="1">IFERROR(__xludf.DUMMYFUNCTION("""COMPUTED_VALUE"""),45371.666875)</f>
        <v>45371.666875000003</v>
      </c>
      <c r="C837" s="3" t="str">
        <f ca="1">IFERROR(__xludf.DUMMYFUNCTION("""COMPUTED_VALUE"""),"purchase")</f>
        <v>purchase</v>
      </c>
      <c r="D837" s="6">
        <f t="shared" ca="1" si="0"/>
        <v>45371</v>
      </c>
      <c r="E837" s="6">
        <f t="shared" ca="1" si="1"/>
        <v>45369</v>
      </c>
      <c r="F837" s="6">
        <f t="shared" ca="1" si="2"/>
        <v>45352</v>
      </c>
      <c r="G837" s="7"/>
    </row>
    <row r="838" spans="1:7" x14ac:dyDescent="0.2">
      <c r="A838" s="3">
        <f ca="1">IFERROR(__xludf.DUMMYFUNCTION("""COMPUTED_VALUE"""),108)</f>
        <v>108</v>
      </c>
      <c r="B838" s="6">
        <f ca="1">IFERROR(__xludf.DUMMYFUNCTION("""COMPUTED_VALUE"""),45371.6671875)</f>
        <v>45371.667187500003</v>
      </c>
      <c r="C838" s="3" t="str">
        <f ca="1">IFERROR(__xludf.DUMMYFUNCTION("""COMPUTED_VALUE"""),"purchase")</f>
        <v>purchase</v>
      </c>
      <c r="D838" s="6">
        <f t="shared" ca="1" si="0"/>
        <v>45371</v>
      </c>
      <c r="E838" s="6">
        <f t="shared" ca="1" si="1"/>
        <v>45369</v>
      </c>
      <c r="F838" s="6">
        <f t="shared" ca="1" si="2"/>
        <v>45352</v>
      </c>
      <c r="G838" s="7"/>
    </row>
    <row r="839" spans="1:7" x14ac:dyDescent="0.2">
      <c r="A839" s="3">
        <f ca="1">IFERROR(__xludf.DUMMYFUNCTION("""COMPUTED_VALUE"""),6265)</f>
        <v>6265</v>
      </c>
      <c r="B839" s="6">
        <f ca="1">IFERROR(__xludf.DUMMYFUNCTION("""COMPUTED_VALUE"""),45371.8734837963)</f>
        <v>45371.873483796298</v>
      </c>
      <c r="C839" s="3" t="str">
        <f ca="1">IFERROR(__xludf.DUMMYFUNCTION("""COMPUTED_VALUE"""),"purchase")</f>
        <v>purchase</v>
      </c>
      <c r="D839" s="6">
        <f t="shared" ca="1" si="0"/>
        <v>45371</v>
      </c>
      <c r="E839" s="6">
        <f t="shared" ca="1" si="1"/>
        <v>45369</v>
      </c>
      <c r="F839" s="6">
        <f t="shared" ca="1" si="2"/>
        <v>45352</v>
      </c>
      <c r="G839" s="7"/>
    </row>
    <row r="840" spans="1:7" x14ac:dyDescent="0.2">
      <c r="A840" s="3">
        <f ca="1">IFERROR(__xludf.DUMMYFUNCTION("""COMPUTED_VALUE"""),4670)</f>
        <v>4670</v>
      </c>
      <c r="B840" s="6">
        <f ca="1">IFERROR(__xludf.DUMMYFUNCTION("""COMPUTED_VALUE"""),45372.070162037)</f>
        <v>45372.070162037002</v>
      </c>
      <c r="C840" s="3" t="str">
        <f ca="1">IFERROR(__xludf.DUMMYFUNCTION("""COMPUTED_VALUE"""),"purchase")</f>
        <v>purchase</v>
      </c>
      <c r="D840" s="6">
        <f t="shared" ca="1" si="0"/>
        <v>45372</v>
      </c>
      <c r="E840" s="6">
        <f t="shared" ca="1" si="1"/>
        <v>45369</v>
      </c>
      <c r="F840" s="6">
        <f t="shared" ca="1" si="2"/>
        <v>45352</v>
      </c>
      <c r="G840" s="7"/>
    </row>
    <row r="841" spans="1:7" x14ac:dyDescent="0.2">
      <c r="A841" s="3">
        <f ca="1">IFERROR(__xludf.DUMMYFUNCTION("""COMPUTED_VALUE"""),6386)</f>
        <v>6386</v>
      </c>
      <c r="B841" s="6">
        <f ca="1">IFERROR(__xludf.DUMMYFUNCTION("""COMPUTED_VALUE"""),45372.0865046296)</f>
        <v>45372.086504629602</v>
      </c>
      <c r="C841" s="3" t="str">
        <f ca="1">IFERROR(__xludf.DUMMYFUNCTION("""COMPUTED_VALUE"""),"purchase")</f>
        <v>purchase</v>
      </c>
      <c r="D841" s="6">
        <f t="shared" ca="1" si="0"/>
        <v>45372</v>
      </c>
      <c r="E841" s="6">
        <f t="shared" ca="1" si="1"/>
        <v>45369</v>
      </c>
      <c r="F841" s="6">
        <f t="shared" ca="1" si="2"/>
        <v>45352</v>
      </c>
      <c r="G841" s="7"/>
    </row>
    <row r="842" spans="1:7" x14ac:dyDescent="0.2">
      <c r="A842" s="3">
        <f ca="1">IFERROR(__xludf.DUMMYFUNCTION("""COMPUTED_VALUE"""),7113)</f>
        <v>7113</v>
      </c>
      <c r="B842" s="6">
        <f ca="1">IFERROR(__xludf.DUMMYFUNCTION("""COMPUTED_VALUE"""),45372.3458217591)</f>
        <v>45372.345821759198</v>
      </c>
      <c r="C842" s="3" t="str">
        <f ca="1">IFERROR(__xludf.DUMMYFUNCTION("""COMPUTED_VALUE"""),"purchase")</f>
        <v>purchase</v>
      </c>
      <c r="D842" s="6">
        <f t="shared" ca="1" si="0"/>
        <v>45372</v>
      </c>
      <c r="E842" s="6">
        <f t="shared" ca="1" si="1"/>
        <v>45369</v>
      </c>
      <c r="F842" s="6">
        <f t="shared" ca="1" si="2"/>
        <v>45352</v>
      </c>
      <c r="G842" s="7"/>
    </row>
    <row r="843" spans="1:7" x14ac:dyDescent="0.2">
      <c r="A843" s="3">
        <f ca="1">IFERROR(__xludf.DUMMYFUNCTION("""COMPUTED_VALUE"""),6660)</f>
        <v>6660</v>
      </c>
      <c r="B843" s="6">
        <f ca="1">IFERROR(__xludf.DUMMYFUNCTION("""COMPUTED_VALUE"""),45372.4366203703)</f>
        <v>45372.436620370303</v>
      </c>
      <c r="C843" s="3" t="str">
        <f ca="1">IFERROR(__xludf.DUMMYFUNCTION("""COMPUTED_VALUE"""),"purchase")</f>
        <v>purchase</v>
      </c>
      <c r="D843" s="6">
        <f t="shared" ca="1" si="0"/>
        <v>45372</v>
      </c>
      <c r="E843" s="6">
        <f t="shared" ca="1" si="1"/>
        <v>45369</v>
      </c>
      <c r="F843" s="6">
        <f t="shared" ca="1" si="2"/>
        <v>45352</v>
      </c>
      <c r="G843" s="7"/>
    </row>
    <row r="844" spans="1:7" x14ac:dyDescent="0.2">
      <c r="A844" s="3">
        <f ca="1">IFERROR(__xludf.DUMMYFUNCTION("""COMPUTED_VALUE"""),4998)</f>
        <v>4998</v>
      </c>
      <c r="B844" s="6">
        <f ca="1">IFERROR(__xludf.DUMMYFUNCTION("""COMPUTED_VALUE"""),45372.5027083333)</f>
        <v>45372.502708333297</v>
      </c>
      <c r="C844" s="3" t="str">
        <f ca="1">IFERROR(__xludf.DUMMYFUNCTION("""COMPUTED_VALUE"""),"purchase")</f>
        <v>purchase</v>
      </c>
      <c r="D844" s="6">
        <f t="shared" ca="1" si="0"/>
        <v>45372</v>
      </c>
      <c r="E844" s="6">
        <f t="shared" ca="1" si="1"/>
        <v>45369</v>
      </c>
      <c r="F844" s="6">
        <f t="shared" ca="1" si="2"/>
        <v>45352</v>
      </c>
      <c r="G844" s="7"/>
    </row>
    <row r="845" spans="1:7" x14ac:dyDescent="0.2">
      <c r="A845" s="3">
        <f ca="1">IFERROR(__xludf.DUMMYFUNCTION("""COMPUTED_VALUE"""),7377)</f>
        <v>7377</v>
      </c>
      <c r="B845" s="6">
        <f ca="1">IFERROR(__xludf.DUMMYFUNCTION("""COMPUTED_VALUE"""),45372.5219675925)</f>
        <v>45372.521967592496</v>
      </c>
      <c r="C845" s="3" t="str">
        <f ca="1">IFERROR(__xludf.DUMMYFUNCTION("""COMPUTED_VALUE"""),"purchase")</f>
        <v>purchase</v>
      </c>
      <c r="D845" s="6">
        <f t="shared" ca="1" si="0"/>
        <v>45372</v>
      </c>
      <c r="E845" s="6">
        <f t="shared" ca="1" si="1"/>
        <v>45369</v>
      </c>
      <c r="F845" s="6">
        <f t="shared" ca="1" si="2"/>
        <v>45352</v>
      </c>
      <c r="G845" s="7"/>
    </row>
    <row r="846" spans="1:7" x14ac:dyDescent="0.2">
      <c r="A846" s="3">
        <f ca="1">IFERROR(__xludf.DUMMYFUNCTION("""COMPUTED_VALUE"""),6068)</f>
        <v>6068</v>
      </c>
      <c r="B846" s="6">
        <f ca="1">IFERROR(__xludf.DUMMYFUNCTION("""COMPUTED_VALUE"""),45372.5225925925)</f>
        <v>45372.522592592497</v>
      </c>
      <c r="C846" s="3" t="str">
        <f ca="1">IFERROR(__xludf.DUMMYFUNCTION("""COMPUTED_VALUE"""),"purchase")</f>
        <v>purchase</v>
      </c>
      <c r="D846" s="6">
        <f t="shared" ca="1" si="0"/>
        <v>45372</v>
      </c>
      <c r="E846" s="6">
        <f t="shared" ca="1" si="1"/>
        <v>45369</v>
      </c>
      <c r="F846" s="6">
        <f t="shared" ca="1" si="2"/>
        <v>45352</v>
      </c>
      <c r="G846" s="7"/>
    </row>
    <row r="847" spans="1:7" x14ac:dyDescent="0.2">
      <c r="A847" s="3">
        <f ca="1">IFERROR(__xludf.DUMMYFUNCTION("""COMPUTED_VALUE"""),5803)</f>
        <v>5803</v>
      </c>
      <c r="B847" s="6">
        <f ca="1">IFERROR(__xludf.DUMMYFUNCTION("""COMPUTED_VALUE"""),45372.6399189814)</f>
        <v>45372.639918981396</v>
      </c>
      <c r="C847" s="3" t="str">
        <f ca="1">IFERROR(__xludf.DUMMYFUNCTION("""COMPUTED_VALUE"""),"purchase")</f>
        <v>purchase</v>
      </c>
      <c r="D847" s="6">
        <f t="shared" ca="1" si="0"/>
        <v>45372</v>
      </c>
      <c r="E847" s="6">
        <f t="shared" ca="1" si="1"/>
        <v>45369</v>
      </c>
      <c r="F847" s="6">
        <f t="shared" ca="1" si="2"/>
        <v>45352</v>
      </c>
      <c r="G847" s="7"/>
    </row>
    <row r="848" spans="1:7" x14ac:dyDescent="0.2">
      <c r="A848" s="3">
        <f ca="1">IFERROR(__xludf.DUMMYFUNCTION("""COMPUTED_VALUE"""),4884)</f>
        <v>4884</v>
      </c>
      <c r="B848" s="6">
        <f ca="1">IFERROR(__xludf.DUMMYFUNCTION("""COMPUTED_VALUE"""),45372.6409606481)</f>
        <v>45372.640960648103</v>
      </c>
      <c r="C848" s="3" t="str">
        <f ca="1">IFERROR(__xludf.DUMMYFUNCTION("""COMPUTED_VALUE"""),"purchase")</f>
        <v>purchase</v>
      </c>
      <c r="D848" s="6">
        <f t="shared" ca="1" si="0"/>
        <v>45372</v>
      </c>
      <c r="E848" s="6">
        <f t="shared" ca="1" si="1"/>
        <v>45369</v>
      </c>
      <c r="F848" s="6">
        <f t="shared" ca="1" si="2"/>
        <v>45352</v>
      </c>
      <c r="G848" s="7"/>
    </row>
    <row r="849" spans="1:7" x14ac:dyDescent="0.2">
      <c r="A849" s="3">
        <f ca="1">IFERROR(__xludf.DUMMYFUNCTION("""COMPUTED_VALUE"""),7322)</f>
        <v>7322</v>
      </c>
      <c r="B849" s="6">
        <f ca="1">IFERROR(__xludf.DUMMYFUNCTION("""COMPUTED_VALUE"""),45372.6559027777)</f>
        <v>45372.655902777697</v>
      </c>
      <c r="C849" s="3" t="str">
        <f ca="1">IFERROR(__xludf.DUMMYFUNCTION("""COMPUTED_VALUE"""),"purchase")</f>
        <v>purchase</v>
      </c>
      <c r="D849" s="6">
        <f t="shared" ca="1" si="0"/>
        <v>45372</v>
      </c>
      <c r="E849" s="6">
        <f t="shared" ca="1" si="1"/>
        <v>45369</v>
      </c>
      <c r="F849" s="6">
        <f t="shared" ca="1" si="2"/>
        <v>45352</v>
      </c>
      <c r="G849" s="7"/>
    </row>
    <row r="850" spans="1:7" x14ac:dyDescent="0.2">
      <c r="A850" s="3">
        <f ca="1">IFERROR(__xludf.DUMMYFUNCTION("""COMPUTED_VALUE"""),1054)</f>
        <v>1054</v>
      </c>
      <c r="B850" s="6">
        <f ca="1">IFERROR(__xludf.DUMMYFUNCTION("""COMPUTED_VALUE"""),45372.7563194444)</f>
        <v>45372.756319444401</v>
      </c>
      <c r="C850" s="3" t="str">
        <f ca="1">IFERROR(__xludf.DUMMYFUNCTION("""COMPUTED_VALUE"""),"purchase")</f>
        <v>purchase</v>
      </c>
      <c r="D850" s="6">
        <f t="shared" ca="1" si="0"/>
        <v>45372</v>
      </c>
      <c r="E850" s="6">
        <f t="shared" ca="1" si="1"/>
        <v>45369</v>
      </c>
      <c r="F850" s="6">
        <f t="shared" ca="1" si="2"/>
        <v>45352</v>
      </c>
      <c r="G850" s="7"/>
    </row>
    <row r="851" spans="1:7" x14ac:dyDescent="0.2">
      <c r="A851" s="3">
        <f ca="1">IFERROR(__xludf.DUMMYFUNCTION("""COMPUTED_VALUE"""),197)</f>
        <v>197</v>
      </c>
      <c r="B851" s="6">
        <f ca="1">IFERROR(__xludf.DUMMYFUNCTION("""COMPUTED_VALUE"""),45372.7611689814)</f>
        <v>45372.7611689814</v>
      </c>
      <c r="C851" s="3" t="str">
        <f ca="1">IFERROR(__xludf.DUMMYFUNCTION("""COMPUTED_VALUE"""),"purchase")</f>
        <v>purchase</v>
      </c>
      <c r="D851" s="6">
        <f t="shared" ca="1" si="0"/>
        <v>45372</v>
      </c>
      <c r="E851" s="6">
        <f t="shared" ca="1" si="1"/>
        <v>45369</v>
      </c>
      <c r="F851" s="6">
        <f t="shared" ca="1" si="2"/>
        <v>45352</v>
      </c>
      <c r="G851" s="7"/>
    </row>
    <row r="852" spans="1:7" x14ac:dyDescent="0.2">
      <c r="A852" s="3">
        <f ca="1">IFERROR(__xludf.DUMMYFUNCTION("""COMPUTED_VALUE"""),1254)</f>
        <v>1254</v>
      </c>
      <c r="B852" s="6">
        <f ca="1">IFERROR(__xludf.DUMMYFUNCTION("""COMPUTED_VALUE"""),45372.8731828703)</f>
        <v>45372.873182870302</v>
      </c>
      <c r="C852" s="3" t="str">
        <f ca="1">IFERROR(__xludf.DUMMYFUNCTION("""COMPUTED_VALUE"""),"purchase")</f>
        <v>purchase</v>
      </c>
      <c r="D852" s="6">
        <f t="shared" ca="1" si="0"/>
        <v>45372</v>
      </c>
      <c r="E852" s="6">
        <f t="shared" ca="1" si="1"/>
        <v>45369</v>
      </c>
      <c r="F852" s="6">
        <f t="shared" ca="1" si="2"/>
        <v>45352</v>
      </c>
      <c r="G852" s="7"/>
    </row>
    <row r="853" spans="1:7" x14ac:dyDescent="0.2">
      <c r="A853" s="3">
        <f ca="1">IFERROR(__xludf.DUMMYFUNCTION("""COMPUTED_VALUE"""),1536)</f>
        <v>1536</v>
      </c>
      <c r="B853" s="6">
        <f ca="1">IFERROR(__xludf.DUMMYFUNCTION("""COMPUTED_VALUE"""),45372.9215046296)</f>
        <v>45372.921504629601</v>
      </c>
      <c r="C853" s="3" t="str">
        <f ca="1">IFERROR(__xludf.DUMMYFUNCTION("""COMPUTED_VALUE"""),"purchase")</f>
        <v>purchase</v>
      </c>
      <c r="D853" s="6">
        <f t="shared" ca="1" si="0"/>
        <v>45372</v>
      </c>
      <c r="E853" s="6">
        <f t="shared" ca="1" si="1"/>
        <v>45369</v>
      </c>
      <c r="F853" s="6">
        <f t="shared" ca="1" si="2"/>
        <v>45352</v>
      </c>
      <c r="G853" s="7"/>
    </row>
    <row r="854" spans="1:7" x14ac:dyDescent="0.2">
      <c r="A854" s="3">
        <f ca="1">IFERROR(__xludf.DUMMYFUNCTION("""COMPUTED_VALUE"""),2949)</f>
        <v>2949</v>
      </c>
      <c r="B854" s="6">
        <f ca="1">IFERROR(__xludf.DUMMYFUNCTION("""COMPUTED_VALUE"""),45373.015625)</f>
        <v>45373.015625</v>
      </c>
      <c r="C854" s="3" t="str">
        <f ca="1">IFERROR(__xludf.DUMMYFUNCTION("""COMPUTED_VALUE"""),"purchase")</f>
        <v>purchase</v>
      </c>
      <c r="D854" s="6">
        <f t="shared" ca="1" si="0"/>
        <v>45373</v>
      </c>
      <c r="E854" s="6">
        <f t="shared" ca="1" si="1"/>
        <v>45369</v>
      </c>
      <c r="F854" s="6">
        <f t="shared" ca="1" si="2"/>
        <v>45352</v>
      </c>
      <c r="G854" s="7"/>
    </row>
    <row r="855" spans="1:7" x14ac:dyDescent="0.2">
      <c r="A855" s="3">
        <f ca="1">IFERROR(__xludf.DUMMYFUNCTION("""COMPUTED_VALUE"""),488)</f>
        <v>488</v>
      </c>
      <c r="B855" s="6">
        <f ca="1">IFERROR(__xludf.DUMMYFUNCTION("""COMPUTED_VALUE"""),45373.0551388888)</f>
        <v>45373.055138888798</v>
      </c>
      <c r="C855" s="3" t="str">
        <f ca="1">IFERROR(__xludf.DUMMYFUNCTION("""COMPUTED_VALUE"""),"purchase")</f>
        <v>purchase</v>
      </c>
      <c r="D855" s="6">
        <f t="shared" ca="1" si="0"/>
        <v>45373</v>
      </c>
      <c r="E855" s="6">
        <f t="shared" ca="1" si="1"/>
        <v>45369</v>
      </c>
      <c r="F855" s="6">
        <f t="shared" ca="1" si="2"/>
        <v>45352</v>
      </c>
      <c r="G855" s="7"/>
    </row>
    <row r="856" spans="1:7" x14ac:dyDescent="0.2">
      <c r="A856" s="3">
        <f ca="1">IFERROR(__xludf.DUMMYFUNCTION("""COMPUTED_VALUE"""),2813)</f>
        <v>2813</v>
      </c>
      <c r="B856" s="6">
        <f ca="1">IFERROR(__xludf.DUMMYFUNCTION("""COMPUTED_VALUE"""),45373.2338773148)</f>
        <v>45373.2338773148</v>
      </c>
      <c r="C856" s="3" t="str">
        <f ca="1">IFERROR(__xludf.DUMMYFUNCTION("""COMPUTED_VALUE"""),"purchase")</f>
        <v>purchase</v>
      </c>
      <c r="D856" s="6">
        <f t="shared" ca="1" si="0"/>
        <v>45373</v>
      </c>
      <c r="E856" s="6">
        <f t="shared" ca="1" si="1"/>
        <v>45369</v>
      </c>
      <c r="F856" s="6">
        <f t="shared" ca="1" si="2"/>
        <v>45352</v>
      </c>
      <c r="G856" s="7"/>
    </row>
    <row r="857" spans="1:7" x14ac:dyDescent="0.2">
      <c r="A857" s="3">
        <f ca="1">IFERROR(__xludf.DUMMYFUNCTION("""COMPUTED_VALUE"""),3001)</f>
        <v>3001</v>
      </c>
      <c r="B857" s="6">
        <f ca="1">IFERROR(__xludf.DUMMYFUNCTION("""COMPUTED_VALUE"""),45373.2455787037)</f>
        <v>45373.245578703703</v>
      </c>
      <c r="C857" s="3" t="str">
        <f ca="1">IFERROR(__xludf.DUMMYFUNCTION("""COMPUTED_VALUE"""),"purchase")</f>
        <v>purchase</v>
      </c>
      <c r="D857" s="6">
        <f t="shared" ca="1" si="0"/>
        <v>45373</v>
      </c>
      <c r="E857" s="6">
        <f t="shared" ca="1" si="1"/>
        <v>45369</v>
      </c>
      <c r="F857" s="6">
        <f t="shared" ca="1" si="2"/>
        <v>45352</v>
      </c>
      <c r="G857" s="7"/>
    </row>
    <row r="858" spans="1:7" x14ac:dyDescent="0.2">
      <c r="A858" s="3">
        <f ca="1">IFERROR(__xludf.DUMMYFUNCTION("""COMPUTED_VALUE"""),1079)</f>
        <v>1079</v>
      </c>
      <c r="B858" s="6">
        <f ca="1">IFERROR(__xludf.DUMMYFUNCTION("""COMPUTED_VALUE"""),45373.2566550925)</f>
        <v>45373.256655092497</v>
      </c>
      <c r="C858" s="3" t="str">
        <f ca="1">IFERROR(__xludf.DUMMYFUNCTION("""COMPUTED_VALUE"""),"purchase")</f>
        <v>purchase</v>
      </c>
      <c r="D858" s="6">
        <f t="shared" ca="1" si="0"/>
        <v>45373</v>
      </c>
      <c r="E858" s="6">
        <f t="shared" ca="1" si="1"/>
        <v>45369</v>
      </c>
      <c r="F858" s="6">
        <f t="shared" ca="1" si="2"/>
        <v>45352</v>
      </c>
      <c r="G858" s="7"/>
    </row>
    <row r="859" spans="1:7" x14ac:dyDescent="0.2">
      <c r="A859" s="3">
        <f ca="1">IFERROR(__xludf.DUMMYFUNCTION("""COMPUTED_VALUE"""),550)</f>
        <v>550</v>
      </c>
      <c r="B859" s="6">
        <f ca="1">IFERROR(__xludf.DUMMYFUNCTION("""COMPUTED_VALUE"""),45373.3002199074)</f>
        <v>45373.300219907404</v>
      </c>
      <c r="C859" s="3" t="str">
        <f ca="1">IFERROR(__xludf.DUMMYFUNCTION("""COMPUTED_VALUE"""),"purchase")</f>
        <v>purchase</v>
      </c>
      <c r="D859" s="6">
        <f t="shared" ca="1" si="0"/>
        <v>45373</v>
      </c>
      <c r="E859" s="6">
        <f t="shared" ca="1" si="1"/>
        <v>45369</v>
      </c>
      <c r="F859" s="6">
        <f t="shared" ca="1" si="2"/>
        <v>45352</v>
      </c>
      <c r="G859" s="7"/>
    </row>
    <row r="860" spans="1:7" x14ac:dyDescent="0.2">
      <c r="A860" s="3">
        <f ca="1">IFERROR(__xludf.DUMMYFUNCTION("""COMPUTED_VALUE"""),7301)</f>
        <v>7301</v>
      </c>
      <c r="B860" s="6">
        <f ca="1">IFERROR(__xludf.DUMMYFUNCTION("""COMPUTED_VALUE"""),45373.4152083333)</f>
        <v>45373.415208333303</v>
      </c>
      <c r="C860" s="3" t="str">
        <f ca="1">IFERROR(__xludf.DUMMYFUNCTION("""COMPUTED_VALUE"""),"purchase")</f>
        <v>purchase</v>
      </c>
      <c r="D860" s="6">
        <f t="shared" ca="1" si="0"/>
        <v>45373</v>
      </c>
      <c r="E860" s="6">
        <f t="shared" ca="1" si="1"/>
        <v>45369</v>
      </c>
      <c r="F860" s="6">
        <f t="shared" ca="1" si="2"/>
        <v>45352</v>
      </c>
      <c r="G860" s="7"/>
    </row>
    <row r="861" spans="1:7" x14ac:dyDescent="0.2">
      <c r="A861" s="3">
        <f ca="1">IFERROR(__xludf.DUMMYFUNCTION("""COMPUTED_VALUE"""),3072)</f>
        <v>3072</v>
      </c>
      <c r="B861" s="6">
        <f ca="1">IFERROR(__xludf.DUMMYFUNCTION("""COMPUTED_VALUE"""),45373.4277546296)</f>
        <v>45373.4277546296</v>
      </c>
      <c r="C861" s="3" t="str">
        <f ca="1">IFERROR(__xludf.DUMMYFUNCTION("""COMPUTED_VALUE"""),"purchase")</f>
        <v>purchase</v>
      </c>
      <c r="D861" s="6">
        <f t="shared" ca="1" si="0"/>
        <v>45373</v>
      </c>
      <c r="E861" s="6">
        <f t="shared" ca="1" si="1"/>
        <v>45369</v>
      </c>
      <c r="F861" s="6">
        <f t="shared" ca="1" si="2"/>
        <v>45352</v>
      </c>
      <c r="G861" s="7"/>
    </row>
    <row r="862" spans="1:7" x14ac:dyDescent="0.2">
      <c r="A862" s="3">
        <f ca="1">IFERROR(__xludf.DUMMYFUNCTION("""COMPUTED_VALUE"""),3394)</f>
        <v>3394</v>
      </c>
      <c r="B862" s="6">
        <f ca="1">IFERROR(__xludf.DUMMYFUNCTION("""COMPUTED_VALUE"""),45373.4293402777)</f>
        <v>45373.429340277697</v>
      </c>
      <c r="C862" s="3" t="str">
        <f ca="1">IFERROR(__xludf.DUMMYFUNCTION("""COMPUTED_VALUE"""),"purchase")</f>
        <v>purchase</v>
      </c>
      <c r="D862" s="6">
        <f t="shared" ca="1" si="0"/>
        <v>45373</v>
      </c>
      <c r="E862" s="6">
        <f t="shared" ca="1" si="1"/>
        <v>45369</v>
      </c>
      <c r="F862" s="6">
        <f t="shared" ca="1" si="2"/>
        <v>45352</v>
      </c>
      <c r="G862" s="7"/>
    </row>
    <row r="863" spans="1:7" x14ac:dyDescent="0.2">
      <c r="A863" s="3">
        <f ca="1">IFERROR(__xludf.DUMMYFUNCTION("""COMPUTED_VALUE"""),1076)</f>
        <v>1076</v>
      </c>
      <c r="B863" s="6">
        <f ca="1">IFERROR(__xludf.DUMMYFUNCTION("""COMPUTED_VALUE"""),45373.5457175925)</f>
        <v>45373.545717592497</v>
      </c>
      <c r="C863" s="3" t="str">
        <f ca="1">IFERROR(__xludf.DUMMYFUNCTION("""COMPUTED_VALUE"""),"purchase")</f>
        <v>purchase</v>
      </c>
      <c r="D863" s="6">
        <f t="shared" ca="1" si="0"/>
        <v>45373</v>
      </c>
      <c r="E863" s="6">
        <f t="shared" ca="1" si="1"/>
        <v>45369</v>
      </c>
      <c r="F863" s="6">
        <f t="shared" ca="1" si="2"/>
        <v>45352</v>
      </c>
      <c r="G863" s="7"/>
    </row>
    <row r="864" spans="1:7" x14ac:dyDescent="0.2">
      <c r="A864" s="3">
        <f ca="1">IFERROR(__xludf.DUMMYFUNCTION("""COMPUTED_VALUE"""),7213)</f>
        <v>7213</v>
      </c>
      <c r="B864" s="6">
        <f ca="1">IFERROR(__xludf.DUMMYFUNCTION("""COMPUTED_VALUE"""),45373.824224537)</f>
        <v>45373.824224536998</v>
      </c>
      <c r="C864" s="3" t="str">
        <f ca="1">IFERROR(__xludf.DUMMYFUNCTION("""COMPUTED_VALUE"""),"purchase")</f>
        <v>purchase</v>
      </c>
      <c r="D864" s="6">
        <f t="shared" ca="1" si="0"/>
        <v>45373</v>
      </c>
      <c r="E864" s="6">
        <f t="shared" ca="1" si="1"/>
        <v>45369</v>
      </c>
      <c r="F864" s="6">
        <f t="shared" ca="1" si="2"/>
        <v>45352</v>
      </c>
      <c r="G864" s="7"/>
    </row>
    <row r="865" spans="1:7" x14ac:dyDescent="0.2">
      <c r="A865" s="3">
        <f ca="1">IFERROR(__xludf.DUMMYFUNCTION("""COMPUTED_VALUE"""),3033)</f>
        <v>3033</v>
      </c>
      <c r="B865" s="6">
        <f ca="1">IFERROR(__xludf.DUMMYFUNCTION("""COMPUTED_VALUE"""),45373.8619907407)</f>
        <v>45373.861990740697</v>
      </c>
      <c r="C865" s="3" t="str">
        <f ca="1">IFERROR(__xludf.DUMMYFUNCTION("""COMPUTED_VALUE"""),"purchase")</f>
        <v>purchase</v>
      </c>
      <c r="D865" s="6">
        <f t="shared" ca="1" si="0"/>
        <v>45373</v>
      </c>
      <c r="E865" s="6">
        <f t="shared" ca="1" si="1"/>
        <v>45369</v>
      </c>
      <c r="F865" s="6">
        <f t="shared" ca="1" si="2"/>
        <v>45352</v>
      </c>
      <c r="G865" s="7"/>
    </row>
    <row r="866" spans="1:7" x14ac:dyDescent="0.2">
      <c r="A866" s="3">
        <f ca="1">IFERROR(__xludf.DUMMYFUNCTION("""COMPUTED_VALUE"""),6466)</f>
        <v>6466</v>
      </c>
      <c r="B866" s="6">
        <f ca="1">IFERROR(__xludf.DUMMYFUNCTION("""COMPUTED_VALUE"""),45373.879849537)</f>
        <v>45373.879849536999</v>
      </c>
      <c r="C866" s="3" t="str">
        <f ca="1">IFERROR(__xludf.DUMMYFUNCTION("""COMPUTED_VALUE"""),"purchase")</f>
        <v>purchase</v>
      </c>
      <c r="D866" s="6">
        <f t="shared" ca="1" si="0"/>
        <v>45373</v>
      </c>
      <c r="E866" s="6">
        <f t="shared" ca="1" si="1"/>
        <v>45369</v>
      </c>
      <c r="F866" s="6">
        <f t="shared" ca="1" si="2"/>
        <v>45352</v>
      </c>
      <c r="G866" s="7"/>
    </row>
    <row r="867" spans="1:7" x14ac:dyDescent="0.2">
      <c r="A867" s="3">
        <f ca="1">IFERROR(__xludf.DUMMYFUNCTION("""COMPUTED_VALUE"""),7828)</f>
        <v>7828</v>
      </c>
      <c r="B867" s="6">
        <f ca="1">IFERROR(__xludf.DUMMYFUNCTION("""COMPUTED_VALUE"""),45373.9978472222)</f>
        <v>45373.997847222199</v>
      </c>
      <c r="C867" s="3" t="str">
        <f ca="1">IFERROR(__xludf.DUMMYFUNCTION("""COMPUTED_VALUE"""),"purchase")</f>
        <v>purchase</v>
      </c>
      <c r="D867" s="6">
        <f t="shared" ca="1" si="0"/>
        <v>45373</v>
      </c>
      <c r="E867" s="6">
        <f t="shared" ca="1" si="1"/>
        <v>45369</v>
      </c>
      <c r="F867" s="6">
        <f t="shared" ca="1" si="2"/>
        <v>45352</v>
      </c>
      <c r="G867" s="7"/>
    </row>
    <row r="868" spans="1:7" x14ac:dyDescent="0.2">
      <c r="A868" s="3">
        <f ca="1">IFERROR(__xludf.DUMMYFUNCTION("""COMPUTED_VALUE"""),1026)</f>
        <v>1026</v>
      </c>
      <c r="B868" s="6">
        <f ca="1">IFERROR(__xludf.DUMMYFUNCTION("""COMPUTED_VALUE"""),45374.0676157406)</f>
        <v>45374.0676157407</v>
      </c>
      <c r="C868" s="3" t="str">
        <f ca="1">IFERROR(__xludf.DUMMYFUNCTION("""COMPUTED_VALUE"""),"purchase")</f>
        <v>purchase</v>
      </c>
      <c r="D868" s="6">
        <f t="shared" ca="1" si="0"/>
        <v>45374</v>
      </c>
      <c r="E868" s="6">
        <f t="shared" ca="1" si="1"/>
        <v>45369</v>
      </c>
      <c r="F868" s="6">
        <f t="shared" ca="1" si="2"/>
        <v>45352</v>
      </c>
      <c r="G868" s="7"/>
    </row>
    <row r="869" spans="1:7" x14ac:dyDescent="0.2">
      <c r="A869" s="3">
        <f ca="1">IFERROR(__xludf.DUMMYFUNCTION("""COMPUTED_VALUE"""),7825)</f>
        <v>7825</v>
      </c>
      <c r="B869" s="6">
        <f ca="1">IFERROR(__xludf.DUMMYFUNCTION("""COMPUTED_VALUE"""),45374.0943402777)</f>
        <v>45374.094340277697</v>
      </c>
      <c r="C869" s="3" t="str">
        <f ca="1">IFERROR(__xludf.DUMMYFUNCTION("""COMPUTED_VALUE"""),"purchase")</f>
        <v>purchase</v>
      </c>
      <c r="D869" s="6">
        <f t="shared" ca="1" si="0"/>
        <v>45374</v>
      </c>
      <c r="E869" s="6">
        <f t="shared" ca="1" si="1"/>
        <v>45369</v>
      </c>
      <c r="F869" s="6">
        <f t="shared" ca="1" si="2"/>
        <v>45352</v>
      </c>
      <c r="G869" s="7"/>
    </row>
    <row r="870" spans="1:7" x14ac:dyDescent="0.2">
      <c r="A870" s="3">
        <f ca="1">IFERROR(__xludf.DUMMYFUNCTION("""COMPUTED_VALUE"""),6836)</f>
        <v>6836</v>
      </c>
      <c r="B870" s="6">
        <f ca="1">IFERROR(__xludf.DUMMYFUNCTION("""COMPUTED_VALUE"""),45374.1321527777)</f>
        <v>45374.132152777704</v>
      </c>
      <c r="C870" s="3" t="str">
        <f ca="1">IFERROR(__xludf.DUMMYFUNCTION("""COMPUTED_VALUE"""),"purchase")</f>
        <v>purchase</v>
      </c>
      <c r="D870" s="6">
        <f t="shared" ca="1" si="0"/>
        <v>45374</v>
      </c>
      <c r="E870" s="6">
        <f t="shared" ca="1" si="1"/>
        <v>45369</v>
      </c>
      <c r="F870" s="6">
        <f t="shared" ca="1" si="2"/>
        <v>45352</v>
      </c>
      <c r="G870" s="7"/>
    </row>
    <row r="871" spans="1:7" x14ac:dyDescent="0.2">
      <c r="A871" s="3">
        <f ca="1">IFERROR(__xludf.DUMMYFUNCTION("""COMPUTED_VALUE"""),5717)</f>
        <v>5717</v>
      </c>
      <c r="B871" s="6">
        <f ca="1">IFERROR(__xludf.DUMMYFUNCTION("""COMPUTED_VALUE"""),45374.1374537037)</f>
        <v>45374.137453703697</v>
      </c>
      <c r="C871" s="3" t="str">
        <f ca="1">IFERROR(__xludf.DUMMYFUNCTION("""COMPUTED_VALUE"""),"purchase")</f>
        <v>purchase</v>
      </c>
      <c r="D871" s="6">
        <f t="shared" ca="1" si="0"/>
        <v>45374</v>
      </c>
      <c r="E871" s="6">
        <f t="shared" ca="1" si="1"/>
        <v>45369</v>
      </c>
      <c r="F871" s="6">
        <f t="shared" ca="1" si="2"/>
        <v>45352</v>
      </c>
      <c r="G871" s="7"/>
    </row>
    <row r="872" spans="1:7" x14ac:dyDescent="0.2">
      <c r="A872" s="3">
        <f ca="1">IFERROR(__xludf.DUMMYFUNCTION("""COMPUTED_VALUE"""),1299)</f>
        <v>1299</v>
      </c>
      <c r="B872" s="6">
        <f ca="1">IFERROR(__xludf.DUMMYFUNCTION("""COMPUTED_VALUE"""),45374.1408449074)</f>
        <v>45374.140844907401</v>
      </c>
      <c r="C872" s="3" t="str">
        <f ca="1">IFERROR(__xludf.DUMMYFUNCTION("""COMPUTED_VALUE"""),"purchase")</f>
        <v>purchase</v>
      </c>
      <c r="D872" s="6">
        <f t="shared" ca="1" si="0"/>
        <v>45374</v>
      </c>
      <c r="E872" s="6">
        <f t="shared" ca="1" si="1"/>
        <v>45369</v>
      </c>
      <c r="F872" s="6">
        <f t="shared" ca="1" si="2"/>
        <v>45352</v>
      </c>
      <c r="G872" s="7"/>
    </row>
    <row r="873" spans="1:7" x14ac:dyDescent="0.2">
      <c r="A873" s="3">
        <f ca="1">IFERROR(__xludf.DUMMYFUNCTION("""COMPUTED_VALUE"""),5675)</f>
        <v>5675</v>
      </c>
      <c r="B873" s="6">
        <f ca="1">IFERROR(__xludf.DUMMYFUNCTION("""COMPUTED_VALUE"""),45374.2204513888)</f>
        <v>45374.220451388799</v>
      </c>
      <c r="C873" s="3" t="str">
        <f ca="1">IFERROR(__xludf.DUMMYFUNCTION("""COMPUTED_VALUE"""),"purchase")</f>
        <v>purchase</v>
      </c>
      <c r="D873" s="6">
        <f t="shared" ca="1" si="0"/>
        <v>45374</v>
      </c>
      <c r="E873" s="6">
        <f t="shared" ca="1" si="1"/>
        <v>45369</v>
      </c>
      <c r="F873" s="6">
        <f t="shared" ca="1" si="2"/>
        <v>45352</v>
      </c>
      <c r="G873" s="7"/>
    </row>
    <row r="874" spans="1:7" x14ac:dyDescent="0.2">
      <c r="A874" s="3">
        <f ca="1">IFERROR(__xludf.DUMMYFUNCTION("""COMPUTED_VALUE"""),3186)</f>
        <v>3186</v>
      </c>
      <c r="B874" s="6">
        <f ca="1">IFERROR(__xludf.DUMMYFUNCTION("""COMPUTED_VALUE"""),45374.2442476851)</f>
        <v>45374.244247685099</v>
      </c>
      <c r="C874" s="3" t="str">
        <f ca="1">IFERROR(__xludf.DUMMYFUNCTION("""COMPUTED_VALUE"""),"purchase")</f>
        <v>purchase</v>
      </c>
      <c r="D874" s="6">
        <f t="shared" ca="1" si="0"/>
        <v>45374</v>
      </c>
      <c r="E874" s="6">
        <f t="shared" ca="1" si="1"/>
        <v>45369</v>
      </c>
      <c r="F874" s="6">
        <f t="shared" ca="1" si="2"/>
        <v>45352</v>
      </c>
      <c r="G874" s="7"/>
    </row>
    <row r="875" spans="1:7" x14ac:dyDescent="0.2">
      <c r="A875" s="3">
        <f ca="1">IFERROR(__xludf.DUMMYFUNCTION("""COMPUTED_VALUE"""),4501)</f>
        <v>4501</v>
      </c>
      <c r="B875" s="6">
        <f ca="1">IFERROR(__xludf.DUMMYFUNCTION("""COMPUTED_VALUE"""),45374.2484837963)</f>
        <v>45374.248483796298</v>
      </c>
      <c r="C875" s="3" t="str">
        <f ca="1">IFERROR(__xludf.DUMMYFUNCTION("""COMPUTED_VALUE"""),"purchase")</f>
        <v>purchase</v>
      </c>
      <c r="D875" s="6">
        <f t="shared" ca="1" si="0"/>
        <v>45374</v>
      </c>
      <c r="E875" s="6">
        <f t="shared" ca="1" si="1"/>
        <v>45369</v>
      </c>
      <c r="F875" s="6">
        <f t="shared" ca="1" si="2"/>
        <v>45352</v>
      </c>
      <c r="G875" s="7"/>
    </row>
    <row r="876" spans="1:7" x14ac:dyDescent="0.2">
      <c r="A876" s="3">
        <f ca="1">IFERROR(__xludf.DUMMYFUNCTION("""COMPUTED_VALUE"""),2649)</f>
        <v>2649</v>
      </c>
      <c r="B876" s="6">
        <f ca="1">IFERROR(__xludf.DUMMYFUNCTION("""COMPUTED_VALUE"""),45374.2921875)</f>
        <v>45374.292187500003</v>
      </c>
      <c r="C876" s="3" t="str">
        <f ca="1">IFERROR(__xludf.DUMMYFUNCTION("""COMPUTED_VALUE"""),"purchase")</f>
        <v>purchase</v>
      </c>
      <c r="D876" s="6">
        <f t="shared" ca="1" si="0"/>
        <v>45374</v>
      </c>
      <c r="E876" s="6">
        <f t="shared" ca="1" si="1"/>
        <v>45369</v>
      </c>
      <c r="F876" s="6">
        <f t="shared" ca="1" si="2"/>
        <v>45352</v>
      </c>
      <c r="G876" s="7"/>
    </row>
    <row r="877" spans="1:7" x14ac:dyDescent="0.2">
      <c r="A877" s="3">
        <f ca="1">IFERROR(__xludf.DUMMYFUNCTION("""COMPUTED_VALUE"""),6497)</f>
        <v>6497</v>
      </c>
      <c r="B877" s="6">
        <f ca="1">IFERROR(__xludf.DUMMYFUNCTION("""COMPUTED_VALUE"""),45374.3163657407)</f>
        <v>45374.316365740699</v>
      </c>
      <c r="C877" s="3" t="str">
        <f ca="1">IFERROR(__xludf.DUMMYFUNCTION("""COMPUTED_VALUE"""),"purchase")</f>
        <v>purchase</v>
      </c>
      <c r="D877" s="6">
        <f t="shared" ca="1" si="0"/>
        <v>45374</v>
      </c>
      <c r="E877" s="6">
        <f t="shared" ca="1" si="1"/>
        <v>45369</v>
      </c>
      <c r="F877" s="6">
        <f t="shared" ca="1" si="2"/>
        <v>45352</v>
      </c>
      <c r="G877" s="7"/>
    </row>
    <row r="878" spans="1:7" x14ac:dyDescent="0.2">
      <c r="A878" s="3">
        <f ca="1">IFERROR(__xludf.DUMMYFUNCTION("""COMPUTED_VALUE"""),2551)</f>
        <v>2551</v>
      </c>
      <c r="B878" s="6">
        <f ca="1">IFERROR(__xludf.DUMMYFUNCTION("""COMPUTED_VALUE"""),45374.3407060184)</f>
        <v>45374.340706018498</v>
      </c>
      <c r="C878" s="3" t="str">
        <f ca="1">IFERROR(__xludf.DUMMYFUNCTION("""COMPUTED_VALUE"""),"purchase")</f>
        <v>purchase</v>
      </c>
      <c r="D878" s="6">
        <f t="shared" ca="1" si="0"/>
        <v>45374</v>
      </c>
      <c r="E878" s="6">
        <f t="shared" ca="1" si="1"/>
        <v>45369</v>
      </c>
      <c r="F878" s="6">
        <f t="shared" ca="1" si="2"/>
        <v>45352</v>
      </c>
      <c r="G878" s="7"/>
    </row>
    <row r="879" spans="1:7" x14ac:dyDescent="0.2">
      <c r="A879" s="3">
        <f ca="1">IFERROR(__xludf.DUMMYFUNCTION("""COMPUTED_VALUE"""),834)</f>
        <v>834</v>
      </c>
      <c r="B879" s="6">
        <f ca="1">IFERROR(__xludf.DUMMYFUNCTION("""COMPUTED_VALUE"""),45374.3914814814)</f>
        <v>45374.391481481398</v>
      </c>
      <c r="C879" s="3" t="str">
        <f ca="1">IFERROR(__xludf.DUMMYFUNCTION("""COMPUTED_VALUE"""),"purchase")</f>
        <v>purchase</v>
      </c>
      <c r="D879" s="6">
        <f t="shared" ca="1" si="0"/>
        <v>45374</v>
      </c>
      <c r="E879" s="6">
        <f t="shared" ca="1" si="1"/>
        <v>45369</v>
      </c>
      <c r="F879" s="6">
        <f t="shared" ca="1" si="2"/>
        <v>45352</v>
      </c>
      <c r="G879" s="7"/>
    </row>
    <row r="880" spans="1:7" x14ac:dyDescent="0.2">
      <c r="A880" s="3">
        <f ca="1">IFERROR(__xludf.DUMMYFUNCTION("""COMPUTED_VALUE"""),5003)</f>
        <v>5003</v>
      </c>
      <c r="B880" s="6">
        <f ca="1">IFERROR(__xludf.DUMMYFUNCTION("""COMPUTED_VALUE"""),45374.5687384259)</f>
        <v>45374.5687384259</v>
      </c>
      <c r="C880" s="3" t="str">
        <f ca="1">IFERROR(__xludf.DUMMYFUNCTION("""COMPUTED_VALUE"""),"purchase")</f>
        <v>purchase</v>
      </c>
      <c r="D880" s="6">
        <f t="shared" ca="1" si="0"/>
        <v>45374</v>
      </c>
      <c r="E880" s="6">
        <f t="shared" ca="1" si="1"/>
        <v>45369</v>
      </c>
      <c r="F880" s="6">
        <f t="shared" ca="1" si="2"/>
        <v>45352</v>
      </c>
      <c r="G880" s="7"/>
    </row>
    <row r="881" spans="1:7" x14ac:dyDescent="0.2">
      <c r="A881" s="3">
        <f ca="1">IFERROR(__xludf.DUMMYFUNCTION("""COMPUTED_VALUE"""),4025)</f>
        <v>4025</v>
      </c>
      <c r="B881" s="6">
        <f ca="1">IFERROR(__xludf.DUMMYFUNCTION("""COMPUTED_VALUE"""),45374.5916435185)</f>
        <v>45374.591643518499</v>
      </c>
      <c r="C881" s="3" t="str">
        <f ca="1">IFERROR(__xludf.DUMMYFUNCTION("""COMPUTED_VALUE"""),"purchase")</f>
        <v>purchase</v>
      </c>
      <c r="D881" s="6">
        <f t="shared" ca="1" si="0"/>
        <v>45374</v>
      </c>
      <c r="E881" s="6">
        <f t="shared" ca="1" si="1"/>
        <v>45369</v>
      </c>
      <c r="F881" s="6">
        <f t="shared" ca="1" si="2"/>
        <v>45352</v>
      </c>
      <c r="G881" s="7"/>
    </row>
    <row r="882" spans="1:7" x14ac:dyDescent="0.2">
      <c r="A882" s="3">
        <f ca="1">IFERROR(__xludf.DUMMYFUNCTION("""COMPUTED_VALUE"""),6469)</f>
        <v>6469</v>
      </c>
      <c r="B882" s="6">
        <f ca="1">IFERROR(__xludf.DUMMYFUNCTION("""COMPUTED_VALUE"""),45374.6580324074)</f>
        <v>45374.658032407402</v>
      </c>
      <c r="C882" s="3" t="str">
        <f ca="1">IFERROR(__xludf.DUMMYFUNCTION("""COMPUTED_VALUE"""),"purchase")</f>
        <v>purchase</v>
      </c>
      <c r="D882" s="6">
        <f t="shared" ca="1" si="0"/>
        <v>45374</v>
      </c>
      <c r="E882" s="6">
        <f t="shared" ca="1" si="1"/>
        <v>45369</v>
      </c>
      <c r="F882" s="6">
        <f t="shared" ca="1" si="2"/>
        <v>45352</v>
      </c>
      <c r="G882" s="7"/>
    </row>
    <row r="883" spans="1:7" x14ac:dyDescent="0.2">
      <c r="A883" s="3">
        <f ca="1">IFERROR(__xludf.DUMMYFUNCTION("""COMPUTED_VALUE"""),2522)</f>
        <v>2522</v>
      </c>
      <c r="B883" s="6">
        <f ca="1">IFERROR(__xludf.DUMMYFUNCTION("""COMPUTED_VALUE"""),45374.7028819444)</f>
        <v>45374.702881944402</v>
      </c>
      <c r="C883" s="3" t="str">
        <f ca="1">IFERROR(__xludf.DUMMYFUNCTION("""COMPUTED_VALUE"""),"purchase")</f>
        <v>purchase</v>
      </c>
      <c r="D883" s="6">
        <f t="shared" ca="1" si="0"/>
        <v>45374</v>
      </c>
      <c r="E883" s="6">
        <f t="shared" ca="1" si="1"/>
        <v>45369</v>
      </c>
      <c r="F883" s="6">
        <f t="shared" ca="1" si="2"/>
        <v>45352</v>
      </c>
      <c r="G883" s="7"/>
    </row>
    <row r="884" spans="1:7" x14ac:dyDescent="0.2">
      <c r="A884" s="3">
        <f ca="1">IFERROR(__xludf.DUMMYFUNCTION("""COMPUTED_VALUE"""),3571)</f>
        <v>3571</v>
      </c>
      <c r="B884" s="6">
        <f ca="1">IFERROR(__xludf.DUMMYFUNCTION("""COMPUTED_VALUE"""),45374.7083796296)</f>
        <v>45374.708379629599</v>
      </c>
      <c r="C884" s="3" t="str">
        <f ca="1">IFERROR(__xludf.DUMMYFUNCTION("""COMPUTED_VALUE"""),"purchase")</f>
        <v>purchase</v>
      </c>
      <c r="D884" s="6">
        <f t="shared" ca="1" si="0"/>
        <v>45374</v>
      </c>
      <c r="E884" s="6">
        <f t="shared" ca="1" si="1"/>
        <v>45369</v>
      </c>
      <c r="F884" s="6">
        <f t="shared" ca="1" si="2"/>
        <v>45352</v>
      </c>
      <c r="G884" s="7"/>
    </row>
    <row r="885" spans="1:7" x14ac:dyDescent="0.2">
      <c r="A885" s="3">
        <f ca="1">IFERROR(__xludf.DUMMYFUNCTION("""COMPUTED_VALUE"""),2088)</f>
        <v>2088</v>
      </c>
      <c r="B885" s="6">
        <f ca="1">IFERROR(__xludf.DUMMYFUNCTION("""COMPUTED_VALUE"""),45374.7203125)</f>
        <v>45374.720312500001</v>
      </c>
      <c r="C885" s="3" t="str">
        <f ca="1">IFERROR(__xludf.DUMMYFUNCTION("""COMPUTED_VALUE"""),"purchase")</f>
        <v>purchase</v>
      </c>
      <c r="D885" s="6">
        <f t="shared" ca="1" si="0"/>
        <v>45374</v>
      </c>
      <c r="E885" s="6">
        <f t="shared" ca="1" si="1"/>
        <v>45369</v>
      </c>
      <c r="F885" s="6">
        <f t="shared" ca="1" si="2"/>
        <v>45352</v>
      </c>
      <c r="G885" s="7"/>
    </row>
    <row r="886" spans="1:7" x14ac:dyDescent="0.2">
      <c r="A886" s="3">
        <f ca="1">IFERROR(__xludf.DUMMYFUNCTION("""COMPUTED_VALUE"""),1062)</f>
        <v>1062</v>
      </c>
      <c r="B886" s="6">
        <f ca="1">IFERROR(__xludf.DUMMYFUNCTION("""COMPUTED_VALUE"""),45374.7257754629)</f>
        <v>45374.725775462903</v>
      </c>
      <c r="C886" s="3" t="str">
        <f ca="1">IFERROR(__xludf.DUMMYFUNCTION("""COMPUTED_VALUE"""),"purchase")</f>
        <v>purchase</v>
      </c>
      <c r="D886" s="6">
        <f t="shared" ca="1" si="0"/>
        <v>45374</v>
      </c>
      <c r="E886" s="6">
        <f t="shared" ca="1" si="1"/>
        <v>45369</v>
      </c>
      <c r="F886" s="6">
        <f t="shared" ca="1" si="2"/>
        <v>45352</v>
      </c>
      <c r="G886" s="7"/>
    </row>
    <row r="887" spans="1:7" x14ac:dyDescent="0.2">
      <c r="A887" s="3">
        <f ca="1">IFERROR(__xludf.DUMMYFUNCTION("""COMPUTED_VALUE"""),6487)</f>
        <v>6487</v>
      </c>
      <c r="B887" s="6">
        <f ca="1">IFERROR(__xludf.DUMMYFUNCTION("""COMPUTED_VALUE"""),45374.7334027777)</f>
        <v>45374.733402777703</v>
      </c>
      <c r="C887" s="3" t="str">
        <f ca="1">IFERROR(__xludf.DUMMYFUNCTION("""COMPUTED_VALUE"""),"purchase")</f>
        <v>purchase</v>
      </c>
      <c r="D887" s="6">
        <f t="shared" ca="1" si="0"/>
        <v>45374</v>
      </c>
      <c r="E887" s="6">
        <f t="shared" ca="1" si="1"/>
        <v>45369</v>
      </c>
      <c r="F887" s="6">
        <f t="shared" ca="1" si="2"/>
        <v>45352</v>
      </c>
      <c r="G887" s="7"/>
    </row>
    <row r="888" spans="1:7" x14ac:dyDescent="0.2">
      <c r="A888" s="3">
        <f ca="1">IFERROR(__xludf.DUMMYFUNCTION("""COMPUTED_VALUE"""),3287)</f>
        <v>3287</v>
      </c>
      <c r="B888" s="6">
        <f ca="1">IFERROR(__xludf.DUMMYFUNCTION("""COMPUTED_VALUE"""),45374.7429629629)</f>
        <v>45374.742962962897</v>
      </c>
      <c r="C888" s="3" t="str">
        <f ca="1">IFERROR(__xludf.DUMMYFUNCTION("""COMPUTED_VALUE"""),"purchase")</f>
        <v>purchase</v>
      </c>
      <c r="D888" s="6">
        <f t="shared" ca="1" si="0"/>
        <v>45374</v>
      </c>
      <c r="E888" s="6">
        <f t="shared" ca="1" si="1"/>
        <v>45369</v>
      </c>
      <c r="F888" s="6">
        <f t="shared" ca="1" si="2"/>
        <v>45352</v>
      </c>
      <c r="G888" s="7"/>
    </row>
    <row r="889" spans="1:7" x14ac:dyDescent="0.2">
      <c r="A889" s="3">
        <f ca="1">IFERROR(__xludf.DUMMYFUNCTION("""COMPUTED_VALUE"""),1883)</f>
        <v>1883</v>
      </c>
      <c r="B889" s="6">
        <f ca="1">IFERROR(__xludf.DUMMYFUNCTION("""COMPUTED_VALUE"""),45374.7754861111)</f>
        <v>45374.775486111103</v>
      </c>
      <c r="C889" s="3" t="str">
        <f ca="1">IFERROR(__xludf.DUMMYFUNCTION("""COMPUTED_VALUE"""),"purchase")</f>
        <v>purchase</v>
      </c>
      <c r="D889" s="6">
        <f t="shared" ca="1" si="0"/>
        <v>45374</v>
      </c>
      <c r="E889" s="6">
        <f t="shared" ca="1" si="1"/>
        <v>45369</v>
      </c>
      <c r="F889" s="6">
        <f t="shared" ca="1" si="2"/>
        <v>45352</v>
      </c>
      <c r="G889" s="7"/>
    </row>
    <row r="890" spans="1:7" x14ac:dyDescent="0.2">
      <c r="A890" s="3">
        <f ca="1">IFERROR(__xludf.DUMMYFUNCTION("""COMPUTED_VALUE"""),5104)</f>
        <v>5104</v>
      </c>
      <c r="B890" s="6">
        <f ca="1">IFERROR(__xludf.DUMMYFUNCTION("""COMPUTED_VALUE"""),45374.8565509259)</f>
        <v>45374.856550925899</v>
      </c>
      <c r="C890" s="3" t="str">
        <f ca="1">IFERROR(__xludf.DUMMYFUNCTION("""COMPUTED_VALUE"""),"purchase")</f>
        <v>purchase</v>
      </c>
      <c r="D890" s="6">
        <f t="shared" ca="1" si="0"/>
        <v>45374</v>
      </c>
      <c r="E890" s="6">
        <f t="shared" ca="1" si="1"/>
        <v>45369</v>
      </c>
      <c r="F890" s="6">
        <f t="shared" ca="1" si="2"/>
        <v>45352</v>
      </c>
      <c r="G890" s="7"/>
    </row>
    <row r="891" spans="1:7" x14ac:dyDescent="0.2">
      <c r="A891" s="3">
        <f ca="1">IFERROR(__xludf.DUMMYFUNCTION("""COMPUTED_VALUE"""),7840)</f>
        <v>7840</v>
      </c>
      <c r="B891" s="6">
        <f ca="1">IFERROR(__xludf.DUMMYFUNCTION("""COMPUTED_VALUE"""),45375.0542013888)</f>
        <v>45375.054201388797</v>
      </c>
      <c r="C891" s="3" t="str">
        <f ca="1">IFERROR(__xludf.DUMMYFUNCTION("""COMPUTED_VALUE"""),"purchase")</f>
        <v>purchase</v>
      </c>
      <c r="D891" s="6">
        <f t="shared" ca="1" si="0"/>
        <v>45375</v>
      </c>
      <c r="E891" s="6">
        <f t="shared" ca="1" si="1"/>
        <v>45369</v>
      </c>
      <c r="F891" s="6">
        <f t="shared" ca="1" si="2"/>
        <v>45352</v>
      </c>
      <c r="G891" s="7"/>
    </row>
    <row r="892" spans="1:7" x14ac:dyDescent="0.2">
      <c r="A892" s="3">
        <f ca="1">IFERROR(__xludf.DUMMYFUNCTION("""COMPUTED_VALUE"""),3735)</f>
        <v>3735</v>
      </c>
      <c r="B892" s="6">
        <f ca="1">IFERROR(__xludf.DUMMYFUNCTION("""COMPUTED_VALUE"""),45375.2011342592)</f>
        <v>45375.201134259201</v>
      </c>
      <c r="C892" s="3" t="str">
        <f ca="1">IFERROR(__xludf.DUMMYFUNCTION("""COMPUTED_VALUE"""),"purchase")</f>
        <v>purchase</v>
      </c>
      <c r="D892" s="6">
        <f t="shared" ca="1" si="0"/>
        <v>45375</v>
      </c>
      <c r="E892" s="6">
        <f t="shared" ca="1" si="1"/>
        <v>45369</v>
      </c>
      <c r="F892" s="6">
        <f t="shared" ca="1" si="2"/>
        <v>45352</v>
      </c>
      <c r="G892" s="7"/>
    </row>
    <row r="893" spans="1:7" x14ac:dyDescent="0.2">
      <c r="A893" s="3">
        <f ca="1">IFERROR(__xludf.DUMMYFUNCTION("""COMPUTED_VALUE"""),2946)</f>
        <v>2946</v>
      </c>
      <c r="B893" s="6">
        <f ca="1">IFERROR(__xludf.DUMMYFUNCTION("""COMPUTED_VALUE"""),45375.2041550925)</f>
        <v>45375.204155092499</v>
      </c>
      <c r="C893" s="3" t="str">
        <f ca="1">IFERROR(__xludf.DUMMYFUNCTION("""COMPUTED_VALUE"""),"purchase")</f>
        <v>purchase</v>
      </c>
      <c r="D893" s="6">
        <f t="shared" ca="1" si="0"/>
        <v>45375</v>
      </c>
      <c r="E893" s="6">
        <f t="shared" ca="1" si="1"/>
        <v>45369</v>
      </c>
      <c r="F893" s="6">
        <f t="shared" ca="1" si="2"/>
        <v>45352</v>
      </c>
      <c r="G893" s="7"/>
    </row>
    <row r="894" spans="1:7" x14ac:dyDescent="0.2">
      <c r="A894" s="3">
        <f ca="1">IFERROR(__xludf.DUMMYFUNCTION("""COMPUTED_VALUE"""),1973)</f>
        <v>1973</v>
      </c>
      <c r="B894" s="6">
        <f ca="1">IFERROR(__xludf.DUMMYFUNCTION("""COMPUTED_VALUE"""),45375.3979513888)</f>
        <v>45375.397951388797</v>
      </c>
      <c r="C894" s="3" t="str">
        <f ca="1">IFERROR(__xludf.DUMMYFUNCTION("""COMPUTED_VALUE"""),"purchase")</f>
        <v>purchase</v>
      </c>
      <c r="D894" s="6">
        <f t="shared" ca="1" si="0"/>
        <v>45375</v>
      </c>
      <c r="E894" s="6">
        <f t="shared" ca="1" si="1"/>
        <v>45369</v>
      </c>
      <c r="F894" s="6">
        <f t="shared" ca="1" si="2"/>
        <v>45352</v>
      </c>
      <c r="G894" s="7"/>
    </row>
    <row r="895" spans="1:7" x14ac:dyDescent="0.2">
      <c r="A895" s="3">
        <f ca="1">IFERROR(__xludf.DUMMYFUNCTION("""COMPUTED_VALUE"""),6628)</f>
        <v>6628</v>
      </c>
      <c r="B895" s="6">
        <f ca="1">IFERROR(__xludf.DUMMYFUNCTION("""COMPUTED_VALUE"""),45375.4961342592)</f>
        <v>45375.4961342592</v>
      </c>
      <c r="C895" s="3" t="str">
        <f ca="1">IFERROR(__xludf.DUMMYFUNCTION("""COMPUTED_VALUE"""),"purchase")</f>
        <v>purchase</v>
      </c>
      <c r="D895" s="6">
        <f t="shared" ca="1" si="0"/>
        <v>45375</v>
      </c>
      <c r="E895" s="6">
        <f t="shared" ca="1" si="1"/>
        <v>45369</v>
      </c>
      <c r="F895" s="6">
        <f t="shared" ca="1" si="2"/>
        <v>45352</v>
      </c>
      <c r="G895" s="7"/>
    </row>
    <row r="896" spans="1:7" x14ac:dyDescent="0.2">
      <c r="A896" s="3">
        <f ca="1">IFERROR(__xludf.DUMMYFUNCTION("""COMPUTED_VALUE"""),4161)</f>
        <v>4161</v>
      </c>
      <c r="B896" s="6">
        <f ca="1">IFERROR(__xludf.DUMMYFUNCTION("""COMPUTED_VALUE"""),45375.5515046296)</f>
        <v>45375.551504629599</v>
      </c>
      <c r="C896" s="3" t="str">
        <f ca="1">IFERROR(__xludf.DUMMYFUNCTION("""COMPUTED_VALUE"""),"purchase")</f>
        <v>purchase</v>
      </c>
      <c r="D896" s="6">
        <f t="shared" ca="1" si="0"/>
        <v>45375</v>
      </c>
      <c r="E896" s="6">
        <f t="shared" ca="1" si="1"/>
        <v>45369</v>
      </c>
      <c r="F896" s="6">
        <f t="shared" ca="1" si="2"/>
        <v>45352</v>
      </c>
      <c r="G896" s="7"/>
    </row>
    <row r="897" spans="1:7" x14ac:dyDescent="0.2">
      <c r="A897" s="3">
        <f ca="1">IFERROR(__xludf.DUMMYFUNCTION("""COMPUTED_VALUE"""),848)</f>
        <v>848</v>
      </c>
      <c r="B897" s="6">
        <f ca="1">IFERROR(__xludf.DUMMYFUNCTION("""COMPUTED_VALUE"""),45375.5597453703)</f>
        <v>45375.559745370301</v>
      </c>
      <c r="C897" s="3" t="str">
        <f ca="1">IFERROR(__xludf.DUMMYFUNCTION("""COMPUTED_VALUE"""),"purchase")</f>
        <v>purchase</v>
      </c>
      <c r="D897" s="6">
        <f t="shared" ca="1" si="0"/>
        <v>45375</v>
      </c>
      <c r="E897" s="6">
        <f t="shared" ca="1" si="1"/>
        <v>45369</v>
      </c>
      <c r="F897" s="6">
        <f t="shared" ca="1" si="2"/>
        <v>45352</v>
      </c>
      <c r="G897" s="7"/>
    </row>
    <row r="898" spans="1:7" x14ac:dyDescent="0.2">
      <c r="A898" s="3">
        <f ca="1">IFERROR(__xludf.DUMMYFUNCTION("""COMPUTED_VALUE"""),1194)</f>
        <v>1194</v>
      </c>
      <c r="B898" s="6">
        <f ca="1">IFERROR(__xludf.DUMMYFUNCTION("""COMPUTED_VALUE"""),45375.6101851851)</f>
        <v>45375.610185185098</v>
      </c>
      <c r="C898" s="3" t="str">
        <f ca="1">IFERROR(__xludf.DUMMYFUNCTION("""COMPUTED_VALUE"""),"purchase")</f>
        <v>purchase</v>
      </c>
      <c r="D898" s="6">
        <f t="shared" ca="1" si="0"/>
        <v>45375</v>
      </c>
      <c r="E898" s="6">
        <f t="shared" ca="1" si="1"/>
        <v>45369</v>
      </c>
      <c r="F898" s="6">
        <f t="shared" ca="1" si="2"/>
        <v>45352</v>
      </c>
      <c r="G898" s="7"/>
    </row>
    <row r="899" spans="1:7" x14ac:dyDescent="0.2">
      <c r="A899" s="3">
        <f ca="1">IFERROR(__xludf.DUMMYFUNCTION("""COMPUTED_VALUE"""),4175)</f>
        <v>4175</v>
      </c>
      <c r="B899" s="6">
        <f ca="1">IFERROR(__xludf.DUMMYFUNCTION("""COMPUTED_VALUE"""),45375.6563773148)</f>
        <v>45375.656377314801</v>
      </c>
      <c r="C899" s="3" t="str">
        <f ca="1">IFERROR(__xludf.DUMMYFUNCTION("""COMPUTED_VALUE"""),"purchase")</f>
        <v>purchase</v>
      </c>
      <c r="D899" s="6">
        <f t="shared" ca="1" si="0"/>
        <v>45375</v>
      </c>
      <c r="E899" s="6">
        <f t="shared" ca="1" si="1"/>
        <v>45369</v>
      </c>
      <c r="F899" s="6">
        <f t="shared" ca="1" si="2"/>
        <v>45352</v>
      </c>
      <c r="G899" s="7"/>
    </row>
    <row r="900" spans="1:7" x14ac:dyDescent="0.2">
      <c r="A900" s="3">
        <f ca="1">IFERROR(__xludf.DUMMYFUNCTION("""COMPUTED_VALUE"""),1653)</f>
        <v>1653</v>
      </c>
      <c r="B900" s="6">
        <f ca="1">IFERROR(__xludf.DUMMYFUNCTION("""COMPUTED_VALUE"""),45375.7141319444)</f>
        <v>45375.714131944398</v>
      </c>
      <c r="C900" s="3" t="str">
        <f ca="1">IFERROR(__xludf.DUMMYFUNCTION("""COMPUTED_VALUE"""),"purchase")</f>
        <v>purchase</v>
      </c>
      <c r="D900" s="6">
        <f t="shared" ca="1" si="0"/>
        <v>45375</v>
      </c>
      <c r="E900" s="6">
        <f t="shared" ca="1" si="1"/>
        <v>45369</v>
      </c>
      <c r="F900" s="6">
        <f t="shared" ca="1" si="2"/>
        <v>45352</v>
      </c>
      <c r="G900" s="7"/>
    </row>
    <row r="901" spans="1:7" x14ac:dyDescent="0.2">
      <c r="A901" s="3">
        <f ca="1">IFERROR(__xludf.DUMMYFUNCTION("""COMPUTED_VALUE"""),5158)</f>
        <v>5158</v>
      </c>
      <c r="B901" s="6">
        <f ca="1">IFERROR(__xludf.DUMMYFUNCTION("""COMPUTED_VALUE"""),45375.7485069444)</f>
        <v>45375.748506944401</v>
      </c>
      <c r="C901" s="3" t="str">
        <f ca="1">IFERROR(__xludf.DUMMYFUNCTION("""COMPUTED_VALUE"""),"purchase")</f>
        <v>purchase</v>
      </c>
      <c r="D901" s="6">
        <f t="shared" ca="1" si="0"/>
        <v>45375</v>
      </c>
      <c r="E901" s="6">
        <f t="shared" ca="1" si="1"/>
        <v>45369</v>
      </c>
      <c r="F901" s="6">
        <f t="shared" ca="1" si="2"/>
        <v>45352</v>
      </c>
      <c r="G901" s="7"/>
    </row>
    <row r="902" spans="1:7" x14ac:dyDescent="0.2">
      <c r="A902" s="3">
        <f ca="1">IFERROR(__xludf.DUMMYFUNCTION("""COMPUTED_VALUE"""),7300)</f>
        <v>7300</v>
      </c>
      <c r="B902" s="6">
        <f ca="1">IFERROR(__xludf.DUMMYFUNCTION("""COMPUTED_VALUE"""),45375.8963888888)</f>
        <v>45375.896388888803</v>
      </c>
      <c r="C902" s="3" t="str">
        <f ca="1">IFERROR(__xludf.DUMMYFUNCTION("""COMPUTED_VALUE"""),"purchase")</f>
        <v>purchase</v>
      </c>
      <c r="D902" s="6">
        <f t="shared" ca="1" si="0"/>
        <v>45375</v>
      </c>
      <c r="E902" s="6">
        <f t="shared" ca="1" si="1"/>
        <v>45369</v>
      </c>
      <c r="F902" s="6">
        <f t="shared" ca="1" si="2"/>
        <v>45352</v>
      </c>
      <c r="G902" s="7"/>
    </row>
    <row r="903" spans="1:7" x14ac:dyDescent="0.2">
      <c r="A903" s="3">
        <f ca="1">IFERROR(__xludf.DUMMYFUNCTION("""COMPUTED_VALUE"""),5170)</f>
        <v>5170</v>
      </c>
      <c r="B903" s="6">
        <f ca="1">IFERROR(__xludf.DUMMYFUNCTION("""COMPUTED_VALUE"""),45376.0165277777)</f>
        <v>45376.016527777698</v>
      </c>
      <c r="C903" s="3" t="str">
        <f ca="1">IFERROR(__xludf.DUMMYFUNCTION("""COMPUTED_VALUE"""),"purchase")</f>
        <v>purchase</v>
      </c>
      <c r="D903" s="6">
        <f t="shared" ca="1" si="0"/>
        <v>45376</v>
      </c>
      <c r="E903" s="6">
        <f t="shared" ca="1" si="1"/>
        <v>45376</v>
      </c>
      <c r="F903" s="6">
        <f t="shared" ca="1" si="2"/>
        <v>45352</v>
      </c>
      <c r="G903" s="7"/>
    </row>
    <row r="904" spans="1:7" x14ac:dyDescent="0.2">
      <c r="A904" s="3">
        <f ca="1">IFERROR(__xludf.DUMMYFUNCTION("""COMPUTED_VALUE"""),2719)</f>
        <v>2719</v>
      </c>
      <c r="B904" s="6">
        <f ca="1">IFERROR(__xludf.DUMMYFUNCTION("""COMPUTED_VALUE"""),45376.199375)</f>
        <v>45376.199374999997</v>
      </c>
      <c r="C904" s="3" t="str">
        <f ca="1">IFERROR(__xludf.DUMMYFUNCTION("""COMPUTED_VALUE"""),"purchase")</f>
        <v>purchase</v>
      </c>
      <c r="D904" s="6">
        <f t="shared" ca="1" si="0"/>
        <v>45376</v>
      </c>
      <c r="E904" s="6">
        <f t="shared" ca="1" si="1"/>
        <v>45376</v>
      </c>
      <c r="F904" s="6">
        <f t="shared" ca="1" si="2"/>
        <v>45352</v>
      </c>
      <c r="G904" s="7"/>
    </row>
    <row r="905" spans="1:7" x14ac:dyDescent="0.2">
      <c r="A905" s="3">
        <f ca="1">IFERROR(__xludf.DUMMYFUNCTION("""COMPUTED_VALUE"""),1421)</f>
        <v>1421</v>
      </c>
      <c r="B905" s="6">
        <f ca="1">IFERROR(__xludf.DUMMYFUNCTION("""COMPUTED_VALUE"""),45376.4889699073)</f>
        <v>45376.488969907397</v>
      </c>
      <c r="C905" s="3" t="str">
        <f ca="1">IFERROR(__xludf.DUMMYFUNCTION("""COMPUTED_VALUE"""),"purchase")</f>
        <v>purchase</v>
      </c>
      <c r="D905" s="6">
        <f t="shared" ca="1" si="0"/>
        <v>45376</v>
      </c>
      <c r="E905" s="6">
        <f t="shared" ca="1" si="1"/>
        <v>45376</v>
      </c>
      <c r="F905" s="6">
        <f t="shared" ca="1" si="2"/>
        <v>45352</v>
      </c>
      <c r="G905" s="7"/>
    </row>
    <row r="906" spans="1:7" x14ac:dyDescent="0.2">
      <c r="A906" s="3">
        <f ca="1">IFERROR(__xludf.DUMMYFUNCTION("""COMPUTED_VALUE"""),4422)</f>
        <v>4422</v>
      </c>
      <c r="B906" s="6">
        <f ca="1">IFERROR(__xludf.DUMMYFUNCTION("""COMPUTED_VALUE"""),45376.5097916666)</f>
        <v>45376.509791666598</v>
      </c>
      <c r="C906" s="3" t="str">
        <f ca="1">IFERROR(__xludf.DUMMYFUNCTION("""COMPUTED_VALUE"""),"purchase")</f>
        <v>purchase</v>
      </c>
      <c r="D906" s="6">
        <f t="shared" ca="1" si="0"/>
        <v>45376</v>
      </c>
      <c r="E906" s="6">
        <f t="shared" ca="1" si="1"/>
        <v>45376</v>
      </c>
      <c r="F906" s="6">
        <f t="shared" ca="1" si="2"/>
        <v>45352</v>
      </c>
      <c r="G906" s="7"/>
    </row>
    <row r="907" spans="1:7" x14ac:dyDescent="0.2">
      <c r="A907" s="3">
        <f ca="1">IFERROR(__xludf.DUMMYFUNCTION("""COMPUTED_VALUE"""),7817)</f>
        <v>7817</v>
      </c>
      <c r="B907" s="6">
        <f ca="1">IFERROR(__xludf.DUMMYFUNCTION("""COMPUTED_VALUE"""),45376.6452314814)</f>
        <v>45376.645231481401</v>
      </c>
      <c r="C907" s="3" t="str">
        <f ca="1">IFERROR(__xludf.DUMMYFUNCTION("""COMPUTED_VALUE"""),"purchase")</f>
        <v>purchase</v>
      </c>
      <c r="D907" s="6">
        <f t="shared" ca="1" si="0"/>
        <v>45376</v>
      </c>
      <c r="E907" s="6">
        <f t="shared" ca="1" si="1"/>
        <v>45376</v>
      </c>
      <c r="F907" s="6">
        <f t="shared" ca="1" si="2"/>
        <v>45352</v>
      </c>
      <c r="G907" s="7"/>
    </row>
    <row r="908" spans="1:7" x14ac:dyDescent="0.2">
      <c r="A908" s="3">
        <f ca="1">IFERROR(__xludf.DUMMYFUNCTION("""COMPUTED_VALUE"""),857)</f>
        <v>857</v>
      </c>
      <c r="B908" s="6">
        <f ca="1">IFERROR(__xludf.DUMMYFUNCTION("""COMPUTED_VALUE"""),45376.7104282407)</f>
        <v>45376.710428240702</v>
      </c>
      <c r="C908" s="3" t="str">
        <f ca="1">IFERROR(__xludf.DUMMYFUNCTION("""COMPUTED_VALUE"""),"purchase")</f>
        <v>purchase</v>
      </c>
      <c r="D908" s="6">
        <f t="shared" ca="1" si="0"/>
        <v>45376</v>
      </c>
      <c r="E908" s="6">
        <f t="shared" ca="1" si="1"/>
        <v>45376</v>
      </c>
      <c r="F908" s="6">
        <f t="shared" ca="1" si="2"/>
        <v>45352</v>
      </c>
      <c r="G908" s="7"/>
    </row>
    <row r="909" spans="1:7" x14ac:dyDescent="0.2">
      <c r="A909" s="3">
        <f ca="1">IFERROR(__xludf.DUMMYFUNCTION("""COMPUTED_VALUE"""),7907)</f>
        <v>7907</v>
      </c>
      <c r="B909" s="6">
        <f ca="1">IFERROR(__xludf.DUMMYFUNCTION("""COMPUTED_VALUE"""),45376.7853356481)</f>
        <v>45376.785335648099</v>
      </c>
      <c r="C909" s="3" t="str">
        <f ca="1">IFERROR(__xludf.DUMMYFUNCTION("""COMPUTED_VALUE"""),"purchase")</f>
        <v>purchase</v>
      </c>
      <c r="D909" s="6">
        <f t="shared" ca="1" si="0"/>
        <v>45376</v>
      </c>
      <c r="E909" s="6">
        <f t="shared" ca="1" si="1"/>
        <v>45376</v>
      </c>
      <c r="F909" s="6">
        <f t="shared" ca="1" si="2"/>
        <v>45352</v>
      </c>
      <c r="G909" s="7"/>
    </row>
    <row r="910" spans="1:7" x14ac:dyDescent="0.2">
      <c r="A910" s="3">
        <f ca="1">IFERROR(__xludf.DUMMYFUNCTION("""COMPUTED_VALUE"""),4230)</f>
        <v>4230</v>
      </c>
      <c r="B910" s="6">
        <f ca="1">IFERROR(__xludf.DUMMYFUNCTION("""COMPUTED_VALUE"""),45376.7939814814)</f>
        <v>45376.793981481402</v>
      </c>
      <c r="C910" s="3" t="str">
        <f ca="1">IFERROR(__xludf.DUMMYFUNCTION("""COMPUTED_VALUE"""),"purchase")</f>
        <v>purchase</v>
      </c>
      <c r="D910" s="6">
        <f t="shared" ca="1" si="0"/>
        <v>45376</v>
      </c>
      <c r="E910" s="6">
        <f t="shared" ca="1" si="1"/>
        <v>45376</v>
      </c>
      <c r="F910" s="6">
        <f t="shared" ca="1" si="2"/>
        <v>45352</v>
      </c>
      <c r="G910" s="7"/>
    </row>
    <row r="911" spans="1:7" x14ac:dyDescent="0.2">
      <c r="A911" s="3">
        <f ca="1">IFERROR(__xludf.DUMMYFUNCTION("""COMPUTED_VALUE"""),6038)</f>
        <v>6038</v>
      </c>
      <c r="B911" s="6">
        <f ca="1">IFERROR(__xludf.DUMMYFUNCTION("""COMPUTED_VALUE"""),45376.9873958333)</f>
        <v>45376.987395833297</v>
      </c>
      <c r="C911" s="3" t="str">
        <f ca="1">IFERROR(__xludf.DUMMYFUNCTION("""COMPUTED_VALUE"""),"purchase")</f>
        <v>purchase</v>
      </c>
      <c r="D911" s="6">
        <f t="shared" ca="1" si="0"/>
        <v>45376</v>
      </c>
      <c r="E911" s="6">
        <f t="shared" ca="1" si="1"/>
        <v>45376</v>
      </c>
      <c r="F911" s="6">
        <f t="shared" ca="1" si="2"/>
        <v>45352</v>
      </c>
      <c r="G911" s="7"/>
    </row>
    <row r="912" spans="1:7" x14ac:dyDescent="0.2">
      <c r="A912" s="3">
        <f ca="1">IFERROR(__xludf.DUMMYFUNCTION("""COMPUTED_VALUE"""),2578)</f>
        <v>2578</v>
      </c>
      <c r="B912" s="6">
        <f ca="1">IFERROR(__xludf.DUMMYFUNCTION("""COMPUTED_VALUE"""),45377.0357986111)</f>
        <v>45377.035798611098</v>
      </c>
      <c r="C912" s="3" t="str">
        <f ca="1">IFERROR(__xludf.DUMMYFUNCTION("""COMPUTED_VALUE"""),"purchase")</f>
        <v>purchase</v>
      </c>
      <c r="D912" s="6">
        <f t="shared" ca="1" si="0"/>
        <v>45377</v>
      </c>
      <c r="E912" s="6">
        <f t="shared" ca="1" si="1"/>
        <v>45376</v>
      </c>
      <c r="F912" s="6">
        <f t="shared" ca="1" si="2"/>
        <v>45352</v>
      </c>
      <c r="G912" s="7"/>
    </row>
    <row r="913" spans="1:7" x14ac:dyDescent="0.2">
      <c r="A913" s="3">
        <f ca="1">IFERROR(__xludf.DUMMYFUNCTION("""COMPUTED_VALUE"""),5019)</f>
        <v>5019</v>
      </c>
      <c r="B913" s="6">
        <f ca="1">IFERROR(__xludf.DUMMYFUNCTION("""COMPUTED_VALUE"""),45377.0541666666)</f>
        <v>45377.054166666603</v>
      </c>
      <c r="C913" s="3" t="str">
        <f ca="1">IFERROR(__xludf.DUMMYFUNCTION("""COMPUTED_VALUE"""),"purchase")</f>
        <v>purchase</v>
      </c>
      <c r="D913" s="6">
        <f t="shared" ca="1" si="0"/>
        <v>45377</v>
      </c>
      <c r="E913" s="6">
        <f t="shared" ca="1" si="1"/>
        <v>45376</v>
      </c>
      <c r="F913" s="6">
        <f t="shared" ca="1" si="2"/>
        <v>45352</v>
      </c>
      <c r="G913" s="7"/>
    </row>
    <row r="914" spans="1:7" x14ac:dyDescent="0.2">
      <c r="A914" s="3">
        <f ca="1">IFERROR(__xludf.DUMMYFUNCTION("""COMPUTED_VALUE"""),7146)</f>
        <v>7146</v>
      </c>
      <c r="B914" s="6">
        <f ca="1">IFERROR(__xludf.DUMMYFUNCTION("""COMPUTED_VALUE"""),45377.2103819444)</f>
        <v>45377.210381944402</v>
      </c>
      <c r="C914" s="3" t="str">
        <f ca="1">IFERROR(__xludf.DUMMYFUNCTION("""COMPUTED_VALUE"""),"purchase")</f>
        <v>purchase</v>
      </c>
      <c r="D914" s="6">
        <f t="shared" ca="1" si="0"/>
        <v>45377</v>
      </c>
      <c r="E914" s="6">
        <f t="shared" ca="1" si="1"/>
        <v>45376</v>
      </c>
      <c r="F914" s="6">
        <f t="shared" ca="1" si="2"/>
        <v>45352</v>
      </c>
      <c r="G914" s="7"/>
    </row>
    <row r="915" spans="1:7" x14ac:dyDescent="0.2">
      <c r="A915" s="3">
        <f ca="1">IFERROR(__xludf.DUMMYFUNCTION("""COMPUTED_VALUE"""),5472)</f>
        <v>5472</v>
      </c>
      <c r="B915" s="6">
        <f ca="1">IFERROR(__xludf.DUMMYFUNCTION("""COMPUTED_VALUE"""),45377.2302546296)</f>
        <v>45377.230254629598</v>
      </c>
      <c r="C915" s="3" t="str">
        <f ca="1">IFERROR(__xludf.DUMMYFUNCTION("""COMPUTED_VALUE"""),"purchase")</f>
        <v>purchase</v>
      </c>
      <c r="D915" s="6">
        <f t="shared" ca="1" si="0"/>
        <v>45377</v>
      </c>
      <c r="E915" s="6">
        <f t="shared" ca="1" si="1"/>
        <v>45376</v>
      </c>
      <c r="F915" s="6">
        <f t="shared" ca="1" si="2"/>
        <v>45352</v>
      </c>
      <c r="G915" s="7"/>
    </row>
    <row r="916" spans="1:7" x14ac:dyDescent="0.2">
      <c r="A916" s="3">
        <f ca="1">IFERROR(__xludf.DUMMYFUNCTION("""COMPUTED_VALUE"""),3308)</f>
        <v>3308</v>
      </c>
      <c r="B916" s="6">
        <f ca="1">IFERROR(__xludf.DUMMYFUNCTION("""COMPUTED_VALUE"""),45377.2953009259)</f>
        <v>45377.2953009259</v>
      </c>
      <c r="C916" s="3" t="str">
        <f ca="1">IFERROR(__xludf.DUMMYFUNCTION("""COMPUTED_VALUE"""),"purchase")</f>
        <v>purchase</v>
      </c>
      <c r="D916" s="6">
        <f t="shared" ca="1" si="0"/>
        <v>45377</v>
      </c>
      <c r="E916" s="6">
        <f t="shared" ca="1" si="1"/>
        <v>45376</v>
      </c>
      <c r="F916" s="6">
        <f t="shared" ca="1" si="2"/>
        <v>45352</v>
      </c>
      <c r="G916" s="7"/>
    </row>
    <row r="917" spans="1:7" x14ac:dyDescent="0.2">
      <c r="A917" s="3">
        <f ca="1">IFERROR(__xludf.DUMMYFUNCTION("""COMPUTED_VALUE"""),5628)</f>
        <v>5628</v>
      </c>
      <c r="B917" s="6">
        <f ca="1">IFERROR(__xludf.DUMMYFUNCTION("""COMPUTED_VALUE"""),45377.4084143518)</f>
        <v>45377.408414351798</v>
      </c>
      <c r="C917" s="3" t="str">
        <f ca="1">IFERROR(__xludf.DUMMYFUNCTION("""COMPUTED_VALUE"""),"purchase")</f>
        <v>purchase</v>
      </c>
      <c r="D917" s="6">
        <f t="shared" ca="1" si="0"/>
        <v>45377</v>
      </c>
      <c r="E917" s="6">
        <f t="shared" ca="1" si="1"/>
        <v>45376</v>
      </c>
      <c r="F917" s="6">
        <f t="shared" ca="1" si="2"/>
        <v>45352</v>
      </c>
      <c r="G917" s="7"/>
    </row>
    <row r="918" spans="1:7" x14ac:dyDescent="0.2">
      <c r="A918" s="3">
        <f ca="1">IFERROR(__xludf.DUMMYFUNCTION("""COMPUTED_VALUE"""),1745)</f>
        <v>1745</v>
      </c>
      <c r="B918" s="6">
        <f ca="1">IFERROR(__xludf.DUMMYFUNCTION("""COMPUTED_VALUE"""),45377.4693634259)</f>
        <v>45377.469363425902</v>
      </c>
      <c r="C918" s="3" t="str">
        <f ca="1">IFERROR(__xludf.DUMMYFUNCTION("""COMPUTED_VALUE"""),"purchase")</f>
        <v>purchase</v>
      </c>
      <c r="D918" s="6">
        <f t="shared" ca="1" si="0"/>
        <v>45377</v>
      </c>
      <c r="E918" s="6">
        <f t="shared" ca="1" si="1"/>
        <v>45376</v>
      </c>
      <c r="F918" s="6">
        <f t="shared" ca="1" si="2"/>
        <v>45352</v>
      </c>
      <c r="G918" s="7"/>
    </row>
    <row r="919" spans="1:7" x14ac:dyDescent="0.2">
      <c r="A919" s="3">
        <f ca="1">IFERROR(__xludf.DUMMYFUNCTION("""COMPUTED_VALUE"""),3961)</f>
        <v>3961</v>
      </c>
      <c r="B919" s="6">
        <f ca="1">IFERROR(__xludf.DUMMYFUNCTION("""COMPUTED_VALUE"""),45377.4865393518)</f>
        <v>45377.486539351798</v>
      </c>
      <c r="C919" s="3" t="str">
        <f ca="1">IFERROR(__xludf.DUMMYFUNCTION("""COMPUTED_VALUE"""),"purchase")</f>
        <v>purchase</v>
      </c>
      <c r="D919" s="6">
        <f t="shared" ca="1" si="0"/>
        <v>45377</v>
      </c>
      <c r="E919" s="6">
        <f t="shared" ca="1" si="1"/>
        <v>45376</v>
      </c>
      <c r="F919" s="6">
        <f t="shared" ca="1" si="2"/>
        <v>45352</v>
      </c>
      <c r="G919" s="7"/>
    </row>
    <row r="920" spans="1:7" x14ac:dyDescent="0.2">
      <c r="A920" s="3">
        <f ca="1">IFERROR(__xludf.DUMMYFUNCTION("""COMPUTED_VALUE"""),6290)</f>
        <v>6290</v>
      </c>
      <c r="B920" s="6">
        <f ca="1">IFERROR(__xludf.DUMMYFUNCTION("""COMPUTED_VALUE"""),45377.537349537)</f>
        <v>45377.537349537</v>
      </c>
      <c r="C920" s="3" t="str">
        <f ca="1">IFERROR(__xludf.DUMMYFUNCTION("""COMPUTED_VALUE"""),"purchase")</f>
        <v>purchase</v>
      </c>
      <c r="D920" s="6">
        <f t="shared" ca="1" si="0"/>
        <v>45377</v>
      </c>
      <c r="E920" s="6">
        <f t="shared" ca="1" si="1"/>
        <v>45376</v>
      </c>
      <c r="F920" s="6">
        <f t="shared" ca="1" si="2"/>
        <v>45352</v>
      </c>
      <c r="G920" s="7"/>
    </row>
    <row r="921" spans="1:7" x14ac:dyDescent="0.2">
      <c r="A921" s="3">
        <f ca="1">IFERROR(__xludf.DUMMYFUNCTION("""COMPUTED_VALUE"""),3986)</f>
        <v>3986</v>
      </c>
      <c r="B921" s="6">
        <f ca="1">IFERROR(__xludf.DUMMYFUNCTION("""COMPUTED_VALUE"""),45377.6585532407)</f>
        <v>45377.658553240697</v>
      </c>
      <c r="C921" s="3" t="str">
        <f ca="1">IFERROR(__xludf.DUMMYFUNCTION("""COMPUTED_VALUE"""),"purchase")</f>
        <v>purchase</v>
      </c>
      <c r="D921" s="6">
        <f t="shared" ca="1" si="0"/>
        <v>45377</v>
      </c>
      <c r="E921" s="6">
        <f t="shared" ca="1" si="1"/>
        <v>45376</v>
      </c>
      <c r="F921" s="6">
        <f t="shared" ca="1" si="2"/>
        <v>45352</v>
      </c>
      <c r="G921" s="7"/>
    </row>
    <row r="922" spans="1:7" x14ac:dyDescent="0.2">
      <c r="A922" s="3">
        <f ca="1">IFERROR(__xludf.DUMMYFUNCTION("""COMPUTED_VALUE"""),7066)</f>
        <v>7066</v>
      </c>
      <c r="B922" s="6">
        <f ca="1">IFERROR(__xludf.DUMMYFUNCTION("""COMPUTED_VALUE"""),45377.7467361111)</f>
        <v>45377.746736111098</v>
      </c>
      <c r="C922" s="3" t="str">
        <f ca="1">IFERROR(__xludf.DUMMYFUNCTION("""COMPUTED_VALUE"""),"purchase")</f>
        <v>purchase</v>
      </c>
      <c r="D922" s="6">
        <f t="shared" ca="1" si="0"/>
        <v>45377</v>
      </c>
      <c r="E922" s="6">
        <f t="shared" ca="1" si="1"/>
        <v>45376</v>
      </c>
      <c r="F922" s="6">
        <f t="shared" ca="1" si="2"/>
        <v>45352</v>
      </c>
      <c r="G922" s="7"/>
    </row>
    <row r="923" spans="1:7" x14ac:dyDescent="0.2">
      <c r="A923" s="3">
        <f ca="1">IFERROR(__xludf.DUMMYFUNCTION("""COMPUTED_VALUE"""),5776)</f>
        <v>5776</v>
      </c>
      <c r="B923" s="6">
        <f ca="1">IFERROR(__xludf.DUMMYFUNCTION("""COMPUTED_VALUE"""),45377.7910416666)</f>
        <v>45377.791041666598</v>
      </c>
      <c r="C923" s="3" t="str">
        <f ca="1">IFERROR(__xludf.DUMMYFUNCTION("""COMPUTED_VALUE"""),"purchase")</f>
        <v>purchase</v>
      </c>
      <c r="D923" s="6">
        <f t="shared" ca="1" si="0"/>
        <v>45377</v>
      </c>
      <c r="E923" s="6">
        <f t="shared" ca="1" si="1"/>
        <v>45376</v>
      </c>
      <c r="F923" s="6">
        <f t="shared" ca="1" si="2"/>
        <v>45352</v>
      </c>
      <c r="G923" s="7"/>
    </row>
    <row r="924" spans="1:7" x14ac:dyDescent="0.2">
      <c r="A924" s="3">
        <f ca="1">IFERROR(__xludf.DUMMYFUNCTION("""COMPUTED_VALUE"""),5689)</f>
        <v>5689</v>
      </c>
      <c r="B924" s="6">
        <f ca="1">IFERROR(__xludf.DUMMYFUNCTION("""COMPUTED_VALUE"""),45377.8160185185)</f>
        <v>45377.816018518497</v>
      </c>
      <c r="C924" s="3" t="str">
        <f ca="1">IFERROR(__xludf.DUMMYFUNCTION("""COMPUTED_VALUE"""),"purchase")</f>
        <v>purchase</v>
      </c>
      <c r="D924" s="6">
        <f t="shared" ca="1" si="0"/>
        <v>45377</v>
      </c>
      <c r="E924" s="6">
        <f t="shared" ca="1" si="1"/>
        <v>45376</v>
      </c>
      <c r="F924" s="6">
        <f t="shared" ca="1" si="2"/>
        <v>45352</v>
      </c>
      <c r="G924" s="7"/>
    </row>
    <row r="925" spans="1:7" x14ac:dyDescent="0.2">
      <c r="A925" s="3">
        <f ca="1">IFERROR(__xludf.DUMMYFUNCTION("""COMPUTED_VALUE"""),6124)</f>
        <v>6124</v>
      </c>
      <c r="B925" s="6">
        <f ca="1">IFERROR(__xludf.DUMMYFUNCTION("""COMPUTED_VALUE"""),45377.8555671296)</f>
        <v>45377.855567129598</v>
      </c>
      <c r="C925" s="3" t="str">
        <f ca="1">IFERROR(__xludf.DUMMYFUNCTION("""COMPUTED_VALUE"""),"purchase")</f>
        <v>purchase</v>
      </c>
      <c r="D925" s="6">
        <f t="shared" ca="1" si="0"/>
        <v>45377</v>
      </c>
      <c r="E925" s="6">
        <f t="shared" ca="1" si="1"/>
        <v>45376</v>
      </c>
      <c r="F925" s="6">
        <f t="shared" ca="1" si="2"/>
        <v>45352</v>
      </c>
      <c r="G925" s="7"/>
    </row>
    <row r="926" spans="1:7" x14ac:dyDescent="0.2">
      <c r="A926" s="3">
        <f ca="1">IFERROR(__xludf.DUMMYFUNCTION("""COMPUTED_VALUE"""),4914)</f>
        <v>4914</v>
      </c>
      <c r="B926" s="6">
        <f ca="1">IFERROR(__xludf.DUMMYFUNCTION("""COMPUTED_VALUE"""),45377.8875)</f>
        <v>45377.887499999997</v>
      </c>
      <c r="C926" s="3" t="str">
        <f ca="1">IFERROR(__xludf.DUMMYFUNCTION("""COMPUTED_VALUE"""),"purchase")</f>
        <v>purchase</v>
      </c>
      <c r="D926" s="6">
        <f t="shared" ca="1" si="0"/>
        <v>45377</v>
      </c>
      <c r="E926" s="6">
        <f t="shared" ca="1" si="1"/>
        <v>45376</v>
      </c>
      <c r="F926" s="6">
        <f t="shared" ca="1" si="2"/>
        <v>45352</v>
      </c>
      <c r="G926" s="7"/>
    </row>
    <row r="927" spans="1:7" x14ac:dyDescent="0.2">
      <c r="A927" s="3">
        <f ca="1">IFERROR(__xludf.DUMMYFUNCTION("""COMPUTED_VALUE"""),477)</f>
        <v>477</v>
      </c>
      <c r="B927" s="6">
        <f ca="1">IFERROR(__xludf.DUMMYFUNCTION("""COMPUTED_VALUE"""),45378.229074074)</f>
        <v>45378.229074073999</v>
      </c>
      <c r="C927" s="3" t="str">
        <f ca="1">IFERROR(__xludf.DUMMYFUNCTION("""COMPUTED_VALUE"""),"purchase")</f>
        <v>purchase</v>
      </c>
      <c r="D927" s="6">
        <f t="shared" ca="1" si="0"/>
        <v>45378</v>
      </c>
      <c r="E927" s="6">
        <f t="shared" ca="1" si="1"/>
        <v>45376</v>
      </c>
      <c r="F927" s="6">
        <f t="shared" ca="1" si="2"/>
        <v>45352</v>
      </c>
      <c r="G927" s="7"/>
    </row>
    <row r="928" spans="1:7" x14ac:dyDescent="0.2">
      <c r="A928" s="3">
        <f ca="1">IFERROR(__xludf.DUMMYFUNCTION("""COMPUTED_VALUE"""),7741)</f>
        <v>7741</v>
      </c>
      <c r="B928" s="6">
        <f ca="1">IFERROR(__xludf.DUMMYFUNCTION("""COMPUTED_VALUE"""),45378.2354282407)</f>
        <v>45378.235428240703</v>
      </c>
      <c r="C928" s="3" t="str">
        <f ca="1">IFERROR(__xludf.DUMMYFUNCTION("""COMPUTED_VALUE"""),"purchase")</f>
        <v>purchase</v>
      </c>
      <c r="D928" s="6">
        <f t="shared" ca="1" si="0"/>
        <v>45378</v>
      </c>
      <c r="E928" s="6">
        <f t="shared" ca="1" si="1"/>
        <v>45376</v>
      </c>
      <c r="F928" s="6">
        <f t="shared" ca="1" si="2"/>
        <v>45352</v>
      </c>
      <c r="G928" s="7"/>
    </row>
    <row r="929" spans="1:7" x14ac:dyDescent="0.2">
      <c r="A929" s="3">
        <f ca="1">IFERROR(__xludf.DUMMYFUNCTION("""COMPUTED_VALUE"""),7342)</f>
        <v>7342</v>
      </c>
      <c r="B929" s="6">
        <f ca="1">IFERROR(__xludf.DUMMYFUNCTION("""COMPUTED_VALUE"""),45378.2565162037)</f>
        <v>45378.256516203699</v>
      </c>
      <c r="C929" s="3" t="str">
        <f ca="1">IFERROR(__xludf.DUMMYFUNCTION("""COMPUTED_VALUE"""),"purchase")</f>
        <v>purchase</v>
      </c>
      <c r="D929" s="6">
        <f t="shared" ca="1" si="0"/>
        <v>45378</v>
      </c>
      <c r="E929" s="6">
        <f t="shared" ca="1" si="1"/>
        <v>45376</v>
      </c>
      <c r="F929" s="6">
        <f t="shared" ca="1" si="2"/>
        <v>45352</v>
      </c>
      <c r="G929" s="7"/>
    </row>
    <row r="930" spans="1:7" x14ac:dyDescent="0.2">
      <c r="A930" s="3">
        <f ca="1">IFERROR(__xludf.DUMMYFUNCTION("""COMPUTED_VALUE"""),7863)</f>
        <v>7863</v>
      </c>
      <c r="B930" s="6">
        <f ca="1">IFERROR(__xludf.DUMMYFUNCTION("""COMPUTED_VALUE"""),45378.3301504629)</f>
        <v>45378.330150462898</v>
      </c>
      <c r="C930" s="3" t="str">
        <f ca="1">IFERROR(__xludf.DUMMYFUNCTION("""COMPUTED_VALUE"""),"purchase")</f>
        <v>purchase</v>
      </c>
      <c r="D930" s="6">
        <f t="shared" ca="1" si="0"/>
        <v>45378</v>
      </c>
      <c r="E930" s="6">
        <f t="shared" ca="1" si="1"/>
        <v>45376</v>
      </c>
      <c r="F930" s="6">
        <f t="shared" ca="1" si="2"/>
        <v>45352</v>
      </c>
      <c r="G930" s="7"/>
    </row>
    <row r="931" spans="1:7" x14ac:dyDescent="0.2">
      <c r="A931" s="3">
        <f ca="1">IFERROR(__xludf.DUMMYFUNCTION("""COMPUTED_VALUE"""),6537)</f>
        <v>6537</v>
      </c>
      <c r="B931" s="6">
        <f ca="1">IFERROR(__xludf.DUMMYFUNCTION("""COMPUTED_VALUE"""),45378.4809143518)</f>
        <v>45378.4809143518</v>
      </c>
      <c r="C931" s="3" t="str">
        <f ca="1">IFERROR(__xludf.DUMMYFUNCTION("""COMPUTED_VALUE"""),"purchase")</f>
        <v>purchase</v>
      </c>
      <c r="D931" s="6">
        <f t="shared" ca="1" si="0"/>
        <v>45378</v>
      </c>
      <c r="E931" s="6">
        <f t="shared" ca="1" si="1"/>
        <v>45376</v>
      </c>
      <c r="F931" s="6">
        <f t="shared" ca="1" si="2"/>
        <v>45352</v>
      </c>
      <c r="G931" s="7"/>
    </row>
    <row r="932" spans="1:7" x14ac:dyDescent="0.2">
      <c r="A932" s="3">
        <f ca="1">IFERROR(__xludf.DUMMYFUNCTION("""COMPUTED_VALUE"""),711)</f>
        <v>711</v>
      </c>
      <c r="B932" s="6">
        <f ca="1">IFERROR(__xludf.DUMMYFUNCTION("""COMPUTED_VALUE"""),45378.5555439814)</f>
        <v>45378.555543981398</v>
      </c>
      <c r="C932" s="3" t="str">
        <f ca="1">IFERROR(__xludf.DUMMYFUNCTION("""COMPUTED_VALUE"""),"purchase")</f>
        <v>purchase</v>
      </c>
      <c r="D932" s="6">
        <f t="shared" ca="1" si="0"/>
        <v>45378</v>
      </c>
      <c r="E932" s="6">
        <f t="shared" ca="1" si="1"/>
        <v>45376</v>
      </c>
      <c r="F932" s="6">
        <f t="shared" ca="1" si="2"/>
        <v>45352</v>
      </c>
      <c r="G932" s="7"/>
    </row>
    <row r="933" spans="1:7" x14ac:dyDescent="0.2">
      <c r="A933" s="3">
        <f ca="1">IFERROR(__xludf.DUMMYFUNCTION("""COMPUTED_VALUE"""),909)</f>
        <v>909</v>
      </c>
      <c r="B933" s="6">
        <f ca="1">IFERROR(__xludf.DUMMYFUNCTION("""COMPUTED_VALUE"""),45378.5932291666)</f>
        <v>45378.593229166603</v>
      </c>
      <c r="C933" s="3" t="str">
        <f ca="1">IFERROR(__xludf.DUMMYFUNCTION("""COMPUTED_VALUE"""),"purchase")</f>
        <v>purchase</v>
      </c>
      <c r="D933" s="6">
        <f t="shared" ca="1" si="0"/>
        <v>45378</v>
      </c>
      <c r="E933" s="6">
        <f t="shared" ca="1" si="1"/>
        <v>45376</v>
      </c>
      <c r="F933" s="6">
        <f t="shared" ca="1" si="2"/>
        <v>45352</v>
      </c>
      <c r="G933" s="7"/>
    </row>
    <row r="934" spans="1:7" x14ac:dyDescent="0.2">
      <c r="A934" s="3">
        <f ca="1">IFERROR(__xludf.DUMMYFUNCTION("""COMPUTED_VALUE"""),6989)</f>
        <v>6989</v>
      </c>
      <c r="B934" s="6">
        <f ca="1">IFERROR(__xludf.DUMMYFUNCTION("""COMPUTED_VALUE"""),45378.6987037037)</f>
        <v>45378.698703703703</v>
      </c>
      <c r="C934" s="3" t="str">
        <f ca="1">IFERROR(__xludf.DUMMYFUNCTION("""COMPUTED_VALUE"""),"purchase")</f>
        <v>purchase</v>
      </c>
      <c r="D934" s="6">
        <f t="shared" ca="1" si="0"/>
        <v>45378</v>
      </c>
      <c r="E934" s="6">
        <f t="shared" ca="1" si="1"/>
        <v>45376</v>
      </c>
      <c r="F934" s="6">
        <f t="shared" ca="1" si="2"/>
        <v>45352</v>
      </c>
      <c r="G934" s="7"/>
    </row>
    <row r="935" spans="1:7" x14ac:dyDescent="0.2">
      <c r="A935" s="3">
        <f ca="1">IFERROR(__xludf.DUMMYFUNCTION("""COMPUTED_VALUE"""),2334)</f>
        <v>2334</v>
      </c>
      <c r="B935" s="6">
        <f ca="1">IFERROR(__xludf.DUMMYFUNCTION("""COMPUTED_VALUE"""),45378.7728356481)</f>
        <v>45378.772835648102</v>
      </c>
      <c r="C935" s="3" t="str">
        <f ca="1">IFERROR(__xludf.DUMMYFUNCTION("""COMPUTED_VALUE"""),"purchase")</f>
        <v>purchase</v>
      </c>
      <c r="D935" s="6">
        <f t="shared" ca="1" si="0"/>
        <v>45378</v>
      </c>
      <c r="E935" s="6">
        <f t="shared" ca="1" si="1"/>
        <v>45376</v>
      </c>
      <c r="F935" s="6">
        <f t="shared" ca="1" si="2"/>
        <v>45352</v>
      </c>
      <c r="G935" s="7"/>
    </row>
    <row r="936" spans="1:7" x14ac:dyDescent="0.2">
      <c r="A936" s="3">
        <f ca="1">IFERROR(__xludf.DUMMYFUNCTION("""COMPUTED_VALUE"""),6410)</f>
        <v>6410</v>
      </c>
      <c r="B936" s="6">
        <f ca="1">IFERROR(__xludf.DUMMYFUNCTION("""COMPUTED_VALUE"""),45378.8608449074)</f>
        <v>45378.860844907402</v>
      </c>
      <c r="C936" s="3" t="str">
        <f ca="1">IFERROR(__xludf.DUMMYFUNCTION("""COMPUTED_VALUE"""),"purchase")</f>
        <v>purchase</v>
      </c>
      <c r="D936" s="6">
        <f t="shared" ca="1" si="0"/>
        <v>45378</v>
      </c>
      <c r="E936" s="6">
        <f t="shared" ca="1" si="1"/>
        <v>45376</v>
      </c>
      <c r="F936" s="6">
        <f t="shared" ca="1" si="2"/>
        <v>45352</v>
      </c>
      <c r="G936" s="7"/>
    </row>
    <row r="937" spans="1:7" x14ac:dyDescent="0.2">
      <c r="A937" s="3">
        <f ca="1">IFERROR(__xludf.DUMMYFUNCTION("""COMPUTED_VALUE"""),735)</f>
        <v>735</v>
      </c>
      <c r="B937" s="6">
        <f ca="1">IFERROR(__xludf.DUMMYFUNCTION("""COMPUTED_VALUE"""),45379.0208796296)</f>
        <v>45379.020879629599</v>
      </c>
      <c r="C937" s="3" t="str">
        <f ca="1">IFERROR(__xludf.DUMMYFUNCTION("""COMPUTED_VALUE"""),"purchase")</f>
        <v>purchase</v>
      </c>
      <c r="D937" s="6">
        <f t="shared" ca="1" si="0"/>
        <v>45379</v>
      </c>
      <c r="E937" s="6">
        <f t="shared" ca="1" si="1"/>
        <v>45376</v>
      </c>
      <c r="F937" s="6">
        <f t="shared" ca="1" si="2"/>
        <v>45352</v>
      </c>
      <c r="G937" s="7"/>
    </row>
    <row r="938" spans="1:7" x14ac:dyDescent="0.2">
      <c r="A938" s="3">
        <f ca="1">IFERROR(__xludf.DUMMYFUNCTION("""COMPUTED_VALUE"""),5822)</f>
        <v>5822</v>
      </c>
      <c r="B938" s="6">
        <f ca="1">IFERROR(__xludf.DUMMYFUNCTION("""COMPUTED_VALUE"""),45379.094224537)</f>
        <v>45379.094224537002</v>
      </c>
      <c r="C938" s="3" t="str">
        <f ca="1">IFERROR(__xludf.DUMMYFUNCTION("""COMPUTED_VALUE"""),"purchase")</f>
        <v>purchase</v>
      </c>
      <c r="D938" s="6">
        <f t="shared" ca="1" si="0"/>
        <v>45379</v>
      </c>
      <c r="E938" s="6">
        <f t="shared" ca="1" si="1"/>
        <v>45376</v>
      </c>
      <c r="F938" s="6">
        <f t="shared" ca="1" si="2"/>
        <v>45352</v>
      </c>
      <c r="G938" s="7"/>
    </row>
    <row r="939" spans="1:7" x14ac:dyDescent="0.2">
      <c r="A939" s="3">
        <f ca="1">IFERROR(__xludf.DUMMYFUNCTION("""COMPUTED_VALUE"""),4661)</f>
        <v>4661</v>
      </c>
      <c r="B939" s="6">
        <f ca="1">IFERROR(__xludf.DUMMYFUNCTION("""COMPUTED_VALUE"""),45379.104074074)</f>
        <v>45379.104074073999</v>
      </c>
      <c r="C939" s="3" t="str">
        <f ca="1">IFERROR(__xludf.DUMMYFUNCTION("""COMPUTED_VALUE"""),"purchase")</f>
        <v>purchase</v>
      </c>
      <c r="D939" s="6">
        <f t="shared" ca="1" si="0"/>
        <v>45379</v>
      </c>
      <c r="E939" s="6">
        <f t="shared" ca="1" si="1"/>
        <v>45376</v>
      </c>
      <c r="F939" s="6">
        <f t="shared" ca="1" si="2"/>
        <v>45352</v>
      </c>
      <c r="G939" s="7"/>
    </row>
    <row r="940" spans="1:7" x14ac:dyDescent="0.2">
      <c r="A940" s="3">
        <f ca="1">IFERROR(__xludf.DUMMYFUNCTION("""COMPUTED_VALUE"""),5635)</f>
        <v>5635</v>
      </c>
      <c r="B940" s="6">
        <f ca="1">IFERROR(__xludf.DUMMYFUNCTION("""COMPUTED_VALUE"""),45379.1325231481)</f>
        <v>45379.132523148102</v>
      </c>
      <c r="C940" s="3" t="str">
        <f ca="1">IFERROR(__xludf.DUMMYFUNCTION("""COMPUTED_VALUE"""),"purchase")</f>
        <v>purchase</v>
      </c>
      <c r="D940" s="6">
        <f t="shared" ca="1" si="0"/>
        <v>45379</v>
      </c>
      <c r="E940" s="6">
        <f t="shared" ca="1" si="1"/>
        <v>45376</v>
      </c>
      <c r="F940" s="6">
        <f t="shared" ca="1" si="2"/>
        <v>45352</v>
      </c>
      <c r="G940" s="7"/>
    </row>
    <row r="941" spans="1:7" x14ac:dyDescent="0.2">
      <c r="A941" s="3">
        <f ca="1">IFERROR(__xludf.DUMMYFUNCTION("""COMPUTED_VALUE"""),1920)</f>
        <v>1920</v>
      </c>
      <c r="B941" s="6">
        <f ca="1">IFERROR(__xludf.DUMMYFUNCTION("""COMPUTED_VALUE"""),45379.3075578703)</f>
        <v>45379.307557870299</v>
      </c>
      <c r="C941" s="3" t="str">
        <f ca="1">IFERROR(__xludf.DUMMYFUNCTION("""COMPUTED_VALUE"""),"purchase")</f>
        <v>purchase</v>
      </c>
      <c r="D941" s="6">
        <f t="shared" ca="1" si="0"/>
        <v>45379</v>
      </c>
      <c r="E941" s="6">
        <f t="shared" ca="1" si="1"/>
        <v>45376</v>
      </c>
      <c r="F941" s="6">
        <f t="shared" ca="1" si="2"/>
        <v>45352</v>
      </c>
      <c r="G941" s="7"/>
    </row>
    <row r="942" spans="1:7" x14ac:dyDescent="0.2">
      <c r="A942" s="3">
        <f ca="1">IFERROR(__xludf.DUMMYFUNCTION("""COMPUTED_VALUE"""),4533)</f>
        <v>4533</v>
      </c>
      <c r="B942" s="6">
        <f ca="1">IFERROR(__xludf.DUMMYFUNCTION("""COMPUTED_VALUE"""),45379.4403125)</f>
        <v>45379.440312500003</v>
      </c>
      <c r="C942" s="3" t="str">
        <f ca="1">IFERROR(__xludf.DUMMYFUNCTION("""COMPUTED_VALUE"""),"purchase")</f>
        <v>purchase</v>
      </c>
      <c r="D942" s="6">
        <f t="shared" ca="1" si="0"/>
        <v>45379</v>
      </c>
      <c r="E942" s="6">
        <f t="shared" ca="1" si="1"/>
        <v>45376</v>
      </c>
      <c r="F942" s="6">
        <f t="shared" ca="1" si="2"/>
        <v>45352</v>
      </c>
      <c r="G942" s="7"/>
    </row>
    <row r="943" spans="1:7" x14ac:dyDescent="0.2">
      <c r="A943" s="3">
        <f ca="1">IFERROR(__xludf.DUMMYFUNCTION("""COMPUTED_VALUE"""),6578)</f>
        <v>6578</v>
      </c>
      <c r="B943" s="6">
        <f ca="1">IFERROR(__xludf.DUMMYFUNCTION("""COMPUTED_VALUE"""),45379.4763425925)</f>
        <v>45379.476342592498</v>
      </c>
      <c r="C943" s="3" t="str">
        <f ca="1">IFERROR(__xludf.DUMMYFUNCTION("""COMPUTED_VALUE"""),"purchase")</f>
        <v>purchase</v>
      </c>
      <c r="D943" s="6">
        <f t="shared" ca="1" si="0"/>
        <v>45379</v>
      </c>
      <c r="E943" s="6">
        <f t="shared" ca="1" si="1"/>
        <v>45376</v>
      </c>
      <c r="F943" s="6">
        <f t="shared" ca="1" si="2"/>
        <v>45352</v>
      </c>
      <c r="G943" s="7"/>
    </row>
    <row r="944" spans="1:7" x14ac:dyDescent="0.2">
      <c r="A944" s="3">
        <f ca="1">IFERROR(__xludf.DUMMYFUNCTION("""COMPUTED_VALUE"""),4150)</f>
        <v>4150</v>
      </c>
      <c r="B944" s="6">
        <f ca="1">IFERROR(__xludf.DUMMYFUNCTION("""COMPUTED_VALUE"""),45379.5547685185)</f>
        <v>45379.554768518501</v>
      </c>
      <c r="C944" s="3" t="str">
        <f ca="1">IFERROR(__xludf.DUMMYFUNCTION("""COMPUTED_VALUE"""),"purchase")</f>
        <v>purchase</v>
      </c>
      <c r="D944" s="6">
        <f t="shared" ca="1" si="0"/>
        <v>45379</v>
      </c>
      <c r="E944" s="6">
        <f t="shared" ca="1" si="1"/>
        <v>45376</v>
      </c>
      <c r="F944" s="6">
        <f t="shared" ca="1" si="2"/>
        <v>45352</v>
      </c>
      <c r="G944" s="7"/>
    </row>
    <row r="945" spans="1:7" x14ac:dyDescent="0.2">
      <c r="A945" s="3">
        <f ca="1">IFERROR(__xludf.DUMMYFUNCTION("""COMPUTED_VALUE"""),6684)</f>
        <v>6684</v>
      </c>
      <c r="B945" s="6">
        <f ca="1">IFERROR(__xludf.DUMMYFUNCTION("""COMPUTED_VALUE"""),45379.6306712963)</f>
        <v>45379.630671296298</v>
      </c>
      <c r="C945" s="3" t="str">
        <f ca="1">IFERROR(__xludf.DUMMYFUNCTION("""COMPUTED_VALUE"""),"purchase")</f>
        <v>purchase</v>
      </c>
      <c r="D945" s="6">
        <f t="shared" ca="1" si="0"/>
        <v>45379</v>
      </c>
      <c r="E945" s="6">
        <f t="shared" ca="1" si="1"/>
        <v>45376</v>
      </c>
      <c r="F945" s="6">
        <f t="shared" ca="1" si="2"/>
        <v>45352</v>
      </c>
      <c r="G945" s="7"/>
    </row>
    <row r="946" spans="1:7" x14ac:dyDescent="0.2">
      <c r="A946" s="3">
        <f ca="1">IFERROR(__xludf.DUMMYFUNCTION("""COMPUTED_VALUE"""),1785)</f>
        <v>1785</v>
      </c>
      <c r="B946" s="6">
        <f ca="1">IFERROR(__xludf.DUMMYFUNCTION("""COMPUTED_VALUE"""),45379.6589814814)</f>
        <v>45379.6589814814</v>
      </c>
      <c r="C946" s="3" t="str">
        <f ca="1">IFERROR(__xludf.DUMMYFUNCTION("""COMPUTED_VALUE"""),"purchase")</f>
        <v>purchase</v>
      </c>
      <c r="D946" s="6">
        <f t="shared" ca="1" si="0"/>
        <v>45379</v>
      </c>
      <c r="E946" s="6">
        <f t="shared" ca="1" si="1"/>
        <v>45376</v>
      </c>
      <c r="F946" s="6">
        <f t="shared" ca="1" si="2"/>
        <v>45352</v>
      </c>
      <c r="G946" s="7"/>
    </row>
    <row r="947" spans="1:7" x14ac:dyDescent="0.2">
      <c r="A947" s="3">
        <f ca="1">IFERROR(__xludf.DUMMYFUNCTION("""COMPUTED_VALUE"""),1437)</f>
        <v>1437</v>
      </c>
      <c r="B947" s="6">
        <f ca="1">IFERROR(__xludf.DUMMYFUNCTION("""COMPUTED_VALUE"""),45379.6861226851)</f>
        <v>45379.686122685103</v>
      </c>
      <c r="C947" s="3" t="str">
        <f ca="1">IFERROR(__xludf.DUMMYFUNCTION("""COMPUTED_VALUE"""),"purchase")</f>
        <v>purchase</v>
      </c>
      <c r="D947" s="6">
        <f t="shared" ca="1" si="0"/>
        <v>45379</v>
      </c>
      <c r="E947" s="6">
        <f t="shared" ca="1" si="1"/>
        <v>45376</v>
      </c>
      <c r="F947" s="6">
        <f t="shared" ca="1" si="2"/>
        <v>45352</v>
      </c>
      <c r="G947" s="7"/>
    </row>
    <row r="948" spans="1:7" x14ac:dyDescent="0.2">
      <c r="A948" s="3">
        <f ca="1">IFERROR(__xludf.DUMMYFUNCTION("""COMPUTED_VALUE"""),1700)</f>
        <v>1700</v>
      </c>
      <c r="B948" s="6">
        <f ca="1">IFERROR(__xludf.DUMMYFUNCTION("""COMPUTED_VALUE"""),45379.7673148148)</f>
        <v>45379.767314814802</v>
      </c>
      <c r="C948" s="3" t="str">
        <f ca="1">IFERROR(__xludf.DUMMYFUNCTION("""COMPUTED_VALUE"""),"purchase")</f>
        <v>purchase</v>
      </c>
      <c r="D948" s="6">
        <f t="shared" ca="1" si="0"/>
        <v>45379</v>
      </c>
      <c r="E948" s="6">
        <f t="shared" ca="1" si="1"/>
        <v>45376</v>
      </c>
      <c r="F948" s="6">
        <f t="shared" ca="1" si="2"/>
        <v>45352</v>
      </c>
      <c r="G948" s="7"/>
    </row>
    <row r="949" spans="1:7" x14ac:dyDescent="0.2">
      <c r="A949" s="3">
        <f ca="1">IFERROR(__xludf.DUMMYFUNCTION("""COMPUTED_VALUE"""),7459)</f>
        <v>7459</v>
      </c>
      <c r="B949" s="6">
        <f ca="1">IFERROR(__xludf.DUMMYFUNCTION("""COMPUTED_VALUE"""),45379.8945949074)</f>
        <v>45379.894594907397</v>
      </c>
      <c r="C949" s="3" t="str">
        <f ca="1">IFERROR(__xludf.DUMMYFUNCTION("""COMPUTED_VALUE"""),"purchase")</f>
        <v>purchase</v>
      </c>
      <c r="D949" s="6">
        <f t="shared" ca="1" si="0"/>
        <v>45379</v>
      </c>
      <c r="E949" s="6">
        <f t="shared" ca="1" si="1"/>
        <v>45376</v>
      </c>
      <c r="F949" s="6">
        <f t="shared" ca="1" si="2"/>
        <v>45352</v>
      </c>
      <c r="G949" s="7"/>
    </row>
    <row r="950" spans="1:7" x14ac:dyDescent="0.2">
      <c r="A950" s="3">
        <f ca="1">IFERROR(__xludf.DUMMYFUNCTION("""COMPUTED_VALUE"""),534)</f>
        <v>534</v>
      </c>
      <c r="B950" s="6">
        <f ca="1">IFERROR(__xludf.DUMMYFUNCTION("""COMPUTED_VALUE"""),45379.9475694444)</f>
        <v>45379.947569444397</v>
      </c>
      <c r="C950" s="3" t="str">
        <f ca="1">IFERROR(__xludf.DUMMYFUNCTION("""COMPUTED_VALUE"""),"purchase")</f>
        <v>purchase</v>
      </c>
      <c r="D950" s="6">
        <f t="shared" ca="1" si="0"/>
        <v>45379</v>
      </c>
      <c r="E950" s="6">
        <f t="shared" ca="1" si="1"/>
        <v>45376</v>
      </c>
      <c r="F950" s="6">
        <f t="shared" ca="1" si="2"/>
        <v>45352</v>
      </c>
      <c r="G950" s="7"/>
    </row>
    <row r="951" spans="1:7" x14ac:dyDescent="0.2">
      <c r="A951" s="3">
        <f ca="1">IFERROR(__xludf.DUMMYFUNCTION("""COMPUTED_VALUE"""),3827)</f>
        <v>3827</v>
      </c>
      <c r="B951" s="6">
        <f ca="1">IFERROR(__xludf.DUMMYFUNCTION("""COMPUTED_VALUE"""),45379.978449074)</f>
        <v>45379.978449073998</v>
      </c>
      <c r="C951" s="3" t="str">
        <f ca="1">IFERROR(__xludf.DUMMYFUNCTION("""COMPUTED_VALUE"""),"purchase")</f>
        <v>purchase</v>
      </c>
      <c r="D951" s="6">
        <f t="shared" ca="1" si="0"/>
        <v>45379</v>
      </c>
      <c r="E951" s="6">
        <f t="shared" ca="1" si="1"/>
        <v>45376</v>
      </c>
      <c r="F951" s="6">
        <f t="shared" ca="1" si="2"/>
        <v>45352</v>
      </c>
      <c r="G951" s="7"/>
    </row>
    <row r="952" spans="1:7" x14ac:dyDescent="0.2">
      <c r="A952" s="3">
        <f ca="1">IFERROR(__xludf.DUMMYFUNCTION("""COMPUTED_VALUE"""),7790)</f>
        <v>7790</v>
      </c>
      <c r="B952" s="6">
        <f ca="1">IFERROR(__xludf.DUMMYFUNCTION("""COMPUTED_VALUE"""),45379.9832754629)</f>
        <v>45379.983275462902</v>
      </c>
      <c r="C952" s="3" t="str">
        <f ca="1">IFERROR(__xludf.DUMMYFUNCTION("""COMPUTED_VALUE"""),"purchase")</f>
        <v>purchase</v>
      </c>
      <c r="D952" s="6">
        <f t="shared" ca="1" si="0"/>
        <v>45379</v>
      </c>
      <c r="E952" s="6">
        <f t="shared" ca="1" si="1"/>
        <v>45376</v>
      </c>
      <c r="F952" s="6">
        <f t="shared" ca="1" si="2"/>
        <v>45352</v>
      </c>
      <c r="G952" s="7"/>
    </row>
    <row r="953" spans="1:7" x14ac:dyDescent="0.2">
      <c r="A953" s="3">
        <f ca="1">IFERROR(__xludf.DUMMYFUNCTION("""COMPUTED_VALUE"""),178)</f>
        <v>178</v>
      </c>
      <c r="B953" s="6">
        <f ca="1">IFERROR(__xludf.DUMMYFUNCTION("""COMPUTED_VALUE"""),45379.9842708333)</f>
        <v>45379.984270833302</v>
      </c>
      <c r="C953" s="3" t="str">
        <f ca="1">IFERROR(__xludf.DUMMYFUNCTION("""COMPUTED_VALUE"""),"purchase")</f>
        <v>purchase</v>
      </c>
      <c r="D953" s="6">
        <f t="shared" ca="1" si="0"/>
        <v>45379</v>
      </c>
      <c r="E953" s="6">
        <f t="shared" ca="1" si="1"/>
        <v>45376</v>
      </c>
      <c r="F953" s="6">
        <f t="shared" ca="1" si="2"/>
        <v>45352</v>
      </c>
      <c r="G953" s="7"/>
    </row>
    <row r="954" spans="1:7" x14ac:dyDescent="0.2">
      <c r="A954" s="3">
        <f ca="1">IFERROR(__xludf.DUMMYFUNCTION("""COMPUTED_VALUE"""),7561)</f>
        <v>7561</v>
      </c>
      <c r="B954" s="6">
        <f ca="1">IFERROR(__xludf.DUMMYFUNCTION("""COMPUTED_VALUE"""),45380.1168981481)</f>
        <v>45380.116898148102</v>
      </c>
      <c r="C954" s="3" t="str">
        <f ca="1">IFERROR(__xludf.DUMMYFUNCTION("""COMPUTED_VALUE"""),"purchase")</f>
        <v>purchase</v>
      </c>
      <c r="D954" s="6">
        <f t="shared" ca="1" si="0"/>
        <v>45380</v>
      </c>
      <c r="E954" s="6">
        <f t="shared" ca="1" si="1"/>
        <v>45376</v>
      </c>
      <c r="F954" s="6">
        <f t="shared" ca="1" si="2"/>
        <v>45352</v>
      </c>
      <c r="G954" s="7"/>
    </row>
    <row r="955" spans="1:7" x14ac:dyDescent="0.2">
      <c r="A955" s="3">
        <f ca="1">IFERROR(__xludf.DUMMYFUNCTION("""COMPUTED_VALUE"""),323)</f>
        <v>323</v>
      </c>
      <c r="B955" s="6">
        <f ca="1">IFERROR(__xludf.DUMMYFUNCTION("""COMPUTED_VALUE"""),45380.1172453703)</f>
        <v>45380.117245370297</v>
      </c>
      <c r="C955" s="3" t="str">
        <f ca="1">IFERROR(__xludf.DUMMYFUNCTION("""COMPUTED_VALUE"""),"purchase")</f>
        <v>purchase</v>
      </c>
      <c r="D955" s="6">
        <f t="shared" ca="1" si="0"/>
        <v>45380</v>
      </c>
      <c r="E955" s="6">
        <f t="shared" ca="1" si="1"/>
        <v>45376</v>
      </c>
      <c r="F955" s="6">
        <f t="shared" ca="1" si="2"/>
        <v>45352</v>
      </c>
      <c r="G955" s="7"/>
    </row>
    <row r="956" spans="1:7" x14ac:dyDescent="0.2">
      <c r="A956" s="3">
        <f ca="1">IFERROR(__xludf.DUMMYFUNCTION("""COMPUTED_VALUE"""),52)</f>
        <v>52</v>
      </c>
      <c r="B956" s="6">
        <f ca="1">IFERROR(__xludf.DUMMYFUNCTION("""COMPUTED_VALUE"""),45380.2126388888)</f>
        <v>45380.212638888799</v>
      </c>
      <c r="C956" s="3" t="str">
        <f ca="1">IFERROR(__xludf.DUMMYFUNCTION("""COMPUTED_VALUE"""),"purchase")</f>
        <v>purchase</v>
      </c>
      <c r="D956" s="6">
        <f t="shared" ca="1" si="0"/>
        <v>45380</v>
      </c>
      <c r="E956" s="6">
        <f t="shared" ca="1" si="1"/>
        <v>45376</v>
      </c>
      <c r="F956" s="6">
        <f t="shared" ca="1" si="2"/>
        <v>45352</v>
      </c>
      <c r="G956" s="7"/>
    </row>
    <row r="957" spans="1:7" x14ac:dyDescent="0.2">
      <c r="A957" s="3">
        <f ca="1">IFERROR(__xludf.DUMMYFUNCTION("""COMPUTED_VALUE"""),6073)</f>
        <v>6073</v>
      </c>
      <c r="B957" s="6">
        <f ca="1">IFERROR(__xludf.DUMMYFUNCTION("""COMPUTED_VALUE"""),45380.2271643518)</f>
        <v>45380.227164351803</v>
      </c>
      <c r="C957" s="3" t="str">
        <f ca="1">IFERROR(__xludf.DUMMYFUNCTION("""COMPUTED_VALUE"""),"purchase")</f>
        <v>purchase</v>
      </c>
      <c r="D957" s="6">
        <f t="shared" ca="1" si="0"/>
        <v>45380</v>
      </c>
      <c r="E957" s="6">
        <f t="shared" ca="1" si="1"/>
        <v>45376</v>
      </c>
      <c r="F957" s="6">
        <f t="shared" ca="1" si="2"/>
        <v>45352</v>
      </c>
      <c r="G957" s="7"/>
    </row>
    <row r="958" spans="1:7" x14ac:dyDescent="0.2">
      <c r="A958" s="3">
        <f ca="1">IFERROR(__xludf.DUMMYFUNCTION("""COMPUTED_VALUE"""),5609)</f>
        <v>5609</v>
      </c>
      <c r="B958" s="6">
        <f ca="1">IFERROR(__xludf.DUMMYFUNCTION("""COMPUTED_VALUE"""),45380.260787037)</f>
        <v>45380.260787036997</v>
      </c>
      <c r="C958" s="3" t="str">
        <f ca="1">IFERROR(__xludf.DUMMYFUNCTION("""COMPUTED_VALUE"""),"purchase")</f>
        <v>purchase</v>
      </c>
      <c r="D958" s="6">
        <f t="shared" ca="1" si="0"/>
        <v>45380</v>
      </c>
      <c r="E958" s="6">
        <f t="shared" ca="1" si="1"/>
        <v>45376</v>
      </c>
      <c r="F958" s="6">
        <f t="shared" ca="1" si="2"/>
        <v>45352</v>
      </c>
      <c r="G958" s="7"/>
    </row>
    <row r="959" spans="1:7" x14ac:dyDescent="0.2">
      <c r="A959" s="3">
        <f ca="1">IFERROR(__xludf.DUMMYFUNCTION("""COMPUTED_VALUE"""),3754)</f>
        <v>3754</v>
      </c>
      <c r="B959" s="6">
        <f ca="1">IFERROR(__xludf.DUMMYFUNCTION("""COMPUTED_VALUE"""),45380.3316898148)</f>
        <v>45380.331689814797</v>
      </c>
      <c r="C959" s="3" t="str">
        <f ca="1">IFERROR(__xludf.DUMMYFUNCTION("""COMPUTED_VALUE"""),"purchase")</f>
        <v>purchase</v>
      </c>
      <c r="D959" s="6">
        <f t="shared" ca="1" si="0"/>
        <v>45380</v>
      </c>
      <c r="E959" s="6">
        <f t="shared" ca="1" si="1"/>
        <v>45376</v>
      </c>
      <c r="F959" s="6">
        <f t="shared" ca="1" si="2"/>
        <v>45352</v>
      </c>
      <c r="G959" s="7"/>
    </row>
    <row r="960" spans="1:7" x14ac:dyDescent="0.2">
      <c r="A960" s="3">
        <f ca="1">IFERROR(__xludf.DUMMYFUNCTION("""COMPUTED_VALUE"""),1516)</f>
        <v>1516</v>
      </c>
      <c r="B960" s="6">
        <f ca="1">IFERROR(__xludf.DUMMYFUNCTION("""COMPUTED_VALUE"""),45380.3486574074)</f>
        <v>45380.348657407398</v>
      </c>
      <c r="C960" s="3" t="str">
        <f ca="1">IFERROR(__xludf.DUMMYFUNCTION("""COMPUTED_VALUE"""),"purchase")</f>
        <v>purchase</v>
      </c>
      <c r="D960" s="6">
        <f t="shared" ca="1" si="0"/>
        <v>45380</v>
      </c>
      <c r="E960" s="6">
        <f t="shared" ca="1" si="1"/>
        <v>45376</v>
      </c>
      <c r="F960" s="6">
        <f t="shared" ca="1" si="2"/>
        <v>45352</v>
      </c>
      <c r="G960" s="7"/>
    </row>
    <row r="961" spans="1:7" x14ac:dyDescent="0.2">
      <c r="A961" s="3">
        <f ca="1">IFERROR(__xludf.DUMMYFUNCTION("""COMPUTED_VALUE"""),7926)</f>
        <v>7926</v>
      </c>
      <c r="B961" s="6">
        <f ca="1">IFERROR(__xludf.DUMMYFUNCTION("""COMPUTED_VALUE"""),45380.442349537)</f>
        <v>45380.442349536999</v>
      </c>
      <c r="C961" s="3" t="str">
        <f ca="1">IFERROR(__xludf.DUMMYFUNCTION("""COMPUTED_VALUE"""),"purchase")</f>
        <v>purchase</v>
      </c>
      <c r="D961" s="6">
        <f t="shared" ca="1" si="0"/>
        <v>45380</v>
      </c>
      <c r="E961" s="6">
        <f t="shared" ca="1" si="1"/>
        <v>45376</v>
      </c>
      <c r="F961" s="6">
        <f t="shared" ca="1" si="2"/>
        <v>45352</v>
      </c>
      <c r="G961" s="7"/>
    </row>
    <row r="962" spans="1:7" x14ac:dyDescent="0.2">
      <c r="A962" s="3">
        <f ca="1">IFERROR(__xludf.DUMMYFUNCTION("""COMPUTED_VALUE"""),4229)</f>
        <v>4229</v>
      </c>
      <c r="B962" s="6">
        <f ca="1">IFERROR(__xludf.DUMMYFUNCTION("""COMPUTED_VALUE"""),45380.44875)</f>
        <v>45380.448750000003</v>
      </c>
      <c r="C962" s="3" t="str">
        <f ca="1">IFERROR(__xludf.DUMMYFUNCTION("""COMPUTED_VALUE"""),"purchase")</f>
        <v>purchase</v>
      </c>
      <c r="D962" s="6">
        <f t="shared" ca="1" si="0"/>
        <v>45380</v>
      </c>
      <c r="E962" s="6">
        <f t="shared" ca="1" si="1"/>
        <v>45376</v>
      </c>
      <c r="F962" s="6">
        <f t="shared" ca="1" si="2"/>
        <v>45352</v>
      </c>
      <c r="G962" s="7"/>
    </row>
    <row r="963" spans="1:7" x14ac:dyDescent="0.2">
      <c r="A963" s="3">
        <f ca="1">IFERROR(__xludf.DUMMYFUNCTION("""COMPUTED_VALUE"""),4648)</f>
        <v>4648</v>
      </c>
      <c r="B963" s="6">
        <f ca="1">IFERROR(__xludf.DUMMYFUNCTION("""COMPUTED_VALUE"""),45380.5242129629)</f>
        <v>45380.524212962897</v>
      </c>
      <c r="C963" s="3" t="str">
        <f ca="1">IFERROR(__xludf.DUMMYFUNCTION("""COMPUTED_VALUE"""),"purchase")</f>
        <v>purchase</v>
      </c>
      <c r="D963" s="6">
        <f t="shared" ca="1" si="0"/>
        <v>45380</v>
      </c>
      <c r="E963" s="6">
        <f t="shared" ca="1" si="1"/>
        <v>45376</v>
      </c>
      <c r="F963" s="6">
        <f t="shared" ca="1" si="2"/>
        <v>45352</v>
      </c>
      <c r="G963" s="7"/>
    </row>
    <row r="964" spans="1:7" x14ac:dyDescent="0.2">
      <c r="A964" s="3">
        <f ca="1">IFERROR(__xludf.DUMMYFUNCTION("""COMPUTED_VALUE"""),1145)</f>
        <v>1145</v>
      </c>
      <c r="B964" s="6">
        <f ca="1">IFERROR(__xludf.DUMMYFUNCTION("""COMPUTED_VALUE"""),45380.6815277777)</f>
        <v>45380.681527777699</v>
      </c>
      <c r="C964" s="3" t="str">
        <f ca="1">IFERROR(__xludf.DUMMYFUNCTION("""COMPUTED_VALUE"""),"purchase")</f>
        <v>purchase</v>
      </c>
      <c r="D964" s="6">
        <f t="shared" ca="1" si="0"/>
        <v>45380</v>
      </c>
      <c r="E964" s="6">
        <f t="shared" ca="1" si="1"/>
        <v>45376</v>
      </c>
      <c r="F964" s="6">
        <f t="shared" ca="1" si="2"/>
        <v>45352</v>
      </c>
      <c r="G964" s="7"/>
    </row>
    <row r="965" spans="1:7" x14ac:dyDescent="0.2">
      <c r="A965" s="3">
        <f ca="1">IFERROR(__xludf.DUMMYFUNCTION("""COMPUTED_VALUE"""),4271)</f>
        <v>4271</v>
      </c>
      <c r="B965" s="6">
        <f ca="1">IFERROR(__xludf.DUMMYFUNCTION("""COMPUTED_VALUE"""),45380.9231712962)</f>
        <v>45380.923171296199</v>
      </c>
      <c r="C965" s="3" t="str">
        <f ca="1">IFERROR(__xludf.DUMMYFUNCTION("""COMPUTED_VALUE"""),"purchase")</f>
        <v>purchase</v>
      </c>
      <c r="D965" s="6">
        <f t="shared" ca="1" si="0"/>
        <v>45380</v>
      </c>
      <c r="E965" s="6">
        <f t="shared" ca="1" si="1"/>
        <v>45376</v>
      </c>
      <c r="F965" s="6">
        <f t="shared" ca="1" si="2"/>
        <v>45352</v>
      </c>
      <c r="G965" s="7"/>
    </row>
    <row r="966" spans="1:7" x14ac:dyDescent="0.2">
      <c r="A966" s="3">
        <f ca="1">IFERROR(__xludf.DUMMYFUNCTION("""COMPUTED_VALUE"""),512)</f>
        <v>512</v>
      </c>
      <c r="B966" s="6">
        <f ca="1">IFERROR(__xludf.DUMMYFUNCTION("""COMPUTED_VALUE"""),45380.9523148148)</f>
        <v>45380.9523148148</v>
      </c>
      <c r="C966" s="3" t="str">
        <f ca="1">IFERROR(__xludf.DUMMYFUNCTION("""COMPUTED_VALUE"""),"purchase")</f>
        <v>purchase</v>
      </c>
      <c r="D966" s="6">
        <f t="shared" ca="1" si="0"/>
        <v>45380</v>
      </c>
      <c r="E966" s="6">
        <f t="shared" ca="1" si="1"/>
        <v>45376</v>
      </c>
      <c r="F966" s="6">
        <f t="shared" ca="1" si="2"/>
        <v>45352</v>
      </c>
      <c r="G966" s="7"/>
    </row>
    <row r="967" spans="1:7" x14ac:dyDescent="0.2">
      <c r="A967" s="3">
        <f ca="1">IFERROR(__xludf.DUMMYFUNCTION("""COMPUTED_VALUE"""),7609)</f>
        <v>7609</v>
      </c>
      <c r="B967" s="6">
        <f ca="1">IFERROR(__xludf.DUMMYFUNCTION("""COMPUTED_VALUE"""),45380.9938310185)</f>
        <v>45380.993831018503</v>
      </c>
      <c r="C967" s="3" t="str">
        <f ca="1">IFERROR(__xludf.DUMMYFUNCTION("""COMPUTED_VALUE"""),"purchase")</f>
        <v>purchase</v>
      </c>
      <c r="D967" s="6">
        <f t="shared" ca="1" si="0"/>
        <v>45380</v>
      </c>
      <c r="E967" s="6">
        <f t="shared" ca="1" si="1"/>
        <v>45376</v>
      </c>
      <c r="F967" s="6">
        <f t="shared" ca="1" si="2"/>
        <v>45352</v>
      </c>
      <c r="G967" s="7"/>
    </row>
    <row r="968" spans="1:7" x14ac:dyDescent="0.2">
      <c r="A968" s="3">
        <f ca="1">IFERROR(__xludf.DUMMYFUNCTION("""COMPUTED_VALUE"""),6045)</f>
        <v>6045</v>
      </c>
      <c r="B968" s="6">
        <f ca="1">IFERROR(__xludf.DUMMYFUNCTION("""COMPUTED_VALUE"""),45381.0705324074)</f>
        <v>45381.070532407401</v>
      </c>
      <c r="C968" s="3" t="str">
        <f ca="1">IFERROR(__xludf.DUMMYFUNCTION("""COMPUTED_VALUE"""),"purchase")</f>
        <v>purchase</v>
      </c>
      <c r="D968" s="6">
        <f t="shared" ca="1" si="0"/>
        <v>45381</v>
      </c>
      <c r="E968" s="6">
        <f t="shared" ca="1" si="1"/>
        <v>45376</v>
      </c>
      <c r="F968" s="6">
        <f t="shared" ca="1" si="2"/>
        <v>45352</v>
      </c>
      <c r="G968" s="7"/>
    </row>
    <row r="969" spans="1:7" x14ac:dyDescent="0.2">
      <c r="A969" s="3">
        <f ca="1">IFERROR(__xludf.DUMMYFUNCTION("""COMPUTED_VALUE"""),6406)</f>
        <v>6406</v>
      </c>
      <c r="B969" s="6">
        <f ca="1">IFERROR(__xludf.DUMMYFUNCTION("""COMPUTED_VALUE"""),45381.2047800925)</f>
        <v>45381.204780092499</v>
      </c>
      <c r="C969" s="3" t="str">
        <f ca="1">IFERROR(__xludf.DUMMYFUNCTION("""COMPUTED_VALUE"""),"purchase")</f>
        <v>purchase</v>
      </c>
      <c r="D969" s="6">
        <f t="shared" ca="1" si="0"/>
        <v>45381</v>
      </c>
      <c r="E969" s="6">
        <f t="shared" ca="1" si="1"/>
        <v>45376</v>
      </c>
      <c r="F969" s="6">
        <f t="shared" ca="1" si="2"/>
        <v>45352</v>
      </c>
      <c r="G969" s="7"/>
    </row>
    <row r="970" spans="1:7" x14ac:dyDescent="0.2">
      <c r="A970" s="3">
        <f ca="1">IFERROR(__xludf.DUMMYFUNCTION("""COMPUTED_VALUE"""),6263)</f>
        <v>6263</v>
      </c>
      <c r="B970" s="6">
        <f ca="1">IFERROR(__xludf.DUMMYFUNCTION("""COMPUTED_VALUE"""),45381.2078472222)</f>
        <v>45381.207847222198</v>
      </c>
      <c r="C970" s="3" t="str">
        <f ca="1">IFERROR(__xludf.DUMMYFUNCTION("""COMPUTED_VALUE"""),"purchase")</f>
        <v>purchase</v>
      </c>
      <c r="D970" s="6">
        <f t="shared" ca="1" si="0"/>
        <v>45381</v>
      </c>
      <c r="E970" s="6">
        <f t="shared" ca="1" si="1"/>
        <v>45376</v>
      </c>
      <c r="F970" s="6">
        <f t="shared" ca="1" si="2"/>
        <v>45352</v>
      </c>
      <c r="G970" s="7"/>
    </row>
    <row r="971" spans="1:7" x14ac:dyDescent="0.2">
      <c r="A971" s="3">
        <f ca="1">IFERROR(__xludf.DUMMYFUNCTION("""COMPUTED_VALUE"""),5517)</f>
        <v>5517</v>
      </c>
      <c r="B971" s="6">
        <f ca="1">IFERROR(__xludf.DUMMYFUNCTION("""COMPUTED_VALUE"""),45381.2549768518)</f>
        <v>45381.2549768518</v>
      </c>
      <c r="C971" s="3" t="str">
        <f ca="1">IFERROR(__xludf.DUMMYFUNCTION("""COMPUTED_VALUE"""),"purchase")</f>
        <v>purchase</v>
      </c>
      <c r="D971" s="6">
        <f t="shared" ca="1" si="0"/>
        <v>45381</v>
      </c>
      <c r="E971" s="6">
        <f t="shared" ca="1" si="1"/>
        <v>45376</v>
      </c>
      <c r="F971" s="6">
        <f t="shared" ca="1" si="2"/>
        <v>45352</v>
      </c>
      <c r="G971" s="7"/>
    </row>
    <row r="972" spans="1:7" x14ac:dyDescent="0.2">
      <c r="A972" s="3">
        <f ca="1">IFERROR(__xludf.DUMMYFUNCTION("""COMPUTED_VALUE"""),150)</f>
        <v>150</v>
      </c>
      <c r="B972" s="6">
        <f ca="1">IFERROR(__xludf.DUMMYFUNCTION("""COMPUTED_VALUE"""),45381.3421180555)</f>
        <v>45381.342118055501</v>
      </c>
      <c r="C972" s="3" t="str">
        <f ca="1">IFERROR(__xludf.DUMMYFUNCTION("""COMPUTED_VALUE"""),"purchase")</f>
        <v>purchase</v>
      </c>
      <c r="D972" s="6">
        <f t="shared" ca="1" si="0"/>
        <v>45381</v>
      </c>
      <c r="E972" s="6">
        <f t="shared" ca="1" si="1"/>
        <v>45376</v>
      </c>
      <c r="F972" s="6">
        <f t="shared" ca="1" si="2"/>
        <v>45352</v>
      </c>
      <c r="G972" s="7"/>
    </row>
    <row r="973" spans="1:7" x14ac:dyDescent="0.2">
      <c r="A973" s="3">
        <f ca="1">IFERROR(__xludf.DUMMYFUNCTION("""COMPUTED_VALUE"""),1927)</f>
        <v>1927</v>
      </c>
      <c r="B973" s="6">
        <f ca="1">IFERROR(__xludf.DUMMYFUNCTION("""COMPUTED_VALUE"""),45381.4048263888)</f>
        <v>45381.404826388803</v>
      </c>
      <c r="C973" s="3" t="str">
        <f ca="1">IFERROR(__xludf.DUMMYFUNCTION("""COMPUTED_VALUE"""),"purchase")</f>
        <v>purchase</v>
      </c>
      <c r="D973" s="6">
        <f t="shared" ca="1" si="0"/>
        <v>45381</v>
      </c>
      <c r="E973" s="6">
        <f t="shared" ca="1" si="1"/>
        <v>45376</v>
      </c>
      <c r="F973" s="6">
        <f t="shared" ca="1" si="2"/>
        <v>45352</v>
      </c>
      <c r="G973" s="7"/>
    </row>
    <row r="974" spans="1:7" x14ac:dyDescent="0.2">
      <c r="A974" s="3">
        <f ca="1">IFERROR(__xludf.DUMMYFUNCTION("""COMPUTED_VALUE"""),2583)</f>
        <v>2583</v>
      </c>
      <c r="B974" s="6">
        <f ca="1">IFERROR(__xludf.DUMMYFUNCTION("""COMPUTED_VALUE"""),45381.5177893518)</f>
        <v>45381.517789351798</v>
      </c>
      <c r="C974" s="3" t="str">
        <f ca="1">IFERROR(__xludf.DUMMYFUNCTION("""COMPUTED_VALUE"""),"purchase")</f>
        <v>purchase</v>
      </c>
      <c r="D974" s="6">
        <f t="shared" ca="1" si="0"/>
        <v>45381</v>
      </c>
      <c r="E974" s="6">
        <f t="shared" ca="1" si="1"/>
        <v>45376</v>
      </c>
      <c r="F974" s="6">
        <f t="shared" ca="1" si="2"/>
        <v>45352</v>
      </c>
      <c r="G974" s="7"/>
    </row>
    <row r="975" spans="1:7" x14ac:dyDescent="0.2">
      <c r="A975" s="3">
        <f ca="1">IFERROR(__xludf.DUMMYFUNCTION("""COMPUTED_VALUE"""),7535)</f>
        <v>7535</v>
      </c>
      <c r="B975" s="6">
        <f ca="1">IFERROR(__xludf.DUMMYFUNCTION("""COMPUTED_VALUE"""),45381.5925694444)</f>
        <v>45381.592569444401</v>
      </c>
      <c r="C975" s="3" t="str">
        <f ca="1">IFERROR(__xludf.DUMMYFUNCTION("""COMPUTED_VALUE"""),"purchase")</f>
        <v>purchase</v>
      </c>
      <c r="D975" s="6">
        <f t="shared" ca="1" si="0"/>
        <v>45381</v>
      </c>
      <c r="E975" s="6">
        <f t="shared" ca="1" si="1"/>
        <v>45376</v>
      </c>
      <c r="F975" s="6">
        <f t="shared" ca="1" si="2"/>
        <v>45352</v>
      </c>
      <c r="G975" s="7"/>
    </row>
    <row r="976" spans="1:7" x14ac:dyDescent="0.2">
      <c r="A976" s="3">
        <f ca="1">IFERROR(__xludf.DUMMYFUNCTION("""COMPUTED_VALUE"""),7037)</f>
        <v>7037</v>
      </c>
      <c r="B976" s="6">
        <f ca="1">IFERROR(__xludf.DUMMYFUNCTION("""COMPUTED_VALUE"""),45381.6783217592)</f>
        <v>45381.678321759202</v>
      </c>
      <c r="C976" s="3" t="str">
        <f ca="1">IFERROR(__xludf.DUMMYFUNCTION("""COMPUTED_VALUE"""),"purchase")</f>
        <v>purchase</v>
      </c>
      <c r="D976" s="6">
        <f t="shared" ca="1" si="0"/>
        <v>45381</v>
      </c>
      <c r="E976" s="6">
        <f t="shared" ca="1" si="1"/>
        <v>45376</v>
      </c>
      <c r="F976" s="6">
        <f t="shared" ca="1" si="2"/>
        <v>45352</v>
      </c>
      <c r="G976" s="7"/>
    </row>
    <row r="977" spans="1:7" x14ac:dyDescent="0.2">
      <c r="A977" s="3">
        <f ca="1">IFERROR(__xludf.DUMMYFUNCTION("""COMPUTED_VALUE"""),6801)</f>
        <v>6801</v>
      </c>
      <c r="B977" s="6">
        <f ca="1">IFERROR(__xludf.DUMMYFUNCTION("""COMPUTED_VALUE"""),45381.7173842592)</f>
        <v>45381.717384259202</v>
      </c>
      <c r="C977" s="3" t="str">
        <f ca="1">IFERROR(__xludf.DUMMYFUNCTION("""COMPUTED_VALUE"""),"purchase")</f>
        <v>purchase</v>
      </c>
      <c r="D977" s="6">
        <f t="shared" ca="1" si="0"/>
        <v>45381</v>
      </c>
      <c r="E977" s="6">
        <f t="shared" ca="1" si="1"/>
        <v>45376</v>
      </c>
      <c r="F977" s="6">
        <f t="shared" ca="1" si="2"/>
        <v>45352</v>
      </c>
      <c r="G977" s="7"/>
    </row>
    <row r="978" spans="1:7" x14ac:dyDescent="0.2">
      <c r="A978" s="3">
        <f ca="1">IFERROR(__xludf.DUMMYFUNCTION("""COMPUTED_VALUE"""),5818)</f>
        <v>5818</v>
      </c>
      <c r="B978" s="6">
        <f ca="1">IFERROR(__xludf.DUMMYFUNCTION("""COMPUTED_VALUE"""),45382.0522800925)</f>
        <v>45382.052280092503</v>
      </c>
      <c r="C978" s="3" t="str">
        <f ca="1">IFERROR(__xludf.DUMMYFUNCTION("""COMPUTED_VALUE"""),"purchase")</f>
        <v>purchase</v>
      </c>
      <c r="D978" s="6">
        <f t="shared" ca="1" si="0"/>
        <v>45382</v>
      </c>
      <c r="E978" s="6">
        <f t="shared" ca="1" si="1"/>
        <v>45376</v>
      </c>
      <c r="F978" s="6">
        <f t="shared" ca="1" si="2"/>
        <v>45352</v>
      </c>
      <c r="G978" s="7"/>
    </row>
    <row r="979" spans="1:7" x14ac:dyDescent="0.2">
      <c r="A979" s="3">
        <f ca="1">IFERROR(__xludf.DUMMYFUNCTION("""COMPUTED_VALUE"""),223)</f>
        <v>223</v>
      </c>
      <c r="B979" s="6">
        <f ca="1">IFERROR(__xludf.DUMMYFUNCTION("""COMPUTED_VALUE"""),45382.1781134259)</f>
        <v>45382.1781134259</v>
      </c>
      <c r="C979" s="3" t="str">
        <f ca="1">IFERROR(__xludf.DUMMYFUNCTION("""COMPUTED_VALUE"""),"purchase")</f>
        <v>purchase</v>
      </c>
      <c r="D979" s="6">
        <f t="shared" ca="1" si="0"/>
        <v>45382</v>
      </c>
      <c r="E979" s="6">
        <f t="shared" ca="1" si="1"/>
        <v>45376</v>
      </c>
      <c r="F979" s="6">
        <f t="shared" ca="1" si="2"/>
        <v>45352</v>
      </c>
      <c r="G979" s="7"/>
    </row>
    <row r="980" spans="1:7" x14ac:dyDescent="0.2">
      <c r="A980" s="3">
        <f ca="1">IFERROR(__xludf.DUMMYFUNCTION("""COMPUTED_VALUE"""),4954)</f>
        <v>4954</v>
      </c>
      <c r="B980" s="6">
        <f ca="1">IFERROR(__xludf.DUMMYFUNCTION("""COMPUTED_VALUE"""),45382.2491666666)</f>
        <v>45382.249166666603</v>
      </c>
      <c r="C980" s="3" t="str">
        <f ca="1">IFERROR(__xludf.DUMMYFUNCTION("""COMPUTED_VALUE"""),"purchase")</f>
        <v>purchase</v>
      </c>
      <c r="D980" s="6">
        <f t="shared" ca="1" si="0"/>
        <v>45382</v>
      </c>
      <c r="E980" s="6">
        <f t="shared" ca="1" si="1"/>
        <v>45376</v>
      </c>
      <c r="F980" s="6">
        <f t="shared" ca="1" si="2"/>
        <v>45352</v>
      </c>
      <c r="G980" s="7"/>
    </row>
    <row r="981" spans="1:7" x14ac:dyDescent="0.2">
      <c r="A981" s="3">
        <f ca="1">IFERROR(__xludf.DUMMYFUNCTION("""COMPUTED_VALUE"""),7410)</f>
        <v>7410</v>
      </c>
      <c r="B981" s="6">
        <f ca="1">IFERROR(__xludf.DUMMYFUNCTION("""COMPUTED_VALUE"""),45382.2933680555)</f>
        <v>45382.2933680555</v>
      </c>
      <c r="C981" s="3" t="str">
        <f ca="1">IFERROR(__xludf.DUMMYFUNCTION("""COMPUTED_VALUE"""),"purchase")</f>
        <v>purchase</v>
      </c>
      <c r="D981" s="6">
        <f t="shared" ca="1" si="0"/>
        <v>45382</v>
      </c>
      <c r="E981" s="6">
        <f t="shared" ca="1" si="1"/>
        <v>45376</v>
      </c>
      <c r="F981" s="6">
        <f t="shared" ca="1" si="2"/>
        <v>45352</v>
      </c>
      <c r="G981" s="7"/>
    </row>
    <row r="982" spans="1:7" x14ac:dyDescent="0.2">
      <c r="A982" s="3">
        <f ca="1">IFERROR(__xludf.DUMMYFUNCTION("""COMPUTED_VALUE"""),5897)</f>
        <v>5897</v>
      </c>
      <c r="B982" s="6">
        <f ca="1">IFERROR(__xludf.DUMMYFUNCTION("""COMPUTED_VALUE"""),45382.3358680555)</f>
        <v>45382.335868055503</v>
      </c>
      <c r="C982" s="3" t="str">
        <f ca="1">IFERROR(__xludf.DUMMYFUNCTION("""COMPUTED_VALUE"""),"purchase")</f>
        <v>purchase</v>
      </c>
      <c r="D982" s="6">
        <f t="shared" ca="1" si="0"/>
        <v>45382</v>
      </c>
      <c r="E982" s="6">
        <f t="shared" ca="1" si="1"/>
        <v>45376</v>
      </c>
      <c r="F982" s="6">
        <f t="shared" ca="1" si="2"/>
        <v>45352</v>
      </c>
      <c r="G982" s="7"/>
    </row>
    <row r="983" spans="1:7" x14ac:dyDescent="0.2">
      <c r="A983" s="3">
        <f ca="1">IFERROR(__xludf.DUMMYFUNCTION("""COMPUTED_VALUE"""),4450)</f>
        <v>4450</v>
      </c>
      <c r="B983" s="6">
        <f ca="1">IFERROR(__xludf.DUMMYFUNCTION("""COMPUTED_VALUE"""),45382.4580439814)</f>
        <v>45382.458043981402</v>
      </c>
      <c r="C983" s="3" t="str">
        <f ca="1">IFERROR(__xludf.DUMMYFUNCTION("""COMPUTED_VALUE"""),"purchase")</f>
        <v>purchase</v>
      </c>
      <c r="D983" s="6">
        <f t="shared" ca="1" si="0"/>
        <v>45382</v>
      </c>
      <c r="E983" s="6">
        <f t="shared" ca="1" si="1"/>
        <v>45376</v>
      </c>
      <c r="F983" s="6">
        <f t="shared" ca="1" si="2"/>
        <v>45352</v>
      </c>
      <c r="G983" s="7"/>
    </row>
    <row r="984" spans="1:7" x14ac:dyDescent="0.2">
      <c r="A984" s="3">
        <f ca="1">IFERROR(__xludf.DUMMYFUNCTION("""COMPUTED_VALUE"""),535)</f>
        <v>535</v>
      </c>
      <c r="B984" s="6">
        <f ca="1">IFERROR(__xludf.DUMMYFUNCTION("""COMPUTED_VALUE"""),45382.4872800925)</f>
        <v>45382.4872800925</v>
      </c>
      <c r="C984" s="3" t="str">
        <f ca="1">IFERROR(__xludf.DUMMYFUNCTION("""COMPUTED_VALUE"""),"purchase")</f>
        <v>purchase</v>
      </c>
      <c r="D984" s="6">
        <f t="shared" ca="1" si="0"/>
        <v>45382</v>
      </c>
      <c r="E984" s="6">
        <f t="shared" ca="1" si="1"/>
        <v>45376</v>
      </c>
      <c r="F984" s="6">
        <f t="shared" ca="1" si="2"/>
        <v>45352</v>
      </c>
      <c r="G984" s="7"/>
    </row>
    <row r="985" spans="1:7" x14ac:dyDescent="0.2">
      <c r="A985" s="3">
        <f ca="1">IFERROR(__xludf.DUMMYFUNCTION("""COMPUTED_VALUE"""),335)</f>
        <v>335</v>
      </c>
      <c r="B985" s="6">
        <f ca="1">IFERROR(__xludf.DUMMYFUNCTION("""COMPUTED_VALUE"""),45382.5196527777)</f>
        <v>45382.519652777701</v>
      </c>
      <c r="C985" s="3" t="str">
        <f ca="1">IFERROR(__xludf.DUMMYFUNCTION("""COMPUTED_VALUE"""),"purchase")</f>
        <v>purchase</v>
      </c>
      <c r="D985" s="6">
        <f t="shared" ca="1" si="0"/>
        <v>45382</v>
      </c>
      <c r="E985" s="6">
        <f t="shared" ca="1" si="1"/>
        <v>45376</v>
      </c>
      <c r="F985" s="6">
        <f t="shared" ca="1" si="2"/>
        <v>45352</v>
      </c>
      <c r="G985" s="7"/>
    </row>
    <row r="986" spans="1:7" x14ac:dyDescent="0.2">
      <c r="A986" s="3">
        <f ca="1">IFERROR(__xludf.DUMMYFUNCTION("""COMPUTED_VALUE"""),1560)</f>
        <v>1560</v>
      </c>
      <c r="B986" s="6">
        <f ca="1">IFERROR(__xludf.DUMMYFUNCTION("""COMPUTED_VALUE"""),45382.8241782407)</f>
        <v>45382.824178240699</v>
      </c>
      <c r="C986" s="3" t="str">
        <f ca="1">IFERROR(__xludf.DUMMYFUNCTION("""COMPUTED_VALUE"""),"purchase")</f>
        <v>purchase</v>
      </c>
      <c r="D986" s="6">
        <f t="shared" ca="1" si="0"/>
        <v>45382</v>
      </c>
      <c r="E986" s="6">
        <f t="shared" ca="1" si="1"/>
        <v>45376</v>
      </c>
      <c r="F986" s="6">
        <f t="shared" ca="1" si="2"/>
        <v>45352</v>
      </c>
      <c r="G986" s="7"/>
    </row>
    <row r="987" spans="1:7" x14ac:dyDescent="0.2">
      <c r="A987" s="3">
        <f ca="1">IFERROR(__xludf.DUMMYFUNCTION("""COMPUTED_VALUE"""),7915)</f>
        <v>7915</v>
      </c>
      <c r="B987" s="6">
        <f ca="1">IFERROR(__xludf.DUMMYFUNCTION("""COMPUTED_VALUE"""),45382.8414467592)</f>
        <v>45382.841446759201</v>
      </c>
      <c r="C987" s="3" t="str">
        <f ca="1">IFERROR(__xludf.DUMMYFUNCTION("""COMPUTED_VALUE"""),"purchase")</f>
        <v>purchase</v>
      </c>
      <c r="D987" s="6">
        <f t="shared" ca="1" si="0"/>
        <v>45382</v>
      </c>
      <c r="E987" s="6">
        <f t="shared" ca="1" si="1"/>
        <v>45376</v>
      </c>
      <c r="F987" s="6">
        <f t="shared" ca="1" si="2"/>
        <v>45352</v>
      </c>
      <c r="G987" s="7"/>
    </row>
    <row r="988" spans="1:7" x14ac:dyDescent="0.2">
      <c r="A988" s="3">
        <f ca="1">IFERROR(__xludf.DUMMYFUNCTION("""COMPUTED_VALUE"""),5671)</f>
        <v>5671</v>
      </c>
      <c r="B988" s="6">
        <f ca="1">IFERROR(__xludf.DUMMYFUNCTION("""COMPUTED_VALUE"""),45382.8543171296)</f>
        <v>45382.854317129597</v>
      </c>
      <c r="C988" s="3" t="str">
        <f ca="1">IFERROR(__xludf.DUMMYFUNCTION("""COMPUTED_VALUE"""),"purchase")</f>
        <v>purchase</v>
      </c>
      <c r="D988" s="6">
        <f t="shared" ca="1" si="0"/>
        <v>45382</v>
      </c>
      <c r="E988" s="6">
        <f t="shared" ca="1" si="1"/>
        <v>45376</v>
      </c>
      <c r="F988" s="6">
        <f t="shared" ca="1" si="2"/>
        <v>45352</v>
      </c>
      <c r="G988" s="7"/>
    </row>
    <row r="989" spans="1:7" x14ac:dyDescent="0.2">
      <c r="A989" s="3">
        <f ca="1">IFERROR(__xludf.DUMMYFUNCTION("""COMPUTED_VALUE"""),6084)</f>
        <v>6084</v>
      </c>
      <c r="B989" s="6">
        <f ca="1">IFERROR(__xludf.DUMMYFUNCTION("""COMPUTED_VALUE"""),45382.8716550925)</f>
        <v>45382.871655092502</v>
      </c>
      <c r="C989" s="3" t="str">
        <f ca="1">IFERROR(__xludf.DUMMYFUNCTION("""COMPUTED_VALUE"""),"purchase")</f>
        <v>purchase</v>
      </c>
      <c r="D989" s="6">
        <f t="shared" ca="1" si="0"/>
        <v>45382</v>
      </c>
      <c r="E989" s="6">
        <f t="shared" ca="1" si="1"/>
        <v>45376</v>
      </c>
      <c r="F989" s="6">
        <f t="shared" ca="1" si="2"/>
        <v>45352</v>
      </c>
      <c r="G989" s="7"/>
    </row>
    <row r="990" spans="1:7" x14ac:dyDescent="0.2">
      <c r="A990" s="3">
        <f ca="1">IFERROR(__xludf.DUMMYFUNCTION("""COMPUTED_VALUE"""),6342)</f>
        <v>6342</v>
      </c>
      <c r="B990" s="6">
        <f ca="1">IFERROR(__xludf.DUMMYFUNCTION("""COMPUTED_VALUE"""),45382.8856828703)</f>
        <v>45382.885682870299</v>
      </c>
      <c r="C990" s="3" t="str">
        <f ca="1">IFERROR(__xludf.DUMMYFUNCTION("""COMPUTED_VALUE"""),"purchase")</f>
        <v>purchase</v>
      </c>
      <c r="D990" s="6">
        <f t="shared" ca="1" si="0"/>
        <v>45382</v>
      </c>
      <c r="E990" s="6">
        <f t="shared" ca="1" si="1"/>
        <v>45376</v>
      </c>
      <c r="F990" s="6">
        <f t="shared" ca="1" si="2"/>
        <v>45352</v>
      </c>
      <c r="G990" s="7"/>
    </row>
    <row r="991" spans="1:7" x14ac:dyDescent="0.2">
      <c r="A991" s="3">
        <f ca="1">IFERROR(__xludf.DUMMYFUNCTION("""COMPUTED_VALUE"""),5563)</f>
        <v>5563</v>
      </c>
      <c r="B991" s="6">
        <f ca="1">IFERROR(__xludf.DUMMYFUNCTION("""COMPUTED_VALUE"""),45382.9015162037)</f>
        <v>45382.901516203703</v>
      </c>
      <c r="C991" s="3" t="str">
        <f ca="1">IFERROR(__xludf.DUMMYFUNCTION("""COMPUTED_VALUE"""),"purchase")</f>
        <v>purchase</v>
      </c>
      <c r="D991" s="6">
        <f t="shared" ca="1" si="0"/>
        <v>45382</v>
      </c>
      <c r="E991" s="6">
        <f t="shared" ca="1" si="1"/>
        <v>45376</v>
      </c>
      <c r="F991" s="6">
        <f t="shared" ca="1" si="2"/>
        <v>45352</v>
      </c>
      <c r="G991" s="7"/>
    </row>
    <row r="992" spans="1:7" x14ac:dyDescent="0.2">
      <c r="A992" s="3">
        <f ca="1">IFERROR(__xludf.DUMMYFUNCTION("""COMPUTED_VALUE"""),4862)</f>
        <v>4862</v>
      </c>
      <c r="B992" s="6">
        <f ca="1">IFERROR(__xludf.DUMMYFUNCTION("""COMPUTED_VALUE"""),45382.9779398148)</f>
        <v>45382.977939814802</v>
      </c>
      <c r="C992" s="3" t="str">
        <f ca="1">IFERROR(__xludf.DUMMYFUNCTION("""COMPUTED_VALUE"""),"purchase")</f>
        <v>purchase</v>
      </c>
      <c r="D992" s="6">
        <f t="shared" ca="1" si="0"/>
        <v>45382</v>
      </c>
      <c r="E992" s="6">
        <f t="shared" ca="1" si="1"/>
        <v>45376</v>
      </c>
      <c r="F992" s="6">
        <f t="shared" ca="1" si="2"/>
        <v>45352</v>
      </c>
      <c r="G992" s="7"/>
    </row>
    <row r="993" spans="1:7" x14ac:dyDescent="0.2">
      <c r="A993" s="3">
        <f ca="1">IFERROR(__xludf.DUMMYFUNCTION("""COMPUTED_VALUE"""),6907)</f>
        <v>6907</v>
      </c>
      <c r="B993" s="6">
        <f ca="1">IFERROR(__xludf.DUMMYFUNCTION("""COMPUTED_VALUE"""),45383.0106134259)</f>
        <v>45383.010613425897</v>
      </c>
      <c r="C993" s="3" t="str">
        <f ca="1">IFERROR(__xludf.DUMMYFUNCTION("""COMPUTED_VALUE"""),"purchase")</f>
        <v>purchase</v>
      </c>
      <c r="D993" s="6">
        <f t="shared" ca="1" si="0"/>
        <v>45383</v>
      </c>
      <c r="E993" s="6">
        <f t="shared" ca="1" si="1"/>
        <v>45383</v>
      </c>
      <c r="F993" s="6">
        <f t="shared" ca="1" si="2"/>
        <v>45383</v>
      </c>
      <c r="G993" s="7"/>
    </row>
    <row r="994" spans="1:7" x14ac:dyDescent="0.2">
      <c r="A994" s="3">
        <f ca="1">IFERROR(__xludf.DUMMYFUNCTION("""COMPUTED_VALUE"""),20)</f>
        <v>20</v>
      </c>
      <c r="B994" s="6">
        <f ca="1">IFERROR(__xludf.DUMMYFUNCTION("""COMPUTED_VALUE"""),45383.053449074)</f>
        <v>45383.053449074003</v>
      </c>
      <c r="C994" s="3" t="str">
        <f ca="1">IFERROR(__xludf.DUMMYFUNCTION("""COMPUTED_VALUE"""),"purchase")</f>
        <v>purchase</v>
      </c>
      <c r="D994" s="6">
        <f t="shared" ca="1" si="0"/>
        <v>45383</v>
      </c>
      <c r="E994" s="6">
        <f t="shared" ca="1" si="1"/>
        <v>45383</v>
      </c>
      <c r="F994" s="6">
        <f t="shared" ca="1" si="2"/>
        <v>45383</v>
      </c>
      <c r="G994" s="7"/>
    </row>
    <row r="995" spans="1:7" x14ac:dyDescent="0.2">
      <c r="A995" s="3">
        <f ca="1">IFERROR(__xludf.DUMMYFUNCTION("""COMPUTED_VALUE"""),5687)</f>
        <v>5687</v>
      </c>
      <c r="B995" s="6">
        <f ca="1">IFERROR(__xludf.DUMMYFUNCTION("""COMPUTED_VALUE"""),45383.1123379629)</f>
        <v>45383.112337962899</v>
      </c>
      <c r="C995" s="3" t="str">
        <f ca="1">IFERROR(__xludf.DUMMYFUNCTION("""COMPUTED_VALUE"""),"purchase")</f>
        <v>purchase</v>
      </c>
      <c r="D995" s="6">
        <f t="shared" ca="1" si="0"/>
        <v>45383</v>
      </c>
      <c r="E995" s="6">
        <f t="shared" ca="1" si="1"/>
        <v>45383</v>
      </c>
      <c r="F995" s="6">
        <f t="shared" ca="1" si="2"/>
        <v>45383</v>
      </c>
      <c r="G995" s="7"/>
    </row>
    <row r="996" spans="1:7" x14ac:dyDescent="0.2">
      <c r="A996" s="3">
        <f ca="1">IFERROR(__xludf.DUMMYFUNCTION("""COMPUTED_VALUE"""),3371)</f>
        <v>3371</v>
      </c>
      <c r="B996" s="6">
        <f ca="1">IFERROR(__xludf.DUMMYFUNCTION("""COMPUTED_VALUE"""),45383.1158333333)</f>
        <v>45383.115833333301</v>
      </c>
      <c r="C996" s="3" t="str">
        <f ca="1">IFERROR(__xludf.DUMMYFUNCTION("""COMPUTED_VALUE"""),"purchase")</f>
        <v>purchase</v>
      </c>
      <c r="D996" s="6">
        <f t="shared" ca="1" si="0"/>
        <v>45383</v>
      </c>
      <c r="E996" s="6">
        <f t="shared" ca="1" si="1"/>
        <v>45383</v>
      </c>
      <c r="F996" s="6">
        <f t="shared" ca="1" si="2"/>
        <v>45383</v>
      </c>
      <c r="G996" s="7"/>
    </row>
    <row r="997" spans="1:7" x14ac:dyDescent="0.2">
      <c r="A997" s="3">
        <f ca="1">IFERROR(__xludf.DUMMYFUNCTION("""COMPUTED_VALUE"""),2771)</f>
        <v>2771</v>
      </c>
      <c r="B997" s="6">
        <f ca="1">IFERROR(__xludf.DUMMYFUNCTION("""COMPUTED_VALUE"""),45383.1487152777)</f>
        <v>45383.148715277697</v>
      </c>
      <c r="C997" s="3" t="str">
        <f ca="1">IFERROR(__xludf.DUMMYFUNCTION("""COMPUTED_VALUE"""),"purchase")</f>
        <v>purchase</v>
      </c>
      <c r="D997" s="6">
        <f t="shared" ca="1" si="0"/>
        <v>45383</v>
      </c>
      <c r="E997" s="6">
        <f t="shared" ca="1" si="1"/>
        <v>45383</v>
      </c>
      <c r="F997" s="6">
        <f t="shared" ca="1" si="2"/>
        <v>45383</v>
      </c>
      <c r="G997" s="7"/>
    </row>
    <row r="998" spans="1:7" x14ac:dyDescent="0.2">
      <c r="A998" s="3">
        <f ca="1">IFERROR(__xludf.DUMMYFUNCTION("""COMPUTED_VALUE"""),7355)</f>
        <v>7355</v>
      </c>
      <c r="B998" s="6">
        <f ca="1">IFERROR(__xludf.DUMMYFUNCTION("""COMPUTED_VALUE"""),45383.1866550925)</f>
        <v>45383.186655092497</v>
      </c>
      <c r="C998" s="3" t="str">
        <f ca="1">IFERROR(__xludf.DUMMYFUNCTION("""COMPUTED_VALUE"""),"purchase")</f>
        <v>purchase</v>
      </c>
      <c r="D998" s="6">
        <f t="shared" ca="1" si="0"/>
        <v>45383</v>
      </c>
      <c r="E998" s="6">
        <f t="shared" ca="1" si="1"/>
        <v>45383</v>
      </c>
      <c r="F998" s="6">
        <f t="shared" ca="1" si="2"/>
        <v>45383</v>
      </c>
      <c r="G998" s="7"/>
    </row>
    <row r="999" spans="1:7" x14ac:dyDescent="0.2">
      <c r="A999" s="3">
        <f ca="1">IFERROR(__xludf.DUMMYFUNCTION("""COMPUTED_VALUE"""),4984)</f>
        <v>4984</v>
      </c>
      <c r="B999" s="6">
        <f ca="1">IFERROR(__xludf.DUMMYFUNCTION("""COMPUTED_VALUE"""),45383.2404398148)</f>
        <v>45383.240439814799</v>
      </c>
      <c r="C999" s="3" t="str">
        <f ca="1">IFERROR(__xludf.DUMMYFUNCTION("""COMPUTED_VALUE"""),"purchase")</f>
        <v>purchase</v>
      </c>
      <c r="D999" s="6">
        <f t="shared" ca="1" si="0"/>
        <v>45383</v>
      </c>
      <c r="E999" s="6">
        <f t="shared" ca="1" si="1"/>
        <v>45383</v>
      </c>
      <c r="F999" s="6">
        <f t="shared" ca="1" si="2"/>
        <v>45383</v>
      </c>
      <c r="G999" s="7"/>
    </row>
    <row r="1000" spans="1:7" x14ac:dyDescent="0.2">
      <c r="A1000" s="3">
        <f ca="1">IFERROR(__xludf.DUMMYFUNCTION("""COMPUTED_VALUE"""),1048)</f>
        <v>1048</v>
      </c>
      <c r="B1000" s="6">
        <f ca="1">IFERROR(__xludf.DUMMYFUNCTION("""COMPUTED_VALUE"""),45383.3414930555)</f>
        <v>45383.341493055501</v>
      </c>
      <c r="C1000" s="3" t="str">
        <f ca="1">IFERROR(__xludf.DUMMYFUNCTION("""COMPUTED_VALUE"""),"purchase")</f>
        <v>purchase</v>
      </c>
      <c r="D1000" s="6">
        <f t="shared" ca="1" si="0"/>
        <v>45383</v>
      </c>
      <c r="E1000" s="6">
        <f t="shared" ca="1" si="1"/>
        <v>45383</v>
      </c>
      <c r="F1000" s="6">
        <f t="shared" ca="1" si="2"/>
        <v>45383</v>
      </c>
      <c r="G1000" s="7"/>
    </row>
    <row r="1001" spans="1:7" x14ac:dyDescent="0.2">
      <c r="A1001" s="3">
        <f ca="1">IFERROR(__xludf.DUMMYFUNCTION("""COMPUTED_VALUE"""),7727)</f>
        <v>7727</v>
      </c>
      <c r="B1001" s="6">
        <f ca="1">IFERROR(__xludf.DUMMYFUNCTION("""COMPUTED_VALUE"""),45383.3507175925)</f>
        <v>45383.350717592497</v>
      </c>
      <c r="C1001" s="3" t="str">
        <f ca="1">IFERROR(__xludf.DUMMYFUNCTION("""COMPUTED_VALUE"""),"purchase")</f>
        <v>purchase</v>
      </c>
      <c r="D1001" s="6">
        <f t="shared" ca="1" si="0"/>
        <v>45383</v>
      </c>
      <c r="E1001" s="6">
        <f t="shared" ca="1" si="1"/>
        <v>45383</v>
      </c>
      <c r="F1001" s="6">
        <f t="shared" ca="1" si="2"/>
        <v>45383</v>
      </c>
      <c r="G1001" s="7"/>
    </row>
    <row r="1002" spans="1:7" x14ac:dyDescent="0.2">
      <c r="A1002" s="3">
        <f ca="1">IFERROR(__xludf.DUMMYFUNCTION("""COMPUTED_VALUE"""),1633)</f>
        <v>1633</v>
      </c>
      <c r="B1002" s="6">
        <f ca="1">IFERROR(__xludf.DUMMYFUNCTION("""COMPUTED_VALUE"""),45383.6049421296)</f>
        <v>45383.604942129597</v>
      </c>
      <c r="C1002" s="3" t="str">
        <f ca="1">IFERROR(__xludf.DUMMYFUNCTION("""COMPUTED_VALUE"""),"purchase")</f>
        <v>purchase</v>
      </c>
      <c r="D1002" s="6">
        <f t="shared" ca="1" si="0"/>
        <v>45383</v>
      </c>
      <c r="E1002" s="6">
        <f t="shared" ca="1" si="1"/>
        <v>45383</v>
      </c>
      <c r="F1002" s="6">
        <f t="shared" ca="1" si="2"/>
        <v>45383</v>
      </c>
      <c r="G1002" s="7"/>
    </row>
    <row r="1003" spans="1:7" x14ac:dyDescent="0.2">
      <c r="A1003" s="3">
        <f ca="1">IFERROR(__xludf.DUMMYFUNCTION("""COMPUTED_VALUE"""),2113)</f>
        <v>2113</v>
      </c>
      <c r="B1003" s="6">
        <f ca="1">IFERROR(__xludf.DUMMYFUNCTION("""COMPUTED_VALUE"""),45383.7603009259)</f>
        <v>45383.760300925896</v>
      </c>
      <c r="C1003" s="3" t="str">
        <f ca="1">IFERROR(__xludf.DUMMYFUNCTION("""COMPUTED_VALUE"""),"purchase")</f>
        <v>purchase</v>
      </c>
      <c r="D1003" s="6">
        <f t="shared" ca="1" si="0"/>
        <v>45383</v>
      </c>
      <c r="E1003" s="6">
        <f t="shared" ca="1" si="1"/>
        <v>45383</v>
      </c>
      <c r="F1003" s="6">
        <f t="shared" ca="1" si="2"/>
        <v>45383</v>
      </c>
      <c r="G1003" s="7"/>
    </row>
    <row r="1004" spans="1:7" x14ac:dyDescent="0.2">
      <c r="A1004" s="3">
        <f ca="1">IFERROR(__xludf.DUMMYFUNCTION("""COMPUTED_VALUE"""),5518)</f>
        <v>5518</v>
      </c>
      <c r="B1004" s="6">
        <f ca="1">IFERROR(__xludf.DUMMYFUNCTION("""COMPUTED_VALUE"""),45383.8354282407)</f>
        <v>45383.835428240702</v>
      </c>
      <c r="C1004" s="3" t="str">
        <f ca="1">IFERROR(__xludf.DUMMYFUNCTION("""COMPUTED_VALUE"""),"purchase")</f>
        <v>purchase</v>
      </c>
      <c r="D1004" s="6">
        <f t="shared" ca="1" si="0"/>
        <v>45383</v>
      </c>
      <c r="E1004" s="6">
        <f t="shared" ca="1" si="1"/>
        <v>45383</v>
      </c>
      <c r="F1004" s="6">
        <f t="shared" ca="1" si="2"/>
        <v>45383</v>
      </c>
      <c r="G1004" s="7"/>
    </row>
    <row r="1005" spans="1:7" x14ac:dyDescent="0.2">
      <c r="A1005" s="3">
        <f ca="1">IFERROR(__xludf.DUMMYFUNCTION("""COMPUTED_VALUE"""),4926)</f>
        <v>4926</v>
      </c>
      <c r="B1005" s="6">
        <f ca="1">IFERROR(__xludf.DUMMYFUNCTION("""COMPUTED_VALUE"""),45383.9344212963)</f>
        <v>45383.934421296297</v>
      </c>
      <c r="C1005" s="3" t="str">
        <f ca="1">IFERROR(__xludf.DUMMYFUNCTION("""COMPUTED_VALUE"""),"purchase")</f>
        <v>purchase</v>
      </c>
      <c r="D1005" s="6">
        <f t="shared" ca="1" si="0"/>
        <v>45383</v>
      </c>
      <c r="E1005" s="6">
        <f t="shared" ca="1" si="1"/>
        <v>45383</v>
      </c>
      <c r="F1005" s="6">
        <f t="shared" ca="1" si="2"/>
        <v>45383</v>
      </c>
      <c r="G1005" s="7"/>
    </row>
    <row r="1006" spans="1:7" x14ac:dyDescent="0.2">
      <c r="A1006" s="3">
        <f ca="1">IFERROR(__xludf.DUMMYFUNCTION("""COMPUTED_VALUE"""),266)</f>
        <v>266</v>
      </c>
      <c r="B1006" s="6">
        <f ca="1">IFERROR(__xludf.DUMMYFUNCTION("""COMPUTED_VALUE"""),45384.0233796296)</f>
        <v>45384.023379629602</v>
      </c>
      <c r="C1006" s="3" t="str">
        <f ca="1">IFERROR(__xludf.DUMMYFUNCTION("""COMPUTED_VALUE"""),"purchase")</f>
        <v>purchase</v>
      </c>
      <c r="D1006" s="6">
        <f t="shared" ca="1" si="0"/>
        <v>45384</v>
      </c>
      <c r="E1006" s="6">
        <f t="shared" ca="1" si="1"/>
        <v>45383</v>
      </c>
      <c r="F1006" s="6">
        <f t="shared" ca="1" si="2"/>
        <v>45383</v>
      </c>
      <c r="G1006" s="7"/>
    </row>
    <row r="1007" spans="1:7" x14ac:dyDescent="0.2">
      <c r="A1007" s="3">
        <f ca="1">IFERROR(__xludf.DUMMYFUNCTION("""COMPUTED_VALUE"""),7880)</f>
        <v>7880</v>
      </c>
      <c r="B1007" s="6">
        <f ca="1">IFERROR(__xludf.DUMMYFUNCTION("""COMPUTED_VALUE"""),45384.0401157407)</f>
        <v>45384.040115740703</v>
      </c>
      <c r="C1007" s="3" t="str">
        <f ca="1">IFERROR(__xludf.DUMMYFUNCTION("""COMPUTED_VALUE"""),"purchase")</f>
        <v>purchase</v>
      </c>
      <c r="D1007" s="6">
        <f t="shared" ca="1" si="0"/>
        <v>45384</v>
      </c>
      <c r="E1007" s="6">
        <f t="shared" ca="1" si="1"/>
        <v>45383</v>
      </c>
      <c r="F1007" s="6">
        <f t="shared" ca="1" si="2"/>
        <v>45383</v>
      </c>
      <c r="G1007" s="7"/>
    </row>
    <row r="1008" spans="1:7" x14ac:dyDescent="0.2">
      <c r="A1008" s="3">
        <f ca="1">IFERROR(__xludf.DUMMYFUNCTION("""COMPUTED_VALUE"""),439)</f>
        <v>439</v>
      </c>
      <c r="B1008" s="6">
        <f ca="1">IFERROR(__xludf.DUMMYFUNCTION("""COMPUTED_VALUE"""),45384.0416435185)</f>
        <v>45384.041643518503</v>
      </c>
      <c r="C1008" s="3" t="str">
        <f ca="1">IFERROR(__xludf.DUMMYFUNCTION("""COMPUTED_VALUE"""),"purchase")</f>
        <v>purchase</v>
      </c>
      <c r="D1008" s="6">
        <f t="shared" ca="1" si="0"/>
        <v>45384</v>
      </c>
      <c r="E1008" s="6">
        <f t="shared" ca="1" si="1"/>
        <v>45383</v>
      </c>
      <c r="F1008" s="6">
        <f t="shared" ca="1" si="2"/>
        <v>45383</v>
      </c>
      <c r="G1008" s="7"/>
    </row>
    <row r="1009" spans="1:7" x14ac:dyDescent="0.2">
      <c r="A1009" s="3">
        <f ca="1">IFERROR(__xludf.DUMMYFUNCTION("""COMPUTED_VALUE"""),3667)</f>
        <v>3667</v>
      </c>
      <c r="B1009" s="6">
        <f ca="1">IFERROR(__xludf.DUMMYFUNCTION("""COMPUTED_VALUE"""),45384.3049421296)</f>
        <v>45384.304942129602</v>
      </c>
      <c r="C1009" s="3" t="str">
        <f ca="1">IFERROR(__xludf.DUMMYFUNCTION("""COMPUTED_VALUE"""),"purchase")</f>
        <v>purchase</v>
      </c>
      <c r="D1009" s="6">
        <f t="shared" ca="1" si="0"/>
        <v>45384</v>
      </c>
      <c r="E1009" s="6">
        <f t="shared" ca="1" si="1"/>
        <v>45383</v>
      </c>
      <c r="F1009" s="6">
        <f t="shared" ca="1" si="2"/>
        <v>45383</v>
      </c>
      <c r="G1009" s="7"/>
    </row>
    <row r="1010" spans="1:7" x14ac:dyDescent="0.2">
      <c r="A1010" s="3">
        <f ca="1">IFERROR(__xludf.DUMMYFUNCTION("""COMPUTED_VALUE"""),3034)</f>
        <v>3034</v>
      </c>
      <c r="B1010" s="6">
        <f ca="1">IFERROR(__xludf.DUMMYFUNCTION("""COMPUTED_VALUE"""),45384.305162037)</f>
        <v>45384.305162037002</v>
      </c>
      <c r="C1010" s="3" t="str">
        <f ca="1">IFERROR(__xludf.DUMMYFUNCTION("""COMPUTED_VALUE"""),"purchase")</f>
        <v>purchase</v>
      </c>
      <c r="D1010" s="6">
        <f t="shared" ca="1" si="0"/>
        <v>45384</v>
      </c>
      <c r="E1010" s="6">
        <f t="shared" ca="1" si="1"/>
        <v>45383</v>
      </c>
      <c r="F1010" s="6">
        <f t="shared" ca="1" si="2"/>
        <v>45383</v>
      </c>
      <c r="G1010" s="7"/>
    </row>
    <row r="1011" spans="1:7" x14ac:dyDescent="0.2">
      <c r="A1011" s="3">
        <f ca="1">IFERROR(__xludf.DUMMYFUNCTION("""COMPUTED_VALUE"""),1324)</f>
        <v>1324</v>
      </c>
      <c r="B1011" s="6">
        <f ca="1">IFERROR(__xludf.DUMMYFUNCTION("""COMPUTED_VALUE"""),45384.4068518518)</f>
        <v>45384.406851851803</v>
      </c>
      <c r="C1011" s="3" t="str">
        <f ca="1">IFERROR(__xludf.DUMMYFUNCTION("""COMPUTED_VALUE"""),"purchase")</f>
        <v>purchase</v>
      </c>
      <c r="D1011" s="6">
        <f t="shared" ca="1" si="0"/>
        <v>45384</v>
      </c>
      <c r="E1011" s="6">
        <f t="shared" ca="1" si="1"/>
        <v>45383</v>
      </c>
      <c r="F1011" s="6">
        <f t="shared" ca="1" si="2"/>
        <v>45383</v>
      </c>
      <c r="G1011" s="7"/>
    </row>
    <row r="1012" spans="1:7" x14ac:dyDescent="0.2">
      <c r="A1012" s="3">
        <f ca="1">IFERROR(__xludf.DUMMYFUNCTION("""COMPUTED_VALUE"""),6435)</f>
        <v>6435</v>
      </c>
      <c r="B1012" s="6">
        <f ca="1">IFERROR(__xludf.DUMMYFUNCTION("""COMPUTED_VALUE"""),45384.698449074)</f>
        <v>45384.698449074</v>
      </c>
      <c r="C1012" s="3" t="str">
        <f ca="1">IFERROR(__xludf.DUMMYFUNCTION("""COMPUTED_VALUE"""),"purchase")</f>
        <v>purchase</v>
      </c>
      <c r="D1012" s="6">
        <f t="shared" ca="1" si="0"/>
        <v>45384</v>
      </c>
      <c r="E1012" s="6">
        <f t="shared" ca="1" si="1"/>
        <v>45383</v>
      </c>
      <c r="F1012" s="6">
        <f t="shared" ca="1" si="2"/>
        <v>45383</v>
      </c>
      <c r="G1012" s="7"/>
    </row>
    <row r="1013" spans="1:7" x14ac:dyDescent="0.2">
      <c r="A1013" s="3">
        <f ca="1">IFERROR(__xludf.DUMMYFUNCTION("""COMPUTED_VALUE"""),6826)</f>
        <v>6826</v>
      </c>
      <c r="B1013" s="6">
        <f ca="1">IFERROR(__xludf.DUMMYFUNCTION("""COMPUTED_VALUE"""),45385.0825925925)</f>
        <v>45385.082592592502</v>
      </c>
      <c r="C1013" s="3" t="str">
        <f ca="1">IFERROR(__xludf.DUMMYFUNCTION("""COMPUTED_VALUE"""),"purchase")</f>
        <v>purchase</v>
      </c>
      <c r="D1013" s="6">
        <f t="shared" ca="1" si="0"/>
        <v>45385</v>
      </c>
      <c r="E1013" s="6">
        <f t="shared" ca="1" si="1"/>
        <v>45383</v>
      </c>
      <c r="F1013" s="6">
        <f t="shared" ca="1" si="2"/>
        <v>45383</v>
      </c>
      <c r="G1013" s="7"/>
    </row>
    <row r="1014" spans="1:7" x14ac:dyDescent="0.2">
      <c r="A1014" s="3">
        <f ca="1">IFERROR(__xludf.DUMMYFUNCTION("""COMPUTED_VALUE"""),1727)</f>
        <v>1727</v>
      </c>
      <c r="B1014" s="6">
        <f ca="1">IFERROR(__xludf.DUMMYFUNCTION("""COMPUTED_VALUE"""),45385.1118518518)</f>
        <v>45385.111851851798</v>
      </c>
      <c r="C1014" s="3" t="str">
        <f ca="1">IFERROR(__xludf.DUMMYFUNCTION("""COMPUTED_VALUE"""),"purchase")</f>
        <v>purchase</v>
      </c>
      <c r="D1014" s="6">
        <f t="shared" ca="1" si="0"/>
        <v>45385</v>
      </c>
      <c r="E1014" s="6">
        <f t="shared" ca="1" si="1"/>
        <v>45383</v>
      </c>
      <c r="F1014" s="6">
        <f t="shared" ca="1" si="2"/>
        <v>45383</v>
      </c>
      <c r="G1014" s="7"/>
    </row>
    <row r="1015" spans="1:7" x14ac:dyDescent="0.2">
      <c r="A1015" s="3">
        <f ca="1">IFERROR(__xludf.DUMMYFUNCTION("""COMPUTED_VALUE"""),1480)</f>
        <v>1480</v>
      </c>
      <c r="B1015" s="6">
        <f ca="1">IFERROR(__xludf.DUMMYFUNCTION("""COMPUTED_VALUE"""),45385.1186342592)</f>
        <v>45385.118634259197</v>
      </c>
      <c r="C1015" s="3" t="str">
        <f ca="1">IFERROR(__xludf.DUMMYFUNCTION("""COMPUTED_VALUE"""),"purchase")</f>
        <v>purchase</v>
      </c>
      <c r="D1015" s="6">
        <f t="shared" ca="1" si="0"/>
        <v>45385</v>
      </c>
      <c r="E1015" s="6">
        <f t="shared" ca="1" si="1"/>
        <v>45383</v>
      </c>
      <c r="F1015" s="6">
        <f t="shared" ca="1" si="2"/>
        <v>45383</v>
      </c>
      <c r="G1015" s="7"/>
    </row>
    <row r="1016" spans="1:7" x14ac:dyDescent="0.2">
      <c r="A1016" s="3">
        <f ca="1">IFERROR(__xludf.DUMMYFUNCTION("""COMPUTED_VALUE"""),484)</f>
        <v>484</v>
      </c>
      <c r="B1016" s="6">
        <f ca="1">IFERROR(__xludf.DUMMYFUNCTION("""COMPUTED_VALUE"""),45385.3486805555)</f>
        <v>45385.3486805555</v>
      </c>
      <c r="C1016" s="3" t="str">
        <f ca="1">IFERROR(__xludf.DUMMYFUNCTION("""COMPUTED_VALUE"""),"purchase")</f>
        <v>purchase</v>
      </c>
      <c r="D1016" s="6">
        <f t="shared" ca="1" si="0"/>
        <v>45385</v>
      </c>
      <c r="E1016" s="6">
        <f t="shared" ca="1" si="1"/>
        <v>45383</v>
      </c>
      <c r="F1016" s="6">
        <f t="shared" ca="1" si="2"/>
        <v>45383</v>
      </c>
      <c r="G1016" s="7"/>
    </row>
    <row r="1017" spans="1:7" x14ac:dyDescent="0.2">
      <c r="A1017" s="3">
        <f ca="1">IFERROR(__xludf.DUMMYFUNCTION("""COMPUTED_VALUE"""),350)</f>
        <v>350</v>
      </c>
      <c r="B1017" s="6">
        <f ca="1">IFERROR(__xludf.DUMMYFUNCTION("""COMPUTED_VALUE"""),45385.5782523148)</f>
        <v>45385.578252314801</v>
      </c>
      <c r="C1017" s="3" t="str">
        <f ca="1">IFERROR(__xludf.DUMMYFUNCTION("""COMPUTED_VALUE"""),"purchase")</f>
        <v>purchase</v>
      </c>
      <c r="D1017" s="6">
        <f t="shared" ca="1" si="0"/>
        <v>45385</v>
      </c>
      <c r="E1017" s="6">
        <f t="shared" ca="1" si="1"/>
        <v>45383</v>
      </c>
      <c r="F1017" s="6">
        <f t="shared" ca="1" si="2"/>
        <v>45383</v>
      </c>
      <c r="G1017" s="7"/>
    </row>
    <row r="1018" spans="1:7" x14ac:dyDescent="0.2">
      <c r="A1018" s="3">
        <f ca="1">IFERROR(__xludf.DUMMYFUNCTION("""COMPUTED_VALUE"""),2930)</f>
        <v>2930</v>
      </c>
      <c r="B1018" s="6">
        <f ca="1">IFERROR(__xludf.DUMMYFUNCTION("""COMPUTED_VALUE"""),45385.7572569444)</f>
        <v>45385.757256944402</v>
      </c>
      <c r="C1018" s="3" t="str">
        <f ca="1">IFERROR(__xludf.DUMMYFUNCTION("""COMPUTED_VALUE"""),"purchase")</f>
        <v>purchase</v>
      </c>
      <c r="D1018" s="6">
        <f t="shared" ca="1" si="0"/>
        <v>45385</v>
      </c>
      <c r="E1018" s="6">
        <f t="shared" ca="1" si="1"/>
        <v>45383</v>
      </c>
      <c r="F1018" s="6">
        <f t="shared" ca="1" si="2"/>
        <v>45383</v>
      </c>
      <c r="G1018" s="7"/>
    </row>
    <row r="1019" spans="1:7" x14ac:dyDescent="0.2">
      <c r="A1019" s="3">
        <f ca="1">IFERROR(__xludf.DUMMYFUNCTION("""COMPUTED_VALUE"""),2230)</f>
        <v>2230</v>
      </c>
      <c r="B1019" s="6">
        <f ca="1">IFERROR(__xludf.DUMMYFUNCTION("""COMPUTED_VALUE"""),45385.76875)</f>
        <v>45385.768750000003</v>
      </c>
      <c r="C1019" s="3" t="str">
        <f ca="1">IFERROR(__xludf.DUMMYFUNCTION("""COMPUTED_VALUE"""),"purchase")</f>
        <v>purchase</v>
      </c>
      <c r="D1019" s="6">
        <f t="shared" ca="1" si="0"/>
        <v>45385</v>
      </c>
      <c r="E1019" s="6">
        <f t="shared" ca="1" si="1"/>
        <v>45383</v>
      </c>
      <c r="F1019" s="6">
        <f t="shared" ca="1" si="2"/>
        <v>45383</v>
      </c>
      <c r="G1019" s="7"/>
    </row>
    <row r="1020" spans="1:7" x14ac:dyDescent="0.2">
      <c r="A1020" s="3">
        <f ca="1">IFERROR(__xludf.DUMMYFUNCTION("""COMPUTED_VALUE"""),5945)</f>
        <v>5945</v>
      </c>
      <c r="B1020" s="6">
        <f ca="1">IFERROR(__xludf.DUMMYFUNCTION("""COMPUTED_VALUE"""),45385.780625)</f>
        <v>45385.780624999999</v>
      </c>
      <c r="C1020" s="3" t="str">
        <f ca="1">IFERROR(__xludf.DUMMYFUNCTION("""COMPUTED_VALUE"""),"purchase")</f>
        <v>purchase</v>
      </c>
      <c r="D1020" s="6">
        <f t="shared" ca="1" si="0"/>
        <v>45385</v>
      </c>
      <c r="E1020" s="6">
        <f t="shared" ca="1" si="1"/>
        <v>45383</v>
      </c>
      <c r="F1020" s="6">
        <f t="shared" ca="1" si="2"/>
        <v>45383</v>
      </c>
      <c r="G1020" s="7"/>
    </row>
    <row r="1021" spans="1:7" x14ac:dyDescent="0.2">
      <c r="A1021" s="3">
        <f ca="1">IFERROR(__xludf.DUMMYFUNCTION("""COMPUTED_VALUE"""),4223)</f>
        <v>4223</v>
      </c>
      <c r="B1021" s="6">
        <f ca="1">IFERROR(__xludf.DUMMYFUNCTION("""COMPUTED_VALUE"""),45385.8889467592)</f>
        <v>45385.888946759202</v>
      </c>
      <c r="C1021" s="3" t="str">
        <f ca="1">IFERROR(__xludf.DUMMYFUNCTION("""COMPUTED_VALUE"""),"purchase")</f>
        <v>purchase</v>
      </c>
      <c r="D1021" s="6">
        <f t="shared" ca="1" si="0"/>
        <v>45385</v>
      </c>
      <c r="E1021" s="6">
        <f t="shared" ca="1" si="1"/>
        <v>45383</v>
      </c>
      <c r="F1021" s="6">
        <f t="shared" ca="1" si="2"/>
        <v>45383</v>
      </c>
      <c r="G1021" s="7"/>
    </row>
    <row r="1022" spans="1:7" x14ac:dyDescent="0.2">
      <c r="A1022" s="3">
        <f ca="1">IFERROR(__xludf.DUMMYFUNCTION("""COMPUTED_VALUE"""),2580)</f>
        <v>2580</v>
      </c>
      <c r="B1022" s="6">
        <f ca="1">IFERROR(__xludf.DUMMYFUNCTION("""COMPUTED_VALUE"""),45385.9498842592)</f>
        <v>45385.9498842592</v>
      </c>
      <c r="C1022" s="3" t="str">
        <f ca="1">IFERROR(__xludf.DUMMYFUNCTION("""COMPUTED_VALUE"""),"purchase")</f>
        <v>purchase</v>
      </c>
      <c r="D1022" s="6">
        <f t="shared" ca="1" si="0"/>
        <v>45385</v>
      </c>
      <c r="E1022" s="6">
        <f t="shared" ca="1" si="1"/>
        <v>45383</v>
      </c>
      <c r="F1022" s="6">
        <f t="shared" ca="1" si="2"/>
        <v>45383</v>
      </c>
      <c r="G1022" s="7"/>
    </row>
    <row r="1023" spans="1:7" x14ac:dyDescent="0.2">
      <c r="A1023" s="3">
        <f ca="1">IFERROR(__xludf.DUMMYFUNCTION("""COMPUTED_VALUE"""),3708)</f>
        <v>3708</v>
      </c>
      <c r="B1023" s="6">
        <f ca="1">IFERROR(__xludf.DUMMYFUNCTION("""COMPUTED_VALUE"""),45386.0153819444)</f>
        <v>45386.015381944402</v>
      </c>
      <c r="C1023" s="3" t="str">
        <f ca="1">IFERROR(__xludf.DUMMYFUNCTION("""COMPUTED_VALUE"""),"purchase")</f>
        <v>purchase</v>
      </c>
      <c r="D1023" s="6">
        <f t="shared" ca="1" si="0"/>
        <v>45386</v>
      </c>
      <c r="E1023" s="6">
        <f t="shared" ca="1" si="1"/>
        <v>45383</v>
      </c>
      <c r="F1023" s="6">
        <f t="shared" ca="1" si="2"/>
        <v>45383</v>
      </c>
      <c r="G1023" s="7"/>
    </row>
    <row r="1024" spans="1:7" x14ac:dyDescent="0.2">
      <c r="A1024" s="3">
        <f ca="1">IFERROR(__xludf.DUMMYFUNCTION("""COMPUTED_VALUE"""),6576)</f>
        <v>6576</v>
      </c>
      <c r="B1024" s="6">
        <f ca="1">IFERROR(__xludf.DUMMYFUNCTION("""COMPUTED_VALUE"""),45386.0981828703)</f>
        <v>45386.098182870301</v>
      </c>
      <c r="C1024" s="3" t="str">
        <f ca="1">IFERROR(__xludf.DUMMYFUNCTION("""COMPUTED_VALUE"""),"purchase")</f>
        <v>purchase</v>
      </c>
      <c r="D1024" s="6">
        <f t="shared" ca="1" si="0"/>
        <v>45386</v>
      </c>
      <c r="E1024" s="6">
        <f t="shared" ca="1" si="1"/>
        <v>45383</v>
      </c>
      <c r="F1024" s="6">
        <f t="shared" ca="1" si="2"/>
        <v>45383</v>
      </c>
      <c r="G1024" s="7"/>
    </row>
    <row r="1025" spans="1:7" x14ac:dyDescent="0.2">
      <c r="A1025" s="3">
        <f ca="1">IFERROR(__xludf.DUMMYFUNCTION("""COMPUTED_VALUE"""),3919)</f>
        <v>3919</v>
      </c>
      <c r="B1025" s="6">
        <f ca="1">IFERROR(__xludf.DUMMYFUNCTION("""COMPUTED_VALUE"""),45386.3275694444)</f>
        <v>45386.327569444402</v>
      </c>
      <c r="C1025" s="3" t="str">
        <f ca="1">IFERROR(__xludf.DUMMYFUNCTION("""COMPUTED_VALUE"""),"purchase")</f>
        <v>purchase</v>
      </c>
      <c r="D1025" s="6">
        <f t="shared" ca="1" si="0"/>
        <v>45386</v>
      </c>
      <c r="E1025" s="6">
        <f t="shared" ca="1" si="1"/>
        <v>45383</v>
      </c>
      <c r="F1025" s="6">
        <f t="shared" ca="1" si="2"/>
        <v>45383</v>
      </c>
      <c r="G1025" s="7"/>
    </row>
    <row r="1026" spans="1:7" x14ac:dyDescent="0.2">
      <c r="A1026" s="3">
        <f ca="1">IFERROR(__xludf.DUMMYFUNCTION("""COMPUTED_VALUE"""),4558)</f>
        <v>4558</v>
      </c>
      <c r="B1026" s="6">
        <f ca="1">IFERROR(__xludf.DUMMYFUNCTION("""COMPUTED_VALUE"""),45386.3517939814)</f>
        <v>45386.351793981397</v>
      </c>
      <c r="C1026" s="3" t="str">
        <f ca="1">IFERROR(__xludf.DUMMYFUNCTION("""COMPUTED_VALUE"""),"purchase")</f>
        <v>purchase</v>
      </c>
      <c r="D1026" s="6">
        <f t="shared" ca="1" si="0"/>
        <v>45386</v>
      </c>
      <c r="E1026" s="6">
        <f t="shared" ca="1" si="1"/>
        <v>45383</v>
      </c>
      <c r="F1026" s="6">
        <f t="shared" ca="1" si="2"/>
        <v>45383</v>
      </c>
      <c r="G1026" s="7"/>
    </row>
    <row r="1027" spans="1:7" x14ac:dyDescent="0.2">
      <c r="A1027" s="3">
        <f ca="1">IFERROR(__xludf.DUMMYFUNCTION("""COMPUTED_VALUE"""),6147)</f>
        <v>6147</v>
      </c>
      <c r="B1027" s="6">
        <f ca="1">IFERROR(__xludf.DUMMYFUNCTION("""COMPUTED_VALUE"""),45386.4568518518)</f>
        <v>45386.456851851799</v>
      </c>
      <c r="C1027" s="3" t="str">
        <f ca="1">IFERROR(__xludf.DUMMYFUNCTION("""COMPUTED_VALUE"""),"purchase")</f>
        <v>purchase</v>
      </c>
      <c r="D1027" s="6">
        <f t="shared" ca="1" si="0"/>
        <v>45386</v>
      </c>
      <c r="E1027" s="6">
        <f t="shared" ca="1" si="1"/>
        <v>45383</v>
      </c>
      <c r="F1027" s="6">
        <f t="shared" ca="1" si="2"/>
        <v>45383</v>
      </c>
      <c r="G1027" s="7"/>
    </row>
    <row r="1028" spans="1:7" x14ac:dyDescent="0.2">
      <c r="A1028" s="3">
        <f ca="1">IFERROR(__xludf.DUMMYFUNCTION("""COMPUTED_VALUE"""),66)</f>
        <v>66</v>
      </c>
      <c r="B1028" s="6">
        <f ca="1">IFERROR(__xludf.DUMMYFUNCTION("""COMPUTED_VALUE"""),45386.5698379629)</f>
        <v>45386.569837962903</v>
      </c>
      <c r="C1028" s="3" t="str">
        <f ca="1">IFERROR(__xludf.DUMMYFUNCTION("""COMPUTED_VALUE"""),"purchase")</f>
        <v>purchase</v>
      </c>
      <c r="D1028" s="6">
        <f t="shared" ca="1" si="0"/>
        <v>45386</v>
      </c>
      <c r="E1028" s="6">
        <f t="shared" ca="1" si="1"/>
        <v>45383</v>
      </c>
      <c r="F1028" s="6">
        <f t="shared" ca="1" si="2"/>
        <v>45383</v>
      </c>
      <c r="G1028" s="7"/>
    </row>
    <row r="1029" spans="1:7" x14ac:dyDescent="0.2">
      <c r="A1029" s="3">
        <f ca="1">IFERROR(__xludf.DUMMYFUNCTION("""COMPUTED_VALUE"""),1703)</f>
        <v>1703</v>
      </c>
      <c r="B1029" s="6">
        <f ca="1">IFERROR(__xludf.DUMMYFUNCTION("""COMPUTED_VALUE"""),45386.5914236111)</f>
        <v>45386.591423611098</v>
      </c>
      <c r="C1029" s="3" t="str">
        <f ca="1">IFERROR(__xludf.DUMMYFUNCTION("""COMPUTED_VALUE"""),"purchase")</f>
        <v>purchase</v>
      </c>
      <c r="D1029" s="6">
        <f t="shared" ca="1" si="0"/>
        <v>45386</v>
      </c>
      <c r="E1029" s="6">
        <f t="shared" ca="1" si="1"/>
        <v>45383</v>
      </c>
      <c r="F1029" s="6">
        <f t="shared" ca="1" si="2"/>
        <v>45383</v>
      </c>
      <c r="G1029" s="7"/>
    </row>
    <row r="1030" spans="1:7" x14ac:dyDescent="0.2">
      <c r="A1030" s="3">
        <f ca="1">IFERROR(__xludf.DUMMYFUNCTION("""COMPUTED_VALUE"""),4887)</f>
        <v>4887</v>
      </c>
      <c r="B1030" s="6">
        <f ca="1">IFERROR(__xludf.DUMMYFUNCTION("""COMPUTED_VALUE"""),45386.5956828703)</f>
        <v>45386.595682870298</v>
      </c>
      <c r="C1030" s="3" t="str">
        <f ca="1">IFERROR(__xludf.DUMMYFUNCTION("""COMPUTED_VALUE"""),"purchase")</f>
        <v>purchase</v>
      </c>
      <c r="D1030" s="6">
        <f t="shared" ca="1" si="0"/>
        <v>45386</v>
      </c>
      <c r="E1030" s="6">
        <f t="shared" ca="1" si="1"/>
        <v>45383</v>
      </c>
      <c r="F1030" s="6">
        <f t="shared" ca="1" si="2"/>
        <v>45383</v>
      </c>
      <c r="G1030" s="7"/>
    </row>
    <row r="1031" spans="1:7" x14ac:dyDescent="0.2">
      <c r="A1031" s="3">
        <f ca="1">IFERROR(__xludf.DUMMYFUNCTION("""COMPUTED_VALUE"""),6559)</f>
        <v>6559</v>
      </c>
      <c r="B1031" s="6">
        <f ca="1">IFERROR(__xludf.DUMMYFUNCTION("""COMPUTED_VALUE"""),45386.6393287037)</f>
        <v>45386.639328703699</v>
      </c>
      <c r="C1031" s="3" t="str">
        <f ca="1">IFERROR(__xludf.DUMMYFUNCTION("""COMPUTED_VALUE"""),"purchase")</f>
        <v>purchase</v>
      </c>
      <c r="D1031" s="6">
        <f t="shared" ca="1" si="0"/>
        <v>45386</v>
      </c>
      <c r="E1031" s="6">
        <f t="shared" ca="1" si="1"/>
        <v>45383</v>
      </c>
      <c r="F1031" s="6">
        <f t="shared" ca="1" si="2"/>
        <v>45383</v>
      </c>
      <c r="G1031" s="7"/>
    </row>
    <row r="1032" spans="1:7" x14ac:dyDescent="0.2">
      <c r="A1032" s="3">
        <f ca="1">IFERROR(__xludf.DUMMYFUNCTION("""COMPUTED_VALUE"""),2543)</f>
        <v>2543</v>
      </c>
      <c r="B1032" s="6">
        <f ca="1">IFERROR(__xludf.DUMMYFUNCTION("""COMPUTED_VALUE"""),45386.7641898148)</f>
        <v>45386.764189814799</v>
      </c>
      <c r="C1032" s="3" t="str">
        <f ca="1">IFERROR(__xludf.DUMMYFUNCTION("""COMPUTED_VALUE"""),"purchase")</f>
        <v>purchase</v>
      </c>
      <c r="D1032" s="6">
        <f t="shared" ca="1" si="0"/>
        <v>45386</v>
      </c>
      <c r="E1032" s="6">
        <f t="shared" ca="1" si="1"/>
        <v>45383</v>
      </c>
      <c r="F1032" s="6">
        <f t="shared" ca="1" si="2"/>
        <v>45383</v>
      </c>
      <c r="G1032" s="7"/>
    </row>
    <row r="1033" spans="1:7" x14ac:dyDescent="0.2">
      <c r="A1033" s="3">
        <f ca="1">IFERROR(__xludf.DUMMYFUNCTION("""COMPUTED_VALUE"""),2403)</f>
        <v>2403</v>
      </c>
      <c r="B1033" s="6">
        <f ca="1">IFERROR(__xludf.DUMMYFUNCTION("""COMPUTED_VALUE"""),45386.8454976851)</f>
        <v>45386.845497685099</v>
      </c>
      <c r="C1033" s="3" t="str">
        <f ca="1">IFERROR(__xludf.DUMMYFUNCTION("""COMPUTED_VALUE"""),"purchase")</f>
        <v>purchase</v>
      </c>
      <c r="D1033" s="6">
        <f t="shared" ca="1" si="0"/>
        <v>45386</v>
      </c>
      <c r="E1033" s="6">
        <f t="shared" ca="1" si="1"/>
        <v>45383</v>
      </c>
      <c r="F1033" s="6">
        <f t="shared" ca="1" si="2"/>
        <v>45383</v>
      </c>
      <c r="G1033" s="7"/>
    </row>
    <row r="1034" spans="1:7" x14ac:dyDescent="0.2">
      <c r="A1034" s="3">
        <f ca="1">IFERROR(__xludf.DUMMYFUNCTION("""COMPUTED_VALUE"""),6399)</f>
        <v>6399</v>
      </c>
      <c r="B1034" s="6">
        <f ca="1">IFERROR(__xludf.DUMMYFUNCTION("""COMPUTED_VALUE"""),45386.8563657407)</f>
        <v>45386.856365740699</v>
      </c>
      <c r="C1034" s="3" t="str">
        <f ca="1">IFERROR(__xludf.DUMMYFUNCTION("""COMPUTED_VALUE"""),"purchase")</f>
        <v>purchase</v>
      </c>
      <c r="D1034" s="6">
        <f t="shared" ca="1" si="0"/>
        <v>45386</v>
      </c>
      <c r="E1034" s="6">
        <f t="shared" ca="1" si="1"/>
        <v>45383</v>
      </c>
      <c r="F1034" s="6">
        <f t="shared" ca="1" si="2"/>
        <v>45383</v>
      </c>
      <c r="G1034" s="7"/>
    </row>
    <row r="1035" spans="1:7" x14ac:dyDescent="0.2">
      <c r="A1035" s="3">
        <f ca="1">IFERROR(__xludf.DUMMYFUNCTION("""COMPUTED_VALUE"""),5205)</f>
        <v>5205</v>
      </c>
      <c r="B1035" s="6">
        <f ca="1">IFERROR(__xludf.DUMMYFUNCTION("""COMPUTED_VALUE"""),45386.875324074)</f>
        <v>45386.875324073997</v>
      </c>
      <c r="C1035" s="3" t="str">
        <f ca="1">IFERROR(__xludf.DUMMYFUNCTION("""COMPUTED_VALUE"""),"purchase")</f>
        <v>purchase</v>
      </c>
      <c r="D1035" s="6">
        <f t="shared" ca="1" si="0"/>
        <v>45386</v>
      </c>
      <c r="E1035" s="6">
        <f t="shared" ca="1" si="1"/>
        <v>45383</v>
      </c>
      <c r="F1035" s="6">
        <f t="shared" ca="1" si="2"/>
        <v>45383</v>
      </c>
      <c r="G1035" s="7"/>
    </row>
    <row r="1036" spans="1:7" x14ac:dyDescent="0.2">
      <c r="A1036" s="3">
        <f ca="1">IFERROR(__xludf.DUMMYFUNCTION("""COMPUTED_VALUE"""),7424)</f>
        <v>7424</v>
      </c>
      <c r="B1036" s="6">
        <f ca="1">IFERROR(__xludf.DUMMYFUNCTION("""COMPUTED_VALUE"""),45386.9575578703)</f>
        <v>45386.957557870301</v>
      </c>
      <c r="C1036" s="3" t="str">
        <f ca="1">IFERROR(__xludf.DUMMYFUNCTION("""COMPUTED_VALUE"""),"purchase")</f>
        <v>purchase</v>
      </c>
      <c r="D1036" s="6">
        <f t="shared" ca="1" si="0"/>
        <v>45386</v>
      </c>
      <c r="E1036" s="6">
        <f t="shared" ca="1" si="1"/>
        <v>45383</v>
      </c>
      <c r="F1036" s="6">
        <f t="shared" ca="1" si="2"/>
        <v>45383</v>
      </c>
      <c r="G1036" s="7"/>
    </row>
    <row r="1037" spans="1:7" x14ac:dyDescent="0.2">
      <c r="A1037" s="3">
        <f ca="1">IFERROR(__xludf.DUMMYFUNCTION("""COMPUTED_VALUE"""),7931)</f>
        <v>7931</v>
      </c>
      <c r="B1037" s="6">
        <f ca="1">IFERROR(__xludf.DUMMYFUNCTION("""COMPUTED_VALUE"""),45387.1139814814)</f>
        <v>45387.113981481401</v>
      </c>
      <c r="C1037" s="3" t="str">
        <f ca="1">IFERROR(__xludf.DUMMYFUNCTION("""COMPUTED_VALUE"""),"purchase")</f>
        <v>purchase</v>
      </c>
      <c r="D1037" s="6">
        <f t="shared" ca="1" si="0"/>
        <v>45387</v>
      </c>
      <c r="E1037" s="6">
        <f t="shared" ca="1" si="1"/>
        <v>45383</v>
      </c>
      <c r="F1037" s="6">
        <f t="shared" ca="1" si="2"/>
        <v>45383</v>
      </c>
      <c r="G1037" s="7"/>
    </row>
    <row r="1038" spans="1:7" x14ac:dyDescent="0.2">
      <c r="A1038" s="3">
        <f ca="1">IFERROR(__xludf.DUMMYFUNCTION("""COMPUTED_VALUE"""),6828)</f>
        <v>6828</v>
      </c>
      <c r="B1038" s="6">
        <f ca="1">IFERROR(__xludf.DUMMYFUNCTION("""COMPUTED_VALUE"""),45387.2125925925)</f>
        <v>45387.212592592499</v>
      </c>
      <c r="C1038" s="3" t="str">
        <f ca="1">IFERROR(__xludf.DUMMYFUNCTION("""COMPUTED_VALUE"""),"purchase")</f>
        <v>purchase</v>
      </c>
      <c r="D1038" s="6">
        <f t="shared" ca="1" si="0"/>
        <v>45387</v>
      </c>
      <c r="E1038" s="6">
        <f t="shared" ca="1" si="1"/>
        <v>45383</v>
      </c>
      <c r="F1038" s="6">
        <f t="shared" ca="1" si="2"/>
        <v>45383</v>
      </c>
      <c r="G1038" s="7"/>
    </row>
    <row r="1039" spans="1:7" x14ac:dyDescent="0.2">
      <c r="A1039" s="3">
        <f ca="1">IFERROR(__xludf.DUMMYFUNCTION("""COMPUTED_VALUE"""),5278)</f>
        <v>5278</v>
      </c>
      <c r="B1039" s="6">
        <f ca="1">IFERROR(__xludf.DUMMYFUNCTION("""COMPUTED_VALUE"""),45387.2340625)</f>
        <v>45387.2340625</v>
      </c>
      <c r="C1039" s="3" t="str">
        <f ca="1">IFERROR(__xludf.DUMMYFUNCTION("""COMPUTED_VALUE"""),"purchase")</f>
        <v>purchase</v>
      </c>
      <c r="D1039" s="6">
        <f t="shared" ca="1" si="0"/>
        <v>45387</v>
      </c>
      <c r="E1039" s="6">
        <f t="shared" ca="1" si="1"/>
        <v>45383</v>
      </c>
      <c r="F1039" s="6">
        <f t="shared" ca="1" si="2"/>
        <v>45383</v>
      </c>
      <c r="G1039" s="7"/>
    </row>
    <row r="1040" spans="1:7" x14ac:dyDescent="0.2">
      <c r="A1040" s="3">
        <f ca="1">IFERROR(__xludf.DUMMYFUNCTION("""COMPUTED_VALUE"""),2474)</f>
        <v>2474</v>
      </c>
      <c r="B1040" s="6">
        <f ca="1">IFERROR(__xludf.DUMMYFUNCTION("""COMPUTED_VALUE"""),45387.2691782407)</f>
        <v>45387.269178240698</v>
      </c>
      <c r="C1040" s="3" t="str">
        <f ca="1">IFERROR(__xludf.DUMMYFUNCTION("""COMPUTED_VALUE"""),"purchase")</f>
        <v>purchase</v>
      </c>
      <c r="D1040" s="6">
        <f t="shared" ca="1" si="0"/>
        <v>45387</v>
      </c>
      <c r="E1040" s="6">
        <f t="shared" ca="1" si="1"/>
        <v>45383</v>
      </c>
      <c r="F1040" s="6">
        <f t="shared" ca="1" si="2"/>
        <v>45383</v>
      </c>
      <c r="G1040" s="7"/>
    </row>
    <row r="1041" spans="1:7" x14ac:dyDescent="0.2">
      <c r="A1041" s="3">
        <f ca="1">IFERROR(__xludf.DUMMYFUNCTION("""COMPUTED_VALUE"""),4059)</f>
        <v>4059</v>
      </c>
      <c r="B1041" s="6">
        <f ca="1">IFERROR(__xludf.DUMMYFUNCTION("""COMPUTED_VALUE"""),45387.2904050925)</f>
        <v>45387.290405092499</v>
      </c>
      <c r="C1041" s="3" t="str">
        <f ca="1">IFERROR(__xludf.DUMMYFUNCTION("""COMPUTED_VALUE"""),"purchase")</f>
        <v>purchase</v>
      </c>
      <c r="D1041" s="6">
        <f t="shared" ca="1" si="0"/>
        <v>45387</v>
      </c>
      <c r="E1041" s="6">
        <f t="shared" ca="1" si="1"/>
        <v>45383</v>
      </c>
      <c r="F1041" s="6">
        <f t="shared" ca="1" si="2"/>
        <v>45383</v>
      </c>
      <c r="G1041" s="7"/>
    </row>
    <row r="1042" spans="1:7" x14ac:dyDescent="0.2">
      <c r="A1042" s="3">
        <f ca="1">IFERROR(__xludf.DUMMYFUNCTION("""COMPUTED_VALUE"""),3046)</f>
        <v>3046</v>
      </c>
      <c r="B1042" s="6">
        <f ca="1">IFERROR(__xludf.DUMMYFUNCTION("""COMPUTED_VALUE"""),45387.3866666666)</f>
        <v>45387.3866666666</v>
      </c>
      <c r="C1042" s="3" t="str">
        <f ca="1">IFERROR(__xludf.DUMMYFUNCTION("""COMPUTED_VALUE"""),"purchase")</f>
        <v>purchase</v>
      </c>
      <c r="D1042" s="6">
        <f t="shared" ca="1" si="0"/>
        <v>45387</v>
      </c>
      <c r="E1042" s="6">
        <f t="shared" ca="1" si="1"/>
        <v>45383</v>
      </c>
      <c r="F1042" s="6">
        <f t="shared" ca="1" si="2"/>
        <v>45383</v>
      </c>
      <c r="G1042" s="7"/>
    </row>
    <row r="1043" spans="1:7" x14ac:dyDescent="0.2">
      <c r="A1043" s="3">
        <f ca="1">IFERROR(__xludf.DUMMYFUNCTION("""COMPUTED_VALUE"""),3013)</f>
        <v>3013</v>
      </c>
      <c r="B1043" s="6">
        <f ca="1">IFERROR(__xludf.DUMMYFUNCTION("""COMPUTED_VALUE"""),45387.6170254629)</f>
        <v>45387.617025462903</v>
      </c>
      <c r="C1043" s="3" t="str">
        <f ca="1">IFERROR(__xludf.DUMMYFUNCTION("""COMPUTED_VALUE"""),"purchase")</f>
        <v>purchase</v>
      </c>
      <c r="D1043" s="6">
        <f t="shared" ca="1" si="0"/>
        <v>45387</v>
      </c>
      <c r="E1043" s="6">
        <f t="shared" ca="1" si="1"/>
        <v>45383</v>
      </c>
      <c r="F1043" s="6">
        <f t="shared" ca="1" si="2"/>
        <v>45383</v>
      </c>
      <c r="G1043" s="7"/>
    </row>
    <row r="1044" spans="1:7" x14ac:dyDescent="0.2">
      <c r="A1044" s="3">
        <f ca="1">IFERROR(__xludf.DUMMYFUNCTION("""COMPUTED_VALUE"""),4519)</f>
        <v>4519</v>
      </c>
      <c r="B1044" s="6">
        <f ca="1">IFERROR(__xludf.DUMMYFUNCTION("""COMPUTED_VALUE"""),45387.722349537)</f>
        <v>45387.722349536998</v>
      </c>
      <c r="C1044" s="3" t="str">
        <f ca="1">IFERROR(__xludf.DUMMYFUNCTION("""COMPUTED_VALUE"""),"purchase")</f>
        <v>purchase</v>
      </c>
      <c r="D1044" s="6">
        <f t="shared" ca="1" si="0"/>
        <v>45387</v>
      </c>
      <c r="E1044" s="6">
        <f t="shared" ca="1" si="1"/>
        <v>45383</v>
      </c>
      <c r="F1044" s="6">
        <f t="shared" ca="1" si="2"/>
        <v>45383</v>
      </c>
      <c r="G1044" s="7"/>
    </row>
    <row r="1045" spans="1:7" x14ac:dyDescent="0.2">
      <c r="A1045" s="3">
        <f ca="1">IFERROR(__xludf.DUMMYFUNCTION("""COMPUTED_VALUE"""),7957)</f>
        <v>7957</v>
      </c>
      <c r="B1045" s="6">
        <f ca="1">IFERROR(__xludf.DUMMYFUNCTION("""COMPUTED_VALUE"""),45388.0329166666)</f>
        <v>45388.032916666598</v>
      </c>
      <c r="C1045" s="3" t="str">
        <f ca="1">IFERROR(__xludf.DUMMYFUNCTION("""COMPUTED_VALUE"""),"purchase")</f>
        <v>purchase</v>
      </c>
      <c r="D1045" s="6">
        <f t="shared" ca="1" si="0"/>
        <v>45388</v>
      </c>
      <c r="E1045" s="6">
        <f t="shared" ca="1" si="1"/>
        <v>45383</v>
      </c>
      <c r="F1045" s="6">
        <f t="shared" ca="1" si="2"/>
        <v>45383</v>
      </c>
      <c r="G1045" s="7"/>
    </row>
    <row r="1046" spans="1:7" x14ac:dyDescent="0.2">
      <c r="A1046" s="3">
        <f ca="1">IFERROR(__xludf.DUMMYFUNCTION("""COMPUTED_VALUE"""),2779)</f>
        <v>2779</v>
      </c>
      <c r="B1046" s="6">
        <f ca="1">IFERROR(__xludf.DUMMYFUNCTION("""COMPUTED_VALUE"""),45388.0751041666)</f>
        <v>45388.075104166601</v>
      </c>
      <c r="C1046" s="3" t="str">
        <f ca="1">IFERROR(__xludf.DUMMYFUNCTION("""COMPUTED_VALUE"""),"purchase")</f>
        <v>purchase</v>
      </c>
      <c r="D1046" s="6">
        <f t="shared" ca="1" si="0"/>
        <v>45388</v>
      </c>
      <c r="E1046" s="6">
        <f t="shared" ca="1" si="1"/>
        <v>45383</v>
      </c>
      <c r="F1046" s="6">
        <f t="shared" ca="1" si="2"/>
        <v>45383</v>
      </c>
      <c r="G1046" s="7"/>
    </row>
    <row r="1047" spans="1:7" x14ac:dyDescent="0.2">
      <c r="A1047" s="3">
        <f ca="1">IFERROR(__xludf.DUMMYFUNCTION("""COMPUTED_VALUE"""),5224)</f>
        <v>5224</v>
      </c>
      <c r="B1047" s="6">
        <f ca="1">IFERROR(__xludf.DUMMYFUNCTION("""COMPUTED_VALUE"""),45388.1086226851)</f>
        <v>45388.108622685097</v>
      </c>
      <c r="C1047" s="3" t="str">
        <f ca="1">IFERROR(__xludf.DUMMYFUNCTION("""COMPUTED_VALUE"""),"purchase")</f>
        <v>purchase</v>
      </c>
      <c r="D1047" s="6">
        <f t="shared" ca="1" si="0"/>
        <v>45388</v>
      </c>
      <c r="E1047" s="6">
        <f t="shared" ca="1" si="1"/>
        <v>45383</v>
      </c>
      <c r="F1047" s="6">
        <f t="shared" ca="1" si="2"/>
        <v>45383</v>
      </c>
      <c r="G1047" s="7"/>
    </row>
    <row r="1048" spans="1:7" x14ac:dyDescent="0.2">
      <c r="A1048" s="3">
        <f ca="1">IFERROR(__xludf.DUMMYFUNCTION("""COMPUTED_VALUE"""),2754)</f>
        <v>2754</v>
      </c>
      <c r="B1048" s="6">
        <f ca="1">IFERROR(__xludf.DUMMYFUNCTION("""COMPUTED_VALUE"""),45388.3071643518)</f>
        <v>45388.307164351798</v>
      </c>
      <c r="C1048" s="3" t="str">
        <f ca="1">IFERROR(__xludf.DUMMYFUNCTION("""COMPUTED_VALUE"""),"purchase")</f>
        <v>purchase</v>
      </c>
      <c r="D1048" s="6">
        <f t="shared" ca="1" si="0"/>
        <v>45388</v>
      </c>
      <c r="E1048" s="6">
        <f t="shared" ca="1" si="1"/>
        <v>45383</v>
      </c>
      <c r="F1048" s="6">
        <f t="shared" ca="1" si="2"/>
        <v>45383</v>
      </c>
      <c r="G1048" s="7"/>
    </row>
    <row r="1049" spans="1:7" x14ac:dyDescent="0.2">
      <c r="A1049" s="3">
        <f ca="1">IFERROR(__xludf.DUMMYFUNCTION("""COMPUTED_VALUE"""),3768)</f>
        <v>3768</v>
      </c>
      <c r="B1049" s="6">
        <f ca="1">IFERROR(__xludf.DUMMYFUNCTION("""COMPUTED_VALUE"""),45388.3208680555)</f>
        <v>45388.320868055504</v>
      </c>
      <c r="C1049" s="3" t="str">
        <f ca="1">IFERROR(__xludf.DUMMYFUNCTION("""COMPUTED_VALUE"""),"purchase")</f>
        <v>purchase</v>
      </c>
      <c r="D1049" s="6">
        <f t="shared" ca="1" si="0"/>
        <v>45388</v>
      </c>
      <c r="E1049" s="6">
        <f t="shared" ca="1" si="1"/>
        <v>45383</v>
      </c>
      <c r="F1049" s="6">
        <f t="shared" ca="1" si="2"/>
        <v>45383</v>
      </c>
      <c r="G1049" s="7"/>
    </row>
    <row r="1050" spans="1:7" x14ac:dyDescent="0.2">
      <c r="A1050" s="3">
        <f ca="1">IFERROR(__xludf.DUMMYFUNCTION("""COMPUTED_VALUE"""),1808)</f>
        <v>1808</v>
      </c>
      <c r="B1050" s="6">
        <f ca="1">IFERROR(__xludf.DUMMYFUNCTION("""COMPUTED_VALUE"""),45388.3473958333)</f>
        <v>45388.347395833298</v>
      </c>
      <c r="C1050" s="3" t="str">
        <f ca="1">IFERROR(__xludf.DUMMYFUNCTION("""COMPUTED_VALUE"""),"purchase")</f>
        <v>purchase</v>
      </c>
      <c r="D1050" s="6">
        <f t="shared" ca="1" si="0"/>
        <v>45388</v>
      </c>
      <c r="E1050" s="6">
        <f t="shared" ca="1" si="1"/>
        <v>45383</v>
      </c>
      <c r="F1050" s="6">
        <f t="shared" ca="1" si="2"/>
        <v>45383</v>
      </c>
      <c r="G1050" s="7"/>
    </row>
    <row r="1051" spans="1:7" x14ac:dyDescent="0.2">
      <c r="A1051" s="3">
        <f ca="1">IFERROR(__xludf.DUMMYFUNCTION("""COMPUTED_VALUE"""),3818)</f>
        <v>3818</v>
      </c>
      <c r="B1051" s="6">
        <f ca="1">IFERROR(__xludf.DUMMYFUNCTION("""COMPUTED_VALUE"""),45388.3485416666)</f>
        <v>45388.348541666601</v>
      </c>
      <c r="C1051" s="3" t="str">
        <f ca="1">IFERROR(__xludf.DUMMYFUNCTION("""COMPUTED_VALUE"""),"purchase")</f>
        <v>purchase</v>
      </c>
      <c r="D1051" s="6">
        <f t="shared" ca="1" si="0"/>
        <v>45388</v>
      </c>
      <c r="E1051" s="6">
        <f t="shared" ca="1" si="1"/>
        <v>45383</v>
      </c>
      <c r="F1051" s="6">
        <f t="shared" ca="1" si="2"/>
        <v>45383</v>
      </c>
      <c r="G1051" s="7"/>
    </row>
    <row r="1052" spans="1:7" x14ac:dyDescent="0.2">
      <c r="A1052" s="3">
        <f ca="1">IFERROR(__xludf.DUMMYFUNCTION("""COMPUTED_VALUE"""),6635)</f>
        <v>6635</v>
      </c>
      <c r="B1052" s="6">
        <f ca="1">IFERROR(__xludf.DUMMYFUNCTION("""COMPUTED_VALUE"""),45388.8414930555)</f>
        <v>45388.841493055501</v>
      </c>
      <c r="C1052" s="3" t="str">
        <f ca="1">IFERROR(__xludf.DUMMYFUNCTION("""COMPUTED_VALUE"""),"purchase")</f>
        <v>purchase</v>
      </c>
      <c r="D1052" s="6">
        <f t="shared" ca="1" si="0"/>
        <v>45388</v>
      </c>
      <c r="E1052" s="6">
        <f t="shared" ca="1" si="1"/>
        <v>45383</v>
      </c>
      <c r="F1052" s="6">
        <f t="shared" ca="1" si="2"/>
        <v>45383</v>
      </c>
      <c r="G1052" s="7"/>
    </row>
    <row r="1053" spans="1:7" x14ac:dyDescent="0.2">
      <c r="A1053" s="3">
        <f ca="1">IFERROR(__xludf.DUMMYFUNCTION("""COMPUTED_VALUE"""),6287)</f>
        <v>6287</v>
      </c>
      <c r="B1053" s="6">
        <f ca="1">IFERROR(__xludf.DUMMYFUNCTION("""COMPUTED_VALUE"""),45388.9421759259)</f>
        <v>45388.942175925898</v>
      </c>
      <c r="C1053" s="3" t="str">
        <f ca="1">IFERROR(__xludf.DUMMYFUNCTION("""COMPUTED_VALUE"""),"purchase")</f>
        <v>purchase</v>
      </c>
      <c r="D1053" s="6">
        <f t="shared" ca="1" si="0"/>
        <v>45388</v>
      </c>
      <c r="E1053" s="6">
        <f t="shared" ca="1" si="1"/>
        <v>45383</v>
      </c>
      <c r="F1053" s="6">
        <f t="shared" ca="1" si="2"/>
        <v>45383</v>
      </c>
      <c r="G1053" s="7"/>
    </row>
    <row r="1054" spans="1:7" x14ac:dyDescent="0.2">
      <c r="A1054" s="3">
        <f ca="1">IFERROR(__xludf.DUMMYFUNCTION("""COMPUTED_VALUE"""),6905)</f>
        <v>6905</v>
      </c>
      <c r="B1054" s="6">
        <f ca="1">IFERROR(__xludf.DUMMYFUNCTION("""COMPUTED_VALUE"""),45388.9514236111)</f>
        <v>45388.951423611099</v>
      </c>
      <c r="C1054" s="3" t="str">
        <f ca="1">IFERROR(__xludf.DUMMYFUNCTION("""COMPUTED_VALUE"""),"purchase")</f>
        <v>purchase</v>
      </c>
      <c r="D1054" s="6">
        <f t="shared" ca="1" si="0"/>
        <v>45388</v>
      </c>
      <c r="E1054" s="6">
        <f t="shared" ca="1" si="1"/>
        <v>45383</v>
      </c>
      <c r="F1054" s="6">
        <f t="shared" ca="1" si="2"/>
        <v>45383</v>
      </c>
      <c r="G1054" s="7"/>
    </row>
    <row r="1055" spans="1:7" x14ac:dyDescent="0.2">
      <c r="A1055" s="3">
        <f ca="1">IFERROR(__xludf.DUMMYFUNCTION("""COMPUTED_VALUE"""),5963)</f>
        <v>5963</v>
      </c>
      <c r="B1055" s="6">
        <f ca="1">IFERROR(__xludf.DUMMYFUNCTION("""COMPUTED_VALUE"""),45389.2031944444)</f>
        <v>45389.203194444402</v>
      </c>
      <c r="C1055" s="3" t="str">
        <f ca="1">IFERROR(__xludf.DUMMYFUNCTION("""COMPUTED_VALUE"""),"purchase")</f>
        <v>purchase</v>
      </c>
      <c r="D1055" s="6">
        <f t="shared" ca="1" si="0"/>
        <v>45389</v>
      </c>
      <c r="E1055" s="6">
        <f t="shared" ca="1" si="1"/>
        <v>45383</v>
      </c>
      <c r="F1055" s="6">
        <f t="shared" ca="1" si="2"/>
        <v>45383</v>
      </c>
      <c r="G1055" s="7"/>
    </row>
    <row r="1056" spans="1:7" x14ac:dyDescent="0.2">
      <c r="A1056" s="3">
        <f ca="1">IFERROR(__xludf.DUMMYFUNCTION("""COMPUTED_VALUE"""),7464)</f>
        <v>7464</v>
      </c>
      <c r="B1056" s="6">
        <f ca="1">IFERROR(__xludf.DUMMYFUNCTION("""COMPUTED_VALUE"""),45389.2527199074)</f>
        <v>45389.252719907403</v>
      </c>
      <c r="C1056" s="3" t="str">
        <f ca="1">IFERROR(__xludf.DUMMYFUNCTION("""COMPUTED_VALUE"""),"purchase")</f>
        <v>purchase</v>
      </c>
      <c r="D1056" s="6">
        <f t="shared" ca="1" si="0"/>
        <v>45389</v>
      </c>
      <c r="E1056" s="6">
        <f t="shared" ca="1" si="1"/>
        <v>45383</v>
      </c>
      <c r="F1056" s="6">
        <f t="shared" ca="1" si="2"/>
        <v>45383</v>
      </c>
      <c r="G1056" s="7"/>
    </row>
    <row r="1057" spans="1:7" x14ac:dyDescent="0.2">
      <c r="A1057" s="3">
        <f ca="1">IFERROR(__xludf.DUMMYFUNCTION("""COMPUTED_VALUE"""),1783)</f>
        <v>1783</v>
      </c>
      <c r="B1057" s="6">
        <f ca="1">IFERROR(__xludf.DUMMYFUNCTION("""COMPUTED_VALUE"""),45389.2945254629)</f>
        <v>45389.294525462901</v>
      </c>
      <c r="C1057" s="3" t="str">
        <f ca="1">IFERROR(__xludf.DUMMYFUNCTION("""COMPUTED_VALUE"""),"purchase")</f>
        <v>purchase</v>
      </c>
      <c r="D1057" s="6">
        <f t="shared" ca="1" si="0"/>
        <v>45389</v>
      </c>
      <c r="E1057" s="6">
        <f t="shared" ca="1" si="1"/>
        <v>45383</v>
      </c>
      <c r="F1057" s="6">
        <f t="shared" ca="1" si="2"/>
        <v>45383</v>
      </c>
      <c r="G1057" s="7"/>
    </row>
    <row r="1058" spans="1:7" x14ac:dyDescent="0.2">
      <c r="A1058" s="3">
        <f ca="1">IFERROR(__xludf.DUMMYFUNCTION("""COMPUTED_VALUE"""),4718)</f>
        <v>4718</v>
      </c>
      <c r="B1058" s="6">
        <f ca="1">IFERROR(__xludf.DUMMYFUNCTION("""COMPUTED_VALUE"""),45389.3831134259)</f>
        <v>45389.383113425902</v>
      </c>
      <c r="C1058" s="3" t="str">
        <f ca="1">IFERROR(__xludf.DUMMYFUNCTION("""COMPUTED_VALUE"""),"purchase")</f>
        <v>purchase</v>
      </c>
      <c r="D1058" s="6">
        <f t="shared" ca="1" si="0"/>
        <v>45389</v>
      </c>
      <c r="E1058" s="6">
        <f t="shared" ca="1" si="1"/>
        <v>45383</v>
      </c>
      <c r="F1058" s="6">
        <f t="shared" ca="1" si="2"/>
        <v>45383</v>
      </c>
      <c r="G1058" s="7"/>
    </row>
    <row r="1059" spans="1:7" x14ac:dyDescent="0.2">
      <c r="A1059" s="3">
        <f ca="1">IFERROR(__xludf.DUMMYFUNCTION("""COMPUTED_VALUE"""),5461)</f>
        <v>5461</v>
      </c>
      <c r="B1059" s="6">
        <f ca="1">IFERROR(__xludf.DUMMYFUNCTION("""COMPUTED_VALUE"""),45389.454375)</f>
        <v>45389.454375000001</v>
      </c>
      <c r="C1059" s="3" t="str">
        <f ca="1">IFERROR(__xludf.DUMMYFUNCTION("""COMPUTED_VALUE"""),"purchase")</f>
        <v>purchase</v>
      </c>
      <c r="D1059" s="6">
        <f t="shared" ca="1" si="0"/>
        <v>45389</v>
      </c>
      <c r="E1059" s="6">
        <f t="shared" ca="1" si="1"/>
        <v>45383</v>
      </c>
      <c r="F1059" s="6">
        <f t="shared" ca="1" si="2"/>
        <v>45383</v>
      </c>
      <c r="G1059" s="7"/>
    </row>
    <row r="1060" spans="1:7" x14ac:dyDescent="0.2">
      <c r="A1060" s="3">
        <f ca="1">IFERROR(__xludf.DUMMYFUNCTION("""COMPUTED_VALUE"""),5592)</f>
        <v>5592</v>
      </c>
      <c r="B1060" s="6">
        <f ca="1">IFERROR(__xludf.DUMMYFUNCTION("""COMPUTED_VALUE"""),45389.6057754629)</f>
        <v>45389.6057754629</v>
      </c>
      <c r="C1060" s="3" t="str">
        <f ca="1">IFERROR(__xludf.DUMMYFUNCTION("""COMPUTED_VALUE"""),"purchase")</f>
        <v>purchase</v>
      </c>
      <c r="D1060" s="6">
        <f t="shared" ca="1" si="0"/>
        <v>45389</v>
      </c>
      <c r="E1060" s="6">
        <f t="shared" ca="1" si="1"/>
        <v>45383</v>
      </c>
      <c r="F1060" s="6">
        <f t="shared" ca="1" si="2"/>
        <v>45383</v>
      </c>
      <c r="G1060" s="7"/>
    </row>
    <row r="1061" spans="1:7" x14ac:dyDescent="0.2">
      <c r="A1061" s="3">
        <f ca="1">IFERROR(__xludf.DUMMYFUNCTION("""COMPUTED_VALUE"""),3104)</f>
        <v>3104</v>
      </c>
      <c r="B1061" s="6">
        <f ca="1">IFERROR(__xludf.DUMMYFUNCTION("""COMPUTED_VALUE"""),45389.7564351851)</f>
        <v>45389.756435185103</v>
      </c>
      <c r="C1061" s="3" t="str">
        <f ca="1">IFERROR(__xludf.DUMMYFUNCTION("""COMPUTED_VALUE"""),"purchase")</f>
        <v>purchase</v>
      </c>
      <c r="D1061" s="6">
        <f t="shared" ca="1" si="0"/>
        <v>45389</v>
      </c>
      <c r="E1061" s="6">
        <f t="shared" ca="1" si="1"/>
        <v>45383</v>
      </c>
      <c r="F1061" s="6">
        <f t="shared" ca="1" si="2"/>
        <v>45383</v>
      </c>
      <c r="G1061" s="7"/>
    </row>
    <row r="1062" spans="1:7" x14ac:dyDescent="0.2">
      <c r="A1062" s="3">
        <f ca="1">IFERROR(__xludf.DUMMYFUNCTION("""COMPUTED_VALUE"""),200)</f>
        <v>200</v>
      </c>
      <c r="B1062" s="6">
        <f ca="1">IFERROR(__xludf.DUMMYFUNCTION("""COMPUTED_VALUE"""),45389.9120023148)</f>
        <v>45389.912002314799</v>
      </c>
      <c r="C1062" s="3" t="str">
        <f ca="1">IFERROR(__xludf.DUMMYFUNCTION("""COMPUTED_VALUE"""),"purchase")</f>
        <v>purchase</v>
      </c>
      <c r="D1062" s="6">
        <f t="shared" ca="1" si="0"/>
        <v>45389</v>
      </c>
      <c r="E1062" s="6">
        <f t="shared" ca="1" si="1"/>
        <v>45383</v>
      </c>
      <c r="F1062" s="6">
        <f t="shared" ca="1" si="2"/>
        <v>45383</v>
      </c>
      <c r="G1062" s="7"/>
    </row>
    <row r="1063" spans="1:7" x14ac:dyDescent="0.2">
      <c r="A1063" s="3">
        <f ca="1">IFERROR(__xludf.DUMMYFUNCTION("""COMPUTED_VALUE"""),7980)</f>
        <v>7980</v>
      </c>
      <c r="B1063" s="6">
        <f ca="1">IFERROR(__xludf.DUMMYFUNCTION("""COMPUTED_VALUE"""),45389.9252546296)</f>
        <v>45389.925254629597</v>
      </c>
      <c r="C1063" s="3" t="str">
        <f ca="1">IFERROR(__xludf.DUMMYFUNCTION("""COMPUTED_VALUE"""),"purchase")</f>
        <v>purchase</v>
      </c>
      <c r="D1063" s="6">
        <f t="shared" ca="1" si="0"/>
        <v>45389</v>
      </c>
      <c r="E1063" s="6">
        <f t="shared" ca="1" si="1"/>
        <v>45383</v>
      </c>
      <c r="F1063" s="6">
        <f t="shared" ca="1" si="2"/>
        <v>45383</v>
      </c>
      <c r="G1063" s="7"/>
    </row>
    <row r="1064" spans="1:7" x14ac:dyDescent="0.2">
      <c r="A1064" s="3">
        <f ca="1">IFERROR(__xludf.DUMMYFUNCTION("""COMPUTED_VALUE"""),3791)</f>
        <v>3791</v>
      </c>
      <c r="B1064" s="6">
        <f ca="1">IFERROR(__xludf.DUMMYFUNCTION("""COMPUTED_VALUE"""),45390.4019675925)</f>
        <v>45390.401967592501</v>
      </c>
      <c r="C1064" s="3" t="str">
        <f ca="1">IFERROR(__xludf.DUMMYFUNCTION("""COMPUTED_VALUE"""),"purchase")</f>
        <v>purchase</v>
      </c>
      <c r="D1064" s="6">
        <f t="shared" ca="1" si="0"/>
        <v>45390</v>
      </c>
      <c r="E1064" s="6">
        <f t="shared" ca="1" si="1"/>
        <v>45390</v>
      </c>
      <c r="F1064" s="6">
        <f t="shared" ca="1" si="2"/>
        <v>45383</v>
      </c>
      <c r="G1064" s="7"/>
    </row>
    <row r="1065" spans="1:7" x14ac:dyDescent="0.2">
      <c r="A1065" s="3">
        <f ca="1">IFERROR(__xludf.DUMMYFUNCTION("""COMPUTED_VALUE"""),6588)</f>
        <v>6588</v>
      </c>
      <c r="B1065" s="6">
        <f ca="1">IFERROR(__xludf.DUMMYFUNCTION("""COMPUTED_VALUE"""),45390.5261458333)</f>
        <v>45390.526145833297</v>
      </c>
      <c r="C1065" s="3" t="str">
        <f ca="1">IFERROR(__xludf.DUMMYFUNCTION("""COMPUTED_VALUE"""),"purchase")</f>
        <v>purchase</v>
      </c>
      <c r="D1065" s="6">
        <f t="shared" ca="1" si="0"/>
        <v>45390</v>
      </c>
      <c r="E1065" s="6">
        <f t="shared" ca="1" si="1"/>
        <v>45390</v>
      </c>
      <c r="F1065" s="6">
        <f t="shared" ca="1" si="2"/>
        <v>45383</v>
      </c>
      <c r="G1065" s="7"/>
    </row>
    <row r="1066" spans="1:7" x14ac:dyDescent="0.2">
      <c r="A1066" s="3">
        <f ca="1">IFERROR(__xludf.DUMMYFUNCTION("""COMPUTED_VALUE"""),4394)</f>
        <v>4394</v>
      </c>
      <c r="B1066" s="6">
        <f ca="1">IFERROR(__xludf.DUMMYFUNCTION("""COMPUTED_VALUE"""),45390.5900462962)</f>
        <v>45390.590046296202</v>
      </c>
      <c r="C1066" s="3" t="str">
        <f ca="1">IFERROR(__xludf.DUMMYFUNCTION("""COMPUTED_VALUE"""),"purchase")</f>
        <v>purchase</v>
      </c>
      <c r="D1066" s="6">
        <f t="shared" ca="1" si="0"/>
        <v>45390</v>
      </c>
      <c r="E1066" s="6">
        <f t="shared" ca="1" si="1"/>
        <v>45390</v>
      </c>
      <c r="F1066" s="6">
        <f t="shared" ca="1" si="2"/>
        <v>45383</v>
      </c>
      <c r="G1066" s="7"/>
    </row>
    <row r="1067" spans="1:7" x14ac:dyDescent="0.2">
      <c r="A1067" s="3">
        <f ca="1">IFERROR(__xludf.DUMMYFUNCTION("""COMPUTED_VALUE"""),2269)</f>
        <v>2269</v>
      </c>
      <c r="B1067" s="6">
        <f ca="1">IFERROR(__xludf.DUMMYFUNCTION("""COMPUTED_VALUE"""),45390.6939004629)</f>
        <v>45390.693900462902</v>
      </c>
      <c r="C1067" s="3" t="str">
        <f ca="1">IFERROR(__xludf.DUMMYFUNCTION("""COMPUTED_VALUE"""),"purchase")</f>
        <v>purchase</v>
      </c>
      <c r="D1067" s="6">
        <f t="shared" ca="1" si="0"/>
        <v>45390</v>
      </c>
      <c r="E1067" s="6">
        <f t="shared" ca="1" si="1"/>
        <v>45390</v>
      </c>
      <c r="F1067" s="6">
        <f t="shared" ca="1" si="2"/>
        <v>45383</v>
      </c>
      <c r="G1067" s="7"/>
    </row>
    <row r="1068" spans="1:7" x14ac:dyDescent="0.2">
      <c r="A1068" s="3">
        <f ca="1">IFERROR(__xludf.DUMMYFUNCTION("""COMPUTED_VALUE"""),3204)</f>
        <v>3204</v>
      </c>
      <c r="B1068" s="6">
        <f ca="1">IFERROR(__xludf.DUMMYFUNCTION("""COMPUTED_VALUE"""),45390.7808217592)</f>
        <v>45390.780821759203</v>
      </c>
      <c r="C1068" s="3" t="str">
        <f ca="1">IFERROR(__xludf.DUMMYFUNCTION("""COMPUTED_VALUE"""),"purchase")</f>
        <v>purchase</v>
      </c>
      <c r="D1068" s="6">
        <f t="shared" ca="1" si="0"/>
        <v>45390</v>
      </c>
      <c r="E1068" s="6">
        <f t="shared" ca="1" si="1"/>
        <v>45390</v>
      </c>
      <c r="F1068" s="6">
        <f t="shared" ca="1" si="2"/>
        <v>45383</v>
      </c>
      <c r="G1068" s="7"/>
    </row>
    <row r="1069" spans="1:7" x14ac:dyDescent="0.2">
      <c r="A1069" s="3">
        <f ca="1">IFERROR(__xludf.DUMMYFUNCTION("""COMPUTED_VALUE"""),2956)</f>
        <v>2956</v>
      </c>
      <c r="B1069" s="6">
        <f ca="1">IFERROR(__xludf.DUMMYFUNCTION("""COMPUTED_VALUE"""),45390.9509722222)</f>
        <v>45390.950972222199</v>
      </c>
      <c r="C1069" s="3" t="str">
        <f ca="1">IFERROR(__xludf.DUMMYFUNCTION("""COMPUTED_VALUE"""),"purchase")</f>
        <v>purchase</v>
      </c>
      <c r="D1069" s="6">
        <f t="shared" ca="1" si="0"/>
        <v>45390</v>
      </c>
      <c r="E1069" s="6">
        <f t="shared" ca="1" si="1"/>
        <v>45390</v>
      </c>
      <c r="F1069" s="6">
        <f t="shared" ca="1" si="2"/>
        <v>45383</v>
      </c>
      <c r="G1069" s="7"/>
    </row>
    <row r="1070" spans="1:7" x14ac:dyDescent="0.2">
      <c r="A1070" s="3">
        <f ca="1">IFERROR(__xludf.DUMMYFUNCTION("""COMPUTED_VALUE"""),1567)</f>
        <v>1567</v>
      </c>
      <c r="B1070" s="6">
        <f ca="1">IFERROR(__xludf.DUMMYFUNCTION("""COMPUTED_VALUE"""),45391.0394212962)</f>
        <v>45391.039421296198</v>
      </c>
      <c r="C1070" s="3" t="str">
        <f ca="1">IFERROR(__xludf.DUMMYFUNCTION("""COMPUTED_VALUE"""),"purchase")</f>
        <v>purchase</v>
      </c>
      <c r="D1070" s="6">
        <f t="shared" ca="1" si="0"/>
        <v>45391</v>
      </c>
      <c r="E1070" s="6">
        <f t="shared" ca="1" si="1"/>
        <v>45390</v>
      </c>
      <c r="F1070" s="6">
        <f t="shared" ca="1" si="2"/>
        <v>45383</v>
      </c>
      <c r="G1070" s="7"/>
    </row>
    <row r="1071" spans="1:7" x14ac:dyDescent="0.2">
      <c r="A1071" s="3">
        <f ca="1">IFERROR(__xludf.DUMMYFUNCTION("""COMPUTED_VALUE"""),626)</f>
        <v>626</v>
      </c>
      <c r="B1071" s="6">
        <f ca="1">IFERROR(__xludf.DUMMYFUNCTION("""COMPUTED_VALUE"""),45391.2389583333)</f>
        <v>45391.238958333299</v>
      </c>
      <c r="C1071" s="3" t="str">
        <f ca="1">IFERROR(__xludf.DUMMYFUNCTION("""COMPUTED_VALUE"""),"purchase")</f>
        <v>purchase</v>
      </c>
      <c r="D1071" s="6">
        <f t="shared" ca="1" si="0"/>
        <v>45391</v>
      </c>
      <c r="E1071" s="6">
        <f t="shared" ca="1" si="1"/>
        <v>45390</v>
      </c>
      <c r="F1071" s="6">
        <f t="shared" ca="1" si="2"/>
        <v>45383</v>
      </c>
      <c r="G1071" s="7"/>
    </row>
    <row r="1072" spans="1:7" x14ac:dyDescent="0.2">
      <c r="A1072" s="3">
        <f ca="1">IFERROR(__xludf.DUMMYFUNCTION("""COMPUTED_VALUE"""),764)</f>
        <v>764</v>
      </c>
      <c r="B1072" s="6">
        <f ca="1">IFERROR(__xludf.DUMMYFUNCTION("""COMPUTED_VALUE"""),45391.4271875)</f>
        <v>45391.427187499998</v>
      </c>
      <c r="C1072" s="3" t="str">
        <f ca="1">IFERROR(__xludf.DUMMYFUNCTION("""COMPUTED_VALUE"""),"purchase")</f>
        <v>purchase</v>
      </c>
      <c r="D1072" s="6">
        <f t="shared" ca="1" si="0"/>
        <v>45391</v>
      </c>
      <c r="E1072" s="6">
        <f t="shared" ca="1" si="1"/>
        <v>45390</v>
      </c>
      <c r="F1072" s="6">
        <f t="shared" ca="1" si="2"/>
        <v>45383</v>
      </c>
      <c r="G1072" s="7"/>
    </row>
    <row r="1073" spans="1:7" x14ac:dyDescent="0.2">
      <c r="A1073" s="3">
        <f ca="1">IFERROR(__xludf.DUMMYFUNCTION("""COMPUTED_VALUE"""),1953)</f>
        <v>1953</v>
      </c>
      <c r="B1073" s="6">
        <f ca="1">IFERROR(__xludf.DUMMYFUNCTION("""COMPUTED_VALUE"""),45391.4796759259)</f>
        <v>45391.479675925897</v>
      </c>
      <c r="C1073" s="3" t="str">
        <f ca="1">IFERROR(__xludf.DUMMYFUNCTION("""COMPUTED_VALUE"""),"purchase")</f>
        <v>purchase</v>
      </c>
      <c r="D1073" s="6">
        <f t="shared" ca="1" si="0"/>
        <v>45391</v>
      </c>
      <c r="E1073" s="6">
        <f t="shared" ca="1" si="1"/>
        <v>45390</v>
      </c>
      <c r="F1073" s="6">
        <f t="shared" ca="1" si="2"/>
        <v>45383</v>
      </c>
      <c r="G1073" s="7"/>
    </row>
    <row r="1074" spans="1:7" x14ac:dyDescent="0.2">
      <c r="A1074" s="3">
        <f ca="1">IFERROR(__xludf.DUMMYFUNCTION("""COMPUTED_VALUE"""),1453)</f>
        <v>1453</v>
      </c>
      <c r="B1074" s="6">
        <f ca="1">IFERROR(__xludf.DUMMYFUNCTION("""COMPUTED_VALUE"""),45391.5617592592)</f>
        <v>45391.561759259203</v>
      </c>
      <c r="C1074" s="3" t="str">
        <f ca="1">IFERROR(__xludf.DUMMYFUNCTION("""COMPUTED_VALUE"""),"purchase")</f>
        <v>purchase</v>
      </c>
      <c r="D1074" s="6">
        <f t="shared" ca="1" si="0"/>
        <v>45391</v>
      </c>
      <c r="E1074" s="6">
        <f t="shared" ca="1" si="1"/>
        <v>45390</v>
      </c>
      <c r="F1074" s="6">
        <f t="shared" ca="1" si="2"/>
        <v>45383</v>
      </c>
      <c r="G1074" s="7"/>
    </row>
    <row r="1075" spans="1:7" x14ac:dyDescent="0.2">
      <c r="A1075" s="3">
        <f ca="1">IFERROR(__xludf.DUMMYFUNCTION("""COMPUTED_VALUE"""),6881)</f>
        <v>6881</v>
      </c>
      <c r="B1075" s="6">
        <f ca="1">IFERROR(__xludf.DUMMYFUNCTION("""COMPUTED_VALUE"""),45391.6530092592)</f>
        <v>45391.6530092592</v>
      </c>
      <c r="C1075" s="3" t="str">
        <f ca="1">IFERROR(__xludf.DUMMYFUNCTION("""COMPUTED_VALUE"""),"purchase")</f>
        <v>purchase</v>
      </c>
      <c r="D1075" s="6">
        <f t="shared" ca="1" si="0"/>
        <v>45391</v>
      </c>
      <c r="E1075" s="6">
        <f t="shared" ca="1" si="1"/>
        <v>45390</v>
      </c>
      <c r="F1075" s="6">
        <f t="shared" ca="1" si="2"/>
        <v>45383</v>
      </c>
      <c r="G1075" s="7"/>
    </row>
    <row r="1076" spans="1:7" x14ac:dyDescent="0.2">
      <c r="A1076" s="3">
        <f ca="1">IFERROR(__xludf.DUMMYFUNCTION("""COMPUTED_VALUE"""),7599)</f>
        <v>7599</v>
      </c>
      <c r="B1076" s="6">
        <f ca="1">IFERROR(__xludf.DUMMYFUNCTION("""COMPUTED_VALUE"""),45391.6723148148)</f>
        <v>45391.672314814801</v>
      </c>
      <c r="C1076" s="3" t="str">
        <f ca="1">IFERROR(__xludf.DUMMYFUNCTION("""COMPUTED_VALUE"""),"purchase")</f>
        <v>purchase</v>
      </c>
      <c r="D1076" s="6">
        <f t="shared" ca="1" si="0"/>
        <v>45391</v>
      </c>
      <c r="E1076" s="6">
        <f t="shared" ca="1" si="1"/>
        <v>45390</v>
      </c>
      <c r="F1076" s="6">
        <f t="shared" ca="1" si="2"/>
        <v>45383</v>
      </c>
      <c r="G1076" s="7"/>
    </row>
    <row r="1077" spans="1:7" x14ac:dyDescent="0.2">
      <c r="A1077" s="3">
        <f ca="1">IFERROR(__xludf.DUMMYFUNCTION("""COMPUTED_VALUE"""),5050)</f>
        <v>5050</v>
      </c>
      <c r="B1077" s="6">
        <f ca="1">IFERROR(__xludf.DUMMYFUNCTION("""COMPUTED_VALUE"""),45391.800625)</f>
        <v>45391.800625000003</v>
      </c>
      <c r="C1077" s="3" t="str">
        <f ca="1">IFERROR(__xludf.DUMMYFUNCTION("""COMPUTED_VALUE"""),"purchase")</f>
        <v>purchase</v>
      </c>
      <c r="D1077" s="6">
        <f t="shared" ca="1" si="0"/>
        <v>45391</v>
      </c>
      <c r="E1077" s="6">
        <f t="shared" ca="1" si="1"/>
        <v>45390</v>
      </c>
      <c r="F1077" s="6">
        <f t="shared" ca="1" si="2"/>
        <v>45383</v>
      </c>
      <c r="G1077" s="7"/>
    </row>
    <row r="1078" spans="1:7" x14ac:dyDescent="0.2">
      <c r="A1078" s="3">
        <f ca="1">IFERROR(__xludf.DUMMYFUNCTION("""COMPUTED_VALUE"""),169)</f>
        <v>169</v>
      </c>
      <c r="B1078" s="6">
        <f ca="1">IFERROR(__xludf.DUMMYFUNCTION("""COMPUTED_VALUE"""),45391.9850578703)</f>
        <v>45391.985057870297</v>
      </c>
      <c r="C1078" s="3" t="str">
        <f ca="1">IFERROR(__xludf.DUMMYFUNCTION("""COMPUTED_VALUE"""),"purchase")</f>
        <v>purchase</v>
      </c>
      <c r="D1078" s="6">
        <f t="shared" ca="1" si="0"/>
        <v>45391</v>
      </c>
      <c r="E1078" s="6">
        <f t="shared" ca="1" si="1"/>
        <v>45390</v>
      </c>
      <c r="F1078" s="6">
        <f t="shared" ca="1" si="2"/>
        <v>45383</v>
      </c>
      <c r="G1078" s="7"/>
    </row>
    <row r="1079" spans="1:7" x14ac:dyDescent="0.2">
      <c r="A1079" s="3">
        <f ca="1">IFERROR(__xludf.DUMMYFUNCTION("""COMPUTED_VALUE"""),7115)</f>
        <v>7115</v>
      </c>
      <c r="B1079" s="6">
        <f ca="1">IFERROR(__xludf.DUMMYFUNCTION("""COMPUTED_VALUE"""),45392.0213541666)</f>
        <v>45392.021354166602</v>
      </c>
      <c r="C1079" s="3" t="str">
        <f ca="1">IFERROR(__xludf.DUMMYFUNCTION("""COMPUTED_VALUE"""),"purchase")</f>
        <v>purchase</v>
      </c>
      <c r="D1079" s="6">
        <f t="shared" ca="1" si="0"/>
        <v>45392</v>
      </c>
      <c r="E1079" s="6">
        <f t="shared" ca="1" si="1"/>
        <v>45390</v>
      </c>
      <c r="F1079" s="6">
        <f t="shared" ca="1" si="2"/>
        <v>45383</v>
      </c>
      <c r="G1079" s="7"/>
    </row>
    <row r="1080" spans="1:7" x14ac:dyDescent="0.2">
      <c r="A1080" s="3">
        <f ca="1">IFERROR(__xludf.DUMMYFUNCTION("""COMPUTED_VALUE"""),1085)</f>
        <v>1085</v>
      </c>
      <c r="B1080" s="6">
        <f ca="1">IFERROR(__xludf.DUMMYFUNCTION("""COMPUTED_VALUE"""),45392.0469328703)</f>
        <v>45392.046932870297</v>
      </c>
      <c r="C1080" s="3" t="str">
        <f ca="1">IFERROR(__xludf.DUMMYFUNCTION("""COMPUTED_VALUE"""),"purchase")</f>
        <v>purchase</v>
      </c>
      <c r="D1080" s="6">
        <f t="shared" ca="1" si="0"/>
        <v>45392</v>
      </c>
      <c r="E1080" s="6">
        <f t="shared" ca="1" si="1"/>
        <v>45390</v>
      </c>
      <c r="F1080" s="6">
        <f t="shared" ca="1" si="2"/>
        <v>45383</v>
      </c>
      <c r="G1080" s="7"/>
    </row>
    <row r="1081" spans="1:7" x14ac:dyDescent="0.2">
      <c r="A1081" s="3">
        <f ca="1">IFERROR(__xludf.DUMMYFUNCTION("""COMPUTED_VALUE"""),3106)</f>
        <v>3106</v>
      </c>
      <c r="B1081" s="6">
        <f ca="1">IFERROR(__xludf.DUMMYFUNCTION("""COMPUTED_VALUE"""),45392.0621527777)</f>
        <v>45392.062152777697</v>
      </c>
      <c r="C1081" s="3" t="str">
        <f ca="1">IFERROR(__xludf.DUMMYFUNCTION("""COMPUTED_VALUE"""),"purchase")</f>
        <v>purchase</v>
      </c>
      <c r="D1081" s="6">
        <f t="shared" ca="1" si="0"/>
        <v>45392</v>
      </c>
      <c r="E1081" s="6">
        <f t="shared" ca="1" si="1"/>
        <v>45390</v>
      </c>
      <c r="F1081" s="6">
        <f t="shared" ca="1" si="2"/>
        <v>45383</v>
      </c>
      <c r="G1081" s="7"/>
    </row>
    <row r="1082" spans="1:7" x14ac:dyDescent="0.2">
      <c r="A1082" s="3">
        <f ca="1">IFERROR(__xludf.DUMMYFUNCTION("""COMPUTED_VALUE"""),3981)</f>
        <v>3981</v>
      </c>
      <c r="B1082" s="6">
        <f ca="1">IFERROR(__xludf.DUMMYFUNCTION("""COMPUTED_VALUE"""),45392.0648842592)</f>
        <v>45392.064884259198</v>
      </c>
      <c r="C1082" s="3" t="str">
        <f ca="1">IFERROR(__xludf.DUMMYFUNCTION("""COMPUTED_VALUE"""),"purchase")</f>
        <v>purchase</v>
      </c>
      <c r="D1082" s="6">
        <f t="shared" ca="1" si="0"/>
        <v>45392</v>
      </c>
      <c r="E1082" s="6">
        <f t="shared" ca="1" si="1"/>
        <v>45390</v>
      </c>
      <c r="F1082" s="6">
        <f t="shared" ca="1" si="2"/>
        <v>45383</v>
      </c>
      <c r="G1082" s="7"/>
    </row>
    <row r="1083" spans="1:7" x14ac:dyDescent="0.2">
      <c r="A1083" s="3">
        <f ca="1">IFERROR(__xludf.DUMMYFUNCTION("""COMPUTED_VALUE"""),3289)</f>
        <v>3289</v>
      </c>
      <c r="B1083" s="6">
        <f ca="1">IFERROR(__xludf.DUMMYFUNCTION("""COMPUTED_VALUE"""),45392.1351388888)</f>
        <v>45392.1351388888</v>
      </c>
      <c r="C1083" s="3" t="str">
        <f ca="1">IFERROR(__xludf.DUMMYFUNCTION("""COMPUTED_VALUE"""),"purchase")</f>
        <v>purchase</v>
      </c>
      <c r="D1083" s="6">
        <f t="shared" ca="1" si="0"/>
        <v>45392</v>
      </c>
      <c r="E1083" s="6">
        <f t="shared" ca="1" si="1"/>
        <v>45390</v>
      </c>
      <c r="F1083" s="6">
        <f t="shared" ca="1" si="2"/>
        <v>45383</v>
      </c>
      <c r="G1083" s="7"/>
    </row>
    <row r="1084" spans="1:7" x14ac:dyDescent="0.2">
      <c r="A1084" s="3">
        <f ca="1">IFERROR(__xludf.DUMMYFUNCTION("""COMPUTED_VALUE"""),1865)</f>
        <v>1865</v>
      </c>
      <c r="B1084" s="6">
        <f ca="1">IFERROR(__xludf.DUMMYFUNCTION("""COMPUTED_VALUE"""),45392.1560069444)</f>
        <v>45392.156006944402</v>
      </c>
      <c r="C1084" s="3" t="str">
        <f ca="1">IFERROR(__xludf.DUMMYFUNCTION("""COMPUTED_VALUE"""),"purchase")</f>
        <v>purchase</v>
      </c>
      <c r="D1084" s="6">
        <f t="shared" ca="1" si="0"/>
        <v>45392</v>
      </c>
      <c r="E1084" s="6">
        <f t="shared" ca="1" si="1"/>
        <v>45390</v>
      </c>
      <c r="F1084" s="6">
        <f t="shared" ca="1" si="2"/>
        <v>45383</v>
      </c>
      <c r="G1084" s="7"/>
    </row>
    <row r="1085" spans="1:7" x14ac:dyDescent="0.2">
      <c r="A1085" s="3">
        <f ca="1">IFERROR(__xludf.DUMMYFUNCTION("""COMPUTED_VALUE"""),2906)</f>
        <v>2906</v>
      </c>
      <c r="B1085" s="6">
        <f ca="1">IFERROR(__xludf.DUMMYFUNCTION("""COMPUTED_VALUE"""),45392.1667824074)</f>
        <v>45392.166782407403</v>
      </c>
      <c r="C1085" s="3" t="str">
        <f ca="1">IFERROR(__xludf.DUMMYFUNCTION("""COMPUTED_VALUE"""),"purchase")</f>
        <v>purchase</v>
      </c>
      <c r="D1085" s="6">
        <f t="shared" ca="1" si="0"/>
        <v>45392</v>
      </c>
      <c r="E1085" s="6">
        <f t="shared" ca="1" si="1"/>
        <v>45390</v>
      </c>
      <c r="F1085" s="6">
        <f t="shared" ca="1" si="2"/>
        <v>45383</v>
      </c>
      <c r="G1085" s="7"/>
    </row>
    <row r="1086" spans="1:7" x14ac:dyDescent="0.2">
      <c r="A1086" s="3">
        <f ca="1">IFERROR(__xludf.DUMMYFUNCTION("""COMPUTED_VALUE"""),2081)</f>
        <v>2081</v>
      </c>
      <c r="B1086" s="6">
        <f ca="1">IFERROR(__xludf.DUMMYFUNCTION("""COMPUTED_VALUE"""),45392.3376504629)</f>
        <v>45392.337650462898</v>
      </c>
      <c r="C1086" s="3" t="str">
        <f ca="1">IFERROR(__xludf.DUMMYFUNCTION("""COMPUTED_VALUE"""),"purchase")</f>
        <v>purchase</v>
      </c>
      <c r="D1086" s="6">
        <f t="shared" ca="1" si="0"/>
        <v>45392</v>
      </c>
      <c r="E1086" s="6">
        <f t="shared" ca="1" si="1"/>
        <v>45390</v>
      </c>
      <c r="F1086" s="6">
        <f t="shared" ca="1" si="2"/>
        <v>45383</v>
      </c>
      <c r="G1086" s="7"/>
    </row>
    <row r="1087" spans="1:7" x14ac:dyDescent="0.2">
      <c r="A1087" s="3">
        <f ca="1">IFERROR(__xludf.DUMMYFUNCTION("""COMPUTED_VALUE"""),4658)</f>
        <v>4658</v>
      </c>
      <c r="B1087" s="6">
        <f ca="1">IFERROR(__xludf.DUMMYFUNCTION("""COMPUTED_VALUE"""),45392.3952430555)</f>
        <v>45392.3952430555</v>
      </c>
      <c r="C1087" s="3" t="str">
        <f ca="1">IFERROR(__xludf.DUMMYFUNCTION("""COMPUTED_VALUE"""),"purchase")</f>
        <v>purchase</v>
      </c>
      <c r="D1087" s="6">
        <f t="shared" ca="1" si="0"/>
        <v>45392</v>
      </c>
      <c r="E1087" s="6">
        <f t="shared" ca="1" si="1"/>
        <v>45390</v>
      </c>
      <c r="F1087" s="6">
        <f t="shared" ca="1" si="2"/>
        <v>45383</v>
      </c>
      <c r="G1087" s="7"/>
    </row>
    <row r="1088" spans="1:7" x14ac:dyDescent="0.2">
      <c r="A1088" s="3">
        <f ca="1">IFERROR(__xludf.DUMMYFUNCTION("""COMPUTED_VALUE"""),1413)</f>
        <v>1413</v>
      </c>
      <c r="B1088" s="6">
        <f ca="1">IFERROR(__xludf.DUMMYFUNCTION("""COMPUTED_VALUE"""),45392.4479398148)</f>
        <v>45392.447939814803</v>
      </c>
      <c r="C1088" s="3" t="str">
        <f ca="1">IFERROR(__xludf.DUMMYFUNCTION("""COMPUTED_VALUE"""),"purchase")</f>
        <v>purchase</v>
      </c>
      <c r="D1088" s="6">
        <f t="shared" ca="1" si="0"/>
        <v>45392</v>
      </c>
      <c r="E1088" s="6">
        <f t="shared" ca="1" si="1"/>
        <v>45390</v>
      </c>
      <c r="F1088" s="6">
        <f t="shared" ca="1" si="2"/>
        <v>45383</v>
      </c>
      <c r="G1088" s="7"/>
    </row>
    <row r="1089" spans="1:7" x14ac:dyDescent="0.2">
      <c r="A1089" s="3">
        <f ca="1">IFERROR(__xludf.DUMMYFUNCTION("""COMPUTED_VALUE"""),5254)</f>
        <v>5254</v>
      </c>
      <c r="B1089" s="6">
        <f ca="1">IFERROR(__xludf.DUMMYFUNCTION("""COMPUTED_VALUE"""),45392.4691666666)</f>
        <v>45392.469166666597</v>
      </c>
      <c r="C1089" s="3" t="str">
        <f ca="1">IFERROR(__xludf.DUMMYFUNCTION("""COMPUTED_VALUE"""),"purchase")</f>
        <v>purchase</v>
      </c>
      <c r="D1089" s="6">
        <f t="shared" ca="1" si="0"/>
        <v>45392</v>
      </c>
      <c r="E1089" s="6">
        <f t="shared" ca="1" si="1"/>
        <v>45390</v>
      </c>
      <c r="F1089" s="6">
        <f t="shared" ca="1" si="2"/>
        <v>45383</v>
      </c>
      <c r="G1089" s="7"/>
    </row>
    <row r="1090" spans="1:7" x14ac:dyDescent="0.2">
      <c r="A1090" s="3">
        <f ca="1">IFERROR(__xludf.DUMMYFUNCTION("""COMPUTED_VALUE"""),3800)</f>
        <v>3800</v>
      </c>
      <c r="B1090" s="6">
        <f ca="1">IFERROR(__xludf.DUMMYFUNCTION("""COMPUTED_VALUE"""),45392.5509143518)</f>
        <v>45392.550914351799</v>
      </c>
      <c r="C1090" s="3" t="str">
        <f ca="1">IFERROR(__xludf.DUMMYFUNCTION("""COMPUTED_VALUE"""),"purchase")</f>
        <v>purchase</v>
      </c>
      <c r="D1090" s="6">
        <f t="shared" ca="1" si="0"/>
        <v>45392</v>
      </c>
      <c r="E1090" s="6">
        <f t="shared" ca="1" si="1"/>
        <v>45390</v>
      </c>
      <c r="F1090" s="6">
        <f t="shared" ca="1" si="2"/>
        <v>45383</v>
      </c>
      <c r="G1090" s="7"/>
    </row>
    <row r="1091" spans="1:7" x14ac:dyDescent="0.2">
      <c r="A1091" s="3">
        <f ca="1">IFERROR(__xludf.DUMMYFUNCTION("""COMPUTED_VALUE"""),5403)</f>
        <v>5403</v>
      </c>
      <c r="B1091" s="6">
        <f ca="1">IFERROR(__xludf.DUMMYFUNCTION("""COMPUTED_VALUE"""),45392.5800578703)</f>
        <v>45392.580057870298</v>
      </c>
      <c r="C1091" s="3" t="str">
        <f ca="1">IFERROR(__xludf.DUMMYFUNCTION("""COMPUTED_VALUE"""),"purchase")</f>
        <v>purchase</v>
      </c>
      <c r="D1091" s="6">
        <f t="shared" ca="1" si="0"/>
        <v>45392</v>
      </c>
      <c r="E1091" s="6">
        <f t="shared" ca="1" si="1"/>
        <v>45390</v>
      </c>
      <c r="F1091" s="6">
        <f t="shared" ca="1" si="2"/>
        <v>45383</v>
      </c>
      <c r="G1091" s="7"/>
    </row>
    <row r="1092" spans="1:7" x14ac:dyDescent="0.2">
      <c r="A1092" s="3">
        <f ca="1">IFERROR(__xludf.DUMMYFUNCTION("""COMPUTED_VALUE"""),2246)</f>
        <v>2246</v>
      </c>
      <c r="B1092" s="6">
        <f ca="1">IFERROR(__xludf.DUMMYFUNCTION("""COMPUTED_VALUE"""),45392.7442013888)</f>
        <v>45392.744201388799</v>
      </c>
      <c r="C1092" s="3" t="str">
        <f ca="1">IFERROR(__xludf.DUMMYFUNCTION("""COMPUTED_VALUE"""),"purchase")</f>
        <v>purchase</v>
      </c>
      <c r="D1092" s="6">
        <f t="shared" ca="1" si="0"/>
        <v>45392</v>
      </c>
      <c r="E1092" s="6">
        <f t="shared" ca="1" si="1"/>
        <v>45390</v>
      </c>
      <c r="F1092" s="6">
        <f t="shared" ca="1" si="2"/>
        <v>45383</v>
      </c>
      <c r="G1092" s="7"/>
    </row>
    <row r="1093" spans="1:7" x14ac:dyDescent="0.2">
      <c r="A1093" s="3">
        <f ca="1">IFERROR(__xludf.DUMMYFUNCTION("""COMPUTED_VALUE"""),5065)</f>
        <v>5065</v>
      </c>
      <c r="B1093" s="6">
        <f ca="1">IFERROR(__xludf.DUMMYFUNCTION("""COMPUTED_VALUE"""),45392.7853356481)</f>
        <v>45392.785335648099</v>
      </c>
      <c r="C1093" s="3" t="str">
        <f ca="1">IFERROR(__xludf.DUMMYFUNCTION("""COMPUTED_VALUE"""),"purchase")</f>
        <v>purchase</v>
      </c>
      <c r="D1093" s="6">
        <f t="shared" ca="1" si="0"/>
        <v>45392</v>
      </c>
      <c r="E1093" s="6">
        <f t="shared" ca="1" si="1"/>
        <v>45390</v>
      </c>
      <c r="F1093" s="6">
        <f t="shared" ca="1" si="2"/>
        <v>45383</v>
      </c>
      <c r="G1093" s="7"/>
    </row>
    <row r="1094" spans="1:7" x14ac:dyDescent="0.2">
      <c r="A1094" s="3">
        <f ca="1">IFERROR(__xludf.DUMMYFUNCTION("""COMPUTED_VALUE"""),1966)</f>
        <v>1966</v>
      </c>
      <c r="B1094" s="6">
        <f ca="1">IFERROR(__xludf.DUMMYFUNCTION("""COMPUTED_VALUE"""),45392.9568402777)</f>
        <v>45392.9568402777</v>
      </c>
      <c r="C1094" s="3" t="str">
        <f ca="1">IFERROR(__xludf.DUMMYFUNCTION("""COMPUTED_VALUE"""),"purchase")</f>
        <v>purchase</v>
      </c>
      <c r="D1094" s="6">
        <f t="shared" ca="1" si="0"/>
        <v>45392</v>
      </c>
      <c r="E1094" s="6">
        <f t="shared" ca="1" si="1"/>
        <v>45390</v>
      </c>
      <c r="F1094" s="6">
        <f t="shared" ca="1" si="2"/>
        <v>45383</v>
      </c>
      <c r="G1094" s="7"/>
    </row>
    <row r="1095" spans="1:7" x14ac:dyDescent="0.2">
      <c r="A1095" s="3">
        <f ca="1">IFERROR(__xludf.DUMMYFUNCTION("""COMPUTED_VALUE"""),533)</f>
        <v>533</v>
      </c>
      <c r="B1095" s="6">
        <f ca="1">IFERROR(__xludf.DUMMYFUNCTION("""COMPUTED_VALUE"""),45392.9849652777)</f>
        <v>45392.984965277697</v>
      </c>
      <c r="C1095" s="3" t="str">
        <f ca="1">IFERROR(__xludf.DUMMYFUNCTION("""COMPUTED_VALUE"""),"purchase")</f>
        <v>purchase</v>
      </c>
      <c r="D1095" s="6">
        <f t="shared" ca="1" si="0"/>
        <v>45392</v>
      </c>
      <c r="E1095" s="6">
        <f t="shared" ca="1" si="1"/>
        <v>45390</v>
      </c>
      <c r="F1095" s="6">
        <f t="shared" ca="1" si="2"/>
        <v>45383</v>
      </c>
      <c r="G1095" s="7"/>
    </row>
    <row r="1096" spans="1:7" x14ac:dyDescent="0.2">
      <c r="A1096" s="3">
        <f ca="1">IFERROR(__xludf.DUMMYFUNCTION("""COMPUTED_VALUE"""),5210)</f>
        <v>5210</v>
      </c>
      <c r="B1096" s="6">
        <f ca="1">IFERROR(__xludf.DUMMYFUNCTION("""COMPUTED_VALUE"""),45393.2179861111)</f>
        <v>45393.2179861111</v>
      </c>
      <c r="C1096" s="3" t="str">
        <f ca="1">IFERROR(__xludf.DUMMYFUNCTION("""COMPUTED_VALUE"""),"purchase")</f>
        <v>purchase</v>
      </c>
      <c r="D1096" s="6">
        <f t="shared" ca="1" si="0"/>
        <v>45393</v>
      </c>
      <c r="E1096" s="6">
        <f t="shared" ca="1" si="1"/>
        <v>45390</v>
      </c>
      <c r="F1096" s="6">
        <f t="shared" ca="1" si="2"/>
        <v>45383</v>
      </c>
      <c r="G1096" s="7"/>
    </row>
    <row r="1097" spans="1:7" x14ac:dyDescent="0.2">
      <c r="A1097" s="3">
        <f ca="1">IFERROR(__xludf.DUMMYFUNCTION("""COMPUTED_VALUE"""),1673)</f>
        <v>1673</v>
      </c>
      <c r="B1097" s="6">
        <f ca="1">IFERROR(__xludf.DUMMYFUNCTION("""COMPUTED_VALUE"""),45393.4085763888)</f>
        <v>45393.4085763888</v>
      </c>
      <c r="C1097" s="3" t="str">
        <f ca="1">IFERROR(__xludf.DUMMYFUNCTION("""COMPUTED_VALUE"""),"purchase")</f>
        <v>purchase</v>
      </c>
      <c r="D1097" s="6">
        <f t="shared" ca="1" si="0"/>
        <v>45393</v>
      </c>
      <c r="E1097" s="6">
        <f t="shared" ca="1" si="1"/>
        <v>45390</v>
      </c>
      <c r="F1097" s="6">
        <f t="shared" ca="1" si="2"/>
        <v>45383</v>
      </c>
      <c r="G1097" s="7"/>
    </row>
    <row r="1098" spans="1:7" x14ac:dyDescent="0.2">
      <c r="A1098" s="3">
        <f ca="1">IFERROR(__xludf.DUMMYFUNCTION("""COMPUTED_VALUE"""),1644)</f>
        <v>1644</v>
      </c>
      <c r="B1098" s="6">
        <f ca="1">IFERROR(__xludf.DUMMYFUNCTION("""COMPUTED_VALUE"""),45393.4172106481)</f>
        <v>45393.417210648098</v>
      </c>
      <c r="C1098" s="3" t="str">
        <f ca="1">IFERROR(__xludf.DUMMYFUNCTION("""COMPUTED_VALUE"""),"purchase")</f>
        <v>purchase</v>
      </c>
      <c r="D1098" s="6">
        <f t="shared" ca="1" si="0"/>
        <v>45393</v>
      </c>
      <c r="E1098" s="6">
        <f t="shared" ca="1" si="1"/>
        <v>45390</v>
      </c>
      <c r="F1098" s="6">
        <f t="shared" ca="1" si="2"/>
        <v>45383</v>
      </c>
      <c r="G1098" s="7"/>
    </row>
    <row r="1099" spans="1:7" x14ac:dyDescent="0.2">
      <c r="A1099" s="3">
        <f ca="1">IFERROR(__xludf.DUMMYFUNCTION("""COMPUTED_VALUE"""),264)</f>
        <v>264</v>
      </c>
      <c r="B1099" s="6">
        <f ca="1">IFERROR(__xludf.DUMMYFUNCTION("""COMPUTED_VALUE"""),45393.5154861111)</f>
        <v>45393.5154861111</v>
      </c>
      <c r="C1099" s="3" t="str">
        <f ca="1">IFERROR(__xludf.DUMMYFUNCTION("""COMPUTED_VALUE"""),"purchase")</f>
        <v>purchase</v>
      </c>
      <c r="D1099" s="6">
        <f t="shared" ca="1" si="0"/>
        <v>45393</v>
      </c>
      <c r="E1099" s="6">
        <f t="shared" ca="1" si="1"/>
        <v>45390</v>
      </c>
      <c r="F1099" s="6">
        <f t="shared" ca="1" si="2"/>
        <v>45383</v>
      </c>
      <c r="G1099" s="7"/>
    </row>
    <row r="1100" spans="1:7" x14ac:dyDescent="0.2">
      <c r="A1100" s="3">
        <f ca="1">IFERROR(__xludf.DUMMYFUNCTION("""COMPUTED_VALUE"""),2374)</f>
        <v>2374</v>
      </c>
      <c r="B1100" s="6">
        <f ca="1">IFERROR(__xludf.DUMMYFUNCTION("""COMPUTED_VALUE"""),45393.5796064814)</f>
        <v>45393.579606481399</v>
      </c>
      <c r="C1100" s="3" t="str">
        <f ca="1">IFERROR(__xludf.DUMMYFUNCTION("""COMPUTED_VALUE"""),"purchase")</f>
        <v>purchase</v>
      </c>
      <c r="D1100" s="6">
        <f t="shared" ca="1" si="0"/>
        <v>45393</v>
      </c>
      <c r="E1100" s="6">
        <f t="shared" ca="1" si="1"/>
        <v>45390</v>
      </c>
      <c r="F1100" s="6">
        <f t="shared" ca="1" si="2"/>
        <v>45383</v>
      </c>
      <c r="G1100" s="7"/>
    </row>
    <row r="1101" spans="1:7" x14ac:dyDescent="0.2">
      <c r="A1101" s="3">
        <f ca="1">IFERROR(__xludf.DUMMYFUNCTION("""COMPUTED_VALUE"""),7618)</f>
        <v>7618</v>
      </c>
      <c r="B1101" s="6">
        <f ca="1">IFERROR(__xludf.DUMMYFUNCTION("""COMPUTED_VALUE"""),45393.6208796296)</f>
        <v>45393.620879629598</v>
      </c>
      <c r="C1101" s="3" t="str">
        <f ca="1">IFERROR(__xludf.DUMMYFUNCTION("""COMPUTED_VALUE"""),"purchase")</f>
        <v>purchase</v>
      </c>
      <c r="D1101" s="6">
        <f t="shared" ca="1" si="0"/>
        <v>45393</v>
      </c>
      <c r="E1101" s="6">
        <f t="shared" ca="1" si="1"/>
        <v>45390</v>
      </c>
      <c r="F1101" s="6">
        <f t="shared" ca="1" si="2"/>
        <v>45383</v>
      </c>
      <c r="G1101" s="7"/>
    </row>
    <row r="1102" spans="1:7" x14ac:dyDescent="0.2">
      <c r="A1102" s="3">
        <f ca="1">IFERROR(__xludf.DUMMYFUNCTION("""COMPUTED_VALUE"""),1169)</f>
        <v>1169</v>
      </c>
      <c r="B1102" s="6">
        <f ca="1">IFERROR(__xludf.DUMMYFUNCTION("""COMPUTED_VALUE"""),45393.9619907407)</f>
        <v>45393.961990740703</v>
      </c>
      <c r="C1102" s="3" t="str">
        <f ca="1">IFERROR(__xludf.DUMMYFUNCTION("""COMPUTED_VALUE"""),"purchase")</f>
        <v>purchase</v>
      </c>
      <c r="D1102" s="6">
        <f t="shared" ca="1" si="0"/>
        <v>45393</v>
      </c>
      <c r="E1102" s="6">
        <f t="shared" ca="1" si="1"/>
        <v>45390</v>
      </c>
      <c r="F1102" s="6">
        <f t="shared" ca="1" si="2"/>
        <v>45383</v>
      </c>
      <c r="G1102" s="7"/>
    </row>
    <row r="1103" spans="1:7" x14ac:dyDescent="0.2">
      <c r="A1103" s="3">
        <f ca="1">IFERROR(__xludf.DUMMYFUNCTION("""COMPUTED_VALUE"""),6827)</f>
        <v>6827</v>
      </c>
      <c r="B1103" s="6">
        <f ca="1">IFERROR(__xludf.DUMMYFUNCTION("""COMPUTED_VALUE"""),45393.9925810185)</f>
        <v>45393.992581018501</v>
      </c>
      <c r="C1103" s="3" t="str">
        <f ca="1">IFERROR(__xludf.DUMMYFUNCTION("""COMPUTED_VALUE"""),"purchase")</f>
        <v>purchase</v>
      </c>
      <c r="D1103" s="6">
        <f t="shared" ca="1" si="0"/>
        <v>45393</v>
      </c>
      <c r="E1103" s="6">
        <f t="shared" ca="1" si="1"/>
        <v>45390</v>
      </c>
      <c r="F1103" s="6">
        <f t="shared" ca="1" si="2"/>
        <v>45383</v>
      </c>
      <c r="G1103" s="7"/>
    </row>
    <row r="1104" spans="1:7" x14ac:dyDescent="0.2">
      <c r="A1104" s="3">
        <f ca="1">IFERROR(__xludf.DUMMYFUNCTION("""COMPUTED_VALUE"""),70)</f>
        <v>70</v>
      </c>
      <c r="B1104" s="6">
        <f ca="1">IFERROR(__xludf.DUMMYFUNCTION("""COMPUTED_VALUE"""),45394.0518055555)</f>
        <v>45394.0518055555</v>
      </c>
      <c r="C1104" s="3" t="str">
        <f ca="1">IFERROR(__xludf.DUMMYFUNCTION("""COMPUTED_VALUE"""),"purchase")</f>
        <v>purchase</v>
      </c>
      <c r="D1104" s="6">
        <f t="shared" ca="1" si="0"/>
        <v>45394</v>
      </c>
      <c r="E1104" s="6">
        <f t="shared" ca="1" si="1"/>
        <v>45390</v>
      </c>
      <c r="F1104" s="6">
        <f t="shared" ca="1" si="2"/>
        <v>45383</v>
      </c>
      <c r="G1104" s="7"/>
    </row>
    <row r="1105" spans="1:7" x14ac:dyDescent="0.2">
      <c r="A1105" s="3">
        <f ca="1">IFERROR(__xludf.DUMMYFUNCTION("""COMPUTED_VALUE"""),829)</f>
        <v>829</v>
      </c>
      <c r="B1105" s="6">
        <f ca="1">IFERROR(__xludf.DUMMYFUNCTION("""COMPUTED_VALUE"""),45394.0645023148)</f>
        <v>45394.064502314803</v>
      </c>
      <c r="C1105" s="3" t="str">
        <f ca="1">IFERROR(__xludf.DUMMYFUNCTION("""COMPUTED_VALUE"""),"purchase")</f>
        <v>purchase</v>
      </c>
      <c r="D1105" s="6">
        <f t="shared" ca="1" si="0"/>
        <v>45394</v>
      </c>
      <c r="E1105" s="6">
        <f t="shared" ca="1" si="1"/>
        <v>45390</v>
      </c>
      <c r="F1105" s="6">
        <f t="shared" ca="1" si="2"/>
        <v>45383</v>
      </c>
      <c r="G1105" s="7"/>
    </row>
    <row r="1106" spans="1:7" x14ac:dyDescent="0.2">
      <c r="A1106" s="3">
        <f ca="1">IFERROR(__xludf.DUMMYFUNCTION("""COMPUTED_VALUE"""),6483)</f>
        <v>6483</v>
      </c>
      <c r="B1106" s="6">
        <f ca="1">IFERROR(__xludf.DUMMYFUNCTION("""COMPUTED_VALUE"""),45394.0699305555)</f>
        <v>45394.069930555503</v>
      </c>
      <c r="C1106" s="3" t="str">
        <f ca="1">IFERROR(__xludf.DUMMYFUNCTION("""COMPUTED_VALUE"""),"purchase")</f>
        <v>purchase</v>
      </c>
      <c r="D1106" s="6">
        <f t="shared" ca="1" si="0"/>
        <v>45394</v>
      </c>
      <c r="E1106" s="6">
        <f t="shared" ca="1" si="1"/>
        <v>45390</v>
      </c>
      <c r="F1106" s="6">
        <f t="shared" ca="1" si="2"/>
        <v>45383</v>
      </c>
      <c r="G1106" s="7"/>
    </row>
    <row r="1107" spans="1:7" x14ac:dyDescent="0.2">
      <c r="A1107" s="3">
        <f ca="1">IFERROR(__xludf.DUMMYFUNCTION("""COMPUTED_VALUE"""),4690)</f>
        <v>4690</v>
      </c>
      <c r="B1107" s="6">
        <f ca="1">IFERROR(__xludf.DUMMYFUNCTION("""COMPUTED_VALUE"""),45394.2263078703)</f>
        <v>45394.226307870304</v>
      </c>
      <c r="C1107" s="3" t="str">
        <f ca="1">IFERROR(__xludf.DUMMYFUNCTION("""COMPUTED_VALUE"""),"purchase")</f>
        <v>purchase</v>
      </c>
      <c r="D1107" s="6">
        <f t="shared" ca="1" si="0"/>
        <v>45394</v>
      </c>
      <c r="E1107" s="6">
        <f t="shared" ca="1" si="1"/>
        <v>45390</v>
      </c>
      <c r="F1107" s="6">
        <f t="shared" ca="1" si="2"/>
        <v>45383</v>
      </c>
      <c r="G1107" s="7"/>
    </row>
    <row r="1108" spans="1:7" x14ac:dyDescent="0.2">
      <c r="A1108" s="3">
        <f ca="1">IFERROR(__xludf.DUMMYFUNCTION("""COMPUTED_VALUE"""),2021)</f>
        <v>2021</v>
      </c>
      <c r="B1108" s="6">
        <f ca="1">IFERROR(__xludf.DUMMYFUNCTION("""COMPUTED_VALUE"""),45394.2722800925)</f>
        <v>45394.272280092497</v>
      </c>
      <c r="C1108" s="3" t="str">
        <f ca="1">IFERROR(__xludf.DUMMYFUNCTION("""COMPUTED_VALUE"""),"purchase")</f>
        <v>purchase</v>
      </c>
      <c r="D1108" s="6">
        <f t="shared" ca="1" si="0"/>
        <v>45394</v>
      </c>
      <c r="E1108" s="6">
        <f t="shared" ca="1" si="1"/>
        <v>45390</v>
      </c>
      <c r="F1108" s="6">
        <f t="shared" ca="1" si="2"/>
        <v>45383</v>
      </c>
      <c r="G1108" s="7"/>
    </row>
    <row r="1109" spans="1:7" x14ac:dyDescent="0.2">
      <c r="A1109" s="3">
        <f ca="1">IFERROR(__xludf.DUMMYFUNCTION("""COMPUTED_VALUE"""),1114)</f>
        <v>1114</v>
      </c>
      <c r="B1109" s="6">
        <f ca="1">IFERROR(__xludf.DUMMYFUNCTION("""COMPUTED_VALUE"""),45394.2890162037)</f>
        <v>45394.2890162037</v>
      </c>
      <c r="C1109" s="3" t="str">
        <f ca="1">IFERROR(__xludf.DUMMYFUNCTION("""COMPUTED_VALUE"""),"purchase")</f>
        <v>purchase</v>
      </c>
      <c r="D1109" s="6">
        <f t="shared" ca="1" si="0"/>
        <v>45394</v>
      </c>
      <c r="E1109" s="6">
        <f t="shared" ca="1" si="1"/>
        <v>45390</v>
      </c>
      <c r="F1109" s="6">
        <f t="shared" ca="1" si="2"/>
        <v>45383</v>
      </c>
      <c r="G1109" s="7"/>
    </row>
    <row r="1110" spans="1:7" x14ac:dyDescent="0.2">
      <c r="A1110" s="3">
        <f ca="1">IFERROR(__xludf.DUMMYFUNCTION("""COMPUTED_VALUE"""),1794)</f>
        <v>1794</v>
      </c>
      <c r="B1110" s="6">
        <f ca="1">IFERROR(__xludf.DUMMYFUNCTION("""COMPUTED_VALUE"""),45394.2912152777)</f>
        <v>45394.291215277699</v>
      </c>
      <c r="C1110" s="3" t="str">
        <f ca="1">IFERROR(__xludf.DUMMYFUNCTION("""COMPUTED_VALUE"""),"purchase")</f>
        <v>purchase</v>
      </c>
      <c r="D1110" s="6">
        <f t="shared" ca="1" si="0"/>
        <v>45394</v>
      </c>
      <c r="E1110" s="6">
        <f t="shared" ca="1" si="1"/>
        <v>45390</v>
      </c>
      <c r="F1110" s="6">
        <f t="shared" ca="1" si="2"/>
        <v>45383</v>
      </c>
      <c r="G1110" s="7"/>
    </row>
    <row r="1111" spans="1:7" x14ac:dyDescent="0.2">
      <c r="A1111" s="3">
        <f ca="1">IFERROR(__xludf.DUMMYFUNCTION("""COMPUTED_VALUE"""),6505)</f>
        <v>6505</v>
      </c>
      <c r="B1111" s="6">
        <f ca="1">IFERROR(__xludf.DUMMYFUNCTION("""COMPUTED_VALUE"""),45394.4585069444)</f>
        <v>45394.4585069444</v>
      </c>
      <c r="C1111" s="3" t="str">
        <f ca="1">IFERROR(__xludf.DUMMYFUNCTION("""COMPUTED_VALUE"""),"purchase")</f>
        <v>purchase</v>
      </c>
      <c r="D1111" s="6">
        <f t="shared" ca="1" si="0"/>
        <v>45394</v>
      </c>
      <c r="E1111" s="6">
        <f t="shared" ca="1" si="1"/>
        <v>45390</v>
      </c>
      <c r="F1111" s="6">
        <f t="shared" ca="1" si="2"/>
        <v>45383</v>
      </c>
      <c r="G1111" s="7"/>
    </row>
    <row r="1112" spans="1:7" x14ac:dyDescent="0.2">
      <c r="A1112" s="3">
        <f ca="1">IFERROR(__xludf.DUMMYFUNCTION("""COMPUTED_VALUE"""),3051)</f>
        <v>3051</v>
      </c>
      <c r="B1112" s="6">
        <f ca="1">IFERROR(__xludf.DUMMYFUNCTION("""COMPUTED_VALUE"""),45394.6629629629)</f>
        <v>45394.662962962902</v>
      </c>
      <c r="C1112" s="3" t="str">
        <f ca="1">IFERROR(__xludf.DUMMYFUNCTION("""COMPUTED_VALUE"""),"purchase")</f>
        <v>purchase</v>
      </c>
      <c r="D1112" s="6">
        <f t="shared" ca="1" si="0"/>
        <v>45394</v>
      </c>
      <c r="E1112" s="6">
        <f t="shared" ca="1" si="1"/>
        <v>45390</v>
      </c>
      <c r="F1112" s="6">
        <f t="shared" ca="1" si="2"/>
        <v>45383</v>
      </c>
      <c r="G1112" s="7"/>
    </row>
    <row r="1113" spans="1:7" x14ac:dyDescent="0.2">
      <c r="A1113" s="3">
        <f ca="1">IFERROR(__xludf.DUMMYFUNCTION("""COMPUTED_VALUE"""),258)</f>
        <v>258</v>
      </c>
      <c r="B1113" s="6">
        <f ca="1">IFERROR(__xludf.DUMMYFUNCTION("""COMPUTED_VALUE"""),45394.6632407407)</f>
        <v>45394.663240740701</v>
      </c>
      <c r="C1113" s="3" t="str">
        <f ca="1">IFERROR(__xludf.DUMMYFUNCTION("""COMPUTED_VALUE"""),"purchase")</f>
        <v>purchase</v>
      </c>
      <c r="D1113" s="6">
        <f t="shared" ca="1" si="0"/>
        <v>45394</v>
      </c>
      <c r="E1113" s="6">
        <f t="shared" ca="1" si="1"/>
        <v>45390</v>
      </c>
      <c r="F1113" s="6">
        <f t="shared" ca="1" si="2"/>
        <v>45383</v>
      </c>
      <c r="G1113" s="7"/>
    </row>
    <row r="1114" spans="1:7" x14ac:dyDescent="0.2">
      <c r="A1114" s="3">
        <f ca="1">IFERROR(__xludf.DUMMYFUNCTION("""COMPUTED_VALUE"""),7418)</f>
        <v>7418</v>
      </c>
      <c r="B1114" s="6">
        <f ca="1">IFERROR(__xludf.DUMMYFUNCTION("""COMPUTED_VALUE"""),45394.8851388888)</f>
        <v>45394.8851388888</v>
      </c>
      <c r="C1114" s="3" t="str">
        <f ca="1">IFERROR(__xludf.DUMMYFUNCTION("""COMPUTED_VALUE"""),"purchase")</f>
        <v>purchase</v>
      </c>
      <c r="D1114" s="6">
        <f t="shared" ca="1" si="0"/>
        <v>45394</v>
      </c>
      <c r="E1114" s="6">
        <f t="shared" ca="1" si="1"/>
        <v>45390</v>
      </c>
      <c r="F1114" s="6">
        <f t="shared" ca="1" si="2"/>
        <v>45383</v>
      </c>
      <c r="G1114" s="7"/>
    </row>
    <row r="1115" spans="1:7" x14ac:dyDescent="0.2">
      <c r="A1115" s="3">
        <f ca="1">IFERROR(__xludf.DUMMYFUNCTION("""COMPUTED_VALUE"""),3232)</f>
        <v>3232</v>
      </c>
      <c r="B1115" s="6">
        <f ca="1">IFERROR(__xludf.DUMMYFUNCTION("""COMPUTED_VALUE"""),45394.9401273148)</f>
        <v>45394.940127314803</v>
      </c>
      <c r="C1115" s="3" t="str">
        <f ca="1">IFERROR(__xludf.DUMMYFUNCTION("""COMPUTED_VALUE"""),"purchase")</f>
        <v>purchase</v>
      </c>
      <c r="D1115" s="6">
        <f t="shared" ca="1" si="0"/>
        <v>45394</v>
      </c>
      <c r="E1115" s="6">
        <f t="shared" ca="1" si="1"/>
        <v>45390</v>
      </c>
      <c r="F1115" s="6">
        <f t="shared" ca="1" si="2"/>
        <v>45383</v>
      </c>
      <c r="G1115" s="7"/>
    </row>
    <row r="1116" spans="1:7" x14ac:dyDescent="0.2">
      <c r="A1116" s="3">
        <f ca="1">IFERROR(__xludf.DUMMYFUNCTION("""COMPUTED_VALUE"""),379)</f>
        <v>379</v>
      </c>
      <c r="B1116" s="6">
        <f ca="1">IFERROR(__xludf.DUMMYFUNCTION("""COMPUTED_VALUE"""),45395.1598611111)</f>
        <v>45395.159861111097</v>
      </c>
      <c r="C1116" s="3" t="str">
        <f ca="1">IFERROR(__xludf.DUMMYFUNCTION("""COMPUTED_VALUE"""),"purchase")</f>
        <v>purchase</v>
      </c>
      <c r="D1116" s="6">
        <f t="shared" ca="1" si="0"/>
        <v>45395</v>
      </c>
      <c r="E1116" s="6">
        <f t="shared" ca="1" si="1"/>
        <v>45390</v>
      </c>
      <c r="F1116" s="6">
        <f t="shared" ca="1" si="2"/>
        <v>45383</v>
      </c>
      <c r="G1116" s="7"/>
    </row>
    <row r="1117" spans="1:7" x14ac:dyDescent="0.2">
      <c r="A1117" s="3">
        <f ca="1">IFERROR(__xludf.DUMMYFUNCTION("""COMPUTED_VALUE"""),7903)</f>
        <v>7903</v>
      </c>
      <c r="B1117" s="6">
        <f ca="1">IFERROR(__xludf.DUMMYFUNCTION("""COMPUTED_VALUE"""),45395.1986574074)</f>
        <v>45395.198657407404</v>
      </c>
      <c r="C1117" s="3" t="str">
        <f ca="1">IFERROR(__xludf.DUMMYFUNCTION("""COMPUTED_VALUE"""),"purchase")</f>
        <v>purchase</v>
      </c>
      <c r="D1117" s="6">
        <f t="shared" ca="1" si="0"/>
        <v>45395</v>
      </c>
      <c r="E1117" s="6">
        <f t="shared" ca="1" si="1"/>
        <v>45390</v>
      </c>
      <c r="F1117" s="6">
        <f t="shared" ca="1" si="2"/>
        <v>45383</v>
      </c>
      <c r="G1117" s="7"/>
    </row>
    <row r="1118" spans="1:7" x14ac:dyDescent="0.2">
      <c r="A1118" s="3">
        <f ca="1">IFERROR(__xludf.DUMMYFUNCTION("""COMPUTED_VALUE"""),5549)</f>
        <v>5549</v>
      </c>
      <c r="B1118" s="6">
        <f ca="1">IFERROR(__xludf.DUMMYFUNCTION("""COMPUTED_VALUE"""),45395.2961111111)</f>
        <v>45395.2961111111</v>
      </c>
      <c r="C1118" s="3" t="str">
        <f ca="1">IFERROR(__xludf.DUMMYFUNCTION("""COMPUTED_VALUE"""),"purchase")</f>
        <v>purchase</v>
      </c>
      <c r="D1118" s="6">
        <f t="shared" ca="1" si="0"/>
        <v>45395</v>
      </c>
      <c r="E1118" s="6">
        <f t="shared" ca="1" si="1"/>
        <v>45390</v>
      </c>
      <c r="F1118" s="6">
        <f t="shared" ca="1" si="2"/>
        <v>45383</v>
      </c>
      <c r="G1118" s="7"/>
    </row>
    <row r="1119" spans="1:7" x14ac:dyDescent="0.2">
      <c r="A1119" s="3">
        <f ca="1">IFERROR(__xludf.DUMMYFUNCTION("""COMPUTED_VALUE"""),2457)</f>
        <v>2457</v>
      </c>
      <c r="B1119" s="6">
        <f ca="1">IFERROR(__xludf.DUMMYFUNCTION("""COMPUTED_VALUE"""),45395.3238425925)</f>
        <v>45395.323842592501</v>
      </c>
      <c r="C1119" s="3" t="str">
        <f ca="1">IFERROR(__xludf.DUMMYFUNCTION("""COMPUTED_VALUE"""),"purchase")</f>
        <v>purchase</v>
      </c>
      <c r="D1119" s="6">
        <f t="shared" ca="1" si="0"/>
        <v>45395</v>
      </c>
      <c r="E1119" s="6">
        <f t="shared" ca="1" si="1"/>
        <v>45390</v>
      </c>
      <c r="F1119" s="6">
        <f t="shared" ca="1" si="2"/>
        <v>45383</v>
      </c>
      <c r="G1119" s="7"/>
    </row>
    <row r="1120" spans="1:7" x14ac:dyDescent="0.2">
      <c r="A1120" s="3">
        <f ca="1">IFERROR(__xludf.DUMMYFUNCTION("""COMPUTED_VALUE"""),4657)</f>
        <v>4657</v>
      </c>
      <c r="B1120" s="6">
        <f ca="1">IFERROR(__xludf.DUMMYFUNCTION("""COMPUTED_VALUE"""),45395.8521064814)</f>
        <v>45395.852106481398</v>
      </c>
      <c r="C1120" s="3" t="str">
        <f ca="1">IFERROR(__xludf.DUMMYFUNCTION("""COMPUTED_VALUE"""),"purchase")</f>
        <v>purchase</v>
      </c>
      <c r="D1120" s="6">
        <f t="shared" ca="1" si="0"/>
        <v>45395</v>
      </c>
      <c r="E1120" s="6">
        <f t="shared" ca="1" si="1"/>
        <v>45390</v>
      </c>
      <c r="F1120" s="6">
        <f t="shared" ca="1" si="2"/>
        <v>45383</v>
      </c>
      <c r="G1120" s="7"/>
    </row>
    <row r="1121" spans="1:7" x14ac:dyDescent="0.2">
      <c r="A1121" s="3">
        <f ca="1">IFERROR(__xludf.DUMMYFUNCTION("""COMPUTED_VALUE"""),2573)</f>
        <v>2573</v>
      </c>
      <c r="B1121" s="6">
        <f ca="1">IFERROR(__xludf.DUMMYFUNCTION("""COMPUTED_VALUE"""),45395.9969907407)</f>
        <v>45395.996990740699</v>
      </c>
      <c r="C1121" s="3" t="str">
        <f ca="1">IFERROR(__xludf.DUMMYFUNCTION("""COMPUTED_VALUE"""),"purchase")</f>
        <v>purchase</v>
      </c>
      <c r="D1121" s="6">
        <f t="shared" ca="1" si="0"/>
        <v>45395</v>
      </c>
      <c r="E1121" s="6">
        <f t="shared" ca="1" si="1"/>
        <v>45390</v>
      </c>
      <c r="F1121" s="6">
        <f t="shared" ca="1" si="2"/>
        <v>45383</v>
      </c>
      <c r="G1121" s="7"/>
    </row>
    <row r="1122" spans="1:7" x14ac:dyDescent="0.2">
      <c r="A1122" s="3">
        <f ca="1">IFERROR(__xludf.DUMMYFUNCTION("""COMPUTED_VALUE"""),3239)</f>
        <v>3239</v>
      </c>
      <c r="B1122" s="6">
        <f ca="1">IFERROR(__xludf.DUMMYFUNCTION("""COMPUTED_VALUE"""),45396.0021759259)</f>
        <v>45396.002175925903</v>
      </c>
      <c r="C1122" s="3" t="str">
        <f ca="1">IFERROR(__xludf.DUMMYFUNCTION("""COMPUTED_VALUE"""),"purchase")</f>
        <v>purchase</v>
      </c>
      <c r="D1122" s="6">
        <f t="shared" ca="1" si="0"/>
        <v>45396</v>
      </c>
      <c r="E1122" s="6">
        <f t="shared" ca="1" si="1"/>
        <v>45390</v>
      </c>
      <c r="F1122" s="6">
        <f t="shared" ca="1" si="2"/>
        <v>45383</v>
      </c>
      <c r="G1122" s="7"/>
    </row>
    <row r="1123" spans="1:7" x14ac:dyDescent="0.2">
      <c r="A1123" s="3">
        <f ca="1">IFERROR(__xludf.DUMMYFUNCTION("""COMPUTED_VALUE"""),4627)</f>
        <v>4627</v>
      </c>
      <c r="B1123" s="6">
        <f ca="1">IFERROR(__xludf.DUMMYFUNCTION("""COMPUTED_VALUE"""),45396.0720601851)</f>
        <v>45396.072060185099</v>
      </c>
      <c r="C1123" s="3" t="str">
        <f ca="1">IFERROR(__xludf.DUMMYFUNCTION("""COMPUTED_VALUE"""),"purchase")</f>
        <v>purchase</v>
      </c>
      <c r="D1123" s="6">
        <f t="shared" ca="1" si="0"/>
        <v>45396</v>
      </c>
      <c r="E1123" s="6">
        <f t="shared" ca="1" si="1"/>
        <v>45390</v>
      </c>
      <c r="F1123" s="6">
        <f t="shared" ca="1" si="2"/>
        <v>45383</v>
      </c>
      <c r="G1123" s="7"/>
    </row>
    <row r="1124" spans="1:7" x14ac:dyDescent="0.2">
      <c r="A1124" s="3">
        <f ca="1">IFERROR(__xludf.DUMMYFUNCTION("""COMPUTED_VALUE"""),2084)</f>
        <v>2084</v>
      </c>
      <c r="B1124" s="6">
        <f ca="1">IFERROR(__xludf.DUMMYFUNCTION("""COMPUTED_VALUE"""),45396.1524189814)</f>
        <v>45396.152418981401</v>
      </c>
      <c r="C1124" s="3" t="str">
        <f ca="1">IFERROR(__xludf.DUMMYFUNCTION("""COMPUTED_VALUE"""),"purchase")</f>
        <v>purchase</v>
      </c>
      <c r="D1124" s="6">
        <f t="shared" ca="1" si="0"/>
        <v>45396</v>
      </c>
      <c r="E1124" s="6">
        <f t="shared" ca="1" si="1"/>
        <v>45390</v>
      </c>
      <c r="F1124" s="6">
        <f t="shared" ca="1" si="2"/>
        <v>45383</v>
      </c>
      <c r="G1124" s="7"/>
    </row>
    <row r="1125" spans="1:7" x14ac:dyDescent="0.2">
      <c r="A1125" s="3">
        <f ca="1">IFERROR(__xludf.DUMMYFUNCTION("""COMPUTED_VALUE"""),5741)</f>
        <v>5741</v>
      </c>
      <c r="B1125" s="6">
        <f ca="1">IFERROR(__xludf.DUMMYFUNCTION("""COMPUTED_VALUE"""),45396.2196527777)</f>
        <v>45396.219652777698</v>
      </c>
      <c r="C1125" s="3" t="str">
        <f ca="1">IFERROR(__xludf.DUMMYFUNCTION("""COMPUTED_VALUE"""),"purchase")</f>
        <v>purchase</v>
      </c>
      <c r="D1125" s="6">
        <f t="shared" ca="1" si="0"/>
        <v>45396</v>
      </c>
      <c r="E1125" s="6">
        <f t="shared" ca="1" si="1"/>
        <v>45390</v>
      </c>
      <c r="F1125" s="6">
        <f t="shared" ca="1" si="2"/>
        <v>45383</v>
      </c>
      <c r="G1125" s="7"/>
    </row>
    <row r="1126" spans="1:7" x14ac:dyDescent="0.2">
      <c r="A1126" s="3">
        <f ca="1">IFERROR(__xludf.DUMMYFUNCTION("""COMPUTED_VALUE"""),5783)</f>
        <v>5783</v>
      </c>
      <c r="B1126" s="6">
        <f ca="1">IFERROR(__xludf.DUMMYFUNCTION("""COMPUTED_VALUE"""),45396.2640856481)</f>
        <v>45396.264085648101</v>
      </c>
      <c r="C1126" s="3" t="str">
        <f ca="1">IFERROR(__xludf.DUMMYFUNCTION("""COMPUTED_VALUE"""),"purchase")</f>
        <v>purchase</v>
      </c>
      <c r="D1126" s="6">
        <f t="shared" ca="1" si="0"/>
        <v>45396</v>
      </c>
      <c r="E1126" s="6">
        <f t="shared" ca="1" si="1"/>
        <v>45390</v>
      </c>
      <c r="F1126" s="6">
        <f t="shared" ca="1" si="2"/>
        <v>45383</v>
      </c>
      <c r="G1126" s="7"/>
    </row>
    <row r="1127" spans="1:7" x14ac:dyDescent="0.2">
      <c r="A1127" s="3">
        <f ca="1">IFERROR(__xludf.DUMMYFUNCTION("""COMPUTED_VALUE"""),4582)</f>
        <v>4582</v>
      </c>
      <c r="B1127" s="6">
        <f ca="1">IFERROR(__xludf.DUMMYFUNCTION("""COMPUTED_VALUE"""),45396.3134606481)</f>
        <v>45396.313460648104</v>
      </c>
      <c r="C1127" s="3" t="str">
        <f ca="1">IFERROR(__xludf.DUMMYFUNCTION("""COMPUTED_VALUE"""),"purchase")</f>
        <v>purchase</v>
      </c>
      <c r="D1127" s="6">
        <f t="shared" ca="1" si="0"/>
        <v>45396</v>
      </c>
      <c r="E1127" s="6">
        <f t="shared" ca="1" si="1"/>
        <v>45390</v>
      </c>
      <c r="F1127" s="6">
        <f t="shared" ca="1" si="2"/>
        <v>45383</v>
      </c>
      <c r="G1127" s="7"/>
    </row>
    <row r="1128" spans="1:7" x14ac:dyDescent="0.2">
      <c r="A1128" s="3">
        <f ca="1">IFERROR(__xludf.DUMMYFUNCTION("""COMPUTED_VALUE"""),6229)</f>
        <v>6229</v>
      </c>
      <c r="B1128" s="6">
        <f ca="1">IFERROR(__xludf.DUMMYFUNCTION("""COMPUTED_VALUE"""),45396.49125)</f>
        <v>45396.491249999999</v>
      </c>
      <c r="C1128" s="3" t="str">
        <f ca="1">IFERROR(__xludf.DUMMYFUNCTION("""COMPUTED_VALUE"""),"purchase")</f>
        <v>purchase</v>
      </c>
      <c r="D1128" s="6">
        <f t="shared" ca="1" si="0"/>
        <v>45396</v>
      </c>
      <c r="E1128" s="6">
        <f t="shared" ca="1" si="1"/>
        <v>45390</v>
      </c>
      <c r="F1128" s="6">
        <f t="shared" ca="1" si="2"/>
        <v>45383</v>
      </c>
      <c r="G1128" s="7"/>
    </row>
    <row r="1129" spans="1:7" x14ac:dyDescent="0.2">
      <c r="A1129" s="3">
        <f ca="1">IFERROR(__xludf.DUMMYFUNCTION("""COMPUTED_VALUE"""),132)</f>
        <v>132</v>
      </c>
      <c r="B1129" s="6">
        <f ca="1">IFERROR(__xludf.DUMMYFUNCTION("""COMPUTED_VALUE"""),45396.7395949074)</f>
        <v>45396.739594907398</v>
      </c>
      <c r="C1129" s="3" t="str">
        <f ca="1">IFERROR(__xludf.DUMMYFUNCTION("""COMPUTED_VALUE"""),"purchase")</f>
        <v>purchase</v>
      </c>
      <c r="D1129" s="6">
        <f t="shared" ca="1" si="0"/>
        <v>45396</v>
      </c>
      <c r="E1129" s="6">
        <f t="shared" ca="1" si="1"/>
        <v>45390</v>
      </c>
      <c r="F1129" s="6">
        <f t="shared" ca="1" si="2"/>
        <v>45383</v>
      </c>
      <c r="G1129" s="7"/>
    </row>
    <row r="1130" spans="1:7" x14ac:dyDescent="0.2">
      <c r="A1130" s="3">
        <f ca="1">IFERROR(__xludf.DUMMYFUNCTION("""COMPUTED_VALUE"""),7255)</f>
        <v>7255</v>
      </c>
      <c r="B1130" s="6">
        <f ca="1">IFERROR(__xludf.DUMMYFUNCTION("""COMPUTED_VALUE"""),45396.7821759259)</f>
        <v>45396.782175925902</v>
      </c>
      <c r="C1130" s="3" t="str">
        <f ca="1">IFERROR(__xludf.DUMMYFUNCTION("""COMPUTED_VALUE"""),"purchase")</f>
        <v>purchase</v>
      </c>
      <c r="D1130" s="6">
        <f t="shared" ca="1" si="0"/>
        <v>45396</v>
      </c>
      <c r="E1130" s="6">
        <f t="shared" ca="1" si="1"/>
        <v>45390</v>
      </c>
      <c r="F1130" s="6">
        <f t="shared" ca="1" si="2"/>
        <v>45383</v>
      </c>
      <c r="G1130" s="7"/>
    </row>
    <row r="1131" spans="1:7" x14ac:dyDescent="0.2">
      <c r="A1131" s="3">
        <f ca="1">IFERROR(__xludf.DUMMYFUNCTION("""COMPUTED_VALUE"""),5398)</f>
        <v>5398</v>
      </c>
      <c r="B1131" s="6">
        <f ca="1">IFERROR(__xludf.DUMMYFUNCTION("""COMPUTED_VALUE"""),45396.8132407407)</f>
        <v>45396.813240740703</v>
      </c>
      <c r="C1131" s="3" t="str">
        <f ca="1">IFERROR(__xludf.DUMMYFUNCTION("""COMPUTED_VALUE"""),"purchase")</f>
        <v>purchase</v>
      </c>
      <c r="D1131" s="6">
        <f t="shared" ca="1" si="0"/>
        <v>45396</v>
      </c>
      <c r="E1131" s="6">
        <f t="shared" ca="1" si="1"/>
        <v>45390</v>
      </c>
      <c r="F1131" s="6">
        <f t="shared" ca="1" si="2"/>
        <v>45383</v>
      </c>
      <c r="G1131" s="7"/>
    </row>
    <row r="1132" spans="1:7" x14ac:dyDescent="0.2">
      <c r="A1132" s="3">
        <f ca="1">IFERROR(__xludf.DUMMYFUNCTION("""COMPUTED_VALUE"""),2349)</f>
        <v>2349</v>
      </c>
      <c r="B1132" s="6">
        <f ca="1">IFERROR(__xludf.DUMMYFUNCTION("""COMPUTED_VALUE"""),45396.8617129629)</f>
        <v>45396.861712962898</v>
      </c>
      <c r="C1132" s="3" t="str">
        <f ca="1">IFERROR(__xludf.DUMMYFUNCTION("""COMPUTED_VALUE"""),"purchase")</f>
        <v>purchase</v>
      </c>
      <c r="D1132" s="6">
        <f t="shared" ca="1" si="0"/>
        <v>45396</v>
      </c>
      <c r="E1132" s="6">
        <f t="shared" ca="1" si="1"/>
        <v>45390</v>
      </c>
      <c r="F1132" s="6">
        <f t="shared" ca="1" si="2"/>
        <v>45383</v>
      </c>
      <c r="G1132" s="7"/>
    </row>
    <row r="1133" spans="1:7" x14ac:dyDescent="0.2">
      <c r="A1133" s="3">
        <f ca="1">IFERROR(__xludf.DUMMYFUNCTION("""COMPUTED_VALUE"""),625)</f>
        <v>625</v>
      </c>
      <c r="B1133" s="6">
        <f ca="1">IFERROR(__xludf.DUMMYFUNCTION("""COMPUTED_VALUE"""),45396.8706712962)</f>
        <v>45396.870671296201</v>
      </c>
      <c r="C1133" s="3" t="str">
        <f ca="1">IFERROR(__xludf.DUMMYFUNCTION("""COMPUTED_VALUE"""),"purchase")</f>
        <v>purchase</v>
      </c>
      <c r="D1133" s="6">
        <f t="shared" ca="1" si="0"/>
        <v>45396</v>
      </c>
      <c r="E1133" s="6">
        <f t="shared" ca="1" si="1"/>
        <v>45390</v>
      </c>
      <c r="F1133" s="6">
        <f t="shared" ca="1" si="2"/>
        <v>45383</v>
      </c>
      <c r="G1133" s="7"/>
    </row>
    <row r="1134" spans="1:7" x14ac:dyDescent="0.2">
      <c r="A1134" s="3">
        <f ca="1">IFERROR(__xludf.DUMMYFUNCTION("""COMPUTED_VALUE"""),4846)</f>
        <v>4846</v>
      </c>
      <c r="B1134" s="6">
        <f ca="1">IFERROR(__xludf.DUMMYFUNCTION("""COMPUTED_VALUE"""),45396.9340277777)</f>
        <v>45396.934027777701</v>
      </c>
      <c r="C1134" s="3" t="str">
        <f ca="1">IFERROR(__xludf.DUMMYFUNCTION("""COMPUTED_VALUE"""),"purchase")</f>
        <v>purchase</v>
      </c>
      <c r="D1134" s="6">
        <f t="shared" ca="1" si="0"/>
        <v>45396</v>
      </c>
      <c r="E1134" s="6">
        <f t="shared" ca="1" si="1"/>
        <v>45390</v>
      </c>
      <c r="F1134" s="6">
        <f t="shared" ca="1" si="2"/>
        <v>45383</v>
      </c>
      <c r="G1134" s="7"/>
    </row>
    <row r="1135" spans="1:7" x14ac:dyDescent="0.2">
      <c r="A1135" s="3">
        <f ca="1">IFERROR(__xludf.DUMMYFUNCTION("""COMPUTED_VALUE"""),217)</f>
        <v>217</v>
      </c>
      <c r="B1135" s="6">
        <f ca="1">IFERROR(__xludf.DUMMYFUNCTION("""COMPUTED_VALUE"""),45396.9440972222)</f>
        <v>45396.9440972222</v>
      </c>
      <c r="C1135" s="3" t="str">
        <f ca="1">IFERROR(__xludf.DUMMYFUNCTION("""COMPUTED_VALUE"""),"purchase")</f>
        <v>purchase</v>
      </c>
      <c r="D1135" s="6">
        <f t="shared" ca="1" si="0"/>
        <v>45396</v>
      </c>
      <c r="E1135" s="6">
        <f t="shared" ca="1" si="1"/>
        <v>45390</v>
      </c>
      <c r="F1135" s="6">
        <f t="shared" ca="1" si="2"/>
        <v>45383</v>
      </c>
      <c r="G1135" s="7"/>
    </row>
    <row r="1136" spans="1:7" x14ac:dyDescent="0.2">
      <c r="A1136" s="3">
        <f ca="1">IFERROR(__xludf.DUMMYFUNCTION("""COMPUTED_VALUE"""),229)</f>
        <v>229</v>
      </c>
      <c r="B1136" s="6">
        <f ca="1">IFERROR(__xludf.DUMMYFUNCTION("""COMPUTED_VALUE"""),45397.0148842592)</f>
        <v>45397.014884259203</v>
      </c>
      <c r="C1136" s="3" t="str">
        <f ca="1">IFERROR(__xludf.DUMMYFUNCTION("""COMPUTED_VALUE"""),"purchase")</f>
        <v>purchase</v>
      </c>
      <c r="D1136" s="6">
        <f t="shared" ca="1" si="0"/>
        <v>45397</v>
      </c>
      <c r="E1136" s="6">
        <f t="shared" ca="1" si="1"/>
        <v>45397</v>
      </c>
      <c r="F1136" s="6">
        <f t="shared" ca="1" si="2"/>
        <v>45383</v>
      </c>
      <c r="G1136" s="7"/>
    </row>
    <row r="1137" spans="1:7" x14ac:dyDescent="0.2">
      <c r="A1137" s="3">
        <f ca="1">IFERROR(__xludf.DUMMYFUNCTION("""COMPUTED_VALUE"""),2749)</f>
        <v>2749</v>
      </c>
      <c r="B1137" s="6">
        <f ca="1">IFERROR(__xludf.DUMMYFUNCTION("""COMPUTED_VALUE"""),45397.0435763888)</f>
        <v>45397.043576388802</v>
      </c>
      <c r="C1137" s="3" t="str">
        <f ca="1">IFERROR(__xludf.DUMMYFUNCTION("""COMPUTED_VALUE"""),"purchase")</f>
        <v>purchase</v>
      </c>
      <c r="D1137" s="6">
        <f t="shared" ca="1" si="0"/>
        <v>45397</v>
      </c>
      <c r="E1137" s="6">
        <f t="shared" ca="1" si="1"/>
        <v>45397</v>
      </c>
      <c r="F1137" s="6">
        <f t="shared" ca="1" si="2"/>
        <v>45383</v>
      </c>
      <c r="G1137" s="7"/>
    </row>
    <row r="1138" spans="1:7" x14ac:dyDescent="0.2">
      <c r="A1138" s="3">
        <f ca="1">IFERROR(__xludf.DUMMYFUNCTION("""COMPUTED_VALUE"""),5286)</f>
        <v>5286</v>
      </c>
      <c r="B1138" s="6">
        <f ca="1">IFERROR(__xludf.DUMMYFUNCTION("""COMPUTED_VALUE"""),45397.0524884259)</f>
        <v>45397.052488425899</v>
      </c>
      <c r="C1138" s="3" t="str">
        <f ca="1">IFERROR(__xludf.DUMMYFUNCTION("""COMPUTED_VALUE"""),"purchase")</f>
        <v>purchase</v>
      </c>
      <c r="D1138" s="6">
        <f t="shared" ca="1" si="0"/>
        <v>45397</v>
      </c>
      <c r="E1138" s="6">
        <f t="shared" ca="1" si="1"/>
        <v>45397</v>
      </c>
      <c r="F1138" s="6">
        <f t="shared" ca="1" si="2"/>
        <v>45383</v>
      </c>
      <c r="G1138" s="7"/>
    </row>
    <row r="1139" spans="1:7" x14ac:dyDescent="0.2">
      <c r="A1139" s="3">
        <f ca="1">IFERROR(__xludf.DUMMYFUNCTION("""COMPUTED_VALUE"""),7923)</f>
        <v>7923</v>
      </c>
      <c r="B1139" s="6">
        <f ca="1">IFERROR(__xludf.DUMMYFUNCTION("""COMPUTED_VALUE"""),45397.5155208333)</f>
        <v>45397.515520833302</v>
      </c>
      <c r="C1139" s="3" t="str">
        <f ca="1">IFERROR(__xludf.DUMMYFUNCTION("""COMPUTED_VALUE"""),"purchase")</f>
        <v>purchase</v>
      </c>
      <c r="D1139" s="6">
        <f t="shared" ca="1" si="0"/>
        <v>45397</v>
      </c>
      <c r="E1139" s="6">
        <f t="shared" ca="1" si="1"/>
        <v>45397</v>
      </c>
      <c r="F1139" s="6">
        <f t="shared" ca="1" si="2"/>
        <v>45383</v>
      </c>
      <c r="G1139" s="7"/>
    </row>
    <row r="1140" spans="1:7" x14ac:dyDescent="0.2">
      <c r="A1140" s="3">
        <f ca="1">IFERROR(__xludf.DUMMYFUNCTION("""COMPUTED_VALUE"""),1200)</f>
        <v>1200</v>
      </c>
      <c r="B1140" s="6">
        <f ca="1">IFERROR(__xludf.DUMMYFUNCTION("""COMPUTED_VALUE"""),45397.5345949074)</f>
        <v>45397.534594907404</v>
      </c>
      <c r="C1140" s="3" t="str">
        <f ca="1">IFERROR(__xludf.DUMMYFUNCTION("""COMPUTED_VALUE"""),"purchase")</f>
        <v>purchase</v>
      </c>
      <c r="D1140" s="6">
        <f t="shared" ca="1" si="0"/>
        <v>45397</v>
      </c>
      <c r="E1140" s="6">
        <f t="shared" ca="1" si="1"/>
        <v>45397</v>
      </c>
      <c r="F1140" s="6">
        <f t="shared" ca="1" si="2"/>
        <v>45383</v>
      </c>
      <c r="G1140" s="7"/>
    </row>
    <row r="1141" spans="1:7" x14ac:dyDescent="0.2">
      <c r="A1141" s="3">
        <f ca="1">IFERROR(__xludf.DUMMYFUNCTION("""COMPUTED_VALUE"""),2555)</f>
        <v>2555</v>
      </c>
      <c r="B1141" s="6">
        <f ca="1">IFERROR(__xludf.DUMMYFUNCTION("""COMPUTED_VALUE"""),45397.7866435185)</f>
        <v>45397.786643518499</v>
      </c>
      <c r="C1141" s="3" t="str">
        <f ca="1">IFERROR(__xludf.DUMMYFUNCTION("""COMPUTED_VALUE"""),"purchase")</f>
        <v>purchase</v>
      </c>
      <c r="D1141" s="6">
        <f t="shared" ca="1" si="0"/>
        <v>45397</v>
      </c>
      <c r="E1141" s="6">
        <f t="shared" ca="1" si="1"/>
        <v>45397</v>
      </c>
      <c r="F1141" s="6">
        <f t="shared" ca="1" si="2"/>
        <v>45383</v>
      </c>
      <c r="G1141" s="7"/>
    </row>
    <row r="1142" spans="1:7" x14ac:dyDescent="0.2">
      <c r="A1142" s="3">
        <f ca="1">IFERROR(__xludf.DUMMYFUNCTION("""COMPUTED_VALUE"""),4514)</f>
        <v>4514</v>
      </c>
      <c r="B1142" s="6">
        <f ca="1">IFERROR(__xludf.DUMMYFUNCTION("""COMPUTED_VALUE"""),45397.8328587963)</f>
        <v>45397.832858796297</v>
      </c>
      <c r="C1142" s="3" t="str">
        <f ca="1">IFERROR(__xludf.DUMMYFUNCTION("""COMPUTED_VALUE"""),"purchase")</f>
        <v>purchase</v>
      </c>
      <c r="D1142" s="6">
        <f t="shared" ca="1" si="0"/>
        <v>45397</v>
      </c>
      <c r="E1142" s="6">
        <f t="shared" ca="1" si="1"/>
        <v>45397</v>
      </c>
      <c r="F1142" s="6">
        <f t="shared" ca="1" si="2"/>
        <v>45383</v>
      </c>
      <c r="G1142" s="7"/>
    </row>
    <row r="1143" spans="1:7" x14ac:dyDescent="0.2">
      <c r="A1143" s="3">
        <f ca="1">IFERROR(__xludf.DUMMYFUNCTION("""COMPUTED_VALUE"""),4943)</f>
        <v>4943</v>
      </c>
      <c r="B1143" s="6">
        <f ca="1">IFERROR(__xludf.DUMMYFUNCTION("""COMPUTED_VALUE"""),45397.9448379629)</f>
        <v>45397.944837962903</v>
      </c>
      <c r="C1143" s="3" t="str">
        <f ca="1">IFERROR(__xludf.DUMMYFUNCTION("""COMPUTED_VALUE"""),"purchase")</f>
        <v>purchase</v>
      </c>
      <c r="D1143" s="6">
        <f t="shared" ca="1" si="0"/>
        <v>45397</v>
      </c>
      <c r="E1143" s="6">
        <f t="shared" ca="1" si="1"/>
        <v>45397</v>
      </c>
      <c r="F1143" s="6">
        <f t="shared" ca="1" si="2"/>
        <v>45383</v>
      </c>
      <c r="G1143" s="7"/>
    </row>
    <row r="1144" spans="1:7" x14ac:dyDescent="0.2">
      <c r="A1144" s="3">
        <f ca="1">IFERROR(__xludf.DUMMYFUNCTION("""COMPUTED_VALUE"""),32)</f>
        <v>32</v>
      </c>
      <c r="B1144" s="6">
        <f ca="1">IFERROR(__xludf.DUMMYFUNCTION("""COMPUTED_VALUE"""),45397.9528125)</f>
        <v>45397.9528125</v>
      </c>
      <c r="C1144" s="3" t="str">
        <f ca="1">IFERROR(__xludf.DUMMYFUNCTION("""COMPUTED_VALUE"""),"purchase")</f>
        <v>purchase</v>
      </c>
      <c r="D1144" s="6">
        <f t="shared" ca="1" si="0"/>
        <v>45397</v>
      </c>
      <c r="E1144" s="6">
        <f t="shared" ca="1" si="1"/>
        <v>45397</v>
      </c>
      <c r="F1144" s="6">
        <f t="shared" ca="1" si="2"/>
        <v>45383</v>
      </c>
      <c r="G1144" s="7"/>
    </row>
    <row r="1145" spans="1:7" x14ac:dyDescent="0.2">
      <c r="A1145" s="3">
        <f ca="1">IFERROR(__xludf.DUMMYFUNCTION("""COMPUTED_VALUE"""),5445)</f>
        <v>5445</v>
      </c>
      <c r="B1145" s="6">
        <f ca="1">IFERROR(__xludf.DUMMYFUNCTION("""COMPUTED_VALUE"""),45398.1726504629)</f>
        <v>45398.172650462897</v>
      </c>
      <c r="C1145" s="3" t="str">
        <f ca="1">IFERROR(__xludf.DUMMYFUNCTION("""COMPUTED_VALUE"""),"purchase")</f>
        <v>purchase</v>
      </c>
      <c r="D1145" s="6">
        <f t="shared" ca="1" si="0"/>
        <v>45398</v>
      </c>
      <c r="E1145" s="6">
        <f t="shared" ca="1" si="1"/>
        <v>45397</v>
      </c>
      <c r="F1145" s="6">
        <f t="shared" ca="1" si="2"/>
        <v>45383</v>
      </c>
      <c r="G1145" s="7"/>
    </row>
    <row r="1146" spans="1:7" x14ac:dyDescent="0.2">
      <c r="A1146" s="3">
        <f ca="1">IFERROR(__xludf.DUMMYFUNCTION("""COMPUTED_VALUE"""),6516)</f>
        <v>6516</v>
      </c>
      <c r="B1146" s="6">
        <f ca="1">IFERROR(__xludf.DUMMYFUNCTION("""COMPUTED_VALUE"""),45398.2336574074)</f>
        <v>45398.2336574074</v>
      </c>
      <c r="C1146" s="3" t="str">
        <f ca="1">IFERROR(__xludf.DUMMYFUNCTION("""COMPUTED_VALUE"""),"purchase")</f>
        <v>purchase</v>
      </c>
      <c r="D1146" s="6">
        <f t="shared" ca="1" si="0"/>
        <v>45398</v>
      </c>
      <c r="E1146" s="6">
        <f t="shared" ca="1" si="1"/>
        <v>45397</v>
      </c>
      <c r="F1146" s="6">
        <f t="shared" ca="1" si="2"/>
        <v>45383</v>
      </c>
      <c r="G1146" s="7"/>
    </row>
    <row r="1147" spans="1:7" x14ac:dyDescent="0.2">
      <c r="A1147" s="3">
        <f ca="1">IFERROR(__xludf.DUMMYFUNCTION("""COMPUTED_VALUE"""),3249)</f>
        <v>3249</v>
      </c>
      <c r="B1147" s="6">
        <f ca="1">IFERROR(__xludf.DUMMYFUNCTION("""COMPUTED_VALUE"""),45398.4017824074)</f>
        <v>45398.401782407404</v>
      </c>
      <c r="C1147" s="3" t="str">
        <f ca="1">IFERROR(__xludf.DUMMYFUNCTION("""COMPUTED_VALUE"""),"purchase")</f>
        <v>purchase</v>
      </c>
      <c r="D1147" s="6">
        <f t="shared" ca="1" si="0"/>
        <v>45398</v>
      </c>
      <c r="E1147" s="6">
        <f t="shared" ca="1" si="1"/>
        <v>45397</v>
      </c>
      <c r="F1147" s="6">
        <f t="shared" ca="1" si="2"/>
        <v>45383</v>
      </c>
      <c r="G1147" s="7"/>
    </row>
    <row r="1148" spans="1:7" x14ac:dyDescent="0.2">
      <c r="A1148" s="3">
        <f ca="1">IFERROR(__xludf.DUMMYFUNCTION("""COMPUTED_VALUE"""),3335)</f>
        <v>3335</v>
      </c>
      <c r="B1148" s="6">
        <f ca="1">IFERROR(__xludf.DUMMYFUNCTION("""COMPUTED_VALUE"""),45398.4614814814)</f>
        <v>45398.461481481398</v>
      </c>
      <c r="C1148" s="3" t="str">
        <f ca="1">IFERROR(__xludf.DUMMYFUNCTION("""COMPUTED_VALUE"""),"purchase")</f>
        <v>purchase</v>
      </c>
      <c r="D1148" s="6">
        <f t="shared" ca="1" si="0"/>
        <v>45398</v>
      </c>
      <c r="E1148" s="6">
        <f t="shared" ca="1" si="1"/>
        <v>45397</v>
      </c>
      <c r="F1148" s="6">
        <f t="shared" ca="1" si="2"/>
        <v>45383</v>
      </c>
      <c r="G1148" s="7"/>
    </row>
    <row r="1149" spans="1:7" x14ac:dyDescent="0.2">
      <c r="A1149" s="3">
        <f ca="1">IFERROR(__xludf.DUMMYFUNCTION("""COMPUTED_VALUE"""),1150)</f>
        <v>1150</v>
      </c>
      <c r="B1149" s="6">
        <f ca="1">IFERROR(__xludf.DUMMYFUNCTION("""COMPUTED_VALUE"""),45398.5065856481)</f>
        <v>45398.506585648101</v>
      </c>
      <c r="C1149" s="3" t="str">
        <f ca="1">IFERROR(__xludf.DUMMYFUNCTION("""COMPUTED_VALUE"""),"purchase")</f>
        <v>purchase</v>
      </c>
      <c r="D1149" s="6">
        <f t="shared" ca="1" si="0"/>
        <v>45398</v>
      </c>
      <c r="E1149" s="6">
        <f t="shared" ca="1" si="1"/>
        <v>45397</v>
      </c>
      <c r="F1149" s="6">
        <f t="shared" ca="1" si="2"/>
        <v>45383</v>
      </c>
      <c r="G1149" s="7"/>
    </row>
    <row r="1150" spans="1:7" x14ac:dyDescent="0.2">
      <c r="A1150" s="3">
        <f ca="1">IFERROR(__xludf.DUMMYFUNCTION("""COMPUTED_VALUE"""),382)</f>
        <v>382</v>
      </c>
      <c r="B1150" s="6">
        <f ca="1">IFERROR(__xludf.DUMMYFUNCTION("""COMPUTED_VALUE"""),45398.5537152777)</f>
        <v>45398.553715277703</v>
      </c>
      <c r="C1150" s="3" t="str">
        <f ca="1">IFERROR(__xludf.DUMMYFUNCTION("""COMPUTED_VALUE"""),"purchase")</f>
        <v>purchase</v>
      </c>
      <c r="D1150" s="6">
        <f t="shared" ca="1" si="0"/>
        <v>45398</v>
      </c>
      <c r="E1150" s="6">
        <f t="shared" ca="1" si="1"/>
        <v>45397</v>
      </c>
      <c r="F1150" s="6">
        <f t="shared" ca="1" si="2"/>
        <v>45383</v>
      </c>
      <c r="G1150" s="7"/>
    </row>
    <row r="1151" spans="1:7" x14ac:dyDescent="0.2">
      <c r="A1151" s="3">
        <f ca="1">IFERROR(__xludf.DUMMYFUNCTION("""COMPUTED_VALUE"""),3743)</f>
        <v>3743</v>
      </c>
      <c r="B1151" s="6">
        <f ca="1">IFERROR(__xludf.DUMMYFUNCTION("""COMPUTED_VALUE"""),45398.6811805555)</f>
        <v>45398.681180555497</v>
      </c>
      <c r="C1151" s="3" t="str">
        <f ca="1">IFERROR(__xludf.DUMMYFUNCTION("""COMPUTED_VALUE"""),"purchase")</f>
        <v>purchase</v>
      </c>
      <c r="D1151" s="6">
        <f t="shared" ca="1" si="0"/>
        <v>45398</v>
      </c>
      <c r="E1151" s="6">
        <f t="shared" ca="1" si="1"/>
        <v>45397</v>
      </c>
      <c r="F1151" s="6">
        <f t="shared" ca="1" si="2"/>
        <v>45383</v>
      </c>
      <c r="G1151" s="7"/>
    </row>
    <row r="1152" spans="1:7" x14ac:dyDescent="0.2">
      <c r="A1152" s="3">
        <f ca="1">IFERROR(__xludf.DUMMYFUNCTION("""COMPUTED_VALUE"""),3127)</f>
        <v>3127</v>
      </c>
      <c r="B1152" s="6">
        <f ca="1">IFERROR(__xludf.DUMMYFUNCTION("""COMPUTED_VALUE"""),45399.0329166666)</f>
        <v>45399.032916666598</v>
      </c>
      <c r="C1152" s="3" t="str">
        <f ca="1">IFERROR(__xludf.DUMMYFUNCTION("""COMPUTED_VALUE"""),"purchase")</f>
        <v>purchase</v>
      </c>
      <c r="D1152" s="6">
        <f t="shared" ca="1" si="0"/>
        <v>45399</v>
      </c>
      <c r="E1152" s="6">
        <f t="shared" ca="1" si="1"/>
        <v>45397</v>
      </c>
      <c r="F1152" s="6">
        <f t="shared" ca="1" si="2"/>
        <v>45383</v>
      </c>
      <c r="G1152" s="7"/>
    </row>
    <row r="1153" spans="1:7" x14ac:dyDescent="0.2">
      <c r="A1153" s="3">
        <f ca="1">IFERROR(__xludf.DUMMYFUNCTION("""COMPUTED_VALUE"""),4962)</f>
        <v>4962</v>
      </c>
      <c r="B1153" s="6">
        <f ca="1">IFERROR(__xludf.DUMMYFUNCTION("""COMPUTED_VALUE"""),45399.0679976851)</f>
        <v>45399.067997685102</v>
      </c>
      <c r="C1153" s="3" t="str">
        <f ca="1">IFERROR(__xludf.DUMMYFUNCTION("""COMPUTED_VALUE"""),"purchase")</f>
        <v>purchase</v>
      </c>
      <c r="D1153" s="6">
        <f t="shared" ca="1" si="0"/>
        <v>45399</v>
      </c>
      <c r="E1153" s="6">
        <f t="shared" ca="1" si="1"/>
        <v>45397</v>
      </c>
      <c r="F1153" s="6">
        <f t="shared" ca="1" si="2"/>
        <v>45383</v>
      </c>
      <c r="G1153" s="7"/>
    </row>
    <row r="1154" spans="1:7" x14ac:dyDescent="0.2">
      <c r="A1154" s="3">
        <f ca="1">IFERROR(__xludf.DUMMYFUNCTION("""COMPUTED_VALUE"""),3940)</f>
        <v>3940</v>
      </c>
      <c r="B1154" s="6">
        <f ca="1">IFERROR(__xludf.DUMMYFUNCTION("""COMPUTED_VALUE"""),45399.0842708333)</f>
        <v>45399.0842708333</v>
      </c>
      <c r="C1154" s="3" t="str">
        <f ca="1">IFERROR(__xludf.DUMMYFUNCTION("""COMPUTED_VALUE"""),"purchase")</f>
        <v>purchase</v>
      </c>
      <c r="D1154" s="6">
        <f t="shared" ca="1" si="0"/>
        <v>45399</v>
      </c>
      <c r="E1154" s="6">
        <f t="shared" ca="1" si="1"/>
        <v>45397</v>
      </c>
      <c r="F1154" s="6">
        <f t="shared" ca="1" si="2"/>
        <v>45383</v>
      </c>
      <c r="G1154" s="7"/>
    </row>
    <row r="1155" spans="1:7" x14ac:dyDescent="0.2">
      <c r="A1155" s="3">
        <f ca="1">IFERROR(__xludf.DUMMYFUNCTION("""COMPUTED_VALUE"""),1035)</f>
        <v>1035</v>
      </c>
      <c r="B1155" s="6">
        <f ca="1">IFERROR(__xludf.DUMMYFUNCTION("""COMPUTED_VALUE"""),45399.1601851851)</f>
        <v>45399.160185185101</v>
      </c>
      <c r="C1155" s="3" t="str">
        <f ca="1">IFERROR(__xludf.DUMMYFUNCTION("""COMPUTED_VALUE"""),"purchase")</f>
        <v>purchase</v>
      </c>
      <c r="D1155" s="6">
        <f t="shared" ca="1" si="0"/>
        <v>45399</v>
      </c>
      <c r="E1155" s="6">
        <f t="shared" ca="1" si="1"/>
        <v>45397</v>
      </c>
      <c r="F1155" s="6">
        <f t="shared" ca="1" si="2"/>
        <v>45383</v>
      </c>
      <c r="G1155" s="7"/>
    </row>
    <row r="1156" spans="1:7" x14ac:dyDescent="0.2">
      <c r="A1156" s="3">
        <f ca="1">IFERROR(__xludf.DUMMYFUNCTION("""COMPUTED_VALUE"""),1776)</f>
        <v>1776</v>
      </c>
      <c r="B1156" s="6">
        <f ca="1">IFERROR(__xludf.DUMMYFUNCTION("""COMPUTED_VALUE"""),45399.2353703703)</f>
        <v>45399.235370370297</v>
      </c>
      <c r="C1156" s="3" t="str">
        <f ca="1">IFERROR(__xludf.DUMMYFUNCTION("""COMPUTED_VALUE"""),"purchase")</f>
        <v>purchase</v>
      </c>
      <c r="D1156" s="6">
        <f t="shared" ca="1" si="0"/>
        <v>45399</v>
      </c>
      <c r="E1156" s="6">
        <f t="shared" ca="1" si="1"/>
        <v>45397</v>
      </c>
      <c r="F1156" s="6">
        <f t="shared" ca="1" si="2"/>
        <v>45383</v>
      </c>
      <c r="G1156" s="7"/>
    </row>
    <row r="1157" spans="1:7" x14ac:dyDescent="0.2">
      <c r="A1157" s="3">
        <f ca="1">IFERROR(__xludf.DUMMYFUNCTION("""COMPUTED_VALUE"""),4337)</f>
        <v>4337</v>
      </c>
      <c r="B1157" s="6">
        <f ca="1">IFERROR(__xludf.DUMMYFUNCTION("""COMPUTED_VALUE"""),45399.238287037)</f>
        <v>45399.238287036998</v>
      </c>
      <c r="C1157" s="3" t="str">
        <f ca="1">IFERROR(__xludf.DUMMYFUNCTION("""COMPUTED_VALUE"""),"purchase")</f>
        <v>purchase</v>
      </c>
      <c r="D1157" s="6">
        <f t="shared" ca="1" si="0"/>
        <v>45399</v>
      </c>
      <c r="E1157" s="6">
        <f t="shared" ca="1" si="1"/>
        <v>45397</v>
      </c>
      <c r="F1157" s="6">
        <f t="shared" ca="1" si="2"/>
        <v>45383</v>
      </c>
      <c r="G1157" s="7"/>
    </row>
    <row r="1158" spans="1:7" x14ac:dyDescent="0.2">
      <c r="A1158" s="3">
        <f ca="1">IFERROR(__xludf.DUMMYFUNCTION("""COMPUTED_VALUE"""),5282)</f>
        <v>5282</v>
      </c>
      <c r="B1158" s="6">
        <f ca="1">IFERROR(__xludf.DUMMYFUNCTION("""COMPUTED_VALUE"""),45399.2781597222)</f>
        <v>45399.278159722198</v>
      </c>
      <c r="C1158" s="3" t="str">
        <f ca="1">IFERROR(__xludf.DUMMYFUNCTION("""COMPUTED_VALUE"""),"purchase")</f>
        <v>purchase</v>
      </c>
      <c r="D1158" s="6">
        <f t="shared" ca="1" si="0"/>
        <v>45399</v>
      </c>
      <c r="E1158" s="6">
        <f t="shared" ca="1" si="1"/>
        <v>45397</v>
      </c>
      <c r="F1158" s="6">
        <f t="shared" ca="1" si="2"/>
        <v>45383</v>
      </c>
      <c r="G1158" s="7"/>
    </row>
    <row r="1159" spans="1:7" x14ac:dyDescent="0.2">
      <c r="A1159" s="3">
        <f ca="1">IFERROR(__xludf.DUMMYFUNCTION("""COMPUTED_VALUE"""),4003)</f>
        <v>4003</v>
      </c>
      <c r="B1159" s="6">
        <f ca="1">IFERROR(__xludf.DUMMYFUNCTION("""COMPUTED_VALUE"""),45399.322974537)</f>
        <v>45399.322974536997</v>
      </c>
      <c r="C1159" s="3" t="str">
        <f ca="1">IFERROR(__xludf.DUMMYFUNCTION("""COMPUTED_VALUE"""),"purchase")</f>
        <v>purchase</v>
      </c>
      <c r="D1159" s="6">
        <f t="shared" ca="1" si="0"/>
        <v>45399</v>
      </c>
      <c r="E1159" s="6">
        <f t="shared" ca="1" si="1"/>
        <v>45397</v>
      </c>
      <c r="F1159" s="6">
        <f t="shared" ca="1" si="2"/>
        <v>45383</v>
      </c>
      <c r="G1159" s="7"/>
    </row>
    <row r="1160" spans="1:7" x14ac:dyDescent="0.2">
      <c r="A1160" s="3">
        <f ca="1">IFERROR(__xludf.DUMMYFUNCTION("""COMPUTED_VALUE"""),5894)</f>
        <v>5894</v>
      </c>
      <c r="B1160" s="6">
        <f ca="1">IFERROR(__xludf.DUMMYFUNCTION("""COMPUTED_VALUE"""),45399.3339930555)</f>
        <v>45399.333993055501</v>
      </c>
      <c r="C1160" s="3" t="str">
        <f ca="1">IFERROR(__xludf.DUMMYFUNCTION("""COMPUTED_VALUE"""),"purchase")</f>
        <v>purchase</v>
      </c>
      <c r="D1160" s="6">
        <f t="shared" ca="1" si="0"/>
        <v>45399</v>
      </c>
      <c r="E1160" s="6">
        <f t="shared" ca="1" si="1"/>
        <v>45397</v>
      </c>
      <c r="F1160" s="6">
        <f t="shared" ca="1" si="2"/>
        <v>45383</v>
      </c>
      <c r="G1160" s="7"/>
    </row>
    <row r="1161" spans="1:7" x14ac:dyDescent="0.2">
      <c r="A1161" s="3">
        <f ca="1">IFERROR(__xludf.DUMMYFUNCTION("""COMPUTED_VALUE"""),2686)</f>
        <v>2686</v>
      </c>
      <c r="B1161" s="6">
        <f ca="1">IFERROR(__xludf.DUMMYFUNCTION("""COMPUTED_VALUE"""),45399.3598726851)</f>
        <v>45399.359872685098</v>
      </c>
      <c r="C1161" s="3" t="str">
        <f ca="1">IFERROR(__xludf.DUMMYFUNCTION("""COMPUTED_VALUE"""),"purchase")</f>
        <v>purchase</v>
      </c>
      <c r="D1161" s="6">
        <f t="shared" ca="1" si="0"/>
        <v>45399</v>
      </c>
      <c r="E1161" s="6">
        <f t="shared" ca="1" si="1"/>
        <v>45397</v>
      </c>
      <c r="F1161" s="6">
        <f t="shared" ca="1" si="2"/>
        <v>45383</v>
      </c>
      <c r="G1161" s="7"/>
    </row>
    <row r="1162" spans="1:7" x14ac:dyDescent="0.2">
      <c r="A1162" s="3">
        <f ca="1">IFERROR(__xludf.DUMMYFUNCTION("""COMPUTED_VALUE"""),186)</f>
        <v>186</v>
      </c>
      <c r="B1162" s="6">
        <f ca="1">IFERROR(__xludf.DUMMYFUNCTION("""COMPUTED_VALUE"""),45399.7175)</f>
        <v>45399.717499999999</v>
      </c>
      <c r="C1162" s="3" t="str">
        <f ca="1">IFERROR(__xludf.DUMMYFUNCTION("""COMPUTED_VALUE"""),"purchase")</f>
        <v>purchase</v>
      </c>
      <c r="D1162" s="6">
        <f t="shared" ca="1" si="0"/>
        <v>45399</v>
      </c>
      <c r="E1162" s="6">
        <f t="shared" ca="1" si="1"/>
        <v>45397</v>
      </c>
      <c r="F1162" s="6">
        <f t="shared" ca="1" si="2"/>
        <v>45383</v>
      </c>
      <c r="G1162" s="7"/>
    </row>
    <row r="1163" spans="1:7" x14ac:dyDescent="0.2">
      <c r="A1163" s="3">
        <f ca="1">IFERROR(__xludf.DUMMYFUNCTION("""COMPUTED_VALUE"""),7407)</f>
        <v>7407</v>
      </c>
      <c r="B1163" s="6">
        <f ca="1">IFERROR(__xludf.DUMMYFUNCTION("""COMPUTED_VALUE"""),45399.7581018518)</f>
        <v>45399.758101851803</v>
      </c>
      <c r="C1163" s="3" t="str">
        <f ca="1">IFERROR(__xludf.DUMMYFUNCTION("""COMPUTED_VALUE"""),"purchase")</f>
        <v>purchase</v>
      </c>
      <c r="D1163" s="6">
        <f t="shared" ca="1" si="0"/>
        <v>45399</v>
      </c>
      <c r="E1163" s="6">
        <f t="shared" ca="1" si="1"/>
        <v>45397</v>
      </c>
      <c r="F1163" s="6">
        <f t="shared" ca="1" si="2"/>
        <v>45383</v>
      </c>
      <c r="G1163" s="7"/>
    </row>
    <row r="1164" spans="1:7" x14ac:dyDescent="0.2">
      <c r="A1164" s="3">
        <f ca="1">IFERROR(__xludf.DUMMYFUNCTION("""COMPUTED_VALUE"""),5799)</f>
        <v>5799</v>
      </c>
      <c r="B1164" s="6">
        <f ca="1">IFERROR(__xludf.DUMMYFUNCTION("""COMPUTED_VALUE"""),45399.7761689814)</f>
        <v>45399.7761689814</v>
      </c>
      <c r="C1164" s="3" t="str">
        <f ca="1">IFERROR(__xludf.DUMMYFUNCTION("""COMPUTED_VALUE"""),"purchase")</f>
        <v>purchase</v>
      </c>
      <c r="D1164" s="6">
        <f t="shared" ca="1" si="0"/>
        <v>45399</v>
      </c>
      <c r="E1164" s="6">
        <f t="shared" ca="1" si="1"/>
        <v>45397</v>
      </c>
      <c r="F1164" s="6">
        <f t="shared" ca="1" si="2"/>
        <v>45383</v>
      </c>
      <c r="G1164" s="7"/>
    </row>
    <row r="1165" spans="1:7" x14ac:dyDescent="0.2">
      <c r="A1165" s="3">
        <f ca="1">IFERROR(__xludf.DUMMYFUNCTION("""COMPUTED_VALUE"""),7065)</f>
        <v>7065</v>
      </c>
      <c r="B1165" s="6">
        <f ca="1">IFERROR(__xludf.DUMMYFUNCTION("""COMPUTED_VALUE"""),45399.7982407407)</f>
        <v>45399.798240740703</v>
      </c>
      <c r="C1165" s="3" t="str">
        <f ca="1">IFERROR(__xludf.DUMMYFUNCTION("""COMPUTED_VALUE"""),"purchase")</f>
        <v>purchase</v>
      </c>
      <c r="D1165" s="6">
        <f t="shared" ca="1" si="0"/>
        <v>45399</v>
      </c>
      <c r="E1165" s="6">
        <f t="shared" ca="1" si="1"/>
        <v>45397</v>
      </c>
      <c r="F1165" s="6">
        <f t="shared" ca="1" si="2"/>
        <v>45383</v>
      </c>
      <c r="G1165" s="7"/>
    </row>
    <row r="1166" spans="1:7" x14ac:dyDescent="0.2">
      <c r="A1166" s="3">
        <f ca="1">IFERROR(__xludf.DUMMYFUNCTION("""COMPUTED_VALUE"""),6419)</f>
        <v>6419</v>
      </c>
      <c r="B1166" s="6">
        <f ca="1">IFERROR(__xludf.DUMMYFUNCTION("""COMPUTED_VALUE"""),45400.0290856481)</f>
        <v>45400.029085648101</v>
      </c>
      <c r="C1166" s="3" t="str">
        <f ca="1">IFERROR(__xludf.DUMMYFUNCTION("""COMPUTED_VALUE"""),"purchase")</f>
        <v>purchase</v>
      </c>
      <c r="D1166" s="6">
        <f t="shared" ca="1" si="0"/>
        <v>45400</v>
      </c>
      <c r="E1166" s="6">
        <f t="shared" ca="1" si="1"/>
        <v>45397</v>
      </c>
      <c r="F1166" s="6">
        <f t="shared" ca="1" si="2"/>
        <v>45383</v>
      </c>
      <c r="G1166" s="7"/>
    </row>
    <row r="1167" spans="1:7" x14ac:dyDescent="0.2">
      <c r="A1167" s="3">
        <f ca="1">IFERROR(__xludf.DUMMYFUNCTION("""COMPUTED_VALUE"""),867)</f>
        <v>867</v>
      </c>
      <c r="B1167" s="6">
        <f ca="1">IFERROR(__xludf.DUMMYFUNCTION("""COMPUTED_VALUE"""),45400.2790162037)</f>
        <v>45400.279016203698</v>
      </c>
      <c r="C1167" s="3" t="str">
        <f ca="1">IFERROR(__xludf.DUMMYFUNCTION("""COMPUTED_VALUE"""),"purchase")</f>
        <v>purchase</v>
      </c>
      <c r="D1167" s="6">
        <f t="shared" ca="1" si="0"/>
        <v>45400</v>
      </c>
      <c r="E1167" s="6">
        <f t="shared" ca="1" si="1"/>
        <v>45397</v>
      </c>
      <c r="F1167" s="6">
        <f t="shared" ca="1" si="2"/>
        <v>45383</v>
      </c>
      <c r="G1167" s="7"/>
    </row>
    <row r="1168" spans="1:7" x14ac:dyDescent="0.2">
      <c r="A1168" s="3">
        <f ca="1">IFERROR(__xludf.DUMMYFUNCTION("""COMPUTED_VALUE"""),4393)</f>
        <v>4393</v>
      </c>
      <c r="B1168" s="6">
        <f ca="1">IFERROR(__xludf.DUMMYFUNCTION("""COMPUTED_VALUE"""),45400.3163657407)</f>
        <v>45400.316365740699</v>
      </c>
      <c r="C1168" s="3" t="str">
        <f ca="1">IFERROR(__xludf.DUMMYFUNCTION("""COMPUTED_VALUE"""),"purchase")</f>
        <v>purchase</v>
      </c>
      <c r="D1168" s="6">
        <f t="shared" ca="1" si="0"/>
        <v>45400</v>
      </c>
      <c r="E1168" s="6">
        <f t="shared" ca="1" si="1"/>
        <v>45397</v>
      </c>
      <c r="F1168" s="6">
        <f t="shared" ca="1" si="2"/>
        <v>45383</v>
      </c>
      <c r="G1168" s="7"/>
    </row>
    <row r="1169" spans="1:7" x14ac:dyDescent="0.2">
      <c r="A1169" s="3">
        <f ca="1">IFERROR(__xludf.DUMMYFUNCTION("""COMPUTED_VALUE"""),4087)</f>
        <v>4087</v>
      </c>
      <c r="B1169" s="6">
        <f ca="1">IFERROR(__xludf.DUMMYFUNCTION("""COMPUTED_VALUE"""),45400.3567476851)</f>
        <v>45400.356747685102</v>
      </c>
      <c r="C1169" s="3" t="str">
        <f ca="1">IFERROR(__xludf.DUMMYFUNCTION("""COMPUTED_VALUE"""),"purchase")</f>
        <v>purchase</v>
      </c>
      <c r="D1169" s="6">
        <f t="shared" ca="1" si="0"/>
        <v>45400</v>
      </c>
      <c r="E1169" s="6">
        <f t="shared" ca="1" si="1"/>
        <v>45397</v>
      </c>
      <c r="F1169" s="6">
        <f t="shared" ca="1" si="2"/>
        <v>45383</v>
      </c>
      <c r="G1169" s="7"/>
    </row>
    <row r="1170" spans="1:7" x14ac:dyDescent="0.2">
      <c r="A1170" s="3">
        <f ca="1">IFERROR(__xludf.DUMMYFUNCTION("""COMPUTED_VALUE"""),6464)</f>
        <v>6464</v>
      </c>
      <c r="B1170" s="6">
        <f ca="1">IFERROR(__xludf.DUMMYFUNCTION("""COMPUTED_VALUE"""),45400.432511574)</f>
        <v>45400.432511573999</v>
      </c>
      <c r="C1170" s="3" t="str">
        <f ca="1">IFERROR(__xludf.DUMMYFUNCTION("""COMPUTED_VALUE"""),"purchase")</f>
        <v>purchase</v>
      </c>
      <c r="D1170" s="6">
        <f t="shared" ca="1" si="0"/>
        <v>45400</v>
      </c>
      <c r="E1170" s="6">
        <f t="shared" ca="1" si="1"/>
        <v>45397</v>
      </c>
      <c r="F1170" s="6">
        <f t="shared" ca="1" si="2"/>
        <v>45383</v>
      </c>
      <c r="G1170" s="7"/>
    </row>
    <row r="1171" spans="1:7" x14ac:dyDescent="0.2">
      <c r="A1171" s="3">
        <f ca="1">IFERROR(__xludf.DUMMYFUNCTION("""COMPUTED_VALUE"""),1650)</f>
        <v>1650</v>
      </c>
      <c r="B1171" s="6">
        <f ca="1">IFERROR(__xludf.DUMMYFUNCTION("""COMPUTED_VALUE"""),45400.5847337963)</f>
        <v>45400.584733796299</v>
      </c>
      <c r="C1171" s="3" t="str">
        <f ca="1">IFERROR(__xludf.DUMMYFUNCTION("""COMPUTED_VALUE"""),"purchase")</f>
        <v>purchase</v>
      </c>
      <c r="D1171" s="6">
        <f t="shared" ca="1" si="0"/>
        <v>45400</v>
      </c>
      <c r="E1171" s="6">
        <f t="shared" ca="1" si="1"/>
        <v>45397</v>
      </c>
      <c r="F1171" s="6">
        <f t="shared" ca="1" si="2"/>
        <v>45383</v>
      </c>
      <c r="G1171" s="7"/>
    </row>
    <row r="1172" spans="1:7" x14ac:dyDescent="0.2">
      <c r="A1172" s="3">
        <f ca="1">IFERROR(__xludf.DUMMYFUNCTION("""COMPUTED_VALUE"""),6280)</f>
        <v>6280</v>
      </c>
      <c r="B1172" s="6">
        <f ca="1">IFERROR(__xludf.DUMMYFUNCTION("""COMPUTED_VALUE"""),45400.6558564814)</f>
        <v>45400.655856481397</v>
      </c>
      <c r="C1172" s="3" t="str">
        <f ca="1">IFERROR(__xludf.DUMMYFUNCTION("""COMPUTED_VALUE"""),"purchase")</f>
        <v>purchase</v>
      </c>
      <c r="D1172" s="6">
        <f t="shared" ca="1" si="0"/>
        <v>45400</v>
      </c>
      <c r="E1172" s="6">
        <f t="shared" ca="1" si="1"/>
        <v>45397</v>
      </c>
      <c r="F1172" s="6">
        <f t="shared" ca="1" si="2"/>
        <v>45383</v>
      </c>
      <c r="G1172" s="7"/>
    </row>
    <row r="1173" spans="1:7" x14ac:dyDescent="0.2">
      <c r="A1173" s="3">
        <f ca="1">IFERROR(__xludf.DUMMYFUNCTION("""COMPUTED_VALUE"""),2593)</f>
        <v>2593</v>
      </c>
      <c r="B1173" s="6">
        <f ca="1">IFERROR(__xludf.DUMMYFUNCTION("""COMPUTED_VALUE"""),45400.6844444444)</f>
        <v>45400.6844444444</v>
      </c>
      <c r="C1173" s="3" t="str">
        <f ca="1">IFERROR(__xludf.DUMMYFUNCTION("""COMPUTED_VALUE"""),"purchase")</f>
        <v>purchase</v>
      </c>
      <c r="D1173" s="6">
        <f t="shared" ca="1" si="0"/>
        <v>45400</v>
      </c>
      <c r="E1173" s="6">
        <f t="shared" ca="1" si="1"/>
        <v>45397</v>
      </c>
      <c r="F1173" s="6">
        <f t="shared" ca="1" si="2"/>
        <v>45383</v>
      </c>
      <c r="G1173" s="7"/>
    </row>
    <row r="1174" spans="1:7" x14ac:dyDescent="0.2">
      <c r="A1174" s="3">
        <f ca="1">IFERROR(__xludf.DUMMYFUNCTION("""COMPUTED_VALUE"""),5181)</f>
        <v>5181</v>
      </c>
      <c r="B1174" s="6">
        <f ca="1">IFERROR(__xludf.DUMMYFUNCTION("""COMPUTED_VALUE"""),45400.7016898148)</f>
        <v>45400.701689814799</v>
      </c>
      <c r="C1174" s="3" t="str">
        <f ca="1">IFERROR(__xludf.DUMMYFUNCTION("""COMPUTED_VALUE"""),"purchase")</f>
        <v>purchase</v>
      </c>
      <c r="D1174" s="6">
        <f t="shared" ca="1" si="0"/>
        <v>45400</v>
      </c>
      <c r="E1174" s="6">
        <f t="shared" ca="1" si="1"/>
        <v>45397</v>
      </c>
      <c r="F1174" s="6">
        <f t="shared" ca="1" si="2"/>
        <v>45383</v>
      </c>
      <c r="G1174" s="7"/>
    </row>
    <row r="1175" spans="1:7" x14ac:dyDescent="0.2">
      <c r="A1175" s="3">
        <f ca="1">IFERROR(__xludf.DUMMYFUNCTION("""COMPUTED_VALUE"""),6649)</f>
        <v>6649</v>
      </c>
      <c r="B1175" s="6">
        <f ca="1">IFERROR(__xludf.DUMMYFUNCTION("""COMPUTED_VALUE"""),45400.9542592592)</f>
        <v>45400.954259259197</v>
      </c>
      <c r="C1175" s="3" t="str">
        <f ca="1">IFERROR(__xludf.DUMMYFUNCTION("""COMPUTED_VALUE"""),"purchase")</f>
        <v>purchase</v>
      </c>
      <c r="D1175" s="6">
        <f t="shared" ca="1" si="0"/>
        <v>45400</v>
      </c>
      <c r="E1175" s="6">
        <f t="shared" ca="1" si="1"/>
        <v>45397</v>
      </c>
      <c r="F1175" s="6">
        <f t="shared" ca="1" si="2"/>
        <v>45383</v>
      </c>
      <c r="G1175" s="7"/>
    </row>
    <row r="1176" spans="1:7" x14ac:dyDescent="0.2">
      <c r="A1176" s="3">
        <f ca="1">IFERROR(__xludf.DUMMYFUNCTION("""COMPUTED_VALUE"""),5778)</f>
        <v>5778</v>
      </c>
      <c r="B1176" s="6">
        <f ca="1">IFERROR(__xludf.DUMMYFUNCTION("""COMPUTED_VALUE"""),45401.2139351851)</f>
        <v>45401.2139351851</v>
      </c>
      <c r="C1176" s="3" t="str">
        <f ca="1">IFERROR(__xludf.DUMMYFUNCTION("""COMPUTED_VALUE"""),"purchase")</f>
        <v>purchase</v>
      </c>
      <c r="D1176" s="6">
        <f t="shared" ca="1" si="0"/>
        <v>45401</v>
      </c>
      <c r="E1176" s="6">
        <f t="shared" ca="1" si="1"/>
        <v>45397</v>
      </c>
      <c r="F1176" s="6">
        <f t="shared" ca="1" si="2"/>
        <v>45383</v>
      </c>
      <c r="G1176" s="7"/>
    </row>
    <row r="1177" spans="1:7" x14ac:dyDescent="0.2">
      <c r="A1177" s="3">
        <f ca="1">IFERROR(__xludf.DUMMYFUNCTION("""COMPUTED_VALUE"""),6903)</f>
        <v>6903</v>
      </c>
      <c r="B1177" s="6">
        <f ca="1">IFERROR(__xludf.DUMMYFUNCTION("""COMPUTED_VALUE"""),45401.2895486111)</f>
        <v>45401.289548611101</v>
      </c>
      <c r="C1177" s="3" t="str">
        <f ca="1">IFERROR(__xludf.DUMMYFUNCTION("""COMPUTED_VALUE"""),"purchase")</f>
        <v>purchase</v>
      </c>
      <c r="D1177" s="6">
        <f t="shared" ca="1" si="0"/>
        <v>45401</v>
      </c>
      <c r="E1177" s="6">
        <f t="shared" ca="1" si="1"/>
        <v>45397</v>
      </c>
      <c r="F1177" s="6">
        <f t="shared" ca="1" si="2"/>
        <v>45383</v>
      </c>
      <c r="G1177" s="7"/>
    </row>
    <row r="1178" spans="1:7" x14ac:dyDescent="0.2">
      <c r="A1178" s="3">
        <f ca="1">IFERROR(__xludf.DUMMYFUNCTION("""COMPUTED_VALUE"""),1431)</f>
        <v>1431</v>
      </c>
      <c r="B1178" s="6">
        <f ca="1">IFERROR(__xludf.DUMMYFUNCTION("""COMPUTED_VALUE"""),45401.379849537)</f>
        <v>45401.379849536999</v>
      </c>
      <c r="C1178" s="3" t="str">
        <f ca="1">IFERROR(__xludf.DUMMYFUNCTION("""COMPUTED_VALUE"""),"purchase")</f>
        <v>purchase</v>
      </c>
      <c r="D1178" s="6">
        <f t="shared" ca="1" si="0"/>
        <v>45401</v>
      </c>
      <c r="E1178" s="6">
        <f t="shared" ca="1" si="1"/>
        <v>45397</v>
      </c>
      <c r="F1178" s="6">
        <f t="shared" ca="1" si="2"/>
        <v>45383</v>
      </c>
      <c r="G1178" s="7"/>
    </row>
    <row r="1179" spans="1:7" x14ac:dyDescent="0.2">
      <c r="A1179" s="3">
        <f ca="1">IFERROR(__xludf.DUMMYFUNCTION("""COMPUTED_VALUE"""),6365)</f>
        <v>6365</v>
      </c>
      <c r="B1179" s="6">
        <f ca="1">IFERROR(__xludf.DUMMYFUNCTION("""COMPUTED_VALUE"""),45401.4536111111)</f>
        <v>45401.453611111101</v>
      </c>
      <c r="C1179" s="3" t="str">
        <f ca="1">IFERROR(__xludf.DUMMYFUNCTION("""COMPUTED_VALUE"""),"purchase")</f>
        <v>purchase</v>
      </c>
      <c r="D1179" s="6">
        <f t="shared" ca="1" si="0"/>
        <v>45401</v>
      </c>
      <c r="E1179" s="6">
        <f t="shared" ca="1" si="1"/>
        <v>45397</v>
      </c>
      <c r="F1179" s="6">
        <f t="shared" ca="1" si="2"/>
        <v>45383</v>
      </c>
      <c r="G1179" s="7"/>
    </row>
    <row r="1180" spans="1:7" x14ac:dyDescent="0.2">
      <c r="A1180" s="3">
        <f ca="1">IFERROR(__xludf.DUMMYFUNCTION("""COMPUTED_VALUE"""),4035)</f>
        <v>4035</v>
      </c>
      <c r="B1180" s="6">
        <f ca="1">IFERROR(__xludf.DUMMYFUNCTION("""COMPUTED_VALUE"""),45401.5220833333)</f>
        <v>45401.522083333301</v>
      </c>
      <c r="C1180" s="3" t="str">
        <f ca="1">IFERROR(__xludf.DUMMYFUNCTION("""COMPUTED_VALUE"""),"purchase")</f>
        <v>purchase</v>
      </c>
      <c r="D1180" s="6">
        <f t="shared" ca="1" si="0"/>
        <v>45401</v>
      </c>
      <c r="E1180" s="6">
        <f t="shared" ca="1" si="1"/>
        <v>45397</v>
      </c>
      <c r="F1180" s="6">
        <f t="shared" ca="1" si="2"/>
        <v>45383</v>
      </c>
      <c r="G1180" s="7"/>
    </row>
    <row r="1181" spans="1:7" x14ac:dyDescent="0.2">
      <c r="A1181" s="3">
        <f ca="1">IFERROR(__xludf.DUMMYFUNCTION("""COMPUTED_VALUE"""),4978)</f>
        <v>4978</v>
      </c>
      <c r="B1181" s="6">
        <f ca="1">IFERROR(__xludf.DUMMYFUNCTION("""COMPUTED_VALUE"""),45401.5393634259)</f>
        <v>45401.539363425902</v>
      </c>
      <c r="C1181" s="3" t="str">
        <f ca="1">IFERROR(__xludf.DUMMYFUNCTION("""COMPUTED_VALUE"""),"purchase")</f>
        <v>purchase</v>
      </c>
      <c r="D1181" s="6">
        <f t="shared" ca="1" si="0"/>
        <v>45401</v>
      </c>
      <c r="E1181" s="6">
        <f t="shared" ca="1" si="1"/>
        <v>45397</v>
      </c>
      <c r="F1181" s="6">
        <f t="shared" ca="1" si="2"/>
        <v>45383</v>
      </c>
      <c r="G1181" s="7"/>
    </row>
    <row r="1182" spans="1:7" x14ac:dyDescent="0.2">
      <c r="A1182" s="3">
        <f ca="1">IFERROR(__xludf.DUMMYFUNCTION("""COMPUTED_VALUE"""),222)</f>
        <v>222</v>
      </c>
      <c r="B1182" s="6">
        <f ca="1">IFERROR(__xludf.DUMMYFUNCTION("""COMPUTED_VALUE"""),45401.6965972222)</f>
        <v>45401.696597222202</v>
      </c>
      <c r="C1182" s="3" t="str">
        <f ca="1">IFERROR(__xludf.DUMMYFUNCTION("""COMPUTED_VALUE"""),"purchase")</f>
        <v>purchase</v>
      </c>
      <c r="D1182" s="6">
        <f t="shared" ca="1" si="0"/>
        <v>45401</v>
      </c>
      <c r="E1182" s="6">
        <f t="shared" ca="1" si="1"/>
        <v>45397</v>
      </c>
      <c r="F1182" s="6">
        <f t="shared" ca="1" si="2"/>
        <v>45383</v>
      </c>
      <c r="G1182" s="7"/>
    </row>
    <row r="1183" spans="1:7" x14ac:dyDescent="0.2">
      <c r="A1183" s="3">
        <f ca="1">IFERROR(__xludf.DUMMYFUNCTION("""COMPUTED_VALUE"""),5839)</f>
        <v>5839</v>
      </c>
      <c r="B1183" s="6">
        <f ca="1">IFERROR(__xludf.DUMMYFUNCTION("""COMPUTED_VALUE"""),45401.7761111111)</f>
        <v>45401.776111111103</v>
      </c>
      <c r="C1183" s="3" t="str">
        <f ca="1">IFERROR(__xludf.DUMMYFUNCTION("""COMPUTED_VALUE"""),"purchase")</f>
        <v>purchase</v>
      </c>
      <c r="D1183" s="6">
        <f t="shared" ca="1" si="0"/>
        <v>45401</v>
      </c>
      <c r="E1183" s="6">
        <f t="shared" ca="1" si="1"/>
        <v>45397</v>
      </c>
      <c r="F1183" s="6">
        <f t="shared" ca="1" si="2"/>
        <v>45383</v>
      </c>
      <c r="G1183" s="7"/>
    </row>
    <row r="1184" spans="1:7" x14ac:dyDescent="0.2">
      <c r="A1184" s="3">
        <f ca="1">IFERROR(__xludf.DUMMYFUNCTION("""COMPUTED_VALUE"""),5521)</f>
        <v>5521</v>
      </c>
      <c r="B1184" s="6">
        <f ca="1">IFERROR(__xludf.DUMMYFUNCTION("""COMPUTED_VALUE"""),45401.8506481481)</f>
        <v>45401.850648148102</v>
      </c>
      <c r="C1184" s="3" t="str">
        <f ca="1">IFERROR(__xludf.DUMMYFUNCTION("""COMPUTED_VALUE"""),"purchase")</f>
        <v>purchase</v>
      </c>
      <c r="D1184" s="6">
        <f t="shared" ca="1" si="0"/>
        <v>45401</v>
      </c>
      <c r="E1184" s="6">
        <f t="shared" ca="1" si="1"/>
        <v>45397</v>
      </c>
      <c r="F1184" s="6">
        <f t="shared" ca="1" si="2"/>
        <v>45383</v>
      </c>
      <c r="G1184" s="7"/>
    </row>
    <row r="1185" spans="1:7" x14ac:dyDescent="0.2">
      <c r="A1185" s="3">
        <f ca="1">IFERROR(__xludf.DUMMYFUNCTION("""COMPUTED_VALUE"""),7134)</f>
        <v>7134</v>
      </c>
      <c r="B1185" s="6">
        <f ca="1">IFERROR(__xludf.DUMMYFUNCTION("""COMPUTED_VALUE"""),45401.9838310185)</f>
        <v>45401.9838310185</v>
      </c>
      <c r="C1185" s="3" t="str">
        <f ca="1">IFERROR(__xludf.DUMMYFUNCTION("""COMPUTED_VALUE"""),"purchase")</f>
        <v>purchase</v>
      </c>
      <c r="D1185" s="6">
        <f t="shared" ca="1" si="0"/>
        <v>45401</v>
      </c>
      <c r="E1185" s="6">
        <f t="shared" ca="1" si="1"/>
        <v>45397</v>
      </c>
      <c r="F1185" s="6">
        <f t="shared" ca="1" si="2"/>
        <v>45383</v>
      </c>
      <c r="G1185" s="7"/>
    </row>
    <row r="1186" spans="1:7" x14ac:dyDescent="0.2">
      <c r="A1186" s="3">
        <f ca="1">IFERROR(__xludf.DUMMYFUNCTION("""COMPUTED_VALUE"""),7166)</f>
        <v>7166</v>
      </c>
      <c r="B1186" s="6">
        <f ca="1">IFERROR(__xludf.DUMMYFUNCTION("""COMPUTED_VALUE"""),45402.0302199074)</f>
        <v>45402.030219907399</v>
      </c>
      <c r="C1186" s="3" t="str">
        <f ca="1">IFERROR(__xludf.DUMMYFUNCTION("""COMPUTED_VALUE"""),"purchase")</f>
        <v>purchase</v>
      </c>
      <c r="D1186" s="6">
        <f t="shared" ca="1" si="0"/>
        <v>45402</v>
      </c>
      <c r="E1186" s="6">
        <f t="shared" ca="1" si="1"/>
        <v>45397</v>
      </c>
      <c r="F1186" s="6">
        <f t="shared" ca="1" si="2"/>
        <v>45383</v>
      </c>
      <c r="G1186" s="7"/>
    </row>
    <row r="1187" spans="1:7" x14ac:dyDescent="0.2">
      <c r="A1187" s="3">
        <f ca="1">IFERROR(__xludf.DUMMYFUNCTION("""COMPUTED_VALUE"""),749)</f>
        <v>749</v>
      </c>
      <c r="B1187" s="6">
        <f ca="1">IFERROR(__xludf.DUMMYFUNCTION("""COMPUTED_VALUE"""),45402.0530787037)</f>
        <v>45402.053078703699</v>
      </c>
      <c r="C1187" s="3" t="str">
        <f ca="1">IFERROR(__xludf.DUMMYFUNCTION("""COMPUTED_VALUE"""),"purchase")</f>
        <v>purchase</v>
      </c>
      <c r="D1187" s="6">
        <f t="shared" ca="1" si="0"/>
        <v>45402</v>
      </c>
      <c r="E1187" s="6">
        <f t="shared" ca="1" si="1"/>
        <v>45397</v>
      </c>
      <c r="F1187" s="6">
        <f t="shared" ca="1" si="2"/>
        <v>45383</v>
      </c>
      <c r="G1187" s="7"/>
    </row>
    <row r="1188" spans="1:7" x14ac:dyDescent="0.2">
      <c r="A1188" s="3">
        <f ca="1">IFERROR(__xludf.DUMMYFUNCTION("""COMPUTED_VALUE"""),6154)</f>
        <v>6154</v>
      </c>
      <c r="B1188" s="6">
        <f ca="1">IFERROR(__xludf.DUMMYFUNCTION("""COMPUTED_VALUE"""),45402.1103009259)</f>
        <v>45402.110300925902</v>
      </c>
      <c r="C1188" s="3" t="str">
        <f ca="1">IFERROR(__xludf.DUMMYFUNCTION("""COMPUTED_VALUE"""),"purchase")</f>
        <v>purchase</v>
      </c>
      <c r="D1188" s="6">
        <f t="shared" ca="1" si="0"/>
        <v>45402</v>
      </c>
      <c r="E1188" s="6">
        <f t="shared" ca="1" si="1"/>
        <v>45397</v>
      </c>
      <c r="F1188" s="6">
        <f t="shared" ca="1" si="2"/>
        <v>45383</v>
      </c>
      <c r="G1188" s="7"/>
    </row>
    <row r="1189" spans="1:7" x14ac:dyDescent="0.2">
      <c r="A1189" s="3">
        <f ca="1">IFERROR(__xludf.DUMMYFUNCTION("""COMPUTED_VALUE"""),2590)</f>
        <v>2590</v>
      </c>
      <c r="B1189" s="6">
        <f ca="1">IFERROR(__xludf.DUMMYFUNCTION("""COMPUTED_VALUE"""),45402.181724537)</f>
        <v>45402.181724536997</v>
      </c>
      <c r="C1189" s="3" t="str">
        <f ca="1">IFERROR(__xludf.DUMMYFUNCTION("""COMPUTED_VALUE"""),"purchase")</f>
        <v>purchase</v>
      </c>
      <c r="D1189" s="6">
        <f t="shared" ca="1" si="0"/>
        <v>45402</v>
      </c>
      <c r="E1189" s="6">
        <f t="shared" ca="1" si="1"/>
        <v>45397</v>
      </c>
      <c r="F1189" s="6">
        <f t="shared" ca="1" si="2"/>
        <v>45383</v>
      </c>
      <c r="G1189" s="7"/>
    </row>
    <row r="1190" spans="1:7" x14ac:dyDescent="0.2">
      <c r="A1190" s="3">
        <f ca="1">IFERROR(__xludf.DUMMYFUNCTION("""COMPUTED_VALUE"""),5373)</f>
        <v>5373</v>
      </c>
      <c r="B1190" s="6">
        <f ca="1">IFERROR(__xludf.DUMMYFUNCTION("""COMPUTED_VALUE"""),45402.2055439813)</f>
        <v>45402.205543981399</v>
      </c>
      <c r="C1190" s="3" t="str">
        <f ca="1">IFERROR(__xludf.DUMMYFUNCTION("""COMPUTED_VALUE"""),"purchase")</f>
        <v>purchase</v>
      </c>
      <c r="D1190" s="6">
        <f t="shared" ca="1" si="0"/>
        <v>45402</v>
      </c>
      <c r="E1190" s="6">
        <f t="shared" ca="1" si="1"/>
        <v>45397</v>
      </c>
      <c r="F1190" s="6">
        <f t="shared" ca="1" si="2"/>
        <v>45383</v>
      </c>
      <c r="G1190" s="7"/>
    </row>
    <row r="1191" spans="1:7" x14ac:dyDescent="0.2">
      <c r="A1191" s="3">
        <f ca="1">IFERROR(__xludf.DUMMYFUNCTION("""COMPUTED_VALUE"""),933)</f>
        <v>933</v>
      </c>
      <c r="B1191" s="6">
        <f ca="1">IFERROR(__xludf.DUMMYFUNCTION("""COMPUTED_VALUE"""),45402.2091666666)</f>
        <v>45402.209166666602</v>
      </c>
      <c r="C1191" s="3" t="str">
        <f ca="1">IFERROR(__xludf.DUMMYFUNCTION("""COMPUTED_VALUE"""),"purchase")</f>
        <v>purchase</v>
      </c>
      <c r="D1191" s="6">
        <f t="shared" ca="1" si="0"/>
        <v>45402</v>
      </c>
      <c r="E1191" s="6">
        <f t="shared" ca="1" si="1"/>
        <v>45397</v>
      </c>
      <c r="F1191" s="6">
        <f t="shared" ca="1" si="2"/>
        <v>45383</v>
      </c>
      <c r="G1191" s="7"/>
    </row>
    <row r="1192" spans="1:7" x14ac:dyDescent="0.2">
      <c r="A1192" s="3">
        <f ca="1">IFERROR(__xludf.DUMMYFUNCTION("""COMPUTED_VALUE"""),3380)</f>
        <v>3380</v>
      </c>
      <c r="B1192" s="6">
        <f ca="1">IFERROR(__xludf.DUMMYFUNCTION("""COMPUTED_VALUE"""),45402.2464004629)</f>
        <v>45402.2464004629</v>
      </c>
      <c r="C1192" s="3" t="str">
        <f ca="1">IFERROR(__xludf.DUMMYFUNCTION("""COMPUTED_VALUE"""),"purchase")</f>
        <v>purchase</v>
      </c>
      <c r="D1192" s="6">
        <f t="shared" ca="1" si="0"/>
        <v>45402</v>
      </c>
      <c r="E1192" s="6">
        <f t="shared" ca="1" si="1"/>
        <v>45397</v>
      </c>
      <c r="F1192" s="6">
        <f t="shared" ca="1" si="2"/>
        <v>45383</v>
      </c>
      <c r="G1192" s="7"/>
    </row>
    <row r="1193" spans="1:7" x14ac:dyDescent="0.2">
      <c r="A1193" s="3">
        <f ca="1">IFERROR(__xludf.DUMMYFUNCTION("""COMPUTED_VALUE"""),4909)</f>
        <v>4909</v>
      </c>
      <c r="B1193" s="6">
        <f ca="1">IFERROR(__xludf.DUMMYFUNCTION("""COMPUTED_VALUE"""),45402.2965509259)</f>
        <v>45402.296550925901</v>
      </c>
      <c r="C1193" s="3" t="str">
        <f ca="1">IFERROR(__xludf.DUMMYFUNCTION("""COMPUTED_VALUE"""),"purchase")</f>
        <v>purchase</v>
      </c>
      <c r="D1193" s="6">
        <f t="shared" ca="1" si="0"/>
        <v>45402</v>
      </c>
      <c r="E1193" s="6">
        <f t="shared" ca="1" si="1"/>
        <v>45397</v>
      </c>
      <c r="F1193" s="6">
        <f t="shared" ca="1" si="2"/>
        <v>45383</v>
      </c>
      <c r="G1193" s="7"/>
    </row>
    <row r="1194" spans="1:7" x14ac:dyDescent="0.2">
      <c r="A1194" s="3">
        <f ca="1">IFERROR(__xludf.DUMMYFUNCTION("""COMPUTED_VALUE"""),352)</f>
        <v>352</v>
      </c>
      <c r="B1194" s="6">
        <f ca="1">IFERROR(__xludf.DUMMYFUNCTION("""COMPUTED_VALUE"""),45402.514375)</f>
        <v>45402.514374999999</v>
      </c>
      <c r="C1194" s="3" t="str">
        <f ca="1">IFERROR(__xludf.DUMMYFUNCTION("""COMPUTED_VALUE"""),"purchase")</f>
        <v>purchase</v>
      </c>
      <c r="D1194" s="6">
        <f t="shared" ca="1" si="0"/>
        <v>45402</v>
      </c>
      <c r="E1194" s="6">
        <f t="shared" ca="1" si="1"/>
        <v>45397</v>
      </c>
      <c r="F1194" s="6">
        <f t="shared" ca="1" si="2"/>
        <v>45383</v>
      </c>
      <c r="G1194" s="7"/>
    </row>
    <row r="1195" spans="1:7" x14ac:dyDescent="0.2">
      <c r="A1195" s="3">
        <f ca="1">IFERROR(__xludf.DUMMYFUNCTION("""COMPUTED_VALUE"""),381)</f>
        <v>381</v>
      </c>
      <c r="B1195" s="6">
        <f ca="1">IFERROR(__xludf.DUMMYFUNCTION("""COMPUTED_VALUE"""),45402.630162037)</f>
        <v>45402.630162037</v>
      </c>
      <c r="C1195" s="3" t="str">
        <f ca="1">IFERROR(__xludf.DUMMYFUNCTION("""COMPUTED_VALUE"""),"purchase")</f>
        <v>purchase</v>
      </c>
      <c r="D1195" s="6">
        <f t="shared" ca="1" si="0"/>
        <v>45402</v>
      </c>
      <c r="E1195" s="6">
        <f t="shared" ca="1" si="1"/>
        <v>45397</v>
      </c>
      <c r="F1195" s="6">
        <f t="shared" ca="1" si="2"/>
        <v>45383</v>
      </c>
      <c r="G1195" s="7"/>
    </row>
    <row r="1196" spans="1:7" x14ac:dyDescent="0.2">
      <c r="A1196" s="3">
        <f ca="1">IFERROR(__xludf.DUMMYFUNCTION("""COMPUTED_VALUE"""),5526)</f>
        <v>5526</v>
      </c>
      <c r="B1196" s="6">
        <f ca="1">IFERROR(__xludf.DUMMYFUNCTION("""COMPUTED_VALUE"""),45402.6703009259)</f>
        <v>45402.6703009259</v>
      </c>
      <c r="C1196" s="3" t="str">
        <f ca="1">IFERROR(__xludf.DUMMYFUNCTION("""COMPUTED_VALUE"""),"purchase")</f>
        <v>purchase</v>
      </c>
      <c r="D1196" s="6">
        <f t="shared" ca="1" si="0"/>
        <v>45402</v>
      </c>
      <c r="E1196" s="6">
        <f t="shared" ca="1" si="1"/>
        <v>45397</v>
      </c>
      <c r="F1196" s="6">
        <f t="shared" ca="1" si="2"/>
        <v>45383</v>
      </c>
      <c r="G1196" s="7"/>
    </row>
    <row r="1197" spans="1:7" x14ac:dyDescent="0.2">
      <c r="A1197" s="3">
        <f ca="1">IFERROR(__xludf.DUMMYFUNCTION("""COMPUTED_VALUE"""),4291)</f>
        <v>4291</v>
      </c>
      <c r="B1197" s="6">
        <f ca="1">IFERROR(__xludf.DUMMYFUNCTION("""COMPUTED_VALUE"""),45402.6842708333)</f>
        <v>45402.684270833299</v>
      </c>
      <c r="C1197" s="3" t="str">
        <f ca="1">IFERROR(__xludf.DUMMYFUNCTION("""COMPUTED_VALUE"""),"purchase")</f>
        <v>purchase</v>
      </c>
      <c r="D1197" s="6">
        <f t="shared" ca="1" si="0"/>
        <v>45402</v>
      </c>
      <c r="E1197" s="6">
        <f t="shared" ca="1" si="1"/>
        <v>45397</v>
      </c>
      <c r="F1197" s="6">
        <f t="shared" ca="1" si="2"/>
        <v>45383</v>
      </c>
      <c r="G1197" s="7"/>
    </row>
    <row r="1198" spans="1:7" x14ac:dyDescent="0.2">
      <c r="A1198" s="3">
        <f ca="1">IFERROR(__xludf.DUMMYFUNCTION("""COMPUTED_VALUE"""),3834)</f>
        <v>3834</v>
      </c>
      <c r="B1198" s="6">
        <f ca="1">IFERROR(__xludf.DUMMYFUNCTION("""COMPUTED_VALUE"""),45402.8531018518)</f>
        <v>45402.853101851797</v>
      </c>
      <c r="C1198" s="3" t="str">
        <f ca="1">IFERROR(__xludf.DUMMYFUNCTION("""COMPUTED_VALUE"""),"purchase")</f>
        <v>purchase</v>
      </c>
      <c r="D1198" s="6">
        <f t="shared" ca="1" si="0"/>
        <v>45402</v>
      </c>
      <c r="E1198" s="6">
        <f t="shared" ca="1" si="1"/>
        <v>45397</v>
      </c>
      <c r="F1198" s="6">
        <f t="shared" ca="1" si="2"/>
        <v>45383</v>
      </c>
      <c r="G1198" s="7"/>
    </row>
    <row r="1199" spans="1:7" x14ac:dyDescent="0.2">
      <c r="A1199" s="3">
        <f ca="1">IFERROR(__xludf.DUMMYFUNCTION("""COMPUTED_VALUE"""),7227)</f>
        <v>7227</v>
      </c>
      <c r="B1199" s="6">
        <f ca="1">IFERROR(__xludf.DUMMYFUNCTION("""COMPUTED_VALUE"""),45403.0416319444)</f>
        <v>45403.041631944398</v>
      </c>
      <c r="C1199" s="3" t="str">
        <f ca="1">IFERROR(__xludf.DUMMYFUNCTION("""COMPUTED_VALUE"""),"purchase")</f>
        <v>purchase</v>
      </c>
      <c r="D1199" s="6">
        <f t="shared" ca="1" si="0"/>
        <v>45403</v>
      </c>
      <c r="E1199" s="6">
        <f t="shared" ca="1" si="1"/>
        <v>45397</v>
      </c>
      <c r="F1199" s="6">
        <f t="shared" ca="1" si="2"/>
        <v>45383</v>
      </c>
      <c r="G1199" s="7"/>
    </row>
    <row r="1200" spans="1:7" x14ac:dyDescent="0.2">
      <c r="A1200" s="3">
        <f ca="1">IFERROR(__xludf.DUMMYFUNCTION("""COMPUTED_VALUE"""),673)</f>
        <v>673</v>
      </c>
      <c r="B1200" s="6">
        <f ca="1">IFERROR(__xludf.DUMMYFUNCTION("""COMPUTED_VALUE"""),45403.0786689814)</f>
        <v>45403.078668981398</v>
      </c>
      <c r="C1200" s="3" t="str">
        <f ca="1">IFERROR(__xludf.DUMMYFUNCTION("""COMPUTED_VALUE"""),"purchase")</f>
        <v>purchase</v>
      </c>
      <c r="D1200" s="6">
        <f t="shared" ca="1" si="0"/>
        <v>45403</v>
      </c>
      <c r="E1200" s="6">
        <f t="shared" ca="1" si="1"/>
        <v>45397</v>
      </c>
      <c r="F1200" s="6">
        <f t="shared" ca="1" si="2"/>
        <v>45383</v>
      </c>
      <c r="G1200" s="7"/>
    </row>
    <row r="1201" spans="1:7" x14ac:dyDescent="0.2">
      <c r="A1201" s="3">
        <f ca="1">IFERROR(__xludf.DUMMYFUNCTION("""COMPUTED_VALUE"""),774)</f>
        <v>774</v>
      </c>
      <c r="B1201" s="6">
        <f ca="1">IFERROR(__xludf.DUMMYFUNCTION("""COMPUTED_VALUE"""),45403.0873148148)</f>
        <v>45403.087314814802</v>
      </c>
      <c r="C1201" s="3" t="str">
        <f ca="1">IFERROR(__xludf.DUMMYFUNCTION("""COMPUTED_VALUE"""),"purchase")</f>
        <v>purchase</v>
      </c>
      <c r="D1201" s="6">
        <f t="shared" ca="1" si="0"/>
        <v>45403</v>
      </c>
      <c r="E1201" s="6">
        <f t="shared" ca="1" si="1"/>
        <v>45397</v>
      </c>
      <c r="F1201" s="6">
        <f t="shared" ca="1" si="2"/>
        <v>45383</v>
      </c>
      <c r="G1201" s="7"/>
    </row>
    <row r="1202" spans="1:7" x14ac:dyDescent="0.2">
      <c r="A1202" s="3">
        <f ca="1">IFERROR(__xludf.DUMMYFUNCTION("""COMPUTED_VALUE"""),4936)</f>
        <v>4936</v>
      </c>
      <c r="B1202" s="6">
        <f ca="1">IFERROR(__xludf.DUMMYFUNCTION("""COMPUTED_VALUE"""),45403.1149189814)</f>
        <v>45403.114918981402</v>
      </c>
      <c r="C1202" s="3" t="str">
        <f ca="1">IFERROR(__xludf.DUMMYFUNCTION("""COMPUTED_VALUE"""),"purchase")</f>
        <v>purchase</v>
      </c>
      <c r="D1202" s="6">
        <f t="shared" ca="1" si="0"/>
        <v>45403</v>
      </c>
      <c r="E1202" s="6">
        <f t="shared" ca="1" si="1"/>
        <v>45397</v>
      </c>
      <c r="F1202" s="6">
        <f t="shared" ca="1" si="2"/>
        <v>45383</v>
      </c>
      <c r="G1202" s="7"/>
    </row>
    <row r="1203" spans="1:7" x14ac:dyDescent="0.2">
      <c r="A1203" s="3">
        <f ca="1">IFERROR(__xludf.DUMMYFUNCTION("""COMPUTED_VALUE"""),6585)</f>
        <v>6585</v>
      </c>
      <c r="B1203" s="6">
        <f ca="1">IFERROR(__xludf.DUMMYFUNCTION("""COMPUTED_VALUE"""),45403.1710069444)</f>
        <v>45403.171006944402</v>
      </c>
      <c r="C1203" s="3" t="str">
        <f ca="1">IFERROR(__xludf.DUMMYFUNCTION("""COMPUTED_VALUE"""),"purchase")</f>
        <v>purchase</v>
      </c>
      <c r="D1203" s="6">
        <f t="shared" ca="1" si="0"/>
        <v>45403</v>
      </c>
      <c r="E1203" s="6">
        <f t="shared" ca="1" si="1"/>
        <v>45397</v>
      </c>
      <c r="F1203" s="6">
        <f t="shared" ca="1" si="2"/>
        <v>45383</v>
      </c>
      <c r="G1203" s="7"/>
    </row>
    <row r="1204" spans="1:7" x14ac:dyDescent="0.2">
      <c r="A1204" s="3">
        <f ca="1">IFERROR(__xludf.DUMMYFUNCTION("""COMPUTED_VALUE"""),6512)</f>
        <v>6512</v>
      </c>
      <c r="B1204" s="6">
        <f ca="1">IFERROR(__xludf.DUMMYFUNCTION("""COMPUTED_VALUE"""),45403.1711226851)</f>
        <v>45403.171122685097</v>
      </c>
      <c r="C1204" s="3" t="str">
        <f ca="1">IFERROR(__xludf.DUMMYFUNCTION("""COMPUTED_VALUE"""),"purchase")</f>
        <v>purchase</v>
      </c>
      <c r="D1204" s="6">
        <f t="shared" ca="1" si="0"/>
        <v>45403</v>
      </c>
      <c r="E1204" s="6">
        <f t="shared" ca="1" si="1"/>
        <v>45397</v>
      </c>
      <c r="F1204" s="6">
        <f t="shared" ca="1" si="2"/>
        <v>45383</v>
      </c>
      <c r="G1204" s="7"/>
    </row>
    <row r="1205" spans="1:7" x14ac:dyDescent="0.2">
      <c r="A1205" s="3">
        <f ca="1">IFERROR(__xludf.DUMMYFUNCTION("""COMPUTED_VALUE"""),4320)</f>
        <v>4320</v>
      </c>
      <c r="B1205" s="6">
        <f ca="1">IFERROR(__xludf.DUMMYFUNCTION("""COMPUTED_VALUE"""),45403.3047916666)</f>
        <v>45403.304791666596</v>
      </c>
      <c r="C1205" s="3" t="str">
        <f ca="1">IFERROR(__xludf.DUMMYFUNCTION("""COMPUTED_VALUE"""),"purchase")</f>
        <v>purchase</v>
      </c>
      <c r="D1205" s="6">
        <f t="shared" ca="1" si="0"/>
        <v>45403</v>
      </c>
      <c r="E1205" s="6">
        <f t="shared" ca="1" si="1"/>
        <v>45397</v>
      </c>
      <c r="F1205" s="6">
        <f t="shared" ca="1" si="2"/>
        <v>45383</v>
      </c>
      <c r="G1205" s="7"/>
    </row>
    <row r="1206" spans="1:7" x14ac:dyDescent="0.2">
      <c r="A1206" s="3">
        <f ca="1">IFERROR(__xludf.DUMMYFUNCTION("""COMPUTED_VALUE"""),4928)</f>
        <v>4928</v>
      </c>
      <c r="B1206" s="6">
        <f ca="1">IFERROR(__xludf.DUMMYFUNCTION("""COMPUTED_VALUE"""),45403.3246412037)</f>
        <v>45403.324641203697</v>
      </c>
      <c r="C1206" s="3" t="str">
        <f ca="1">IFERROR(__xludf.DUMMYFUNCTION("""COMPUTED_VALUE"""),"purchase")</f>
        <v>purchase</v>
      </c>
      <c r="D1206" s="6">
        <f t="shared" ca="1" si="0"/>
        <v>45403</v>
      </c>
      <c r="E1206" s="6">
        <f t="shared" ca="1" si="1"/>
        <v>45397</v>
      </c>
      <c r="F1206" s="6">
        <f t="shared" ca="1" si="2"/>
        <v>45383</v>
      </c>
      <c r="G1206" s="7"/>
    </row>
    <row r="1207" spans="1:7" x14ac:dyDescent="0.2">
      <c r="A1207" s="3">
        <f ca="1">IFERROR(__xludf.DUMMYFUNCTION("""COMPUTED_VALUE"""),1756)</f>
        <v>1756</v>
      </c>
      <c r="B1207" s="6">
        <f ca="1">IFERROR(__xludf.DUMMYFUNCTION("""COMPUTED_VALUE"""),45403.4284143518)</f>
        <v>45403.428414351802</v>
      </c>
      <c r="C1207" s="3" t="str">
        <f ca="1">IFERROR(__xludf.DUMMYFUNCTION("""COMPUTED_VALUE"""),"purchase")</f>
        <v>purchase</v>
      </c>
      <c r="D1207" s="6">
        <f t="shared" ca="1" si="0"/>
        <v>45403</v>
      </c>
      <c r="E1207" s="6">
        <f t="shared" ca="1" si="1"/>
        <v>45397</v>
      </c>
      <c r="F1207" s="6">
        <f t="shared" ca="1" si="2"/>
        <v>45383</v>
      </c>
      <c r="G1207" s="7"/>
    </row>
    <row r="1208" spans="1:7" x14ac:dyDescent="0.2">
      <c r="A1208" s="3">
        <f ca="1">IFERROR(__xludf.DUMMYFUNCTION("""COMPUTED_VALUE"""),4536)</f>
        <v>4536</v>
      </c>
      <c r="B1208" s="6">
        <f ca="1">IFERROR(__xludf.DUMMYFUNCTION("""COMPUTED_VALUE"""),45403.4458912037)</f>
        <v>45403.445891203701</v>
      </c>
      <c r="C1208" s="3" t="str">
        <f ca="1">IFERROR(__xludf.DUMMYFUNCTION("""COMPUTED_VALUE"""),"purchase")</f>
        <v>purchase</v>
      </c>
      <c r="D1208" s="6">
        <f t="shared" ca="1" si="0"/>
        <v>45403</v>
      </c>
      <c r="E1208" s="6">
        <f t="shared" ca="1" si="1"/>
        <v>45397</v>
      </c>
      <c r="F1208" s="6">
        <f t="shared" ca="1" si="2"/>
        <v>45383</v>
      </c>
      <c r="G1208" s="7"/>
    </row>
    <row r="1209" spans="1:7" x14ac:dyDescent="0.2">
      <c r="A1209" s="3">
        <f ca="1">IFERROR(__xludf.DUMMYFUNCTION("""COMPUTED_VALUE"""),2843)</f>
        <v>2843</v>
      </c>
      <c r="B1209" s="6">
        <f ca="1">IFERROR(__xludf.DUMMYFUNCTION("""COMPUTED_VALUE"""),45403.632511574)</f>
        <v>45403.632511573996</v>
      </c>
      <c r="C1209" s="3" t="str">
        <f ca="1">IFERROR(__xludf.DUMMYFUNCTION("""COMPUTED_VALUE"""),"purchase")</f>
        <v>purchase</v>
      </c>
      <c r="D1209" s="6">
        <f t="shared" ca="1" si="0"/>
        <v>45403</v>
      </c>
      <c r="E1209" s="6">
        <f t="shared" ca="1" si="1"/>
        <v>45397</v>
      </c>
      <c r="F1209" s="6">
        <f t="shared" ca="1" si="2"/>
        <v>45383</v>
      </c>
      <c r="G1209" s="7"/>
    </row>
    <row r="1210" spans="1:7" x14ac:dyDescent="0.2">
      <c r="A1210" s="3">
        <f ca="1">IFERROR(__xludf.DUMMYFUNCTION("""COMPUTED_VALUE"""),18)</f>
        <v>18</v>
      </c>
      <c r="B1210" s="6">
        <f ca="1">IFERROR(__xludf.DUMMYFUNCTION("""COMPUTED_VALUE"""),45403.6368055555)</f>
        <v>45403.636805555499</v>
      </c>
      <c r="C1210" s="3" t="str">
        <f ca="1">IFERROR(__xludf.DUMMYFUNCTION("""COMPUTED_VALUE"""),"purchase")</f>
        <v>purchase</v>
      </c>
      <c r="D1210" s="6">
        <f t="shared" ca="1" si="0"/>
        <v>45403</v>
      </c>
      <c r="E1210" s="6">
        <f t="shared" ca="1" si="1"/>
        <v>45397</v>
      </c>
      <c r="F1210" s="6">
        <f t="shared" ca="1" si="2"/>
        <v>45383</v>
      </c>
      <c r="G1210" s="7"/>
    </row>
    <row r="1211" spans="1:7" x14ac:dyDescent="0.2">
      <c r="A1211" s="3">
        <f ca="1">IFERROR(__xludf.DUMMYFUNCTION("""COMPUTED_VALUE"""),5131)</f>
        <v>5131</v>
      </c>
      <c r="B1211" s="6">
        <f ca="1">IFERROR(__xludf.DUMMYFUNCTION("""COMPUTED_VALUE"""),45403.7482986111)</f>
        <v>45403.748298611099</v>
      </c>
      <c r="C1211" s="3" t="str">
        <f ca="1">IFERROR(__xludf.DUMMYFUNCTION("""COMPUTED_VALUE"""),"purchase")</f>
        <v>purchase</v>
      </c>
      <c r="D1211" s="6">
        <f t="shared" ca="1" si="0"/>
        <v>45403</v>
      </c>
      <c r="E1211" s="6">
        <f t="shared" ca="1" si="1"/>
        <v>45397</v>
      </c>
      <c r="F1211" s="6">
        <f t="shared" ca="1" si="2"/>
        <v>45383</v>
      </c>
      <c r="G1211" s="7"/>
    </row>
    <row r="1212" spans="1:7" x14ac:dyDescent="0.2">
      <c r="A1212" s="3">
        <f ca="1">IFERROR(__xludf.DUMMYFUNCTION("""COMPUTED_VALUE"""),2756)</f>
        <v>2756</v>
      </c>
      <c r="B1212" s="6">
        <f ca="1">IFERROR(__xludf.DUMMYFUNCTION("""COMPUTED_VALUE"""),45403.817824074)</f>
        <v>45403.817824074002</v>
      </c>
      <c r="C1212" s="3" t="str">
        <f ca="1">IFERROR(__xludf.DUMMYFUNCTION("""COMPUTED_VALUE"""),"purchase")</f>
        <v>purchase</v>
      </c>
      <c r="D1212" s="6">
        <f t="shared" ca="1" si="0"/>
        <v>45403</v>
      </c>
      <c r="E1212" s="6">
        <f t="shared" ca="1" si="1"/>
        <v>45397</v>
      </c>
      <c r="F1212" s="6">
        <f t="shared" ca="1" si="2"/>
        <v>45383</v>
      </c>
      <c r="G1212" s="7"/>
    </row>
    <row r="1213" spans="1:7" x14ac:dyDescent="0.2">
      <c r="A1213" s="3">
        <f ca="1">IFERROR(__xludf.DUMMYFUNCTION("""COMPUTED_VALUE"""),6677)</f>
        <v>6677</v>
      </c>
      <c r="B1213" s="6">
        <f ca="1">IFERROR(__xludf.DUMMYFUNCTION("""COMPUTED_VALUE"""),45403.8720717592)</f>
        <v>45403.8720717592</v>
      </c>
      <c r="C1213" s="3" t="str">
        <f ca="1">IFERROR(__xludf.DUMMYFUNCTION("""COMPUTED_VALUE"""),"purchase")</f>
        <v>purchase</v>
      </c>
      <c r="D1213" s="6">
        <f t="shared" ca="1" si="0"/>
        <v>45403</v>
      </c>
      <c r="E1213" s="6">
        <f t="shared" ca="1" si="1"/>
        <v>45397</v>
      </c>
      <c r="F1213" s="6">
        <f t="shared" ca="1" si="2"/>
        <v>45383</v>
      </c>
      <c r="G1213" s="7"/>
    </row>
    <row r="1214" spans="1:7" x14ac:dyDescent="0.2">
      <c r="A1214" s="3">
        <f ca="1">IFERROR(__xludf.DUMMYFUNCTION("""COMPUTED_VALUE"""),4324)</f>
        <v>4324</v>
      </c>
      <c r="B1214" s="6">
        <f ca="1">IFERROR(__xludf.DUMMYFUNCTION("""COMPUTED_VALUE"""),45403.8774421296)</f>
        <v>45403.877442129597</v>
      </c>
      <c r="C1214" s="3" t="str">
        <f ca="1">IFERROR(__xludf.DUMMYFUNCTION("""COMPUTED_VALUE"""),"purchase")</f>
        <v>purchase</v>
      </c>
      <c r="D1214" s="6">
        <f t="shared" ca="1" si="0"/>
        <v>45403</v>
      </c>
      <c r="E1214" s="6">
        <f t="shared" ca="1" si="1"/>
        <v>45397</v>
      </c>
      <c r="F1214" s="6">
        <f t="shared" ca="1" si="2"/>
        <v>45383</v>
      </c>
      <c r="G1214" s="7"/>
    </row>
    <row r="1215" spans="1:7" x14ac:dyDescent="0.2">
      <c r="A1215" s="3">
        <f ca="1">IFERROR(__xludf.DUMMYFUNCTION("""COMPUTED_VALUE"""),2265)</f>
        <v>2265</v>
      </c>
      <c r="B1215" s="6">
        <f ca="1">IFERROR(__xludf.DUMMYFUNCTION("""COMPUTED_VALUE"""),45403.9060879629)</f>
        <v>45403.906087962903</v>
      </c>
      <c r="C1215" s="3" t="str">
        <f ca="1">IFERROR(__xludf.DUMMYFUNCTION("""COMPUTED_VALUE"""),"purchase")</f>
        <v>purchase</v>
      </c>
      <c r="D1215" s="6">
        <f t="shared" ca="1" si="0"/>
        <v>45403</v>
      </c>
      <c r="E1215" s="6">
        <f t="shared" ca="1" si="1"/>
        <v>45397</v>
      </c>
      <c r="F1215" s="6">
        <f t="shared" ca="1" si="2"/>
        <v>45383</v>
      </c>
      <c r="G1215" s="7"/>
    </row>
    <row r="1216" spans="1:7" x14ac:dyDescent="0.2">
      <c r="A1216" s="3">
        <f ca="1">IFERROR(__xludf.DUMMYFUNCTION("""COMPUTED_VALUE"""),1570)</f>
        <v>1570</v>
      </c>
      <c r="B1216" s="6">
        <f ca="1">IFERROR(__xludf.DUMMYFUNCTION("""COMPUTED_VALUE"""),45403.9746064814)</f>
        <v>45403.974606481403</v>
      </c>
      <c r="C1216" s="3" t="str">
        <f ca="1">IFERROR(__xludf.DUMMYFUNCTION("""COMPUTED_VALUE"""),"purchase")</f>
        <v>purchase</v>
      </c>
      <c r="D1216" s="6">
        <f t="shared" ca="1" si="0"/>
        <v>45403</v>
      </c>
      <c r="E1216" s="6">
        <f t="shared" ca="1" si="1"/>
        <v>45397</v>
      </c>
      <c r="F1216" s="6">
        <f t="shared" ca="1" si="2"/>
        <v>45383</v>
      </c>
      <c r="G1216" s="7"/>
    </row>
    <row r="1217" spans="1:7" x14ac:dyDescent="0.2">
      <c r="A1217" s="3">
        <f ca="1">IFERROR(__xludf.DUMMYFUNCTION("""COMPUTED_VALUE"""),5618)</f>
        <v>5618</v>
      </c>
      <c r="B1217" s="6">
        <f ca="1">IFERROR(__xludf.DUMMYFUNCTION("""COMPUTED_VALUE"""),45404.0027430555)</f>
        <v>45404.002743055498</v>
      </c>
      <c r="C1217" s="3" t="str">
        <f ca="1">IFERROR(__xludf.DUMMYFUNCTION("""COMPUTED_VALUE"""),"purchase")</f>
        <v>purchase</v>
      </c>
      <c r="D1217" s="6">
        <f t="shared" ca="1" si="0"/>
        <v>45404</v>
      </c>
      <c r="E1217" s="6">
        <f t="shared" ca="1" si="1"/>
        <v>45404</v>
      </c>
      <c r="F1217" s="6">
        <f t="shared" ca="1" si="2"/>
        <v>45383</v>
      </c>
      <c r="G1217" s="7"/>
    </row>
    <row r="1218" spans="1:7" x14ac:dyDescent="0.2">
      <c r="A1218" s="3">
        <f ca="1">IFERROR(__xludf.DUMMYFUNCTION("""COMPUTED_VALUE"""),1019)</f>
        <v>1019</v>
      </c>
      <c r="B1218" s="6">
        <f ca="1">IFERROR(__xludf.DUMMYFUNCTION("""COMPUTED_VALUE"""),45404.0032523148)</f>
        <v>45404.003252314797</v>
      </c>
      <c r="C1218" s="3" t="str">
        <f ca="1">IFERROR(__xludf.DUMMYFUNCTION("""COMPUTED_VALUE"""),"purchase")</f>
        <v>purchase</v>
      </c>
      <c r="D1218" s="6">
        <f t="shared" ca="1" si="0"/>
        <v>45404</v>
      </c>
      <c r="E1218" s="6">
        <f t="shared" ca="1" si="1"/>
        <v>45404</v>
      </c>
      <c r="F1218" s="6">
        <f t="shared" ca="1" si="2"/>
        <v>45383</v>
      </c>
      <c r="G1218" s="7"/>
    </row>
    <row r="1219" spans="1:7" x14ac:dyDescent="0.2">
      <c r="A1219" s="3">
        <f ca="1">IFERROR(__xludf.DUMMYFUNCTION("""COMPUTED_VALUE"""),2183)</f>
        <v>2183</v>
      </c>
      <c r="B1219" s="6">
        <f ca="1">IFERROR(__xludf.DUMMYFUNCTION("""COMPUTED_VALUE"""),45404.0656597222)</f>
        <v>45404.065659722197</v>
      </c>
      <c r="C1219" s="3" t="str">
        <f ca="1">IFERROR(__xludf.DUMMYFUNCTION("""COMPUTED_VALUE"""),"purchase")</f>
        <v>purchase</v>
      </c>
      <c r="D1219" s="6">
        <f t="shared" ca="1" si="0"/>
        <v>45404</v>
      </c>
      <c r="E1219" s="6">
        <f t="shared" ca="1" si="1"/>
        <v>45404</v>
      </c>
      <c r="F1219" s="6">
        <f t="shared" ca="1" si="2"/>
        <v>45383</v>
      </c>
      <c r="G1219" s="7"/>
    </row>
    <row r="1220" spans="1:7" x14ac:dyDescent="0.2">
      <c r="A1220" s="3">
        <f ca="1">IFERROR(__xludf.DUMMYFUNCTION("""COMPUTED_VALUE"""),6763)</f>
        <v>6763</v>
      </c>
      <c r="B1220" s="6">
        <f ca="1">IFERROR(__xludf.DUMMYFUNCTION("""COMPUTED_VALUE"""),45404.1177083333)</f>
        <v>45404.117708333302</v>
      </c>
      <c r="C1220" s="3" t="str">
        <f ca="1">IFERROR(__xludf.DUMMYFUNCTION("""COMPUTED_VALUE"""),"purchase")</f>
        <v>purchase</v>
      </c>
      <c r="D1220" s="6">
        <f t="shared" ca="1" si="0"/>
        <v>45404</v>
      </c>
      <c r="E1220" s="6">
        <f t="shared" ca="1" si="1"/>
        <v>45404</v>
      </c>
      <c r="F1220" s="6">
        <f t="shared" ca="1" si="2"/>
        <v>45383</v>
      </c>
      <c r="G1220" s="7"/>
    </row>
    <row r="1221" spans="1:7" x14ac:dyDescent="0.2">
      <c r="A1221" s="3">
        <f ca="1">IFERROR(__xludf.DUMMYFUNCTION("""COMPUTED_VALUE"""),1323)</f>
        <v>1323</v>
      </c>
      <c r="B1221" s="6">
        <f ca="1">IFERROR(__xludf.DUMMYFUNCTION("""COMPUTED_VALUE"""),45404.3717824073)</f>
        <v>45404.371782407397</v>
      </c>
      <c r="C1221" s="3" t="str">
        <f ca="1">IFERROR(__xludf.DUMMYFUNCTION("""COMPUTED_VALUE"""),"purchase")</f>
        <v>purchase</v>
      </c>
      <c r="D1221" s="6">
        <f t="shared" ca="1" si="0"/>
        <v>45404</v>
      </c>
      <c r="E1221" s="6">
        <f t="shared" ca="1" si="1"/>
        <v>45404</v>
      </c>
      <c r="F1221" s="6">
        <f t="shared" ca="1" si="2"/>
        <v>45383</v>
      </c>
      <c r="G1221" s="7"/>
    </row>
    <row r="1222" spans="1:7" x14ac:dyDescent="0.2">
      <c r="A1222" s="3">
        <f ca="1">IFERROR(__xludf.DUMMYFUNCTION("""COMPUTED_VALUE"""),2967)</f>
        <v>2967</v>
      </c>
      <c r="B1222" s="6">
        <f ca="1">IFERROR(__xludf.DUMMYFUNCTION("""COMPUTED_VALUE"""),45404.4620138888)</f>
        <v>45404.462013888799</v>
      </c>
      <c r="C1222" s="3" t="str">
        <f ca="1">IFERROR(__xludf.DUMMYFUNCTION("""COMPUTED_VALUE"""),"purchase")</f>
        <v>purchase</v>
      </c>
      <c r="D1222" s="6">
        <f t="shared" ca="1" si="0"/>
        <v>45404</v>
      </c>
      <c r="E1222" s="6">
        <f t="shared" ca="1" si="1"/>
        <v>45404</v>
      </c>
      <c r="F1222" s="6">
        <f t="shared" ca="1" si="2"/>
        <v>45383</v>
      </c>
      <c r="G1222" s="7"/>
    </row>
    <row r="1223" spans="1:7" x14ac:dyDescent="0.2">
      <c r="A1223" s="3">
        <f ca="1">IFERROR(__xludf.DUMMYFUNCTION("""COMPUTED_VALUE"""),1917)</f>
        <v>1917</v>
      </c>
      <c r="B1223" s="6">
        <f ca="1">IFERROR(__xludf.DUMMYFUNCTION("""COMPUTED_VALUE"""),45404.5194675925)</f>
        <v>45404.519467592501</v>
      </c>
      <c r="C1223" s="3" t="str">
        <f ca="1">IFERROR(__xludf.DUMMYFUNCTION("""COMPUTED_VALUE"""),"purchase")</f>
        <v>purchase</v>
      </c>
      <c r="D1223" s="6">
        <f t="shared" ca="1" si="0"/>
        <v>45404</v>
      </c>
      <c r="E1223" s="6">
        <f t="shared" ca="1" si="1"/>
        <v>45404</v>
      </c>
      <c r="F1223" s="6">
        <f t="shared" ca="1" si="2"/>
        <v>45383</v>
      </c>
      <c r="G1223" s="7"/>
    </row>
    <row r="1224" spans="1:7" x14ac:dyDescent="0.2">
      <c r="A1224" s="3">
        <f ca="1">IFERROR(__xludf.DUMMYFUNCTION("""COMPUTED_VALUE"""),4872)</f>
        <v>4872</v>
      </c>
      <c r="B1224" s="6">
        <f ca="1">IFERROR(__xludf.DUMMYFUNCTION("""COMPUTED_VALUE"""),45404.8183101851)</f>
        <v>45404.818310185103</v>
      </c>
      <c r="C1224" s="3" t="str">
        <f ca="1">IFERROR(__xludf.DUMMYFUNCTION("""COMPUTED_VALUE"""),"purchase")</f>
        <v>purchase</v>
      </c>
      <c r="D1224" s="6">
        <f t="shared" ca="1" si="0"/>
        <v>45404</v>
      </c>
      <c r="E1224" s="6">
        <f t="shared" ca="1" si="1"/>
        <v>45404</v>
      </c>
      <c r="F1224" s="6">
        <f t="shared" ca="1" si="2"/>
        <v>45383</v>
      </c>
      <c r="G1224" s="7"/>
    </row>
    <row r="1225" spans="1:7" x14ac:dyDescent="0.2">
      <c r="A1225" s="3">
        <f ca="1">IFERROR(__xludf.DUMMYFUNCTION("""COMPUTED_VALUE"""),6591)</f>
        <v>6591</v>
      </c>
      <c r="B1225" s="6">
        <f ca="1">IFERROR(__xludf.DUMMYFUNCTION("""COMPUTED_VALUE"""),45404.8816319444)</f>
        <v>45404.881631944401</v>
      </c>
      <c r="C1225" s="3" t="str">
        <f ca="1">IFERROR(__xludf.DUMMYFUNCTION("""COMPUTED_VALUE"""),"purchase")</f>
        <v>purchase</v>
      </c>
      <c r="D1225" s="6">
        <f t="shared" ca="1" si="0"/>
        <v>45404</v>
      </c>
      <c r="E1225" s="6">
        <f t="shared" ca="1" si="1"/>
        <v>45404</v>
      </c>
      <c r="F1225" s="6">
        <f t="shared" ca="1" si="2"/>
        <v>45383</v>
      </c>
      <c r="G1225" s="7"/>
    </row>
    <row r="1226" spans="1:7" x14ac:dyDescent="0.2">
      <c r="A1226" s="3">
        <f ca="1">IFERROR(__xludf.DUMMYFUNCTION("""COMPUTED_VALUE"""),5811)</f>
        <v>5811</v>
      </c>
      <c r="B1226" s="6">
        <f ca="1">IFERROR(__xludf.DUMMYFUNCTION("""COMPUTED_VALUE"""),45405.0191550925)</f>
        <v>45405.019155092501</v>
      </c>
      <c r="C1226" s="3" t="str">
        <f ca="1">IFERROR(__xludf.DUMMYFUNCTION("""COMPUTED_VALUE"""),"purchase")</f>
        <v>purchase</v>
      </c>
      <c r="D1226" s="6">
        <f t="shared" ca="1" si="0"/>
        <v>45405</v>
      </c>
      <c r="E1226" s="6">
        <f t="shared" ca="1" si="1"/>
        <v>45404</v>
      </c>
      <c r="F1226" s="6">
        <f t="shared" ca="1" si="2"/>
        <v>45383</v>
      </c>
      <c r="G1226" s="7"/>
    </row>
    <row r="1227" spans="1:7" x14ac:dyDescent="0.2">
      <c r="A1227" s="3">
        <f ca="1">IFERROR(__xludf.DUMMYFUNCTION("""COMPUTED_VALUE"""),3762)</f>
        <v>3762</v>
      </c>
      <c r="B1227" s="6">
        <f ca="1">IFERROR(__xludf.DUMMYFUNCTION("""COMPUTED_VALUE"""),45405.0486111111)</f>
        <v>45405.048611111102</v>
      </c>
      <c r="C1227" s="3" t="str">
        <f ca="1">IFERROR(__xludf.DUMMYFUNCTION("""COMPUTED_VALUE"""),"purchase")</f>
        <v>purchase</v>
      </c>
      <c r="D1227" s="6">
        <f t="shared" ca="1" si="0"/>
        <v>45405</v>
      </c>
      <c r="E1227" s="6">
        <f t="shared" ca="1" si="1"/>
        <v>45404</v>
      </c>
      <c r="F1227" s="6">
        <f t="shared" ca="1" si="2"/>
        <v>45383</v>
      </c>
      <c r="G1227" s="7"/>
    </row>
    <row r="1228" spans="1:7" x14ac:dyDescent="0.2">
      <c r="A1228" s="3">
        <f ca="1">IFERROR(__xludf.DUMMYFUNCTION("""COMPUTED_VALUE"""),1384)</f>
        <v>1384</v>
      </c>
      <c r="B1228" s="6">
        <f ca="1">IFERROR(__xludf.DUMMYFUNCTION("""COMPUTED_VALUE"""),45405.2111574074)</f>
        <v>45405.211157407401</v>
      </c>
      <c r="C1228" s="3" t="str">
        <f ca="1">IFERROR(__xludf.DUMMYFUNCTION("""COMPUTED_VALUE"""),"purchase")</f>
        <v>purchase</v>
      </c>
      <c r="D1228" s="6">
        <f t="shared" ca="1" si="0"/>
        <v>45405</v>
      </c>
      <c r="E1228" s="6">
        <f t="shared" ca="1" si="1"/>
        <v>45404</v>
      </c>
      <c r="F1228" s="6">
        <f t="shared" ca="1" si="2"/>
        <v>45383</v>
      </c>
      <c r="G1228" s="7"/>
    </row>
    <row r="1229" spans="1:7" x14ac:dyDescent="0.2">
      <c r="A1229" s="3">
        <f ca="1">IFERROR(__xludf.DUMMYFUNCTION("""COMPUTED_VALUE"""),458)</f>
        <v>458</v>
      </c>
      <c r="B1229" s="6">
        <f ca="1">IFERROR(__xludf.DUMMYFUNCTION("""COMPUTED_VALUE"""),45405.2249189814)</f>
        <v>45405.224918981403</v>
      </c>
      <c r="C1229" s="3" t="str">
        <f ca="1">IFERROR(__xludf.DUMMYFUNCTION("""COMPUTED_VALUE"""),"purchase")</f>
        <v>purchase</v>
      </c>
      <c r="D1229" s="6">
        <f t="shared" ca="1" si="0"/>
        <v>45405</v>
      </c>
      <c r="E1229" s="6">
        <f t="shared" ca="1" si="1"/>
        <v>45404</v>
      </c>
      <c r="F1229" s="6">
        <f t="shared" ca="1" si="2"/>
        <v>45383</v>
      </c>
      <c r="G1229" s="7"/>
    </row>
    <row r="1230" spans="1:7" x14ac:dyDescent="0.2">
      <c r="A1230" s="3">
        <f ca="1">IFERROR(__xludf.DUMMYFUNCTION("""COMPUTED_VALUE"""),7956)</f>
        <v>7956</v>
      </c>
      <c r="B1230" s="6">
        <f ca="1">IFERROR(__xludf.DUMMYFUNCTION("""COMPUTED_VALUE"""),45405.2725462963)</f>
        <v>45405.272546296299</v>
      </c>
      <c r="C1230" s="3" t="str">
        <f ca="1">IFERROR(__xludf.DUMMYFUNCTION("""COMPUTED_VALUE"""),"purchase")</f>
        <v>purchase</v>
      </c>
      <c r="D1230" s="6">
        <f t="shared" ca="1" si="0"/>
        <v>45405</v>
      </c>
      <c r="E1230" s="6">
        <f t="shared" ca="1" si="1"/>
        <v>45404</v>
      </c>
      <c r="F1230" s="6">
        <f t="shared" ca="1" si="2"/>
        <v>45383</v>
      </c>
      <c r="G1230" s="7"/>
    </row>
    <row r="1231" spans="1:7" x14ac:dyDescent="0.2">
      <c r="A1231" s="3">
        <f ca="1">IFERROR(__xludf.DUMMYFUNCTION("""COMPUTED_VALUE"""),4234)</f>
        <v>4234</v>
      </c>
      <c r="B1231" s="6">
        <f ca="1">IFERROR(__xludf.DUMMYFUNCTION("""COMPUTED_VALUE"""),45405.3988425925)</f>
        <v>45405.398842592498</v>
      </c>
      <c r="C1231" s="3" t="str">
        <f ca="1">IFERROR(__xludf.DUMMYFUNCTION("""COMPUTED_VALUE"""),"purchase")</f>
        <v>purchase</v>
      </c>
      <c r="D1231" s="6">
        <f t="shared" ca="1" si="0"/>
        <v>45405</v>
      </c>
      <c r="E1231" s="6">
        <f t="shared" ca="1" si="1"/>
        <v>45404</v>
      </c>
      <c r="F1231" s="6">
        <f t="shared" ca="1" si="2"/>
        <v>45383</v>
      </c>
      <c r="G1231" s="7"/>
    </row>
    <row r="1232" spans="1:7" x14ac:dyDescent="0.2">
      <c r="A1232" s="3">
        <f ca="1">IFERROR(__xludf.DUMMYFUNCTION("""COMPUTED_VALUE"""),6774)</f>
        <v>6774</v>
      </c>
      <c r="B1232" s="6">
        <f ca="1">IFERROR(__xludf.DUMMYFUNCTION("""COMPUTED_VALUE"""),45405.4410300925)</f>
        <v>45405.441030092501</v>
      </c>
      <c r="C1232" s="3" t="str">
        <f ca="1">IFERROR(__xludf.DUMMYFUNCTION("""COMPUTED_VALUE"""),"purchase")</f>
        <v>purchase</v>
      </c>
      <c r="D1232" s="6">
        <f t="shared" ca="1" si="0"/>
        <v>45405</v>
      </c>
      <c r="E1232" s="6">
        <f t="shared" ca="1" si="1"/>
        <v>45404</v>
      </c>
      <c r="F1232" s="6">
        <f t="shared" ca="1" si="2"/>
        <v>45383</v>
      </c>
      <c r="G1232" s="7"/>
    </row>
    <row r="1233" spans="1:7" x14ac:dyDescent="0.2">
      <c r="A1233" s="3">
        <f ca="1">IFERROR(__xludf.DUMMYFUNCTION("""COMPUTED_VALUE"""),6416)</f>
        <v>6416</v>
      </c>
      <c r="B1233" s="6">
        <f ca="1">IFERROR(__xludf.DUMMYFUNCTION("""COMPUTED_VALUE"""),45405.6444791666)</f>
        <v>45405.6444791666</v>
      </c>
      <c r="C1233" s="3" t="str">
        <f ca="1">IFERROR(__xludf.DUMMYFUNCTION("""COMPUTED_VALUE"""),"purchase")</f>
        <v>purchase</v>
      </c>
      <c r="D1233" s="6">
        <f t="shared" ca="1" si="0"/>
        <v>45405</v>
      </c>
      <c r="E1233" s="6">
        <f t="shared" ca="1" si="1"/>
        <v>45404</v>
      </c>
      <c r="F1233" s="6">
        <f t="shared" ca="1" si="2"/>
        <v>45383</v>
      </c>
      <c r="G1233" s="7"/>
    </row>
    <row r="1234" spans="1:7" x14ac:dyDescent="0.2">
      <c r="A1234" s="3">
        <f ca="1">IFERROR(__xludf.DUMMYFUNCTION("""COMPUTED_VALUE"""),446)</f>
        <v>446</v>
      </c>
      <c r="B1234" s="6">
        <f ca="1">IFERROR(__xludf.DUMMYFUNCTION("""COMPUTED_VALUE"""),45405.6448379629)</f>
        <v>45405.6448379629</v>
      </c>
      <c r="C1234" s="3" t="str">
        <f ca="1">IFERROR(__xludf.DUMMYFUNCTION("""COMPUTED_VALUE"""),"purchase")</f>
        <v>purchase</v>
      </c>
      <c r="D1234" s="6">
        <f t="shared" ca="1" si="0"/>
        <v>45405</v>
      </c>
      <c r="E1234" s="6">
        <f t="shared" ca="1" si="1"/>
        <v>45404</v>
      </c>
      <c r="F1234" s="6">
        <f t="shared" ca="1" si="2"/>
        <v>45383</v>
      </c>
      <c r="G1234" s="7"/>
    </row>
    <row r="1235" spans="1:7" x14ac:dyDescent="0.2">
      <c r="A1235" s="3">
        <f ca="1">IFERROR(__xludf.DUMMYFUNCTION("""COMPUTED_VALUE"""),4018)</f>
        <v>4018</v>
      </c>
      <c r="B1235" s="6">
        <f ca="1">IFERROR(__xludf.DUMMYFUNCTION("""COMPUTED_VALUE"""),45405.6823726851)</f>
        <v>45405.6823726851</v>
      </c>
      <c r="C1235" s="3" t="str">
        <f ca="1">IFERROR(__xludf.DUMMYFUNCTION("""COMPUTED_VALUE"""),"purchase")</f>
        <v>purchase</v>
      </c>
      <c r="D1235" s="6">
        <f t="shared" ca="1" si="0"/>
        <v>45405</v>
      </c>
      <c r="E1235" s="6">
        <f t="shared" ca="1" si="1"/>
        <v>45404</v>
      </c>
      <c r="F1235" s="6">
        <f t="shared" ca="1" si="2"/>
        <v>45383</v>
      </c>
      <c r="G1235" s="7"/>
    </row>
    <row r="1236" spans="1:7" x14ac:dyDescent="0.2">
      <c r="A1236" s="3">
        <f ca="1">IFERROR(__xludf.DUMMYFUNCTION("""COMPUTED_VALUE"""),2454)</f>
        <v>2454</v>
      </c>
      <c r="B1236" s="6">
        <f ca="1">IFERROR(__xludf.DUMMYFUNCTION("""COMPUTED_VALUE"""),45405.6884837962)</f>
        <v>45405.688483796199</v>
      </c>
      <c r="C1236" s="3" t="str">
        <f ca="1">IFERROR(__xludf.DUMMYFUNCTION("""COMPUTED_VALUE"""),"purchase")</f>
        <v>purchase</v>
      </c>
      <c r="D1236" s="6">
        <f t="shared" ca="1" si="0"/>
        <v>45405</v>
      </c>
      <c r="E1236" s="6">
        <f t="shared" ca="1" si="1"/>
        <v>45404</v>
      </c>
      <c r="F1236" s="6">
        <f t="shared" ca="1" si="2"/>
        <v>45383</v>
      </c>
      <c r="G1236" s="7"/>
    </row>
    <row r="1237" spans="1:7" x14ac:dyDescent="0.2">
      <c r="A1237" s="3">
        <f ca="1">IFERROR(__xludf.DUMMYFUNCTION("""COMPUTED_VALUE"""),3860)</f>
        <v>3860</v>
      </c>
      <c r="B1237" s="6">
        <f ca="1">IFERROR(__xludf.DUMMYFUNCTION("""COMPUTED_VALUE"""),45405.6922800925)</f>
        <v>45405.692280092502</v>
      </c>
      <c r="C1237" s="3" t="str">
        <f ca="1">IFERROR(__xludf.DUMMYFUNCTION("""COMPUTED_VALUE"""),"purchase")</f>
        <v>purchase</v>
      </c>
      <c r="D1237" s="6">
        <f t="shared" ca="1" si="0"/>
        <v>45405</v>
      </c>
      <c r="E1237" s="6">
        <f t="shared" ca="1" si="1"/>
        <v>45404</v>
      </c>
      <c r="F1237" s="6">
        <f t="shared" ca="1" si="2"/>
        <v>45383</v>
      </c>
      <c r="G1237" s="7"/>
    </row>
    <row r="1238" spans="1:7" x14ac:dyDescent="0.2">
      <c r="A1238" s="3">
        <f ca="1">IFERROR(__xludf.DUMMYFUNCTION("""COMPUTED_VALUE"""),7069)</f>
        <v>7069</v>
      </c>
      <c r="B1238" s="6">
        <f ca="1">IFERROR(__xludf.DUMMYFUNCTION("""COMPUTED_VALUE"""),45405.7076388888)</f>
        <v>45405.707638888802</v>
      </c>
      <c r="C1238" s="3" t="str">
        <f ca="1">IFERROR(__xludf.DUMMYFUNCTION("""COMPUTED_VALUE"""),"purchase")</f>
        <v>purchase</v>
      </c>
      <c r="D1238" s="6">
        <f t="shared" ca="1" si="0"/>
        <v>45405</v>
      </c>
      <c r="E1238" s="6">
        <f t="shared" ca="1" si="1"/>
        <v>45404</v>
      </c>
      <c r="F1238" s="6">
        <f t="shared" ca="1" si="2"/>
        <v>45383</v>
      </c>
      <c r="G1238" s="7"/>
    </row>
    <row r="1239" spans="1:7" x14ac:dyDescent="0.2">
      <c r="A1239" s="3">
        <f ca="1">IFERROR(__xludf.DUMMYFUNCTION("""COMPUTED_VALUE"""),6735)</f>
        <v>6735</v>
      </c>
      <c r="B1239" s="6">
        <f ca="1">IFERROR(__xludf.DUMMYFUNCTION("""COMPUTED_VALUE"""),45405.7214004629)</f>
        <v>45405.721400462899</v>
      </c>
      <c r="C1239" s="3" t="str">
        <f ca="1">IFERROR(__xludf.DUMMYFUNCTION("""COMPUTED_VALUE"""),"purchase")</f>
        <v>purchase</v>
      </c>
      <c r="D1239" s="6">
        <f t="shared" ca="1" si="0"/>
        <v>45405</v>
      </c>
      <c r="E1239" s="6">
        <f t="shared" ca="1" si="1"/>
        <v>45404</v>
      </c>
      <c r="F1239" s="6">
        <f t="shared" ca="1" si="2"/>
        <v>45383</v>
      </c>
      <c r="G1239" s="7"/>
    </row>
    <row r="1240" spans="1:7" x14ac:dyDescent="0.2">
      <c r="A1240" s="3">
        <f ca="1">IFERROR(__xludf.DUMMYFUNCTION("""COMPUTED_VALUE"""),1935)</f>
        <v>1935</v>
      </c>
      <c r="B1240" s="6">
        <f ca="1">IFERROR(__xludf.DUMMYFUNCTION("""COMPUTED_VALUE"""),45405.8032060185)</f>
        <v>45405.8032060185</v>
      </c>
      <c r="C1240" s="3" t="str">
        <f ca="1">IFERROR(__xludf.DUMMYFUNCTION("""COMPUTED_VALUE"""),"purchase")</f>
        <v>purchase</v>
      </c>
      <c r="D1240" s="6">
        <f t="shared" ca="1" si="0"/>
        <v>45405</v>
      </c>
      <c r="E1240" s="6">
        <f t="shared" ca="1" si="1"/>
        <v>45404</v>
      </c>
      <c r="F1240" s="6">
        <f t="shared" ca="1" si="2"/>
        <v>45383</v>
      </c>
      <c r="G1240" s="7"/>
    </row>
    <row r="1241" spans="1:7" x14ac:dyDescent="0.2">
      <c r="A1241" s="3">
        <f ca="1">IFERROR(__xludf.DUMMYFUNCTION("""COMPUTED_VALUE"""),416)</f>
        <v>416</v>
      </c>
      <c r="B1241" s="6">
        <f ca="1">IFERROR(__xludf.DUMMYFUNCTION("""COMPUTED_VALUE"""),45405.8659259259)</f>
        <v>45405.8659259259</v>
      </c>
      <c r="C1241" s="3" t="str">
        <f ca="1">IFERROR(__xludf.DUMMYFUNCTION("""COMPUTED_VALUE"""),"purchase")</f>
        <v>purchase</v>
      </c>
      <c r="D1241" s="6">
        <f t="shared" ca="1" si="0"/>
        <v>45405</v>
      </c>
      <c r="E1241" s="6">
        <f t="shared" ca="1" si="1"/>
        <v>45404</v>
      </c>
      <c r="F1241" s="6">
        <f t="shared" ca="1" si="2"/>
        <v>45383</v>
      </c>
      <c r="G1241" s="7"/>
    </row>
    <row r="1242" spans="1:7" x14ac:dyDescent="0.2">
      <c r="A1242" s="3">
        <f ca="1">IFERROR(__xludf.DUMMYFUNCTION("""COMPUTED_VALUE"""),4929)</f>
        <v>4929</v>
      </c>
      <c r="B1242" s="6">
        <f ca="1">IFERROR(__xludf.DUMMYFUNCTION("""COMPUTED_VALUE"""),45406.118136574)</f>
        <v>45406.118136573998</v>
      </c>
      <c r="C1242" s="3" t="str">
        <f ca="1">IFERROR(__xludf.DUMMYFUNCTION("""COMPUTED_VALUE"""),"purchase")</f>
        <v>purchase</v>
      </c>
      <c r="D1242" s="6">
        <f t="shared" ca="1" si="0"/>
        <v>45406</v>
      </c>
      <c r="E1242" s="6">
        <f t="shared" ca="1" si="1"/>
        <v>45404</v>
      </c>
      <c r="F1242" s="6">
        <f t="shared" ca="1" si="2"/>
        <v>45383</v>
      </c>
      <c r="G1242" s="7"/>
    </row>
    <row r="1243" spans="1:7" x14ac:dyDescent="0.2">
      <c r="A1243" s="3">
        <f ca="1">IFERROR(__xludf.DUMMYFUNCTION("""COMPUTED_VALUE"""),2112)</f>
        <v>2112</v>
      </c>
      <c r="B1243" s="6">
        <f ca="1">IFERROR(__xludf.DUMMYFUNCTION("""COMPUTED_VALUE"""),45406.1204282407)</f>
        <v>45406.120428240698</v>
      </c>
      <c r="C1243" s="3" t="str">
        <f ca="1">IFERROR(__xludf.DUMMYFUNCTION("""COMPUTED_VALUE"""),"purchase")</f>
        <v>purchase</v>
      </c>
      <c r="D1243" s="6">
        <f t="shared" ca="1" si="0"/>
        <v>45406</v>
      </c>
      <c r="E1243" s="6">
        <f t="shared" ca="1" si="1"/>
        <v>45404</v>
      </c>
      <c r="F1243" s="6">
        <f t="shared" ca="1" si="2"/>
        <v>45383</v>
      </c>
      <c r="G1243" s="7"/>
    </row>
    <row r="1244" spans="1:7" x14ac:dyDescent="0.2">
      <c r="A1244" s="3">
        <f ca="1">IFERROR(__xludf.DUMMYFUNCTION("""COMPUTED_VALUE"""),7083)</f>
        <v>7083</v>
      </c>
      <c r="B1244" s="6">
        <f ca="1">IFERROR(__xludf.DUMMYFUNCTION("""COMPUTED_VALUE"""),45406.2210300925)</f>
        <v>45406.2210300925</v>
      </c>
      <c r="C1244" s="3" t="str">
        <f ca="1">IFERROR(__xludf.DUMMYFUNCTION("""COMPUTED_VALUE"""),"purchase")</f>
        <v>purchase</v>
      </c>
      <c r="D1244" s="6">
        <f t="shared" ca="1" si="0"/>
        <v>45406</v>
      </c>
      <c r="E1244" s="6">
        <f t="shared" ca="1" si="1"/>
        <v>45404</v>
      </c>
      <c r="F1244" s="6">
        <f t="shared" ca="1" si="2"/>
        <v>45383</v>
      </c>
      <c r="G1244" s="7"/>
    </row>
    <row r="1245" spans="1:7" x14ac:dyDescent="0.2">
      <c r="A1245" s="3">
        <f ca="1">IFERROR(__xludf.DUMMYFUNCTION("""COMPUTED_VALUE"""),2971)</f>
        <v>2971</v>
      </c>
      <c r="B1245" s="6">
        <f ca="1">IFERROR(__xludf.DUMMYFUNCTION("""COMPUTED_VALUE"""),45406.2487152777)</f>
        <v>45406.248715277703</v>
      </c>
      <c r="C1245" s="3" t="str">
        <f ca="1">IFERROR(__xludf.DUMMYFUNCTION("""COMPUTED_VALUE"""),"purchase")</f>
        <v>purchase</v>
      </c>
      <c r="D1245" s="6">
        <f t="shared" ca="1" si="0"/>
        <v>45406</v>
      </c>
      <c r="E1245" s="6">
        <f t="shared" ca="1" si="1"/>
        <v>45404</v>
      </c>
      <c r="F1245" s="6">
        <f t="shared" ca="1" si="2"/>
        <v>45383</v>
      </c>
      <c r="G1245" s="7"/>
    </row>
    <row r="1246" spans="1:7" x14ac:dyDescent="0.2">
      <c r="A1246" s="3">
        <f ca="1">IFERROR(__xludf.DUMMYFUNCTION("""COMPUTED_VALUE"""),4465)</f>
        <v>4465</v>
      </c>
      <c r="B1246" s="6">
        <f ca="1">IFERROR(__xludf.DUMMYFUNCTION("""COMPUTED_VALUE"""),45406.2814930555)</f>
        <v>45406.281493055503</v>
      </c>
      <c r="C1246" s="3" t="str">
        <f ca="1">IFERROR(__xludf.DUMMYFUNCTION("""COMPUTED_VALUE"""),"purchase")</f>
        <v>purchase</v>
      </c>
      <c r="D1246" s="6">
        <f t="shared" ca="1" si="0"/>
        <v>45406</v>
      </c>
      <c r="E1246" s="6">
        <f t="shared" ca="1" si="1"/>
        <v>45404</v>
      </c>
      <c r="F1246" s="6">
        <f t="shared" ca="1" si="2"/>
        <v>45383</v>
      </c>
      <c r="G1246" s="7"/>
    </row>
    <row r="1247" spans="1:7" x14ac:dyDescent="0.2">
      <c r="A1247" s="3">
        <f ca="1">IFERROR(__xludf.DUMMYFUNCTION("""COMPUTED_VALUE"""),5130)</f>
        <v>5130</v>
      </c>
      <c r="B1247" s="6">
        <f ca="1">IFERROR(__xludf.DUMMYFUNCTION("""COMPUTED_VALUE"""),45406.3481134259)</f>
        <v>45406.348113425898</v>
      </c>
      <c r="C1247" s="3" t="str">
        <f ca="1">IFERROR(__xludf.DUMMYFUNCTION("""COMPUTED_VALUE"""),"purchase")</f>
        <v>purchase</v>
      </c>
      <c r="D1247" s="6">
        <f t="shared" ca="1" si="0"/>
        <v>45406</v>
      </c>
      <c r="E1247" s="6">
        <f t="shared" ca="1" si="1"/>
        <v>45404</v>
      </c>
      <c r="F1247" s="6">
        <f t="shared" ca="1" si="2"/>
        <v>45383</v>
      </c>
      <c r="G1247" s="7"/>
    </row>
    <row r="1248" spans="1:7" x14ac:dyDescent="0.2">
      <c r="A1248" s="3">
        <f ca="1">IFERROR(__xludf.DUMMYFUNCTION("""COMPUTED_VALUE"""),6961)</f>
        <v>6961</v>
      </c>
      <c r="B1248" s="6">
        <f ca="1">IFERROR(__xludf.DUMMYFUNCTION("""COMPUTED_VALUE"""),45406.4525231481)</f>
        <v>45406.452523148102</v>
      </c>
      <c r="C1248" s="3" t="str">
        <f ca="1">IFERROR(__xludf.DUMMYFUNCTION("""COMPUTED_VALUE"""),"purchase")</f>
        <v>purchase</v>
      </c>
      <c r="D1248" s="6">
        <f t="shared" ca="1" si="0"/>
        <v>45406</v>
      </c>
      <c r="E1248" s="6">
        <f t="shared" ca="1" si="1"/>
        <v>45404</v>
      </c>
      <c r="F1248" s="6">
        <f t="shared" ca="1" si="2"/>
        <v>45383</v>
      </c>
      <c r="G1248" s="7"/>
    </row>
    <row r="1249" spans="1:7" x14ac:dyDescent="0.2">
      <c r="A1249" s="3">
        <f ca="1">IFERROR(__xludf.DUMMYFUNCTION("""COMPUTED_VALUE"""),4546)</f>
        <v>4546</v>
      </c>
      <c r="B1249" s="6">
        <f ca="1">IFERROR(__xludf.DUMMYFUNCTION("""COMPUTED_VALUE"""),45406.4721180555)</f>
        <v>45406.472118055499</v>
      </c>
      <c r="C1249" s="3" t="str">
        <f ca="1">IFERROR(__xludf.DUMMYFUNCTION("""COMPUTED_VALUE"""),"purchase")</f>
        <v>purchase</v>
      </c>
      <c r="D1249" s="6">
        <f t="shared" ca="1" si="0"/>
        <v>45406</v>
      </c>
      <c r="E1249" s="6">
        <f t="shared" ca="1" si="1"/>
        <v>45404</v>
      </c>
      <c r="F1249" s="6">
        <f t="shared" ca="1" si="2"/>
        <v>45383</v>
      </c>
      <c r="G1249" s="7"/>
    </row>
    <row r="1250" spans="1:7" x14ac:dyDescent="0.2">
      <c r="A1250" s="3">
        <f ca="1">IFERROR(__xludf.DUMMYFUNCTION("""COMPUTED_VALUE"""),3133)</f>
        <v>3133</v>
      </c>
      <c r="B1250" s="6">
        <f ca="1">IFERROR(__xludf.DUMMYFUNCTION("""COMPUTED_VALUE"""),45406.6102893518)</f>
        <v>45406.610289351796</v>
      </c>
      <c r="C1250" s="3" t="str">
        <f ca="1">IFERROR(__xludf.DUMMYFUNCTION("""COMPUTED_VALUE"""),"purchase")</f>
        <v>purchase</v>
      </c>
      <c r="D1250" s="6">
        <f t="shared" ca="1" si="0"/>
        <v>45406</v>
      </c>
      <c r="E1250" s="6">
        <f t="shared" ca="1" si="1"/>
        <v>45404</v>
      </c>
      <c r="F1250" s="6">
        <f t="shared" ca="1" si="2"/>
        <v>45383</v>
      </c>
      <c r="G1250" s="7"/>
    </row>
    <row r="1251" spans="1:7" x14ac:dyDescent="0.2">
      <c r="A1251" s="3">
        <f ca="1">IFERROR(__xludf.DUMMYFUNCTION("""COMPUTED_VALUE"""),4825)</f>
        <v>4825</v>
      </c>
      <c r="B1251" s="6">
        <f ca="1">IFERROR(__xludf.DUMMYFUNCTION("""COMPUTED_VALUE"""),45406.6953587963)</f>
        <v>45406.6953587963</v>
      </c>
      <c r="C1251" s="3" t="str">
        <f ca="1">IFERROR(__xludf.DUMMYFUNCTION("""COMPUTED_VALUE"""),"purchase")</f>
        <v>purchase</v>
      </c>
      <c r="D1251" s="6">
        <f t="shared" ca="1" si="0"/>
        <v>45406</v>
      </c>
      <c r="E1251" s="6">
        <f t="shared" ca="1" si="1"/>
        <v>45404</v>
      </c>
      <c r="F1251" s="6">
        <f t="shared" ca="1" si="2"/>
        <v>45383</v>
      </c>
      <c r="G1251" s="7"/>
    </row>
    <row r="1252" spans="1:7" x14ac:dyDescent="0.2">
      <c r="A1252" s="3">
        <f ca="1">IFERROR(__xludf.DUMMYFUNCTION("""COMPUTED_VALUE"""),2940)</f>
        <v>2940</v>
      </c>
      <c r="B1252" s="6">
        <f ca="1">IFERROR(__xludf.DUMMYFUNCTION("""COMPUTED_VALUE"""),45406.8381944444)</f>
        <v>45406.838194444397</v>
      </c>
      <c r="C1252" s="3" t="str">
        <f ca="1">IFERROR(__xludf.DUMMYFUNCTION("""COMPUTED_VALUE"""),"purchase")</f>
        <v>purchase</v>
      </c>
      <c r="D1252" s="6">
        <f t="shared" ca="1" si="0"/>
        <v>45406</v>
      </c>
      <c r="E1252" s="6">
        <f t="shared" ca="1" si="1"/>
        <v>45404</v>
      </c>
      <c r="F1252" s="6">
        <f t="shared" ca="1" si="2"/>
        <v>45383</v>
      </c>
      <c r="G1252" s="7"/>
    </row>
    <row r="1253" spans="1:7" x14ac:dyDescent="0.2">
      <c r="A1253" s="3">
        <f ca="1">IFERROR(__xludf.DUMMYFUNCTION("""COMPUTED_VALUE"""),6862)</f>
        <v>6862</v>
      </c>
      <c r="B1253" s="6">
        <f ca="1">IFERROR(__xludf.DUMMYFUNCTION("""COMPUTED_VALUE"""),45406.9664467592)</f>
        <v>45406.966446759201</v>
      </c>
      <c r="C1253" s="3" t="str">
        <f ca="1">IFERROR(__xludf.DUMMYFUNCTION("""COMPUTED_VALUE"""),"purchase")</f>
        <v>purchase</v>
      </c>
      <c r="D1253" s="6">
        <f t="shared" ca="1" si="0"/>
        <v>45406</v>
      </c>
      <c r="E1253" s="6">
        <f t="shared" ca="1" si="1"/>
        <v>45404</v>
      </c>
      <c r="F1253" s="6">
        <f t="shared" ca="1" si="2"/>
        <v>45383</v>
      </c>
      <c r="G1253" s="7"/>
    </row>
    <row r="1254" spans="1:7" x14ac:dyDescent="0.2">
      <c r="A1254" s="3">
        <f ca="1">IFERROR(__xludf.DUMMYFUNCTION("""COMPUTED_VALUE"""),4369)</f>
        <v>4369</v>
      </c>
      <c r="B1254" s="6">
        <f ca="1">IFERROR(__xludf.DUMMYFUNCTION("""COMPUTED_VALUE"""),45406.9819097222)</f>
        <v>45406.981909722199</v>
      </c>
      <c r="C1254" s="3" t="str">
        <f ca="1">IFERROR(__xludf.DUMMYFUNCTION("""COMPUTED_VALUE"""),"purchase")</f>
        <v>purchase</v>
      </c>
      <c r="D1254" s="6">
        <f t="shared" ca="1" si="0"/>
        <v>45406</v>
      </c>
      <c r="E1254" s="6">
        <f t="shared" ca="1" si="1"/>
        <v>45404</v>
      </c>
      <c r="F1254" s="6">
        <f t="shared" ca="1" si="2"/>
        <v>45383</v>
      </c>
      <c r="G1254" s="7"/>
    </row>
    <row r="1255" spans="1:7" x14ac:dyDescent="0.2">
      <c r="A1255" s="3">
        <f ca="1">IFERROR(__xludf.DUMMYFUNCTION("""COMPUTED_VALUE"""),7289)</f>
        <v>7289</v>
      </c>
      <c r="B1255" s="6">
        <f ca="1">IFERROR(__xludf.DUMMYFUNCTION("""COMPUTED_VALUE"""),45407.1591087962)</f>
        <v>45407.159108796201</v>
      </c>
      <c r="C1255" s="3" t="str">
        <f ca="1">IFERROR(__xludf.DUMMYFUNCTION("""COMPUTED_VALUE"""),"purchase")</f>
        <v>purchase</v>
      </c>
      <c r="D1255" s="6">
        <f t="shared" ca="1" si="0"/>
        <v>45407</v>
      </c>
      <c r="E1255" s="6">
        <f t="shared" ca="1" si="1"/>
        <v>45404</v>
      </c>
      <c r="F1255" s="6">
        <f t="shared" ca="1" si="2"/>
        <v>45383</v>
      </c>
      <c r="G1255" s="7"/>
    </row>
    <row r="1256" spans="1:7" x14ac:dyDescent="0.2">
      <c r="A1256" s="3">
        <f ca="1">IFERROR(__xludf.DUMMYFUNCTION("""COMPUTED_VALUE"""),3078)</f>
        <v>3078</v>
      </c>
      <c r="B1256" s="6">
        <f ca="1">IFERROR(__xludf.DUMMYFUNCTION("""COMPUTED_VALUE"""),45407.1897916666)</f>
        <v>45407.189791666598</v>
      </c>
      <c r="C1256" s="3" t="str">
        <f ca="1">IFERROR(__xludf.DUMMYFUNCTION("""COMPUTED_VALUE"""),"purchase")</f>
        <v>purchase</v>
      </c>
      <c r="D1256" s="6">
        <f t="shared" ca="1" si="0"/>
        <v>45407</v>
      </c>
      <c r="E1256" s="6">
        <f t="shared" ca="1" si="1"/>
        <v>45404</v>
      </c>
      <c r="F1256" s="6">
        <f t="shared" ca="1" si="2"/>
        <v>45383</v>
      </c>
      <c r="G1256" s="7"/>
    </row>
    <row r="1257" spans="1:7" x14ac:dyDescent="0.2">
      <c r="A1257" s="3">
        <f ca="1">IFERROR(__xludf.DUMMYFUNCTION("""COMPUTED_VALUE"""),7154)</f>
        <v>7154</v>
      </c>
      <c r="B1257" s="6">
        <f ca="1">IFERROR(__xludf.DUMMYFUNCTION("""COMPUTED_VALUE"""),45407.2703472222)</f>
        <v>45407.270347222198</v>
      </c>
      <c r="C1257" s="3" t="str">
        <f ca="1">IFERROR(__xludf.DUMMYFUNCTION("""COMPUTED_VALUE"""),"purchase")</f>
        <v>purchase</v>
      </c>
      <c r="D1257" s="6">
        <f t="shared" ca="1" si="0"/>
        <v>45407</v>
      </c>
      <c r="E1257" s="6">
        <f t="shared" ca="1" si="1"/>
        <v>45404</v>
      </c>
      <c r="F1257" s="6">
        <f t="shared" ca="1" si="2"/>
        <v>45383</v>
      </c>
      <c r="G1257" s="7"/>
    </row>
    <row r="1258" spans="1:7" x14ac:dyDescent="0.2">
      <c r="A1258" s="3">
        <f ca="1">IFERROR(__xludf.DUMMYFUNCTION("""COMPUTED_VALUE"""),2603)</f>
        <v>2603</v>
      </c>
      <c r="B1258" s="6">
        <f ca="1">IFERROR(__xludf.DUMMYFUNCTION("""COMPUTED_VALUE"""),45407.4267824074)</f>
        <v>45407.426782407398</v>
      </c>
      <c r="C1258" s="3" t="str">
        <f ca="1">IFERROR(__xludf.DUMMYFUNCTION("""COMPUTED_VALUE"""),"purchase")</f>
        <v>purchase</v>
      </c>
      <c r="D1258" s="6">
        <f t="shared" ca="1" si="0"/>
        <v>45407</v>
      </c>
      <c r="E1258" s="6">
        <f t="shared" ca="1" si="1"/>
        <v>45404</v>
      </c>
      <c r="F1258" s="6">
        <f t="shared" ca="1" si="2"/>
        <v>45383</v>
      </c>
      <c r="G1258" s="7"/>
    </row>
    <row r="1259" spans="1:7" x14ac:dyDescent="0.2">
      <c r="A1259" s="3">
        <f ca="1">IFERROR(__xludf.DUMMYFUNCTION("""COMPUTED_VALUE"""),1534)</f>
        <v>1534</v>
      </c>
      <c r="B1259" s="6">
        <f ca="1">IFERROR(__xludf.DUMMYFUNCTION("""COMPUTED_VALUE"""),45407.4500231481)</f>
        <v>45407.4500231481</v>
      </c>
      <c r="C1259" s="3" t="str">
        <f ca="1">IFERROR(__xludf.DUMMYFUNCTION("""COMPUTED_VALUE"""),"purchase")</f>
        <v>purchase</v>
      </c>
      <c r="D1259" s="6">
        <f t="shared" ca="1" si="0"/>
        <v>45407</v>
      </c>
      <c r="E1259" s="6">
        <f t="shared" ca="1" si="1"/>
        <v>45404</v>
      </c>
      <c r="F1259" s="6">
        <f t="shared" ca="1" si="2"/>
        <v>45383</v>
      </c>
      <c r="G1259" s="7"/>
    </row>
    <row r="1260" spans="1:7" x14ac:dyDescent="0.2">
      <c r="A1260" s="3">
        <f ca="1">IFERROR(__xludf.DUMMYFUNCTION("""COMPUTED_VALUE"""),3095)</f>
        <v>3095</v>
      </c>
      <c r="B1260" s="6">
        <f ca="1">IFERROR(__xludf.DUMMYFUNCTION("""COMPUTED_VALUE"""),45407.5250231481)</f>
        <v>45407.525023148097</v>
      </c>
      <c r="C1260" s="3" t="str">
        <f ca="1">IFERROR(__xludf.DUMMYFUNCTION("""COMPUTED_VALUE"""),"purchase")</f>
        <v>purchase</v>
      </c>
      <c r="D1260" s="6">
        <f t="shared" ca="1" si="0"/>
        <v>45407</v>
      </c>
      <c r="E1260" s="6">
        <f t="shared" ca="1" si="1"/>
        <v>45404</v>
      </c>
      <c r="F1260" s="6">
        <f t="shared" ca="1" si="2"/>
        <v>45383</v>
      </c>
      <c r="G1260" s="7"/>
    </row>
    <row r="1261" spans="1:7" x14ac:dyDescent="0.2">
      <c r="A1261" s="3">
        <f ca="1">IFERROR(__xludf.DUMMYFUNCTION("""COMPUTED_VALUE"""),7590)</f>
        <v>7590</v>
      </c>
      <c r="B1261" s="6">
        <f ca="1">IFERROR(__xludf.DUMMYFUNCTION("""COMPUTED_VALUE"""),45407.5266319444)</f>
        <v>45407.526631944398</v>
      </c>
      <c r="C1261" s="3" t="str">
        <f ca="1">IFERROR(__xludf.DUMMYFUNCTION("""COMPUTED_VALUE"""),"purchase")</f>
        <v>purchase</v>
      </c>
      <c r="D1261" s="6">
        <f t="shared" ca="1" si="0"/>
        <v>45407</v>
      </c>
      <c r="E1261" s="6">
        <f t="shared" ca="1" si="1"/>
        <v>45404</v>
      </c>
      <c r="F1261" s="6">
        <f t="shared" ca="1" si="2"/>
        <v>45383</v>
      </c>
      <c r="G1261" s="7"/>
    </row>
    <row r="1262" spans="1:7" x14ac:dyDescent="0.2">
      <c r="A1262" s="3">
        <f ca="1">IFERROR(__xludf.DUMMYFUNCTION("""COMPUTED_VALUE"""),1401)</f>
        <v>1401</v>
      </c>
      <c r="B1262" s="6">
        <f ca="1">IFERROR(__xludf.DUMMYFUNCTION("""COMPUTED_VALUE"""),45407.6502430555)</f>
        <v>45407.650243055497</v>
      </c>
      <c r="C1262" s="3" t="str">
        <f ca="1">IFERROR(__xludf.DUMMYFUNCTION("""COMPUTED_VALUE"""),"purchase")</f>
        <v>purchase</v>
      </c>
      <c r="D1262" s="6">
        <f t="shared" ca="1" si="0"/>
        <v>45407</v>
      </c>
      <c r="E1262" s="6">
        <f t="shared" ca="1" si="1"/>
        <v>45404</v>
      </c>
      <c r="F1262" s="6">
        <f t="shared" ca="1" si="2"/>
        <v>45383</v>
      </c>
      <c r="G1262" s="7"/>
    </row>
    <row r="1263" spans="1:7" x14ac:dyDescent="0.2">
      <c r="A1263" s="3">
        <f ca="1">IFERROR(__xludf.DUMMYFUNCTION("""COMPUTED_VALUE"""),5040)</f>
        <v>5040</v>
      </c>
      <c r="B1263" s="6">
        <f ca="1">IFERROR(__xludf.DUMMYFUNCTION("""COMPUTED_VALUE"""),45407.8163425925)</f>
        <v>45407.816342592501</v>
      </c>
      <c r="C1263" s="3" t="str">
        <f ca="1">IFERROR(__xludf.DUMMYFUNCTION("""COMPUTED_VALUE"""),"purchase")</f>
        <v>purchase</v>
      </c>
      <c r="D1263" s="6">
        <f t="shared" ca="1" si="0"/>
        <v>45407</v>
      </c>
      <c r="E1263" s="6">
        <f t="shared" ca="1" si="1"/>
        <v>45404</v>
      </c>
      <c r="F1263" s="6">
        <f t="shared" ca="1" si="2"/>
        <v>45383</v>
      </c>
      <c r="G1263" s="7"/>
    </row>
    <row r="1264" spans="1:7" x14ac:dyDescent="0.2">
      <c r="A1264" s="3">
        <f ca="1">IFERROR(__xludf.DUMMYFUNCTION("""COMPUTED_VALUE"""),6551)</f>
        <v>6551</v>
      </c>
      <c r="B1264" s="6">
        <f ca="1">IFERROR(__xludf.DUMMYFUNCTION("""COMPUTED_VALUE"""),45407.8241319444)</f>
        <v>45407.824131944399</v>
      </c>
      <c r="C1264" s="3" t="str">
        <f ca="1">IFERROR(__xludf.DUMMYFUNCTION("""COMPUTED_VALUE"""),"purchase")</f>
        <v>purchase</v>
      </c>
      <c r="D1264" s="6">
        <f t="shared" ca="1" si="0"/>
        <v>45407</v>
      </c>
      <c r="E1264" s="6">
        <f t="shared" ca="1" si="1"/>
        <v>45404</v>
      </c>
      <c r="F1264" s="6">
        <f t="shared" ca="1" si="2"/>
        <v>45383</v>
      </c>
      <c r="G1264" s="7"/>
    </row>
    <row r="1265" spans="1:7" x14ac:dyDescent="0.2">
      <c r="A1265" s="3">
        <f ca="1">IFERROR(__xludf.DUMMYFUNCTION("""COMPUTED_VALUE"""),309)</f>
        <v>309</v>
      </c>
      <c r="B1265" s="6">
        <f ca="1">IFERROR(__xludf.DUMMYFUNCTION("""COMPUTED_VALUE"""),45407.8952546296)</f>
        <v>45407.895254629599</v>
      </c>
      <c r="C1265" s="3" t="str">
        <f ca="1">IFERROR(__xludf.DUMMYFUNCTION("""COMPUTED_VALUE"""),"purchase")</f>
        <v>purchase</v>
      </c>
      <c r="D1265" s="6">
        <f t="shared" ca="1" si="0"/>
        <v>45407</v>
      </c>
      <c r="E1265" s="6">
        <f t="shared" ca="1" si="1"/>
        <v>45404</v>
      </c>
      <c r="F1265" s="6">
        <f t="shared" ca="1" si="2"/>
        <v>45383</v>
      </c>
      <c r="G1265" s="7"/>
    </row>
    <row r="1266" spans="1:7" x14ac:dyDescent="0.2">
      <c r="A1266" s="3">
        <f ca="1">IFERROR(__xludf.DUMMYFUNCTION("""COMPUTED_VALUE"""),1651)</f>
        <v>1651</v>
      </c>
      <c r="B1266" s="6">
        <f ca="1">IFERROR(__xludf.DUMMYFUNCTION("""COMPUTED_VALUE"""),45407.9393518518)</f>
        <v>45407.939351851797</v>
      </c>
      <c r="C1266" s="3" t="str">
        <f ca="1">IFERROR(__xludf.DUMMYFUNCTION("""COMPUTED_VALUE"""),"purchase")</f>
        <v>purchase</v>
      </c>
      <c r="D1266" s="6">
        <f t="shared" ca="1" si="0"/>
        <v>45407</v>
      </c>
      <c r="E1266" s="6">
        <f t="shared" ca="1" si="1"/>
        <v>45404</v>
      </c>
      <c r="F1266" s="6">
        <f t="shared" ca="1" si="2"/>
        <v>45383</v>
      </c>
      <c r="G1266" s="7"/>
    </row>
    <row r="1267" spans="1:7" x14ac:dyDescent="0.2">
      <c r="A1267" s="3">
        <f ca="1">IFERROR(__xludf.DUMMYFUNCTION("""COMPUTED_VALUE"""),531)</f>
        <v>531</v>
      </c>
      <c r="B1267" s="6">
        <f ca="1">IFERROR(__xludf.DUMMYFUNCTION("""COMPUTED_VALUE"""),45408.2829166666)</f>
        <v>45408.282916666598</v>
      </c>
      <c r="C1267" s="3" t="str">
        <f ca="1">IFERROR(__xludf.DUMMYFUNCTION("""COMPUTED_VALUE"""),"purchase")</f>
        <v>purchase</v>
      </c>
      <c r="D1267" s="6">
        <f t="shared" ca="1" si="0"/>
        <v>45408</v>
      </c>
      <c r="E1267" s="6">
        <f t="shared" ca="1" si="1"/>
        <v>45404</v>
      </c>
      <c r="F1267" s="6">
        <f t="shared" ca="1" si="2"/>
        <v>45383</v>
      </c>
      <c r="G1267" s="7"/>
    </row>
    <row r="1268" spans="1:7" x14ac:dyDescent="0.2">
      <c r="A1268" s="3">
        <f ca="1">IFERROR(__xludf.DUMMYFUNCTION("""COMPUTED_VALUE"""),5669)</f>
        <v>5669</v>
      </c>
      <c r="B1268" s="6">
        <f ca="1">IFERROR(__xludf.DUMMYFUNCTION("""COMPUTED_VALUE"""),45408.3070949074)</f>
        <v>45408.307094907403</v>
      </c>
      <c r="C1268" s="3" t="str">
        <f ca="1">IFERROR(__xludf.DUMMYFUNCTION("""COMPUTED_VALUE"""),"purchase")</f>
        <v>purchase</v>
      </c>
      <c r="D1268" s="6">
        <f t="shared" ca="1" si="0"/>
        <v>45408</v>
      </c>
      <c r="E1268" s="6">
        <f t="shared" ca="1" si="1"/>
        <v>45404</v>
      </c>
      <c r="F1268" s="6">
        <f t="shared" ca="1" si="2"/>
        <v>45383</v>
      </c>
      <c r="G1268" s="7"/>
    </row>
    <row r="1269" spans="1:7" x14ac:dyDescent="0.2">
      <c r="A1269" s="3">
        <f ca="1">IFERROR(__xludf.DUMMYFUNCTION("""COMPUTED_VALUE"""),3785)</f>
        <v>3785</v>
      </c>
      <c r="B1269" s="6">
        <f ca="1">IFERROR(__xludf.DUMMYFUNCTION("""COMPUTED_VALUE"""),45408.3479282407)</f>
        <v>45408.347928240699</v>
      </c>
      <c r="C1269" s="3" t="str">
        <f ca="1">IFERROR(__xludf.DUMMYFUNCTION("""COMPUTED_VALUE"""),"purchase")</f>
        <v>purchase</v>
      </c>
      <c r="D1269" s="6">
        <f t="shared" ca="1" si="0"/>
        <v>45408</v>
      </c>
      <c r="E1269" s="6">
        <f t="shared" ca="1" si="1"/>
        <v>45404</v>
      </c>
      <c r="F1269" s="6">
        <f t="shared" ca="1" si="2"/>
        <v>45383</v>
      </c>
      <c r="G1269" s="7"/>
    </row>
    <row r="1270" spans="1:7" x14ac:dyDescent="0.2">
      <c r="A1270" s="3">
        <f ca="1">IFERROR(__xludf.DUMMYFUNCTION("""COMPUTED_VALUE"""),1863)</f>
        <v>1863</v>
      </c>
      <c r="B1270" s="6">
        <f ca="1">IFERROR(__xludf.DUMMYFUNCTION("""COMPUTED_VALUE"""),45408.4574652777)</f>
        <v>45408.457465277701</v>
      </c>
      <c r="C1270" s="3" t="str">
        <f ca="1">IFERROR(__xludf.DUMMYFUNCTION("""COMPUTED_VALUE"""),"purchase")</f>
        <v>purchase</v>
      </c>
      <c r="D1270" s="6">
        <f t="shared" ca="1" si="0"/>
        <v>45408</v>
      </c>
      <c r="E1270" s="6">
        <f t="shared" ca="1" si="1"/>
        <v>45404</v>
      </c>
      <c r="F1270" s="6">
        <f t="shared" ca="1" si="2"/>
        <v>45383</v>
      </c>
      <c r="G1270" s="7"/>
    </row>
    <row r="1271" spans="1:7" x14ac:dyDescent="0.2">
      <c r="A1271" s="3">
        <f ca="1">IFERROR(__xludf.DUMMYFUNCTION("""COMPUTED_VALUE"""),6097)</f>
        <v>6097</v>
      </c>
      <c r="B1271" s="6">
        <f ca="1">IFERROR(__xludf.DUMMYFUNCTION("""COMPUTED_VALUE"""),45408.6189814814)</f>
        <v>45408.618981481399</v>
      </c>
      <c r="C1271" s="3" t="str">
        <f ca="1">IFERROR(__xludf.DUMMYFUNCTION("""COMPUTED_VALUE"""),"purchase")</f>
        <v>purchase</v>
      </c>
      <c r="D1271" s="6">
        <f t="shared" ca="1" si="0"/>
        <v>45408</v>
      </c>
      <c r="E1271" s="6">
        <f t="shared" ca="1" si="1"/>
        <v>45404</v>
      </c>
      <c r="F1271" s="6">
        <f t="shared" ca="1" si="2"/>
        <v>45383</v>
      </c>
      <c r="G1271" s="7"/>
    </row>
    <row r="1272" spans="1:7" x14ac:dyDescent="0.2">
      <c r="A1272" s="3">
        <f ca="1">IFERROR(__xludf.DUMMYFUNCTION("""COMPUTED_VALUE"""),7847)</f>
        <v>7847</v>
      </c>
      <c r="B1272" s="6">
        <f ca="1">IFERROR(__xludf.DUMMYFUNCTION("""COMPUTED_VALUE"""),45408.8399189814)</f>
        <v>45408.839918981401</v>
      </c>
      <c r="C1272" s="3" t="str">
        <f ca="1">IFERROR(__xludf.DUMMYFUNCTION("""COMPUTED_VALUE"""),"purchase")</f>
        <v>purchase</v>
      </c>
      <c r="D1272" s="6">
        <f t="shared" ca="1" si="0"/>
        <v>45408</v>
      </c>
      <c r="E1272" s="6">
        <f t="shared" ca="1" si="1"/>
        <v>45404</v>
      </c>
      <c r="F1272" s="6">
        <f t="shared" ca="1" si="2"/>
        <v>45383</v>
      </c>
      <c r="G1272" s="7"/>
    </row>
    <row r="1273" spans="1:7" x14ac:dyDescent="0.2">
      <c r="A1273" s="3">
        <f ca="1">IFERROR(__xludf.DUMMYFUNCTION("""COMPUTED_VALUE"""),7429)</f>
        <v>7429</v>
      </c>
      <c r="B1273" s="6">
        <f ca="1">IFERROR(__xludf.DUMMYFUNCTION("""COMPUTED_VALUE"""),45408.8518171296)</f>
        <v>45408.851817129602</v>
      </c>
      <c r="C1273" s="3" t="str">
        <f ca="1">IFERROR(__xludf.DUMMYFUNCTION("""COMPUTED_VALUE"""),"purchase")</f>
        <v>purchase</v>
      </c>
      <c r="D1273" s="6">
        <f t="shared" ca="1" si="0"/>
        <v>45408</v>
      </c>
      <c r="E1273" s="6">
        <f t="shared" ca="1" si="1"/>
        <v>45404</v>
      </c>
      <c r="F1273" s="6">
        <f t="shared" ca="1" si="2"/>
        <v>45383</v>
      </c>
      <c r="G1273" s="7"/>
    </row>
    <row r="1274" spans="1:7" x14ac:dyDescent="0.2">
      <c r="A1274" s="3">
        <f ca="1">IFERROR(__xludf.DUMMYFUNCTION("""COMPUTED_VALUE"""),4079)</f>
        <v>4079</v>
      </c>
      <c r="B1274" s="6">
        <f ca="1">IFERROR(__xludf.DUMMYFUNCTION("""COMPUTED_VALUE"""),45408.877199074)</f>
        <v>45408.877199073999</v>
      </c>
      <c r="C1274" s="3" t="str">
        <f ca="1">IFERROR(__xludf.DUMMYFUNCTION("""COMPUTED_VALUE"""),"purchase")</f>
        <v>purchase</v>
      </c>
      <c r="D1274" s="6">
        <f t="shared" ca="1" si="0"/>
        <v>45408</v>
      </c>
      <c r="E1274" s="6">
        <f t="shared" ca="1" si="1"/>
        <v>45404</v>
      </c>
      <c r="F1274" s="6">
        <f t="shared" ca="1" si="2"/>
        <v>45383</v>
      </c>
      <c r="G1274" s="7"/>
    </row>
    <row r="1275" spans="1:7" x14ac:dyDescent="0.2">
      <c r="A1275" s="3">
        <f ca="1">IFERROR(__xludf.DUMMYFUNCTION("""COMPUTED_VALUE"""),6973)</f>
        <v>6973</v>
      </c>
      <c r="B1275" s="6">
        <f ca="1">IFERROR(__xludf.DUMMYFUNCTION("""COMPUTED_VALUE"""),45409.2062037037)</f>
        <v>45409.206203703703</v>
      </c>
      <c r="C1275" s="3" t="str">
        <f ca="1">IFERROR(__xludf.DUMMYFUNCTION("""COMPUTED_VALUE"""),"purchase")</f>
        <v>purchase</v>
      </c>
      <c r="D1275" s="6">
        <f t="shared" ca="1" si="0"/>
        <v>45409</v>
      </c>
      <c r="E1275" s="6">
        <f t="shared" ca="1" si="1"/>
        <v>45404</v>
      </c>
      <c r="F1275" s="6">
        <f t="shared" ca="1" si="2"/>
        <v>45383</v>
      </c>
      <c r="G1275" s="7"/>
    </row>
    <row r="1276" spans="1:7" x14ac:dyDescent="0.2">
      <c r="A1276" s="3">
        <f ca="1">IFERROR(__xludf.DUMMYFUNCTION("""COMPUTED_VALUE"""),501)</f>
        <v>501</v>
      </c>
      <c r="B1276" s="6">
        <f ca="1">IFERROR(__xludf.DUMMYFUNCTION("""COMPUTED_VALUE"""),45409.2525347222)</f>
        <v>45409.252534722204</v>
      </c>
      <c r="C1276" s="3" t="str">
        <f ca="1">IFERROR(__xludf.DUMMYFUNCTION("""COMPUTED_VALUE"""),"purchase")</f>
        <v>purchase</v>
      </c>
      <c r="D1276" s="6">
        <f t="shared" ca="1" si="0"/>
        <v>45409</v>
      </c>
      <c r="E1276" s="6">
        <f t="shared" ca="1" si="1"/>
        <v>45404</v>
      </c>
      <c r="F1276" s="6">
        <f t="shared" ca="1" si="2"/>
        <v>45383</v>
      </c>
      <c r="G1276" s="7"/>
    </row>
    <row r="1277" spans="1:7" x14ac:dyDescent="0.2">
      <c r="A1277" s="3">
        <f ca="1">IFERROR(__xludf.DUMMYFUNCTION("""COMPUTED_VALUE"""),2058)</f>
        <v>2058</v>
      </c>
      <c r="B1277" s="6">
        <f ca="1">IFERROR(__xludf.DUMMYFUNCTION("""COMPUTED_VALUE"""),45409.4025231481)</f>
        <v>45409.402523148099</v>
      </c>
      <c r="C1277" s="3" t="str">
        <f ca="1">IFERROR(__xludf.DUMMYFUNCTION("""COMPUTED_VALUE"""),"purchase")</f>
        <v>purchase</v>
      </c>
      <c r="D1277" s="6">
        <f t="shared" ca="1" si="0"/>
        <v>45409</v>
      </c>
      <c r="E1277" s="6">
        <f t="shared" ca="1" si="1"/>
        <v>45404</v>
      </c>
      <c r="F1277" s="6">
        <f t="shared" ca="1" si="2"/>
        <v>45383</v>
      </c>
      <c r="G1277" s="7"/>
    </row>
    <row r="1278" spans="1:7" x14ac:dyDescent="0.2">
      <c r="A1278" s="3">
        <f ca="1">IFERROR(__xludf.DUMMYFUNCTION("""COMPUTED_VALUE"""),7919)</f>
        <v>7919</v>
      </c>
      <c r="B1278" s="6">
        <f ca="1">IFERROR(__xludf.DUMMYFUNCTION("""COMPUTED_VALUE"""),45409.7014351851)</f>
        <v>45409.701435185103</v>
      </c>
      <c r="C1278" s="3" t="str">
        <f ca="1">IFERROR(__xludf.DUMMYFUNCTION("""COMPUTED_VALUE"""),"purchase")</f>
        <v>purchase</v>
      </c>
      <c r="D1278" s="6">
        <f t="shared" ca="1" si="0"/>
        <v>45409</v>
      </c>
      <c r="E1278" s="6">
        <f t="shared" ca="1" si="1"/>
        <v>45404</v>
      </c>
      <c r="F1278" s="6">
        <f t="shared" ca="1" si="2"/>
        <v>45383</v>
      </c>
      <c r="G1278" s="7"/>
    </row>
    <row r="1279" spans="1:7" x14ac:dyDescent="0.2">
      <c r="A1279" s="3">
        <f ca="1">IFERROR(__xludf.DUMMYFUNCTION("""COMPUTED_VALUE"""),7174)</f>
        <v>7174</v>
      </c>
      <c r="B1279" s="6">
        <f ca="1">IFERROR(__xludf.DUMMYFUNCTION("""COMPUTED_VALUE"""),45409.7268634259)</f>
        <v>45409.726863425902</v>
      </c>
      <c r="C1279" s="3" t="str">
        <f ca="1">IFERROR(__xludf.DUMMYFUNCTION("""COMPUTED_VALUE"""),"purchase")</f>
        <v>purchase</v>
      </c>
      <c r="D1279" s="6">
        <f t="shared" ca="1" si="0"/>
        <v>45409</v>
      </c>
      <c r="E1279" s="6">
        <f t="shared" ca="1" si="1"/>
        <v>45404</v>
      </c>
      <c r="F1279" s="6">
        <f t="shared" ca="1" si="2"/>
        <v>45383</v>
      </c>
      <c r="G1279" s="7"/>
    </row>
    <row r="1280" spans="1:7" x14ac:dyDescent="0.2">
      <c r="A1280" s="3">
        <f ca="1">IFERROR(__xludf.DUMMYFUNCTION("""COMPUTED_VALUE"""),2448)</f>
        <v>2448</v>
      </c>
      <c r="B1280" s="6">
        <f ca="1">IFERROR(__xludf.DUMMYFUNCTION("""COMPUTED_VALUE"""),45409.7967592592)</f>
        <v>45409.796759259203</v>
      </c>
      <c r="C1280" s="3" t="str">
        <f ca="1">IFERROR(__xludf.DUMMYFUNCTION("""COMPUTED_VALUE"""),"purchase")</f>
        <v>purchase</v>
      </c>
      <c r="D1280" s="6">
        <f t="shared" ca="1" si="0"/>
        <v>45409</v>
      </c>
      <c r="E1280" s="6">
        <f t="shared" ca="1" si="1"/>
        <v>45404</v>
      </c>
      <c r="F1280" s="6">
        <f t="shared" ca="1" si="2"/>
        <v>45383</v>
      </c>
      <c r="G1280" s="7"/>
    </row>
    <row r="1281" spans="1:7" x14ac:dyDescent="0.2">
      <c r="A1281" s="3">
        <f ca="1">IFERROR(__xludf.DUMMYFUNCTION("""COMPUTED_VALUE"""),7648)</f>
        <v>7648</v>
      </c>
      <c r="B1281" s="6">
        <f ca="1">IFERROR(__xludf.DUMMYFUNCTION("""COMPUTED_VALUE"""),45409.9169560185)</f>
        <v>45409.916956018496</v>
      </c>
      <c r="C1281" s="3" t="str">
        <f ca="1">IFERROR(__xludf.DUMMYFUNCTION("""COMPUTED_VALUE"""),"purchase")</f>
        <v>purchase</v>
      </c>
      <c r="D1281" s="6">
        <f t="shared" ca="1" si="0"/>
        <v>45409</v>
      </c>
      <c r="E1281" s="6">
        <f t="shared" ca="1" si="1"/>
        <v>45404</v>
      </c>
      <c r="F1281" s="6">
        <f t="shared" ca="1" si="2"/>
        <v>45383</v>
      </c>
      <c r="G1281" s="7"/>
    </row>
    <row r="1282" spans="1:7" x14ac:dyDescent="0.2">
      <c r="A1282" s="3">
        <f ca="1">IFERROR(__xludf.DUMMYFUNCTION("""COMPUTED_VALUE"""),218)</f>
        <v>218</v>
      </c>
      <c r="B1282" s="6">
        <f ca="1">IFERROR(__xludf.DUMMYFUNCTION("""COMPUTED_VALUE"""),45410.067824074)</f>
        <v>45410.067824074002</v>
      </c>
      <c r="C1282" s="3" t="str">
        <f ca="1">IFERROR(__xludf.DUMMYFUNCTION("""COMPUTED_VALUE"""),"purchase")</f>
        <v>purchase</v>
      </c>
      <c r="D1282" s="6">
        <f t="shared" ca="1" si="0"/>
        <v>45410</v>
      </c>
      <c r="E1282" s="6">
        <f t="shared" ca="1" si="1"/>
        <v>45404</v>
      </c>
      <c r="F1282" s="6">
        <f t="shared" ca="1" si="2"/>
        <v>45383</v>
      </c>
      <c r="G1282" s="7"/>
    </row>
    <row r="1283" spans="1:7" x14ac:dyDescent="0.2">
      <c r="A1283" s="3">
        <f ca="1">IFERROR(__xludf.DUMMYFUNCTION("""COMPUTED_VALUE"""),487)</f>
        <v>487</v>
      </c>
      <c r="B1283" s="6">
        <f ca="1">IFERROR(__xludf.DUMMYFUNCTION("""COMPUTED_VALUE"""),45410.0695486111)</f>
        <v>45410.0695486111</v>
      </c>
      <c r="C1283" s="3" t="str">
        <f ca="1">IFERROR(__xludf.DUMMYFUNCTION("""COMPUTED_VALUE"""),"purchase")</f>
        <v>purchase</v>
      </c>
      <c r="D1283" s="6">
        <f t="shared" ca="1" si="0"/>
        <v>45410</v>
      </c>
      <c r="E1283" s="6">
        <f t="shared" ca="1" si="1"/>
        <v>45404</v>
      </c>
      <c r="F1283" s="6">
        <f t="shared" ca="1" si="2"/>
        <v>45383</v>
      </c>
      <c r="G1283" s="7"/>
    </row>
    <row r="1284" spans="1:7" x14ac:dyDescent="0.2">
      <c r="A1284" s="3">
        <f ca="1">IFERROR(__xludf.DUMMYFUNCTION("""COMPUTED_VALUE"""),2996)</f>
        <v>2996</v>
      </c>
      <c r="B1284" s="6">
        <f ca="1">IFERROR(__xludf.DUMMYFUNCTION("""COMPUTED_VALUE"""),45410.0716666666)</f>
        <v>45410.071666666598</v>
      </c>
      <c r="C1284" s="3" t="str">
        <f ca="1">IFERROR(__xludf.DUMMYFUNCTION("""COMPUTED_VALUE"""),"purchase")</f>
        <v>purchase</v>
      </c>
      <c r="D1284" s="6">
        <f t="shared" ca="1" si="0"/>
        <v>45410</v>
      </c>
      <c r="E1284" s="6">
        <f t="shared" ca="1" si="1"/>
        <v>45404</v>
      </c>
      <c r="F1284" s="6">
        <f t="shared" ca="1" si="2"/>
        <v>45383</v>
      </c>
      <c r="G1284" s="7"/>
    </row>
    <row r="1285" spans="1:7" x14ac:dyDescent="0.2">
      <c r="A1285" s="3">
        <f ca="1">IFERROR(__xludf.DUMMYFUNCTION("""COMPUTED_VALUE"""),5926)</f>
        <v>5926</v>
      </c>
      <c r="B1285" s="6">
        <f ca="1">IFERROR(__xludf.DUMMYFUNCTION("""COMPUTED_VALUE"""),45410.1492013888)</f>
        <v>45410.149201388798</v>
      </c>
      <c r="C1285" s="3" t="str">
        <f ca="1">IFERROR(__xludf.DUMMYFUNCTION("""COMPUTED_VALUE"""),"purchase")</f>
        <v>purchase</v>
      </c>
      <c r="D1285" s="6">
        <f t="shared" ca="1" si="0"/>
        <v>45410</v>
      </c>
      <c r="E1285" s="6">
        <f t="shared" ca="1" si="1"/>
        <v>45404</v>
      </c>
      <c r="F1285" s="6">
        <f t="shared" ca="1" si="2"/>
        <v>45383</v>
      </c>
      <c r="G1285" s="7"/>
    </row>
    <row r="1286" spans="1:7" x14ac:dyDescent="0.2">
      <c r="A1286" s="3">
        <f ca="1">IFERROR(__xludf.DUMMYFUNCTION("""COMPUTED_VALUE"""),3521)</f>
        <v>3521</v>
      </c>
      <c r="B1286" s="6">
        <f ca="1">IFERROR(__xludf.DUMMYFUNCTION("""COMPUTED_VALUE"""),45410.3650925925)</f>
        <v>45410.365092592503</v>
      </c>
      <c r="C1286" s="3" t="str">
        <f ca="1">IFERROR(__xludf.DUMMYFUNCTION("""COMPUTED_VALUE"""),"purchase")</f>
        <v>purchase</v>
      </c>
      <c r="D1286" s="6">
        <f t="shared" ca="1" si="0"/>
        <v>45410</v>
      </c>
      <c r="E1286" s="6">
        <f t="shared" ca="1" si="1"/>
        <v>45404</v>
      </c>
      <c r="F1286" s="6">
        <f t="shared" ca="1" si="2"/>
        <v>45383</v>
      </c>
      <c r="G1286" s="7"/>
    </row>
    <row r="1287" spans="1:7" x14ac:dyDescent="0.2">
      <c r="A1287" s="3">
        <f ca="1">IFERROR(__xludf.DUMMYFUNCTION("""COMPUTED_VALUE"""),762)</f>
        <v>762</v>
      </c>
      <c r="B1287" s="6">
        <f ca="1">IFERROR(__xludf.DUMMYFUNCTION("""COMPUTED_VALUE"""),45410.3778472222)</f>
        <v>45410.377847222197</v>
      </c>
      <c r="C1287" s="3" t="str">
        <f ca="1">IFERROR(__xludf.DUMMYFUNCTION("""COMPUTED_VALUE"""),"purchase")</f>
        <v>purchase</v>
      </c>
      <c r="D1287" s="6">
        <f t="shared" ca="1" si="0"/>
        <v>45410</v>
      </c>
      <c r="E1287" s="6">
        <f t="shared" ca="1" si="1"/>
        <v>45404</v>
      </c>
      <c r="F1287" s="6">
        <f t="shared" ca="1" si="2"/>
        <v>45383</v>
      </c>
      <c r="G1287" s="7"/>
    </row>
    <row r="1288" spans="1:7" x14ac:dyDescent="0.2">
      <c r="A1288" s="3">
        <f ca="1">IFERROR(__xludf.DUMMYFUNCTION("""COMPUTED_VALUE"""),1322)</f>
        <v>1322</v>
      </c>
      <c r="B1288" s="6">
        <f ca="1">IFERROR(__xludf.DUMMYFUNCTION("""COMPUTED_VALUE"""),45410.4614467592)</f>
        <v>45410.461446759196</v>
      </c>
      <c r="C1288" s="3" t="str">
        <f ca="1">IFERROR(__xludf.DUMMYFUNCTION("""COMPUTED_VALUE"""),"purchase")</f>
        <v>purchase</v>
      </c>
      <c r="D1288" s="6">
        <f t="shared" ca="1" si="0"/>
        <v>45410</v>
      </c>
      <c r="E1288" s="6">
        <f t="shared" ca="1" si="1"/>
        <v>45404</v>
      </c>
      <c r="F1288" s="6">
        <f t="shared" ca="1" si="2"/>
        <v>45383</v>
      </c>
      <c r="G1288" s="7"/>
    </row>
    <row r="1289" spans="1:7" x14ac:dyDescent="0.2">
      <c r="A1289" s="3">
        <f ca="1">IFERROR(__xludf.DUMMYFUNCTION("""COMPUTED_VALUE"""),5663)</f>
        <v>5663</v>
      </c>
      <c r="B1289" s="6">
        <f ca="1">IFERROR(__xludf.DUMMYFUNCTION("""COMPUTED_VALUE"""),45410.4995717592)</f>
        <v>45410.499571759203</v>
      </c>
      <c r="C1289" s="3" t="str">
        <f ca="1">IFERROR(__xludf.DUMMYFUNCTION("""COMPUTED_VALUE"""),"purchase")</f>
        <v>purchase</v>
      </c>
      <c r="D1289" s="6">
        <f t="shared" ca="1" si="0"/>
        <v>45410</v>
      </c>
      <c r="E1289" s="6">
        <f t="shared" ca="1" si="1"/>
        <v>45404</v>
      </c>
      <c r="F1289" s="6">
        <f t="shared" ca="1" si="2"/>
        <v>45383</v>
      </c>
      <c r="G1289" s="7"/>
    </row>
    <row r="1290" spans="1:7" x14ac:dyDescent="0.2">
      <c r="A1290" s="3">
        <f ca="1">IFERROR(__xludf.DUMMYFUNCTION("""COMPUTED_VALUE"""),377)</f>
        <v>377</v>
      </c>
      <c r="B1290" s="6">
        <f ca="1">IFERROR(__xludf.DUMMYFUNCTION("""COMPUTED_VALUE"""),45410.6977314813)</f>
        <v>45410.697731481399</v>
      </c>
      <c r="C1290" s="3" t="str">
        <f ca="1">IFERROR(__xludf.DUMMYFUNCTION("""COMPUTED_VALUE"""),"purchase")</f>
        <v>purchase</v>
      </c>
      <c r="D1290" s="6">
        <f t="shared" ca="1" si="0"/>
        <v>45410</v>
      </c>
      <c r="E1290" s="6">
        <f t="shared" ca="1" si="1"/>
        <v>45404</v>
      </c>
      <c r="F1290" s="6">
        <f t="shared" ca="1" si="2"/>
        <v>45383</v>
      </c>
      <c r="G1290" s="7"/>
    </row>
    <row r="1291" spans="1:7" x14ac:dyDescent="0.2">
      <c r="A1291" s="3">
        <f ca="1">IFERROR(__xludf.DUMMYFUNCTION("""COMPUTED_VALUE"""),5045)</f>
        <v>5045</v>
      </c>
      <c r="B1291" s="6">
        <f ca="1">IFERROR(__xludf.DUMMYFUNCTION("""COMPUTED_VALUE"""),45411.0573032407)</f>
        <v>45411.057303240697</v>
      </c>
      <c r="C1291" s="3" t="str">
        <f ca="1">IFERROR(__xludf.DUMMYFUNCTION("""COMPUTED_VALUE"""),"purchase")</f>
        <v>purchase</v>
      </c>
      <c r="D1291" s="6">
        <f t="shared" ca="1" si="0"/>
        <v>45411</v>
      </c>
      <c r="E1291" s="6">
        <f t="shared" ca="1" si="1"/>
        <v>45411</v>
      </c>
      <c r="F1291" s="6">
        <f t="shared" ca="1" si="2"/>
        <v>45383</v>
      </c>
      <c r="G1291" s="7"/>
    </row>
    <row r="1292" spans="1:7" x14ac:dyDescent="0.2">
      <c r="A1292" s="3">
        <f ca="1">IFERROR(__xludf.DUMMYFUNCTION("""COMPUTED_VALUE"""),1023)</f>
        <v>1023</v>
      </c>
      <c r="B1292" s="6">
        <f ca="1">IFERROR(__xludf.DUMMYFUNCTION("""COMPUTED_VALUE"""),45411.2090856481)</f>
        <v>45411.209085648101</v>
      </c>
      <c r="C1292" s="3" t="str">
        <f ca="1">IFERROR(__xludf.DUMMYFUNCTION("""COMPUTED_VALUE"""),"purchase")</f>
        <v>purchase</v>
      </c>
      <c r="D1292" s="6">
        <f t="shared" ca="1" si="0"/>
        <v>45411</v>
      </c>
      <c r="E1292" s="6">
        <f t="shared" ca="1" si="1"/>
        <v>45411</v>
      </c>
      <c r="F1292" s="6">
        <f t="shared" ca="1" si="2"/>
        <v>45383</v>
      </c>
      <c r="G1292" s="7"/>
    </row>
    <row r="1293" spans="1:7" x14ac:dyDescent="0.2">
      <c r="A1293" s="3">
        <f ca="1">IFERROR(__xludf.DUMMYFUNCTION("""COMPUTED_VALUE"""),2227)</f>
        <v>2227</v>
      </c>
      <c r="B1293" s="6">
        <f ca="1">IFERROR(__xludf.DUMMYFUNCTION("""COMPUTED_VALUE"""),45411.2178009259)</f>
        <v>45411.217800925901</v>
      </c>
      <c r="C1293" s="3" t="str">
        <f ca="1">IFERROR(__xludf.DUMMYFUNCTION("""COMPUTED_VALUE"""),"purchase")</f>
        <v>purchase</v>
      </c>
      <c r="D1293" s="6">
        <f t="shared" ca="1" si="0"/>
        <v>45411</v>
      </c>
      <c r="E1293" s="6">
        <f t="shared" ca="1" si="1"/>
        <v>45411</v>
      </c>
      <c r="F1293" s="6">
        <f t="shared" ca="1" si="2"/>
        <v>45383</v>
      </c>
      <c r="G1293" s="7"/>
    </row>
    <row r="1294" spans="1:7" x14ac:dyDescent="0.2">
      <c r="A1294" s="3">
        <f ca="1">IFERROR(__xludf.DUMMYFUNCTION("""COMPUTED_VALUE"""),2276)</f>
        <v>2276</v>
      </c>
      <c r="B1294" s="6">
        <f ca="1">IFERROR(__xludf.DUMMYFUNCTION("""COMPUTED_VALUE"""),45411.4380555555)</f>
        <v>45411.438055555504</v>
      </c>
      <c r="C1294" s="3" t="str">
        <f ca="1">IFERROR(__xludf.DUMMYFUNCTION("""COMPUTED_VALUE"""),"purchase")</f>
        <v>purchase</v>
      </c>
      <c r="D1294" s="6">
        <f t="shared" ca="1" si="0"/>
        <v>45411</v>
      </c>
      <c r="E1294" s="6">
        <f t="shared" ca="1" si="1"/>
        <v>45411</v>
      </c>
      <c r="F1294" s="6">
        <f t="shared" ca="1" si="2"/>
        <v>45383</v>
      </c>
      <c r="G1294" s="7"/>
    </row>
    <row r="1295" spans="1:7" x14ac:dyDescent="0.2">
      <c r="A1295" s="3">
        <f ca="1">IFERROR(__xludf.DUMMYFUNCTION("""COMPUTED_VALUE"""),2685)</f>
        <v>2685</v>
      </c>
      <c r="B1295" s="6">
        <f ca="1">IFERROR(__xludf.DUMMYFUNCTION("""COMPUTED_VALUE"""),45411.4912152777)</f>
        <v>45411.491215277703</v>
      </c>
      <c r="C1295" s="3" t="str">
        <f ca="1">IFERROR(__xludf.DUMMYFUNCTION("""COMPUTED_VALUE"""),"purchase")</f>
        <v>purchase</v>
      </c>
      <c r="D1295" s="6">
        <f t="shared" ca="1" si="0"/>
        <v>45411</v>
      </c>
      <c r="E1295" s="6">
        <f t="shared" ca="1" si="1"/>
        <v>45411</v>
      </c>
      <c r="F1295" s="6">
        <f t="shared" ca="1" si="2"/>
        <v>45383</v>
      </c>
      <c r="G1295" s="7"/>
    </row>
    <row r="1296" spans="1:7" x14ac:dyDescent="0.2">
      <c r="A1296" s="3">
        <f ca="1">IFERROR(__xludf.DUMMYFUNCTION("""COMPUTED_VALUE"""),5909)</f>
        <v>5909</v>
      </c>
      <c r="B1296" s="6">
        <f ca="1">IFERROR(__xludf.DUMMYFUNCTION("""COMPUTED_VALUE"""),45411.6386574074)</f>
        <v>45411.638657407399</v>
      </c>
      <c r="C1296" s="3" t="str">
        <f ca="1">IFERROR(__xludf.DUMMYFUNCTION("""COMPUTED_VALUE"""),"purchase")</f>
        <v>purchase</v>
      </c>
      <c r="D1296" s="6">
        <f t="shared" ca="1" si="0"/>
        <v>45411</v>
      </c>
      <c r="E1296" s="6">
        <f t="shared" ca="1" si="1"/>
        <v>45411</v>
      </c>
      <c r="F1296" s="6">
        <f t="shared" ca="1" si="2"/>
        <v>45383</v>
      </c>
      <c r="G1296" s="7"/>
    </row>
    <row r="1297" spans="1:7" x14ac:dyDescent="0.2">
      <c r="A1297" s="3">
        <f ca="1">IFERROR(__xludf.DUMMYFUNCTION("""COMPUTED_VALUE"""),4843)</f>
        <v>4843</v>
      </c>
      <c r="B1297" s="6">
        <f ca="1">IFERROR(__xludf.DUMMYFUNCTION("""COMPUTED_VALUE"""),45412.0695254629)</f>
        <v>45412.069525462903</v>
      </c>
      <c r="C1297" s="3" t="str">
        <f ca="1">IFERROR(__xludf.DUMMYFUNCTION("""COMPUTED_VALUE"""),"purchase")</f>
        <v>purchase</v>
      </c>
      <c r="D1297" s="6">
        <f t="shared" ca="1" si="0"/>
        <v>45412</v>
      </c>
      <c r="E1297" s="6">
        <f t="shared" ca="1" si="1"/>
        <v>45411</v>
      </c>
      <c r="F1297" s="6">
        <f t="shared" ca="1" si="2"/>
        <v>45383</v>
      </c>
      <c r="G1297" s="7"/>
    </row>
    <row r="1298" spans="1:7" x14ac:dyDescent="0.2">
      <c r="A1298" s="3">
        <f ca="1">IFERROR(__xludf.DUMMYFUNCTION("""COMPUTED_VALUE"""),6450)</f>
        <v>6450</v>
      </c>
      <c r="B1298" s="6">
        <f ca="1">IFERROR(__xludf.DUMMYFUNCTION("""COMPUTED_VALUE"""),45412.0933796296)</f>
        <v>45412.093379629601</v>
      </c>
      <c r="C1298" s="3" t="str">
        <f ca="1">IFERROR(__xludf.DUMMYFUNCTION("""COMPUTED_VALUE"""),"purchase")</f>
        <v>purchase</v>
      </c>
      <c r="D1298" s="6">
        <f t="shared" ca="1" si="0"/>
        <v>45412</v>
      </c>
      <c r="E1298" s="6">
        <f t="shared" ca="1" si="1"/>
        <v>45411</v>
      </c>
      <c r="F1298" s="6">
        <f t="shared" ca="1" si="2"/>
        <v>45383</v>
      </c>
      <c r="G1298" s="7"/>
    </row>
    <row r="1299" spans="1:7" x14ac:dyDescent="0.2">
      <c r="A1299" s="3">
        <f ca="1">IFERROR(__xludf.DUMMYFUNCTION("""COMPUTED_VALUE"""),4170)</f>
        <v>4170</v>
      </c>
      <c r="B1299" s="6">
        <f ca="1">IFERROR(__xludf.DUMMYFUNCTION("""COMPUTED_VALUE"""),45412.0942939814)</f>
        <v>45412.094293981398</v>
      </c>
      <c r="C1299" s="3" t="str">
        <f ca="1">IFERROR(__xludf.DUMMYFUNCTION("""COMPUTED_VALUE"""),"purchase")</f>
        <v>purchase</v>
      </c>
      <c r="D1299" s="6">
        <f t="shared" ca="1" si="0"/>
        <v>45412</v>
      </c>
      <c r="E1299" s="6">
        <f t="shared" ca="1" si="1"/>
        <v>45411</v>
      </c>
      <c r="F1299" s="6">
        <f t="shared" ca="1" si="2"/>
        <v>45383</v>
      </c>
      <c r="G1299" s="7"/>
    </row>
    <row r="1300" spans="1:7" x14ac:dyDescent="0.2">
      <c r="A1300" s="3">
        <f ca="1">IFERROR(__xludf.DUMMYFUNCTION("""COMPUTED_VALUE"""),5199)</f>
        <v>5199</v>
      </c>
      <c r="B1300" s="6">
        <f ca="1">IFERROR(__xludf.DUMMYFUNCTION("""COMPUTED_VALUE"""),45412.0958912037)</f>
        <v>45412.095891203702</v>
      </c>
      <c r="C1300" s="3" t="str">
        <f ca="1">IFERROR(__xludf.DUMMYFUNCTION("""COMPUTED_VALUE"""),"purchase")</f>
        <v>purchase</v>
      </c>
      <c r="D1300" s="6">
        <f t="shared" ca="1" si="0"/>
        <v>45412</v>
      </c>
      <c r="E1300" s="6">
        <f t="shared" ca="1" si="1"/>
        <v>45411</v>
      </c>
      <c r="F1300" s="6">
        <f t="shared" ca="1" si="2"/>
        <v>45383</v>
      </c>
      <c r="G1300" s="7"/>
    </row>
    <row r="1301" spans="1:7" x14ac:dyDescent="0.2">
      <c r="A1301" s="3">
        <f ca="1">IFERROR(__xludf.DUMMYFUNCTION("""COMPUTED_VALUE"""),7534)</f>
        <v>7534</v>
      </c>
      <c r="B1301" s="6">
        <f ca="1">IFERROR(__xludf.DUMMYFUNCTION("""COMPUTED_VALUE"""),45412.2840162037)</f>
        <v>45412.284016203703</v>
      </c>
      <c r="C1301" s="3" t="str">
        <f ca="1">IFERROR(__xludf.DUMMYFUNCTION("""COMPUTED_VALUE"""),"purchase")</f>
        <v>purchase</v>
      </c>
      <c r="D1301" s="6">
        <f t="shared" ca="1" si="0"/>
        <v>45412</v>
      </c>
      <c r="E1301" s="6">
        <f t="shared" ca="1" si="1"/>
        <v>45411</v>
      </c>
      <c r="F1301" s="6">
        <f t="shared" ca="1" si="2"/>
        <v>45383</v>
      </c>
      <c r="G1301" s="7"/>
    </row>
    <row r="1302" spans="1:7" x14ac:dyDescent="0.2">
      <c r="A1302" s="3">
        <f ca="1">IFERROR(__xludf.DUMMYFUNCTION("""COMPUTED_VALUE"""),4621)</f>
        <v>4621</v>
      </c>
      <c r="B1302" s="6">
        <f ca="1">IFERROR(__xludf.DUMMYFUNCTION("""COMPUTED_VALUE"""),45412.3311226851)</f>
        <v>45412.3311226851</v>
      </c>
      <c r="C1302" s="3" t="str">
        <f ca="1">IFERROR(__xludf.DUMMYFUNCTION("""COMPUTED_VALUE"""),"purchase")</f>
        <v>purchase</v>
      </c>
      <c r="D1302" s="6">
        <f t="shared" ca="1" si="0"/>
        <v>45412</v>
      </c>
      <c r="E1302" s="6">
        <f t="shared" ca="1" si="1"/>
        <v>45411</v>
      </c>
      <c r="F1302" s="6">
        <f t="shared" ca="1" si="2"/>
        <v>45383</v>
      </c>
      <c r="G1302" s="7"/>
    </row>
    <row r="1303" spans="1:7" x14ac:dyDescent="0.2">
      <c r="A1303" s="3">
        <f ca="1">IFERROR(__xludf.DUMMYFUNCTION("""COMPUTED_VALUE"""),4665)</f>
        <v>4665</v>
      </c>
      <c r="B1303" s="6">
        <f ca="1">IFERROR(__xludf.DUMMYFUNCTION("""COMPUTED_VALUE"""),45412.3466087962)</f>
        <v>45412.346608796201</v>
      </c>
      <c r="C1303" s="3" t="str">
        <f ca="1">IFERROR(__xludf.DUMMYFUNCTION("""COMPUTED_VALUE"""),"purchase")</f>
        <v>purchase</v>
      </c>
      <c r="D1303" s="6">
        <f t="shared" ca="1" si="0"/>
        <v>45412</v>
      </c>
      <c r="E1303" s="6">
        <f t="shared" ca="1" si="1"/>
        <v>45411</v>
      </c>
      <c r="F1303" s="6">
        <f t="shared" ca="1" si="2"/>
        <v>45383</v>
      </c>
      <c r="G1303" s="7"/>
    </row>
    <row r="1304" spans="1:7" x14ac:dyDescent="0.2">
      <c r="A1304" s="3">
        <f ca="1">IFERROR(__xludf.DUMMYFUNCTION("""COMPUTED_VALUE"""),7513)</f>
        <v>7513</v>
      </c>
      <c r="B1304" s="6">
        <f ca="1">IFERROR(__xludf.DUMMYFUNCTION("""COMPUTED_VALUE"""),45412.5415972222)</f>
        <v>45412.541597222204</v>
      </c>
      <c r="C1304" s="3" t="str">
        <f ca="1">IFERROR(__xludf.DUMMYFUNCTION("""COMPUTED_VALUE"""),"purchase")</f>
        <v>purchase</v>
      </c>
      <c r="D1304" s="6">
        <f t="shared" ca="1" si="0"/>
        <v>45412</v>
      </c>
      <c r="E1304" s="6">
        <f t="shared" ca="1" si="1"/>
        <v>45411</v>
      </c>
      <c r="F1304" s="6">
        <f t="shared" ca="1" si="2"/>
        <v>45383</v>
      </c>
      <c r="G1304" s="7"/>
    </row>
    <row r="1305" spans="1:7" x14ac:dyDescent="0.2">
      <c r="A1305" s="3">
        <f ca="1">IFERROR(__xludf.DUMMYFUNCTION("""COMPUTED_VALUE"""),506)</f>
        <v>506</v>
      </c>
      <c r="B1305" s="6">
        <f ca="1">IFERROR(__xludf.DUMMYFUNCTION("""COMPUTED_VALUE"""),45412.6496296296)</f>
        <v>45412.649629629603</v>
      </c>
      <c r="C1305" s="3" t="str">
        <f ca="1">IFERROR(__xludf.DUMMYFUNCTION("""COMPUTED_VALUE"""),"purchase")</f>
        <v>purchase</v>
      </c>
      <c r="D1305" s="6">
        <f t="shared" ca="1" si="0"/>
        <v>45412</v>
      </c>
      <c r="E1305" s="6">
        <f t="shared" ca="1" si="1"/>
        <v>45411</v>
      </c>
      <c r="F1305" s="6">
        <f t="shared" ca="1" si="2"/>
        <v>45383</v>
      </c>
      <c r="G1305" s="7"/>
    </row>
    <row r="1306" spans="1:7" x14ac:dyDescent="0.2">
      <c r="A1306" s="3">
        <f ca="1">IFERROR(__xludf.DUMMYFUNCTION("""COMPUTED_VALUE"""),2826)</f>
        <v>2826</v>
      </c>
      <c r="B1306" s="6">
        <f ca="1">IFERROR(__xludf.DUMMYFUNCTION("""COMPUTED_VALUE"""),45412.715949074)</f>
        <v>45412.715949074001</v>
      </c>
      <c r="C1306" s="3" t="str">
        <f ca="1">IFERROR(__xludf.DUMMYFUNCTION("""COMPUTED_VALUE"""),"purchase")</f>
        <v>purchase</v>
      </c>
      <c r="D1306" s="6">
        <f t="shared" ca="1" si="0"/>
        <v>45412</v>
      </c>
      <c r="E1306" s="6">
        <f t="shared" ca="1" si="1"/>
        <v>45411</v>
      </c>
      <c r="F1306" s="6">
        <f t="shared" ca="1" si="2"/>
        <v>45383</v>
      </c>
      <c r="G1306" s="7"/>
    </row>
    <row r="1307" spans="1:7" x14ac:dyDescent="0.2">
      <c r="A1307" s="3">
        <f ca="1">IFERROR(__xludf.DUMMYFUNCTION("""COMPUTED_VALUE"""),7451)</f>
        <v>7451</v>
      </c>
      <c r="B1307" s="6">
        <f ca="1">IFERROR(__xludf.DUMMYFUNCTION("""COMPUTED_VALUE"""),45412.7239351851)</f>
        <v>45412.723935185102</v>
      </c>
      <c r="C1307" s="3" t="str">
        <f ca="1">IFERROR(__xludf.DUMMYFUNCTION("""COMPUTED_VALUE"""),"purchase")</f>
        <v>purchase</v>
      </c>
      <c r="D1307" s="6">
        <f t="shared" ca="1" si="0"/>
        <v>45412</v>
      </c>
      <c r="E1307" s="6">
        <f t="shared" ca="1" si="1"/>
        <v>45411</v>
      </c>
      <c r="F1307" s="6">
        <f t="shared" ca="1" si="2"/>
        <v>45383</v>
      </c>
      <c r="G1307" s="7"/>
    </row>
    <row r="1308" spans="1:7" x14ac:dyDescent="0.2">
      <c r="A1308" s="3">
        <f ca="1">IFERROR(__xludf.DUMMYFUNCTION("""COMPUTED_VALUE"""),7221)</f>
        <v>7221</v>
      </c>
      <c r="B1308" s="6">
        <f ca="1">IFERROR(__xludf.DUMMYFUNCTION("""COMPUTED_VALUE"""),45412.750787037)</f>
        <v>45412.750787037003</v>
      </c>
      <c r="C1308" s="3" t="str">
        <f ca="1">IFERROR(__xludf.DUMMYFUNCTION("""COMPUTED_VALUE"""),"purchase")</f>
        <v>purchase</v>
      </c>
      <c r="D1308" s="6">
        <f t="shared" ca="1" si="0"/>
        <v>45412</v>
      </c>
      <c r="E1308" s="6">
        <f t="shared" ca="1" si="1"/>
        <v>45411</v>
      </c>
      <c r="F1308" s="6">
        <f t="shared" ca="1" si="2"/>
        <v>45383</v>
      </c>
      <c r="G1308" s="7"/>
    </row>
    <row r="1309" spans="1:7" x14ac:dyDescent="0.2">
      <c r="A1309" s="3">
        <f ca="1">IFERROR(__xludf.DUMMYFUNCTION("""COMPUTED_VALUE"""),6174)</f>
        <v>6174</v>
      </c>
      <c r="B1309" s="6">
        <f ca="1">IFERROR(__xludf.DUMMYFUNCTION("""COMPUTED_VALUE"""),45412.8665162037)</f>
        <v>45412.8665162037</v>
      </c>
      <c r="C1309" s="3" t="str">
        <f ca="1">IFERROR(__xludf.DUMMYFUNCTION("""COMPUTED_VALUE"""),"purchase")</f>
        <v>purchase</v>
      </c>
      <c r="D1309" s="6">
        <f t="shared" ca="1" si="0"/>
        <v>45412</v>
      </c>
      <c r="E1309" s="6">
        <f t="shared" ca="1" si="1"/>
        <v>45411</v>
      </c>
      <c r="F1309" s="6">
        <f t="shared" ca="1" si="2"/>
        <v>45383</v>
      </c>
      <c r="G1309" s="7"/>
    </row>
    <row r="1310" spans="1:7" x14ac:dyDescent="0.2">
      <c r="A1310" s="3">
        <f ca="1">IFERROR(__xludf.DUMMYFUNCTION("""COMPUTED_VALUE"""),4185)</f>
        <v>4185</v>
      </c>
      <c r="B1310" s="6">
        <f ca="1">IFERROR(__xludf.DUMMYFUNCTION("""COMPUTED_VALUE"""),45412.9059027777)</f>
        <v>45412.905902777697</v>
      </c>
      <c r="C1310" s="3" t="str">
        <f ca="1">IFERROR(__xludf.DUMMYFUNCTION("""COMPUTED_VALUE"""),"purchase")</f>
        <v>purchase</v>
      </c>
      <c r="D1310" s="6">
        <f t="shared" ca="1" si="0"/>
        <v>45412</v>
      </c>
      <c r="E1310" s="6">
        <f t="shared" ca="1" si="1"/>
        <v>45411</v>
      </c>
      <c r="F1310" s="6">
        <f t="shared" ca="1" si="2"/>
        <v>45383</v>
      </c>
      <c r="G1310" s="7"/>
    </row>
    <row r="1311" spans="1:7" x14ac:dyDescent="0.2">
      <c r="A1311" s="3">
        <f ca="1">IFERROR(__xludf.DUMMYFUNCTION("""COMPUTED_VALUE"""),958)</f>
        <v>958</v>
      </c>
      <c r="B1311" s="6">
        <f ca="1">IFERROR(__xludf.DUMMYFUNCTION("""COMPUTED_VALUE"""),45413.0849189814)</f>
        <v>45413.084918981403</v>
      </c>
      <c r="C1311" s="3" t="str">
        <f ca="1">IFERROR(__xludf.DUMMYFUNCTION("""COMPUTED_VALUE"""),"purchase")</f>
        <v>purchase</v>
      </c>
      <c r="D1311" s="6">
        <f t="shared" ca="1" si="0"/>
        <v>45413</v>
      </c>
      <c r="E1311" s="6">
        <f t="shared" ca="1" si="1"/>
        <v>45411</v>
      </c>
      <c r="F1311" s="6">
        <f t="shared" ca="1" si="2"/>
        <v>45413</v>
      </c>
      <c r="G1311" s="7"/>
    </row>
    <row r="1312" spans="1:7" x14ac:dyDescent="0.2">
      <c r="A1312" s="3">
        <f ca="1">IFERROR(__xludf.DUMMYFUNCTION("""COMPUTED_VALUE"""),5500)</f>
        <v>5500</v>
      </c>
      <c r="B1312" s="6">
        <f ca="1">IFERROR(__xludf.DUMMYFUNCTION("""COMPUTED_VALUE"""),45413.2648148148)</f>
        <v>45413.2648148148</v>
      </c>
      <c r="C1312" s="3" t="str">
        <f ca="1">IFERROR(__xludf.DUMMYFUNCTION("""COMPUTED_VALUE"""),"purchase")</f>
        <v>purchase</v>
      </c>
      <c r="D1312" s="6">
        <f t="shared" ca="1" si="0"/>
        <v>45413</v>
      </c>
      <c r="E1312" s="6">
        <f t="shared" ca="1" si="1"/>
        <v>45411</v>
      </c>
      <c r="F1312" s="6">
        <f t="shared" ca="1" si="2"/>
        <v>45413</v>
      </c>
      <c r="G1312" s="7"/>
    </row>
    <row r="1313" spans="1:7" x14ac:dyDescent="0.2">
      <c r="A1313" s="3">
        <f ca="1">IFERROR(__xludf.DUMMYFUNCTION("""COMPUTED_VALUE"""),5650)</f>
        <v>5650</v>
      </c>
      <c r="B1313" s="6">
        <f ca="1">IFERROR(__xludf.DUMMYFUNCTION("""COMPUTED_VALUE"""),45413.291099537)</f>
        <v>45413.291099536997</v>
      </c>
      <c r="C1313" s="3" t="str">
        <f ca="1">IFERROR(__xludf.DUMMYFUNCTION("""COMPUTED_VALUE"""),"purchase")</f>
        <v>purchase</v>
      </c>
      <c r="D1313" s="6">
        <f t="shared" ca="1" si="0"/>
        <v>45413</v>
      </c>
      <c r="E1313" s="6">
        <f t="shared" ca="1" si="1"/>
        <v>45411</v>
      </c>
      <c r="F1313" s="6">
        <f t="shared" ca="1" si="2"/>
        <v>45413</v>
      </c>
      <c r="G1313" s="7"/>
    </row>
    <row r="1314" spans="1:7" x14ac:dyDescent="0.2">
      <c r="A1314" s="3">
        <f ca="1">IFERROR(__xludf.DUMMYFUNCTION("""COMPUTED_VALUE"""),4540)</f>
        <v>4540</v>
      </c>
      <c r="B1314" s="6">
        <f ca="1">IFERROR(__xludf.DUMMYFUNCTION("""COMPUTED_VALUE"""),45413.3914930555)</f>
        <v>45413.391493055497</v>
      </c>
      <c r="C1314" s="3" t="str">
        <f ca="1">IFERROR(__xludf.DUMMYFUNCTION("""COMPUTED_VALUE"""),"purchase")</f>
        <v>purchase</v>
      </c>
      <c r="D1314" s="6">
        <f t="shared" ca="1" si="0"/>
        <v>45413</v>
      </c>
      <c r="E1314" s="6">
        <f t="shared" ca="1" si="1"/>
        <v>45411</v>
      </c>
      <c r="F1314" s="6">
        <f t="shared" ca="1" si="2"/>
        <v>45413</v>
      </c>
      <c r="G1314" s="7"/>
    </row>
    <row r="1315" spans="1:7" x14ac:dyDescent="0.2">
      <c r="A1315" s="3">
        <f ca="1">IFERROR(__xludf.DUMMYFUNCTION("""COMPUTED_VALUE"""),2226)</f>
        <v>2226</v>
      </c>
      <c r="B1315" s="6">
        <f ca="1">IFERROR(__xludf.DUMMYFUNCTION("""COMPUTED_VALUE"""),45413.5073842592)</f>
        <v>45413.507384259203</v>
      </c>
      <c r="C1315" s="3" t="str">
        <f ca="1">IFERROR(__xludf.DUMMYFUNCTION("""COMPUTED_VALUE"""),"purchase")</f>
        <v>purchase</v>
      </c>
      <c r="D1315" s="6">
        <f t="shared" ca="1" si="0"/>
        <v>45413</v>
      </c>
      <c r="E1315" s="6">
        <f t="shared" ca="1" si="1"/>
        <v>45411</v>
      </c>
      <c r="F1315" s="6">
        <f t="shared" ca="1" si="2"/>
        <v>45413</v>
      </c>
      <c r="G1315" s="7"/>
    </row>
    <row r="1316" spans="1:7" x14ac:dyDescent="0.2">
      <c r="A1316" s="3">
        <f ca="1">IFERROR(__xludf.DUMMYFUNCTION("""COMPUTED_VALUE"""),287)</f>
        <v>287</v>
      </c>
      <c r="B1316" s="6">
        <f ca="1">IFERROR(__xludf.DUMMYFUNCTION("""COMPUTED_VALUE"""),45413.566261574)</f>
        <v>45413.566261574</v>
      </c>
      <c r="C1316" s="3" t="str">
        <f ca="1">IFERROR(__xludf.DUMMYFUNCTION("""COMPUTED_VALUE"""),"purchase")</f>
        <v>purchase</v>
      </c>
      <c r="D1316" s="6">
        <f t="shared" ca="1" si="0"/>
        <v>45413</v>
      </c>
      <c r="E1316" s="6">
        <f t="shared" ca="1" si="1"/>
        <v>45411</v>
      </c>
      <c r="F1316" s="6">
        <f t="shared" ca="1" si="2"/>
        <v>45413</v>
      </c>
      <c r="G1316" s="7"/>
    </row>
    <row r="1317" spans="1:7" x14ac:dyDescent="0.2">
      <c r="A1317" s="3">
        <f ca="1">IFERROR(__xludf.DUMMYFUNCTION("""COMPUTED_VALUE"""),3917)</f>
        <v>3917</v>
      </c>
      <c r="B1317" s="6">
        <f ca="1">IFERROR(__xludf.DUMMYFUNCTION("""COMPUTED_VALUE"""),45413.6858796296)</f>
        <v>45413.6858796296</v>
      </c>
      <c r="C1317" s="3" t="str">
        <f ca="1">IFERROR(__xludf.DUMMYFUNCTION("""COMPUTED_VALUE"""),"purchase")</f>
        <v>purchase</v>
      </c>
      <c r="D1317" s="6">
        <f t="shared" ca="1" si="0"/>
        <v>45413</v>
      </c>
      <c r="E1317" s="6">
        <f t="shared" ca="1" si="1"/>
        <v>45411</v>
      </c>
      <c r="F1317" s="6">
        <f t="shared" ca="1" si="2"/>
        <v>45413</v>
      </c>
      <c r="G1317" s="7"/>
    </row>
    <row r="1318" spans="1:7" x14ac:dyDescent="0.2">
      <c r="A1318" s="3">
        <f ca="1">IFERROR(__xludf.DUMMYFUNCTION("""COMPUTED_VALUE"""),5769)</f>
        <v>5769</v>
      </c>
      <c r="B1318" s="6">
        <f ca="1">IFERROR(__xludf.DUMMYFUNCTION("""COMPUTED_VALUE"""),45413.7757175925)</f>
        <v>45413.7757175925</v>
      </c>
      <c r="C1318" s="3" t="str">
        <f ca="1">IFERROR(__xludf.DUMMYFUNCTION("""COMPUTED_VALUE"""),"purchase")</f>
        <v>purchase</v>
      </c>
      <c r="D1318" s="6">
        <f t="shared" ca="1" si="0"/>
        <v>45413</v>
      </c>
      <c r="E1318" s="6">
        <f t="shared" ca="1" si="1"/>
        <v>45411</v>
      </c>
      <c r="F1318" s="6">
        <f t="shared" ca="1" si="2"/>
        <v>45413</v>
      </c>
      <c r="G1318" s="7"/>
    </row>
    <row r="1319" spans="1:7" x14ac:dyDescent="0.2">
      <c r="A1319" s="3">
        <f ca="1">IFERROR(__xludf.DUMMYFUNCTION("""COMPUTED_VALUE"""),4616)</f>
        <v>4616</v>
      </c>
      <c r="B1319" s="6">
        <f ca="1">IFERROR(__xludf.DUMMYFUNCTION("""COMPUTED_VALUE"""),45413.8329398148)</f>
        <v>45413.832939814798</v>
      </c>
      <c r="C1319" s="3" t="str">
        <f ca="1">IFERROR(__xludf.DUMMYFUNCTION("""COMPUTED_VALUE"""),"purchase")</f>
        <v>purchase</v>
      </c>
      <c r="D1319" s="6">
        <f t="shared" ca="1" si="0"/>
        <v>45413</v>
      </c>
      <c r="E1319" s="6">
        <f t="shared" ca="1" si="1"/>
        <v>45411</v>
      </c>
      <c r="F1319" s="6">
        <f t="shared" ca="1" si="2"/>
        <v>45413</v>
      </c>
      <c r="G1319" s="7"/>
    </row>
    <row r="1320" spans="1:7" x14ac:dyDescent="0.2">
      <c r="A1320" s="3">
        <f ca="1">IFERROR(__xludf.DUMMYFUNCTION("""COMPUTED_VALUE"""),4563)</f>
        <v>4563</v>
      </c>
      <c r="B1320" s="6">
        <f ca="1">IFERROR(__xludf.DUMMYFUNCTION("""COMPUTED_VALUE"""),45414.0058449074)</f>
        <v>45414.005844907399</v>
      </c>
      <c r="C1320" s="3" t="str">
        <f ca="1">IFERROR(__xludf.DUMMYFUNCTION("""COMPUTED_VALUE"""),"purchase")</f>
        <v>purchase</v>
      </c>
      <c r="D1320" s="6">
        <f t="shared" ca="1" si="0"/>
        <v>45414</v>
      </c>
      <c r="E1320" s="6">
        <f t="shared" ca="1" si="1"/>
        <v>45411</v>
      </c>
      <c r="F1320" s="6">
        <f t="shared" ca="1" si="2"/>
        <v>45413</v>
      </c>
      <c r="G1320" s="7"/>
    </row>
    <row r="1321" spans="1:7" x14ac:dyDescent="0.2">
      <c r="A1321" s="3">
        <f ca="1">IFERROR(__xludf.DUMMYFUNCTION("""COMPUTED_VALUE"""),470)</f>
        <v>470</v>
      </c>
      <c r="B1321" s="6">
        <f ca="1">IFERROR(__xludf.DUMMYFUNCTION("""COMPUTED_VALUE"""),45414.054386574)</f>
        <v>45414.054386573996</v>
      </c>
      <c r="C1321" s="3" t="str">
        <f ca="1">IFERROR(__xludf.DUMMYFUNCTION("""COMPUTED_VALUE"""),"purchase")</f>
        <v>purchase</v>
      </c>
      <c r="D1321" s="6">
        <f t="shared" ca="1" si="0"/>
        <v>45414</v>
      </c>
      <c r="E1321" s="6">
        <f t="shared" ca="1" si="1"/>
        <v>45411</v>
      </c>
      <c r="F1321" s="6">
        <f t="shared" ca="1" si="2"/>
        <v>45413</v>
      </c>
      <c r="G1321" s="7"/>
    </row>
    <row r="1322" spans="1:7" x14ac:dyDescent="0.2">
      <c r="A1322" s="3">
        <f ca="1">IFERROR(__xludf.DUMMYFUNCTION("""COMPUTED_VALUE"""),7252)</f>
        <v>7252</v>
      </c>
      <c r="B1322" s="6">
        <f ca="1">IFERROR(__xludf.DUMMYFUNCTION("""COMPUTED_VALUE"""),45414.2108217592)</f>
        <v>45414.210821759203</v>
      </c>
      <c r="C1322" s="3" t="str">
        <f ca="1">IFERROR(__xludf.DUMMYFUNCTION("""COMPUTED_VALUE"""),"purchase")</f>
        <v>purchase</v>
      </c>
      <c r="D1322" s="6">
        <f t="shared" ca="1" si="0"/>
        <v>45414</v>
      </c>
      <c r="E1322" s="6">
        <f t="shared" ca="1" si="1"/>
        <v>45411</v>
      </c>
      <c r="F1322" s="6">
        <f t="shared" ca="1" si="2"/>
        <v>45413</v>
      </c>
      <c r="G1322" s="7"/>
    </row>
    <row r="1323" spans="1:7" x14ac:dyDescent="0.2">
      <c r="A1323" s="3">
        <f ca="1">IFERROR(__xludf.DUMMYFUNCTION("""COMPUTED_VALUE"""),7742)</f>
        <v>7742</v>
      </c>
      <c r="B1323" s="6">
        <f ca="1">IFERROR(__xludf.DUMMYFUNCTION("""COMPUTED_VALUE"""),45414.2137037037)</f>
        <v>45414.213703703703</v>
      </c>
      <c r="C1323" s="3" t="str">
        <f ca="1">IFERROR(__xludf.DUMMYFUNCTION("""COMPUTED_VALUE"""),"purchase")</f>
        <v>purchase</v>
      </c>
      <c r="D1323" s="6">
        <f t="shared" ca="1" si="0"/>
        <v>45414</v>
      </c>
      <c r="E1323" s="6">
        <f t="shared" ca="1" si="1"/>
        <v>45411</v>
      </c>
      <c r="F1323" s="6">
        <f t="shared" ca="1" si="2"/>
        <v>45413</v>
      </c>
      <c r="G1323" s="7"/>
    </row>
    <row r="1324" spans="1:7" x14ac:dyDescent="0.2">
      <c r="A1324" s="3">
        <f ca="1">IFERROR(__xludf.DUMMYFUNCTION("""COMPUTED_VALUE"""),170)</f>
        <v>170</v>
      </c>
      <c r="B1324" s="6">
        <f ca="1">IFERROR(__xludf.DUMMYFUNCTION("""COMPUTED_VALUE"""),45414.2345949074)</f>
        <v>45414.234594907401</v>
      </c>
      <c r="C1324" s="3" t="str">
        <f ca="1">IFERROR(__xludf.DUMMYFUNCTION("""COMPUTED_VALUE"""),"purchase")</f>
        <v>purchase</v>
      </c>
      <c r="D1324" s="6">
        <f t="shared" ca="1" si="0"/>
        <v>45414</v>
      </c>
      <c r="E1324" s="6">
        <f t="shared" ca="1" si="1"/>
        <v>45411</v>
      </c>
      <c r="F1324" s="6">
        <f t="shared" ca="1" si="2"/>
        <v>45413</v>
      </c>
      <c r="G1324" s="7"/>
    </row>
    <row r="1325" spans="1:7" x14ac:dyDescent="0.2">
      <c r="A1325" s="3">
        <f ca="1">IFERROR(__xludf.DUMMYFUNCTION("""COMPUTED_VALUE"""),6632)</f>
        <v>6632</v>
      </c>
      <c r="B1325" s="6">
        <f ca="1">IFERROR(__xludf.DUMMYFUNCTION("""COMPUTED_VALUE"""),45414.3978587963)</f>
        <v>45414.397858796299</v>
      </c>
      <c r="C1325" s="3" t="str">
        <f ca="1">IFERROR(__xludf.DUMMYFUNCTION("""COMPUTED_VALUE"""),"purchase")</f>
        <v>purchase</v>
      </c>
      <c r="D1325" s="6">
        <f t="shared" ca="1" si="0"/>
        <v>45414</v>
      </c>
      <c r="E1325" s="6">
        <f t="shared" ca="1" si="1"/>
        <v>45411</v>
      </c>
      <c r="F1325" s="6">
        <f t="shared" ca="1" si="2"/>
        <v>45413</v>
      </c>
      <c r="G1325" s="7"/>
    </row>
    <row r="1326" spans="1:7" x14ac:dyDescent="0.2">
      <c r="A1326" s="3">
        <f ca="1">IFERROR(__xludf.DUMMYFUNCTION("""COMPUTED_VALUE"""),2419)</f>
        <v>2419</v>
      </c>
      <c r="B1326" s="6">
        <f ca="1">IFERROR(__xludf.DUMMYFUNCTION("""COMPUTED_VALUE"""),45414.7245138888)</f>
        <v>45414.724513888803</v>
      </c>
      <c r="C1326" s="3" t="str">
        <f ca="1">IFERROR(__xludf.DUMMYFUNCTION("""COMPUTED_VALUE"""),"purchase")</f>
        <v>purchase</v>
      </c>
      <c r="D1326" s="6">
        <f t="shared" ca="1" si="0"/>
        <v>45414</v>
      </c>
      <c r="E1326" s="6">
        <f t="shared" ca="1" si="1"/>
        <v>45411</v>
      </c>
      <c r="F1326" s="6">
        <f t="shared" ca="1" si="2"/>
        <v>45413</v>
      </c>
      <c r="G1326" s="7"/>
    </row>
    <row r="1327" spans="1:7" x14ac:dyDescent="0.2">
      <c r="A1327" s="3">
        <f ca="1">IFERROR(__xludf.DUMMYFUNCTION("""COMPUTED_VALUE"""),1481)</f>
        <v>1481</v>
      </c>
      <c r="B1327" s="6">
        <f ca="1">IFERROR(__xludf.DUMMYFUNCTION("""COMPUTED_VALUE"""),45414.7911689814)</f>
        <v>45414.791168981399</v>
      </c>
      <c r="C1327" s="3" t="str">
        <f ca="1">IFERROR(__xludf.DUMMYFUNCTION("""COMPUTED_VALUE"""),"purchase")</f>
        <v>purchase</v>
      </c>
      <c r="D1327" s="6">
        <f t="shared" ca="1" si="0"/>
        <v>45414</v>
      </c>
      <c r="E1327" s="6">
        <f t="shared" ca="1" si="1"/>
        <v>45411</v>
      </c>
      <c r="F1327" s="6">
        <f t="shared" ca="1" si="2"/>
        <v>45413</v>
      </c>
      <c r="G1327" s="7"/>
    </row>
    <row r="1328" spans="1:7" x14ac:dyDescent="0.2">
      <c r="A1328" s="3">
        <f ca="1">IFERROR(__xludf.DUMMYFUNCTION("""COMPUTED_VALUE"""),1189)</f>
        <v>1189</v>
      </c>
      <c r="B1328" s="6">
        <f ca="1">IFERROR(__xludf.DUMMYFUNCTION("""COMPUTED_VALUE"""),45414.9307523148)</f>
        <v>45414.930752314802</v>
      </c>
      <c r="C1328" s="3" t="str">
        <f ca="1">IFERROR(__xludf.DUMMYFUNCTION("""COMPUTED_VALUE"""),"purchase")</f>
        <v>purchase</v>
      </c>
      <c r="D1328" s="6">
        <f t="shared" ca="1" si="0"/>
        <v>45414</v>
      </c>
      <c r="E1328" s="6">
        <f t="shared" ca="1" si="1"/>
        <v>45411</v>
      </c>
      <c r="F1328" s="6">
        <f t="shared" ca="1" si="2"/>
        <v>45413</v>
      </c>
      <c r="G1328" s="7"/>
    </row>
    <row r="1329" spans="1:7" x14ac:dyDescent="0.2">
      <c r="A1329" s="3">
        <f ca="1">IFERROR(__xludf.DUMMYFUNCTION("""COMPUTED_VALUE"""),3439)</f>
        <v>3439</v>
      </c>
      <c r="B1329" s="6">
        <f ca="1">IFERROR(__xludf.DUMMYFUNCTION("""COMPUTED_VALUE"""),45415.3548958333)</f>
        <v>45415.354895833298</v>
      </c>
      <c r="C1329" s="3" t="str">
        <f ca="1">IFERROR(__xludf.DUMMYFUNCTION("""COMPUTED_VALUE"""),"purchase")</f>
        <v>purchase</v>
      </c>
      <c r="D1329" s="6">
        <f t="shared" ca="1" si="0"/>
        <v>45415</v>
      </c>
      <c r="E1329" s="6">
        <f t="shared" ca="1" si="1"/>
        <v>45411</v>
      </c>
      <c r="F1329" s="6">
        <f t="shared" ca="1" si="2"/>
        <v>45413</v>
      </c>
      <c r="G1329" s="7"/>
    </row>
    <row r="1330" spans="1:7" x14ac:dyDescent="0.2">
      <c r="A1330" s="3">
        <f ca="1">IFERROR(__xludf.DUMMYFUNCTION("""COMPUTED_VALUE"""),7783)</f>
        <v>7783</v>
      </c>
      <c r="B1330" s="6">
        <f ca="1">IFERROR(__xludf.DUMMYFUNCTION("""COMPUTED_VALUE"""),45415.4404398148)</f>
        <v>45415.440439814804</v>
      </c>
      <c r="C1330" s="3" t="str">
        <f ca="1">IFERROR(__xludf.DUMMYFUNCTION("""COMPUTED_VALUE"""),"purchase")</f>
        <v>purchase</v>
      </c>
      <c r="D1330" s="6">
        <f t="shared" ca="1" si="0"/>
        <v>45415</v>
      </c>
      <c r="E1330" s="6">
        <f t="shared" ca="1" si="1"/>
        <v>45411</v>
      </c>
      <c r="F1330" s="6">
        <f t="shared" ca="1" si="2"/>
        <v>45413</v>
      </c>
      <c r="G1330" s="7"/>
    </row>
    <row r="1331" spans="1:7" x14ac:dyDescent="0.2">
      <c r="A1331" s="3">
        <f ca="1">IFERROR(__xludf.DUMMYFUNCTION("""COMPUTED_VALUE"""),536)</f>
        <v>536</v>
      </c>
      <c r="B1331" s="6">
        <f ca="1">IFERROR(__xludf.DUMMYFUNCTION("""COMPUTED_VALUE"""),45415.4658333333)</f>
        <v>45415.465833333299</v>
      </c>
      <c r="C1331" s="3" t="str">
        <f ca="1">IFERROR(__xludf.DUMMYFUNCTION("""COMPUTED_VALUE"""),"purchase")</f>
        <v>purchase</v>
      </c>
      <c r="D1331" s="6">
        <f t="shared" ca="1" si="0"/>
        <v>45415</v>
      </c>
      <c r="E1331" s="6">
        <f t="shared" ca="1" si="1"/>
        <v>45411</v>
      </c>
      <c r="F1331" s="6">
        <f t="shared" ca="1" si="2"/>
        <v>45413</v>
      </c>
      <c r="G1331" s="7"/>
    </row>
    <row r="1332" spans="1:7" x14ac:dyDescent="0.2">
      <c r="A1332" s="3">
        <f ca="1">IFERROR(__xludf.DUMMYFUNCTION("""COMPUTED_VALUE"""),3502)</f>
        <v>3502</v>
      </c>
      <c r="B1332" s="6">
        <f ca="1">IFERROR(__xludf.DUMMYFUNCTION("""COMPUTED_VALUE"""),45415.5305671296)</f>
        <v>45415.530567129601</v>
      </c>
      <c r="C1332" s="3" t="str">
        <f ca="1">IFERROR(__xludf.DUMMYFUNCTION("""COMPUTED_VALUE"""),"purchase")</f>
        <v>purchase</v>
      </c>
      <c r="D1332" s="6">
        <f t="shared" ca="1" si="0"/>
        <v>45415</v>
      </c>
      <c r="E1332" s="6">
        <f t="shared" ca="1" si="1"/>
        <v>45411</v>
      </c>
      <c r="F1332" s="6">
        <f t="shared" ca="1" si="2"/>
        <v>45413</v>
      </c>
      <c r="G1332" s="7"/>
    </row>
    <row r="1333" spans="1:7" x14ac:dyDescent="0.2">
      <c r="A1333" s="3">
        <f ca="1">IFERROR(__xludf.DUMMYFUNCTION("""COMPUTED_VALUE"""),2465)</f>
        <v>2465</v>
      </c>
      <c r="B1333" s="6">
        <f ca="1">IFERROR(__xludf.DUMMYFUNCTION("""COMPUTED_VALUE"""),45415.8403009259)</f>
        <v>45415.840300925898</v>
      </c>
      <c r="C1333" s="3" t="str">
        <f ca="1">IFERROR(__xludf.DUMMYFUNCTION("""COMPUTED_VALUE"""),"purchase")</f>
        <v>purchase</v>
      </c>
      <c r="D1333" s="6">
        <f t="shared" ca="1" si="0"/>
        <v>45415</v>
      </c>
      <c r="E1333" s="6">
        <f t="shared" ca="1" si="1"/>
        <v>45411</v>
      </c>
      <c r="F1333" s="6">
        <f t="shared" ca="1" si="2"/>
        <v>45413</v>
      </c>
      <c r="G1333" s="7"/>
    </row>
    <row r="1334" spans="1:7" x14ac:dyDescent="0.2">
      <c r="A1334" s="3">
        <f ca="1">IFERROR(__xludf.DUMMYFUNCTION("""COMPUTED_VALUE"""),3423)</f>
        <v>3423</v>
      </c>
      <c r="B1334" s="6">
        <f ca="1">IFERROR(__xludf.DUMMYFUNCTION("""COMPUTED_VALUE"""),45415.8609259259)</f>
        <v>45415.860925925903</v>
      </c>
      <c r="C1334" s="3" t="str">
        <f ca="1">IFERROR(__xludf.DUMMYFUNCTION("""COMPUTED_VALUE"""),"purchase")</f>
        <v>purchase</v>
      </c>
      <c r="D1334" s="6">
        <f t="shared" ca="1" si="0"/>
        <v>45415</v>
      </c>
      <c r="E1334" s="6">
        <f t="shared" ca="1" si="1"/>
        <v>45411</v>
      </c>
      <c r="F1334" s="6">
        <f t="shared" ca="1" si="2"/>
        <v>45413</v>
      </c>
      <c r="G1334" s="7"/>
    </row>
    <row r="1335" spans="1:7" x14ac:dyDescent="0.2">
      <c r="A1335" s="3">
        <f ca="1">IFERROR(__xludf.DUMMYFUNCTION("""COMPUTED_VALUE"""),2777)</f>
        <v>2777</v>
      </c>
      <c r="B1335" s="6">
        <f ca="1">IFERROR(__xludf.DUMMYFUNCTION("""COMPUTED_VALUE"""),45415.8901388888)</f>
        <v>45415.890138888797</v>
      </c>
      <c r="C1335" s="3" t="str">
        <f ca="1">IFERROR(__xludf.DUMMYFUNCTION("""COMPUTED_VALUE"""),"purchase")</f>
        <v>purchase</v>
      </c>
      <c r="D1335" s="6">
        <f t="shared" ca="1" si="0"/>
        <v>45415</v>
      </c>
      <c r="E1335" s="6">
        <f t="shared" ca="1" si="1"/>
        <v>45411</v>
      </c>
      <c r="F1335" s="6">
        <f t="shared" ca="1" si="2"/>
        <v>45413</v>
      </c>
      <c r="G1335" s="7"/>
    </row>
    <row r="1336" spans="1:7" x14ac:dyDescent="0.2">
      <c r="A1336" s="3">
        <f ca="1">IFERROR(__xludf.DUMMYFUNCTION("""COMPUTED_VALUE"""),6673)</f>
        <v>6673</v>
      </c>
      <c r="B1336" s="6">
        <f ca="1">IFERROR(__xludf.DUMMYFUNCTION("""COMPUTED_VALUE"""),45415.9178125)</f>
        <v>45415.917812500003</v>
      </c>
      <c r="C1336" s="3" t="str">
        <f ca="1">IFERROR(__xludf.DUMMYFUNCTION("""COMPUTED_VALUE"""),"purchase")</f>
        <v>purchase</v>
      </c>
      <c r="D1336" s="6">
        <f t="shared" ca="1" si="0"/>
        <v>45415</v>
      </c>
      <c r="E1336" s="6">
        <f t="shared" ca="1" si="1"/>
        <v>45411</v>
      </c>
      <c r="F1336" s="6">
        <f t="shared" ca="1" si="2"/>
        <v>45413</v>
      </c>
      <c r="G1336" s="7"/>
    </row>
    <row r="1337" spans="1:7" x14ac:dyDescent="0.2">
      <c r="A1337" s="3">
        <f ca="1">IFERROR(__xludf.DUMMYFUNCTION("""COMPUTED_VALUE"""),3183)</f>
        <v>3183</v>
      </c>
      <c r="B1337" s="6">
        <f ca="1">IFERROR(__xludf.DUMMYFUNCTION("""COMPUTED_VALUE"""),45416.0302662037)</f>
        <v>45416.030266203699</v>
      </c>
      <c r="C1337" s="3" t="str">
        <f ca="1">IFERROR(__xludf.DUMMYFUNCTION("""COMPUTED_VALUE"""),"purchase")</f>
        <v>purchase</v>
      </c>
      <c r="D1337" s="6">
        <f t="shared" ca="1" si="0"/>
        <v>45416</v>
      </c>
      <c r="E1337" s="6">
        <f t="shared" ca="1" si="1"/>
        <v>45411</v>
      </c>
      <c r="F1337" s="6">
        <f t="shared" ca="1" si="2"/>
        <v>45413</v>
      </c>
      <c r="G1337" s="7"/>
    </row>
    <row r="1338" spans="1:7" x14ac:dyDescent="0.2">
      <c r="A1338" s="3">
        <f ca="1">IFERROR(__xludf.DUMMYFUNCTION("""COMPUTED_VALUE"""),2119)</f>
        <v>2119</v>
      </c>
      <c r="B1338" s="6">
        <f ca="1">IFERROR(__xludf.DUMMYFUNCTION("""COMPUTED_VALUE"""),45416.1289583333)</f>
        <v>45416.128958333298</v>
      </c>
      <c r="C1338" s="3" t="str">
        <f ca="1">IFERROR(__xludf.DUMMYFUNCTION("""COMPUTED_VALUE"""),"purchase")</f>
        <v>purchase</v>
      </c>
      <c r="D1338" s="6">
        <f t="shared" ca="1" si="0"/>
        <v>45416</v>
      </c>
      <c r="E1338" s="6">
        <f t="shared" ca="1" si="1"/>
        <v>45411</v>
      </c>
      <c r="F1338" s="6">
        <f t="shared" ca="1" si="2"/>
        <v>45413</v>
      </c>
      <c r="G1338" s="7"/>
    </row>
    <row r="1339" spans="1:7" x14ac:dyDescent="0.2">
      <c r="A1339" s="3">
        <f ca="1">IFERROR(__xludf.DUMMYFUNCTION("""COMPUTED_VALUE"""),4999)</f>
        <v>4999</v>
      </c>
      <c r="B1339" s="6">
        <f ca="1">IFERROR(__xludf.DUMMYFUNCTION("""COMPUTED_VALUE"""),45416.1751273148)</f>
        <v>45416.175127314797</v>
      </c>
      <c r="C1339" s="3" t="str">
        <f ca="1">IFERROR(__xludf.DUMMYFUNCTION("""COMPUTED_VALUE"""),"purchase")</f>
        <v>purchase</v>
      </c>
      <c r="D1339" s="6">
        <f t="shared" ca="1" si="0"/>
        <v>45416</v>
      </c>
      <c r="E1339" s="6">
        <f t="shared" ca="1" si="1"/>
        <v>45411</v>
      </c>
      <c r="F1339" s="6">
        <f t="shared" ca="1" si="2"/>
        <v>45413</v>
      </c>
      <c r="G1339" s="7"/>
    </row>
    <row r="1340" spans="1:7" x14ac:dyDescent="0.2">
      <c r="A1340" s="3">
        <f ca="1">IFERROR(__xludf.DUMMYFUNCTION("""COMPUTED_VALUE"""),1919)</f>
        <v>1919</v>
      </c>
      <c r="B1340" s="6">
        <f ca="1">IFERROR(__xludf.DUMMYFUNCTION("""COMPUTED_VALUE"""),45416.2276273148)</f>
        <v>45416.227627314802</v>
      </c>
      <c r="C1340" s="3" t="str">
        <f ca="1">IFERROR(__xludf.DUMMYFUNCTION("""COMPUTED_VALUE"""),"purchase")</f>
        <v>purchase</v>
      </c>
      <c r="D1340" s="6">
        <f t="shared" ca="1" si="0"/>
        <v>45416</v>
      </c>
      <c r="E1340" s="6">
        <f t="shared" ca="1" si="1"/>
        <v>45411</v>
      </c>
      <c r="F1340" s="6">
        <f t="shared" ca="1" si="2"/>
        <v>45413</v>
      </c>
      <c r="G1340" s="7"/>
    </row>
    <row r="1341" spans="1:7" x14ac:dyDescent="0.2">
      <c r="A1341" s="3">
        <f ca="1">IFERROR(__xludf.DUMMYFUNCTION("""COMPUTED_VALUE"""),5126)</f>
        <v>5126</v>
      </c>
      <c r="B1341" s="6">
        <f ca="1">IFERROR(__xludf.DUMMYFUNCTION("""COMPUTED_VALUE"""),45416.3653703703)</f>
        <v>45416.365370370302</v>
      </c>
      <c r="C1341" s="3" t="str">
        <f ca="1">IFERROR(__xludf.DUMMYFUNCTION("""COMPUTED_VALUE"""),"purchase")</f>
        <v>purchase</v>
      </c>
      <c r="D1341" s="6">
        <f t="shared" ca="1" si="0"/>
        <v>45416</v>
      </c>
      <c r="E1341" s="6">
        <f t="shared" ca="1" si="1"/>
        <v>45411</v>
      </c>
      <c r="F1341" s="6">
        <f t="shared" ca="1" si="2"/>
        <v>45413</v>
      </c>
      <c r="G1341" s="7"/>
    </row>
    <row r="1342" spans="1:7" x14ac:dyDescent="0.2">
      <c r="A1342" s="3">
        <f ca="1">IFERROR(__xludf.DUMMYFUNCTION("""COMPUTED_VALUE"""),2281)</f>
        <v>2281</v>
      </c>
      <c r="B1342" s="6">
        <f ca="1">IFERROR(__xludf.DUMMYFUNCTION("""COMPUTED_VALUE"""),45416.5312384259)</f>
        <v>45416.531238425901</v>
      </c>
      <c r="C1342" s="3" t="str">
        <f ca="1">IFERROR(__xludf.DUMMYFUNCTION("""COMPUTED_VALUE"""),"purchase")</f>
        <v>purchase</v>
      </c>
      <c r="D1342" s="6">
        <f t="shared" ca="1" si="0"/>
        <v>45416</v>
      </c>
      <c r="E1342" s="6">
        <f t="shared" ca="1" si="1"/>
        <v>45411</v>
      </c>
      <c r="F1342" s="6">
        <f t="shared" ca="1" si="2"/>
        <v>45413</v>
      </c>
      <c r="G1342" s="7"/>
    </row>
    <row r="1343" spans="1:7" x14ac:dyDescent="0.2">
      <c r="A1343" s="3">
        <f ca="1">IFERROR(__xludf.DUMMYFUNCTION("""COMPUTED_VALUE"""),3890)</f>
        <v>3890</v>
      </c>
      <c r="B1343" s="6">
        <f ca="1">IFERROR(__xludf.DUMMYFUNCTION("""COMPUTED_VALUE"""),45416.5889583333)</f>
        <v>45416.588958333297</v>
      </c>
      <c r="C1343" s="3" t="str">
        <f ca="1">IFERROR(__xludf.DUMMYFUNCTION("""COMPUTED_VALUE"""),"purchase")</f>
        <v>purchase</v>
      </c>
      <c r="D1343" s="6">
        <f t="shared" ca="1" si="0"/>
        <v>45416</v>
      </c>
      <c r="E1343" s="6">
        <f t="shared" ca="1" si="1"/>
        <v>45411</v>
      </c>
      <c r="F1343" s="6">
        <f t="shared" ca="1" si="2"/>
        <v>45413</v>
      </c>
      <c r="G1343" s="7"/>
    </row>
    <row r="1344" spans="1:7" x14ac:dyDescent="0.2">
      <c r="A1344" s="3">
        <f ca="1">IFERROR(__xludf.DUMMYFUNCTION("""COMPUTED_VALUE"""),4774)</f>
        <v>4774</v>
      </c>
      <c r="B1344" s="6">
        <f ca="1">IFERROR(__xludf.DUMMYFUNCTION("""COMPUTED_VALUE"""),45416.5913888888)</f>
        <v>45416.591388888803</v>
      </c>
      <c r="C1344" s="3" t="str">
        <f ca="1">IFERROR(__xludf.DUMMYFUNCTION("""COMPUTED_VALUE"""),"purchase")</f>
        <v>purchase</v>
      </c>
      <c r="D1344" s="6">
        <f t="shared" ca="1" si="0"/>
        <v>45416</v>
      </c>
      <c r="E1344" s="6">
        <f t="shared" ca="1" si="1"/>
        <v>45411</v>
      </c>
      <c r="F1344" s="6">
        <f t="shared" ca="1" si="2"/>
        <v>45413</v>
      </c>
      <c r="G1344" s="7"/>
    </row>
    <row r="1345" spans="1:7" x14ac:dyDescent="0.2">
      <c r="A1345" s="3">
        <f ca="1">IFERROR(__xludf.DUMMYFUNCTION("""COMPUTED_VALUE"""),6320)</f>
        <v>6320</v>
      </c>
      <c r="B1345" s="6">
        <f ca="1">IFERROR(__xludf.DUMMYFUNCTION("""COMPUTED_VALUE"""),45416.8990856481)</f>
        <v>45416.899085648103</v>
      </c>
      <c r="C1345" s="3" t="str">
        <f ca="1">IFERROR(__xludf.DUMMYFUNCTION("""COMPUTED_VALUE"""),"purchase")</f>
        <v>purchase</v>
      </c>
      <c r="D1345" s="6">
        <f t="shared" ca="1" si="0"/>
        <v>45416</v>
      </c>
      <c r="E1345" s="6">
        <f t="shared" ca="1" si="1"/>
        <v>45411</v>
      </c>
      <c r="F1345" s="6">
        <f t="shared" ca="1" si="2"/>
        <v>45413</v>
      </c>
      <c r="G1345" s="7"/>
    </row>
    <row r="1346" spans="1:7" x14ac:dyDescent="0.2">
      <c r="A1346" s="3">
        <f ca="1">IFERROR(__xludf.DUMMYFUNCTION("""COMPUTED_VALUE"""),5851)</f>
        <v>5851</v>
      </c>
      <c r="B1346" s="6">
        <f ca="1">IFERROR(__xludf.DUMMYFUNCTION("""COMPUTED_VALUE"""),45417.0635532407)</f>
        <v>45417.063553240703</v>
      </c>
      <c r="C1346" s="3" t="str">
        <f ca="1">IFERROR(__xludf.DUMMYFUNCTION("""COMPUTED_VALUE"""),"purchase")</f>
        <v>purchase</v>
      </c>
      <c r="D1346" s="6">
        <f t="shared" ca="1" si="0"/>
        <v>45417</v>
      </c>
      <c r="E1346" s="6">
        <f t="shared" ca="1" si="1"/>
        <v>45411</v>
      </c>
      <c r="F1346" s="6">
        <f t="shared" ca="1" si="2"/>
        <v>45413</v>
      </c>
      <c r="G1346" s="7"/>
    </row>
    <row r="1347" spans="1:7" x14ac:dyDescent="0.2">
      <c r="A1347" s="3">
        <f ca="1">IFERROR(__xludf.DUMMYFUNCTION("""COMPUTED_VALUE"""),27)</f>
        <v>27</v>
      </c>
      <c r="B1347" s="6">
        <f ca="1">IFERROR(__xludf.DUMMYFUNCTION("""COMPUTED_VALUE"""),45417.09)</f>
        <v>45417.09</v>
      </c>
      <c r="C1347" s="3" t="str">
        <f ca="1">IFERROR(__xludf.DUMMYFUNCTION("""COMPUTED_VALUE"""),"purchase")</f>
        <v>purchase</v>
      </c>
      <c r="D1347" s="6">
        <f t="shared" ca="1" si="0"/>
        <v>45417</v>
      </c>
      <c r="E1347" s="6">
        <f t="shared" ca="1" si="1"/>
        <v>45411</v>
      </c>
      <c r="F1347" s="6">
        <f t="shared" ca="1" si="2"/>
        <v>45413</v>
      </c>
      <c r="G1347" s="7"/>
    </row>
    <row r="1348" spans="1:7" x14ac:dyDescent="0.2">
      <c r="A1348" s="3">
        <f ca="1">IFERROR(__xludf.DUMMYFUNCTION("""COMPUTED_VALUE"""),3943)</f>
        <v>3943</v>
      </c>
      <c r="B1348" s="6">
        <f ca="1">IFERROR(__xludf.DUMMYFUNCTION("""COMPUTED_VALUE"""),45417.1649768518)</f>
        <v>45417.164976851796</v>
      </c>
      <c r="C1348" s="3" t="str">
        <f ca="1">IFERROR(__xludf.DUMMYFUNCTION("""COMPUTED_VALUE"""),"purchase")</f>
        <v>purchase</v>
      </c>
      <c r="D1348" s="6">
        <f t="shared" ca="1" si="0"/>
        <v>45417</v>
      </c>
      <c r="E1348" s="6">
        <f t="shared" ca="1" si="1"/>
        <v>45411</v>
      </c>
      <c r="F1348" s="6">
        <f t="shared" ca="1" si="2"/>
        <v>45413</v>
      </c>
      <c r="G1348" s="7"/>
    </row>
    <row r="1349" spans="1:7" x14ac:dyDescent="0.2">
      <c r="A1349" s="3">
        <f ca="1">IFERROR(__xludf.DUMMYFUNCTION("""COMPUTED_VALUE"""),1873)</f>
        <v>1873</v>
      </c>
      <c r="B1349" s="6">
        <f ca="1">IFERROR(__xludf.DUMMYFUNCTION("""COMPUTED_VALUE"""),45417.2027546296)</f>
        <v>45417.202754629601</v>
      </c>
      <c r="C1349" s="3" t="str">
        <f ca="1">IFERROR(__xludf.DUMMYFUNCTION("""COMPUTED_VALUE"""),"purchase")</f>
        <v>purchase</v>
      </c>
      <c r="D1349" s="6">
        <f t="shared" ca="1" si="0"/>
        <v>45417</v>
      </c>
      <c r="E1349" s="6">
        <f t="shared" ca="1" si="1"/>
        <v>45411</v>
      </c>
      <c r="F1349" s="6">
        <f t="shared" ca="1" si="2"/>
        <v>45413</v>
      </c>
      <c r="G1349" s="7"/>
    </row>
    <row r="1350" spans="1:7" x14ac:dyDescent="0.2">
      <c r="A1350" s="3">
        <f ca="1">IFERROR(__xludf.DUMMYFUNCTION("""COMPUTED_VALUE"""),7768)</f>
        <v>7768</v>
      </c>
      <c r="B1350" s="6">
        <f ca="1">IFERROR(__xludf.DUMMYFUNCTION("""COMPUTED_VALUE"""),45417.3073726851)</f>
        <v>45417.3073726851</v>
      </c>
      <c r="C1350" s="3" t="str">
        <f ca="1">IFERROR(__xludf.DUMMYFUNCTION("""COMPUTED_VALUE"""),"purchase")</f>
        <v>purchase</v>
      </c>
      <c r="D1350" s="6">
        <f t="shared" ca="1" si="0"/>
        <v>45417</v>
      </c>
      <c r="E1350" s="6">
        <f t="shared" ca="1" si="1"/>
        <v>45411</v>
      </c>
      <c r="F1350" s="6">
        <f t="shared" ca="1" si="2"/>
        <v>45413</v>
      </c>
      <c r="G1350" s="7"/>
    </row>
    <row r="1351" spans="1:7" x14ac:dyDescent="0.2">
      <c r="A1351" s="3">
        <f ca="1">IFERROR(__xludf.DUMMYFUNCTION("""COMPUTED_VALUE"""),6387)</f>
        <v>6387</v>
      </c>
      <c r="B1351" s="6">
        <f ca="1">IFERROR(__xludf.DUMMYFUNCTION("""COMPUTED_VALUE"""),45417.3105555555)</f>
        <v>45417.310555555501</v>
      </c>
      <c r="C1351" s="3" t="str">
        <f ca="1">IFERROR(__xludf.DUMMYFUNCTION("""COMPUTED_VALUE"""),"purchase")</f>
        <v>purchase</v>
      </c>
      <c r="D1351" s="6">
        <f t="shared" ca="1" si="0"/>
        <v>45417</v>
      </c>
      <c r="E1351" s="6">
        <f t="shared" ca="1" si="1"/>
        <v>45411</v>
      </c>
      <c r="F1351" s="6">
        <f t="shared" ca="1" si="2"/>
        <v>45413</v>
      </c>
      <c r="G1351" s="7"/>
    </row>
    <row r="1352" spans="1:7" x14ac:dyDescent="0.2">
      <c r="A1352" s="3">
        <f ca="1">IFERROR(__xludf.DUMMYFUNCTION("""COMPUTED_VALUE"""),5005)</f>
        <v>5005</v>
      </c>
      <c r="B1352" s="6">
        <f ca="1">IFERROR(__xludf.DUMMYFUNCTION("""COMPUTED_VALUE"""),45417.3886574074)</f>
        <v>45417.388657407399</v>
      </c>
      <c r="C1352" s="3" t="str">
        <f ca="1">IFERROR(__xludf.DUMMYFUNCTION("""COMPUTED_VALUE"""),"purchase")</f>
        <v>purchase</v>
      </c>
      <c r="D1352" s="6">
        <f t="shared" ca="1" si="0"/>
        <v>45417</v>
      </c>
      <c r="E1352" s="6">
        <f t="shared" ca="1" si="1"/>
        <v>45411</v>
      </c>
      <c r="F1352" s="6">
        <f t="shared" ca="1" si="2"/>
        <v>45413</v>
      </c>
      <c r="G1352" s="7"/>
    </row>
    <row r="1353" spans="1:7" x14ac:dyDescent="0.2">
      <c r="A1353" s="3">
        <f ca="1">IFERROR(__xludf.DUMMYFUNCTION("""COMPUTED_VALUE"""),6424)</f>
        <v>6424</v>
      </c>
      <c r="B1353" s="6">
        <f ca="1">IFERROR(__xludf.DUMMYFUNCTION("""COMPUTED_VALUE"""),45417.3920138888)</f>
        <v>45417.392013888799</v>
      </c>
      <c r="C1353" s="3" t="str">
        <f ca="1">IFERROR(__xludf.DUMMYFUNCTION("""COMPUTED_VALUE"""),"purchase")</f>
        <v>purchase</v>
      </c>
      <c r="D1353" s="6">
        <f t="shared" ca="1" si="0"/>
        <v>45417</v>
      </c>
      <c r="E1353" s="6">
        <f t="shared" ca="1" si="1"/>
        <v>45411</v>
      </c>
      <c r="F1353" s="6">
        <f t="shared" ca="1" si="2"/>
        <v>45413</v>
      </c>
      <c r="G1353" s="7"/>
    </row>
    <row r="1354" spans="1:7" x14ac:dyDescent="0.2">
      <c r="A1354" s="3">
        <f ca="1">IFERROR(__xludf.DUMMYFUNCTION("""COMPUTED_VALUE"""),7619)</f>
        <v>7619</v>
      </c>
      <c r="B1354" s="6">
        <f ca="1">IFERROR(__xludf.DUMMYFUNCTION("""COMPUTED_VALUE"""),45417.4388078703)</f>
        <v>45417.438807870298</v>
      </c>
      <c r="C1354" s="3" t="str">
        <f ca="1">IFERROR(__xludf.DUMMYFUNCTION("""COMPUTED_VALUE"""),"purchase")</f>
        <v>purchase</v>
      </c>
      <c r="D1354" s="6">
        <f t="shared" ca="1" si="0"/>
        <v>45417</v>
      </c>
      <c r="E1354" s="6">
        <f t="shared" ca="1" si="1"/>
        <v>45411</v>
      </c>
      <c r="F1354" s="6">
        <f t="shared" ca="1" si="2"/>
        <v>45413</v>
      </c>
      <c r="G1354" s="7"/>
    </row>
    <row r="1355" spans="1:7" x14ac:dyDescent="0.2">
      <c r="A1355" s="3">
        <f ca="1">IFERROR(__xludf.DUMMYFUNCTION("""COMPUTED_VALUE"""),4646)</f>
        <v>4646</v>
      </c>
      <c r="B1355" s="6">
        <f ca="1">IFERROR(__xludf.DUMMYFUNCTION("""COMPUTED_VALUE"""),45417.52875)</f>
        <v>45417.528749999998</v>
      </c>
      <c r="C1355" s="3" t="str">
        <f ca="1">IFERROR(__xludf.DUMMYFUNCTION("""COMPUTED_VALUE"""),"purchase")</f>
        <v>purchase</v>
      </c>
      <c r="D1355" s="6">
        <f t="shared" ca="1" si="0"/>
        <v>45417</v>
      </c>
      <c r="E1355" s="6">
        <f t="shared" ca="1" si="1"/>
        <v>45411</v>
      </c>
      <c r="F1355" s="6">
        <f t="shared" ca="1" si="2"/>
        <v>45413</v>
      </c>
      <c r="G1355" s="7"/>
    </row>
    <row r="1356" spans="1:7" x14ac:dyDescent="0.2">
      <c r="A1356" s="3">
        <f ca="1">IFERROR(__xludf.DUMMYFUNCTION("""COMPUTED_VALUE"""),1164)</f>
        <v>1164</v>
      </c>
      <c r="B1356" s="6">
        <f ca="1">IFERROR(__xludf.DUMMYFUNCTION("""COMPUTED_VALUE"""),45417.5790972222)</f>
        <v>45417.579097222202</v>
      </c>
      <c r="C1356" s="3" t="str">
        <f ca="1">IFERROR(__xludf.DUMMYFUNCTION("""COMPUTED_VALUE"""),"purchase")</f>
        <v>purchase</v>
      </c>
      <c r="D1356" s="6">
        <f t="shared" ca="1" si="0"/>
        <v>45417</v>
      </c>
      <c r="E1356" s="6">
        <f t="shared" ca="1" si="1"/>
        <v>45411</v>
      </c>
      <c r="F1356" s="6">
        <f t="shared" ca="1" si="2"/>
        <v>45413</v>
      </c>
      <c r="G1356" s="7"/>
    </row>
    <row r="1357" spans="1:7" x14ac:dyDescent="0.2">
      <c r="A1357" s="3">
        <f ca="1">IFERROR(__xludf.DUMMYFUNCTION("""COMPUTED_VALUE"""),2535)</f>
        <v>2535</v>
      </c>
      <c r="B1357" s="6">
        <f ca="1">IFERROR(__xludf.DUMMYFUNCTION("""COMPUTED_VALUE"""),45417.6847337963)</f>
        <v>45417.684733796297</v>
      </c>
      <c r="C1357" s="3" t="str">
        <f ca="1">IFERROR(__xludf.DUMMYFUNCTION("""COMPUTED_VALUE"""),"purchase")</f>
        <v>purchase</v>
      </c>
      <c r="D1357" s="6">
        <f t="shared" ca="1" si="0"/>
        <v>45417</v>
      </c>
      <c r="E1357" s="6">
        <f t="shared" ca="1" si="1"/>
        <v>45411</v>
      </c>
      <c r="F1357" s="6">
        <f t="shared" ca="1" si="2"/>
        <v>45413</v>
      </c>
      <c r="G1357" s="7"/>
    </row>
    <row r="1358" spans="1:7" x14ac:dyDescent="0.2">
      <c r="A1358" s="3">
        <f ca="1">IFERROR(__xludf.DUMMYFUNCTION("""COMPUTED_VALUE"""),4005)</f>
        <v>4005</v>
      </c>
      <c r="B1358" s="6">
        <f ca="1">IFERROR(__xludf.DUMMYFUNCTION("""COMPUTED_VALUE"""),45417.7082986111)</f>
        <v>45417.708298611098</v>
      </c>
      <c r="C1358" s="3" t="str">
        <f ca="1">IFERROR(__xludf.DUMMYFUNCTION("""COMPUTED_VALUE"""),"purchase")</f>
        <v>purchase</v>
      </c>
      <c r="D1358" s="6">
        <f t="shared" ca="1" si="0"/>
        <v>45417</v>
      </c>
      <c r="E1358" s="6">
        <f t="shared" ca="1" si="1"/>
        <v>45411</v>
      </c>
      <c r="F1358" s="6">
        <f t="shared" ca="1" si="2"/>
        <v>45413</v>
      </c>
      <c r="G1358" s="7"/>
    </row>
    <row r="1359" spans="1:7" x14ac:dyDescent="0.2">
      <c r="A1359" s="3">
        <f ca="1">IFERROR(__xludf.DUMMYFUNCTION("""COMPUTED_VALUE"""),5448)</f>
        <v>5448</v>
      </c>
      <c r="B1359" s="6">
        <f ca="1">IFERROR(__xludf.DUMMYFUNCTION("""COMPUTED_VALUE"""),45418.0754976851)</f>
        <v>45418.075497685102</v>
      </c>
      <c r="C1359" s="3" t="str">
        <f ca="1">IFERROR(__xludf.DUMMYFUNCTION("""COMPUTED_VALUE"""),"purchase")</f>
        <v>purchase</v>
      </c>
      <c r="D1359" s="6">
        <f t="shared" ca="1" si="0"/>
        <v>45418</v>
      </c>
      <c r="E1359" s="6">
        <f t="shared" ca="1" si="1"/>
        <v>45418</v>
      </c>
      <c r="F1359" s="6">
        <f t="shared" ca="1" si="2"/>
        <v>45413</v>
      </c>
      <c r="G1359" s="7"/>
    </row>
    <row r="1360" spans="1:7" x14ac:dyDescent="0.2">
      <c r="A1360" s="3">
        <f ca="1">IFERROR(__xludf.DUMMYFUNCTION("""COMPUTED_VALUE"""),268)</f>
        <v>268</v>
      </c>
      <c r="B1360" s="6">
        <f ca="1">IFERROR(__xludf.DUMMYFUNCTION("""COMPUTED_VALUE"""),45418.0757407407)</f>
        <v>45418.0757407407</v>
      </c>
      <c r="C1360" s="3" t="str">
        <f ca="1">IFERROR(__xludf.DUMMYFUNCTION("""COMPUTED_VALUE"""),"purchase")</f>
        <v>purchase</v>
      </c>
      <c r="D1360" s="6">
        <f t="shared" ca="1" si="0"/>
        <v>45418</v>
      </c>
      <c r="E1360" s="6">
        <f t="shared" ca="1" si="1"/>
        <v>45418</v>
      </c>
      <c r="F1360" s="6">
        <f t="shared" ca="1" si="2"/>
        <v>45413</v>
      </c>
      <c r="G1360" s="7"/>
    </row>
    <row r="1361" spans="1:7" x14ac:dyDescent="0.2">
      <c r="A1361" s="3">
        <f ca="1">IFERROR(__xludf.DUMMYFUNCTION("""COMPUTED_VALUE"""),4711)</f>
        <v>4711</v>
      </c>
      <c r="B1361" s="6">
        <f ca="1">IFERROR(__xludf.DUMMYFUNCTION("""COMPUTED_VALUE"""),45418.0867939814)</f>
        <v>45418.086793981398</v>
      </c>
      <c r="C1361" s="3" t="str">
        <f ca="1">IFERROR(__xludf.DUMMYFUNCTION("""COMPUTED_VALUE"""),"purchase")</f>
        <v>purchase</v>
      </c>
      <c r="D1361" s="6">
        <f t="shared" ca="1" si="0"/>
        <v>45418</v>
      </c>
      <c r="E1361" s="6">
        <f t="shared" ca="1" si="1"/>
        <v>45418</v>
      </c>
      <c r="F1361" s="6">
        <f t="shared" ca="1" si="2"/>
        <v>45413</v>
      </c>
      <c r="G1361" s="7"/>
    </row>
    <row r="1362" spans="1:7" x14ac:dyDescent="0.2">
      <c r="A1362" s="3">
        <f ca="1">IFERROR(__xludf.DUMMYFUNCTION("""COMPUTED_VALUE"""),5930)</f>
        <v>5930</v>
      </c>
      <c r="B1362" s="6">
        <f ca="1">IFERROR(__xludf.DUMMYFUNCTION("""COMPUTED_VALUE"""),45418.3068287037)</f>
        <v>45418.306828703702</v>
      </c>
      <c r="C1362" s="3" t="str">
        <f ca="1">IFERROR(__xludf.DUMMYFUNCTION("""COMPUTED_VALUE"""),"purchase")</f>
        <v>purchase</v>
      </c>
      <c r="D1362" s="6">
        <f t="shared" ca="1" si="0"/>
        <v>45418</v>
      </c>
      <c r="E1362" s="6">
        <f t="shared" ca="1" si="1"/>
        <v>45418</v>
      </c>
      <c r="F1362" s="6">
        <f t="shared" ca="1" si="2"/>
        <v>45413</v>
      </c>
      <c r="G1362" s="7"/>
    </row>
    <row r="1363" spans="1:7" x14ac:dyDescent="0.2">
      <c r="A1363" s="3">
        <f ca="1">IFERROR(__xludf.DUMMYFUNCTION("""COMPUTED_VALUE"""),1887)</f>
        <v>1887</v>
      </c>
      <c r="B1363" s="6">
        <f ca="1">IFERROR(__xludf.DUMMYFUNCTION("""COMPUTED_VALUE"""),45418.3338773148)</f>
        <v>45418.333877314799</v>
      </c>
      <c r="C1363" s="3" t="str">
        <f ca="1">IFERROR(__xludf.DUMMYFUNCTION("""COMPUTED_VALUE"""),"purchase")</f>
        <v>purchase</v>
      </c>
      <c r="D1363" s="6">
        <f t="shared" ca="1" si="0"/>
        <v>45418</v>
      </c>
      <c r="E1363" s="6">
        <f t="shared" ca="1" si="1"/>
        <v>45418</v>
      </c>
      <c r="F1363" s="6">
        <f t="shared" ca="1" si="2"/>
        <v>45413</v>
      </c>
      <c r="G1363" s="7"/>
    </row>
    <row r="1364" spans="1:7" x14ac:dyDescent="0.2">
      <c r="A1364" s="3">
        <f ca="1">IFERROR(__xludf.DUMMYFUNCTION("""COMPUTED_VALUE"""),1913)</f>
        <v>1913</v>
      </c>
      <c r="B1364" s="6">
        <f ca="1">IFERROR(__xludf.DUMMYFUNCTION("""COMPUTED_VALUE"""),45418.4811921296)</f>
        <v>45418.481192129599</v>
      </c>
      <c r="C1364" s="3" t="str">
        <f ca="1">IFERROR(__xludf.DUMMYFUNCTION("""COMPUTED_VALUE"""),"purchase")</f>
        <v>purchase</v>
      </c>
      <c r="D1364" s="6">
        <f t="shared" ca="1" si="0"/>
        <v>45418</v>
      </c>
      <c r="E1364" s="6">
        <f t="shared" ca="1" si="1"/>
        <v>45418</v>
      </c>
      <c r="F1364" s="6">
        <f t="shared" ca="1" si="2"/>
        <v>45413</v>
      </c>
      <c r="G1364" s="7"/>
    </row>
    <row r="1365" spans="1:7" x14ac:dyDescent="0.2">
      <c r="A1365" s="3">
        <f ca="1">IFERROR(__xludf.DUMMYFUNCTION("""COMPUTED_VALUE"""),2657)</f>
        <v>2657</v>
      </c>
      <c r="B1365" s="6">
        <f ca="1">IFERROR(__xludf.DUMMYFUNCTION("""COMPUTED_VALUE"""),45418.5215393518)</f>
        <v>45418.521539351801</v>
      </c>
      <c r="C1365" s="3" t="str">
        <f ca="1">IFERROR(__xludf.DUMMYFUNCTION("""COMPUTED_VALUE"""),"purchase")</f>
        <v>purchase</v>
      </c>
      <c r="D1365" s="6">
        <f t="shared" ca="1" si="0"/>
        <v>45418</v>
      </c>
      <c r="E1365" s="6">
        <f t="shared" ca="1" si="1"/>
        <v>45418</v>
      </c>
      <c r="F1365" s="6">
        <f t="shared" ca="1" si="2"/>
        <v>45413</v>
      </c>
      <c r="G1365" s="7"/>
    </row>
    <row r="1366" spans="1:7" x14ac:dyDescent="0.2">
      <c r="A1366" s="3">
        <f ca="1">IFERROR(__xludf.DUMMYFUNCTION("""COMPUTED_VALUE"""),347)</f>
        <v>347</v>
      </c>
      <c r="B1366" s="6">
        <f ca="1">IFERROR(__xludf.DUMMYFUNCTION("""COMPUTED_VALUE"""),45418.850324074)</f>
        <v>45418.850324074003</v>
      </c>
      <c r="C1366" s="3" t="str">
        <f ca="1">IFERROR(__xludf.DUMMYFUNCTION("""COMPUTED_VALUE"""),"purchase")</f>
        <v>purchase</v>
      </c>
      <c r="D1366" s="6">
        <f t="shared" ca="1" si="0"/>
        <v>45418</v>
      </c>
      <c r="E1366" s="6">
        <f t="shared" ca="1" si="1"/>
        <v>45418</v>
      </c>
      <c r="F1366" s="6">
        <f t="shared" ca="1" si="2"/>
        <v>45413</v>
      </c>
      <c r="G1366" s="7"/>
    </row>
    <row r="1367" spans="1:7" x14ac:dyDescent="0.2">
      <c r="A1367" s="3">
        <f ca="1">IFERROR(__xludf.DUMMYFUNCTION("""COMPUTED_VALUE"""),5317)</f>
        <v>5317</v>
      </c>
      <c r="B1367" s="6">
        <f ca="1">IFERROR(__xludf.DUMMYFUNCTION("""COMPUTED_VALUE"""),45418.93875)</f>
        <v>45418.938750000001</v>
      </c>
      <c r="C1367" s="3" t="str">
        <f ca="1">IFERROR(__xludf.DUMMYFUNCTION("""COMPUTED_VALUE"""),"purchase")</f>
        <v>purchase</v>
      </c>
      <c r="D1367" s="6">
        <f t="shared" ca="1" si="0"/>
        <v>45418</v>
      </c>
      <c r="E1367" s="6">
        <f t="shared" ca="1" si="1"/>
        <v>45418</v>
      </c>
      <c r="F1367" s="6">
        <f t="shared" ca="1" si="2"/>
        <v>45413</v>
      </c>
      <c r="G1367" s="7"/>
    </row>
    <row r="1368" spans="1:7" x14ac:dyDescent="0.2">
      <c r="A1368" s="3">
        <f ca="1">IFERROR(__xludf.DUMMYFUNCTION("""COMPUTED_VALUE"""),6246)</f>
        <v>6246</v>
      </c>
      <c r="B1368" s="6">
        <f ca="1">IFERROR(__xludf.DUMMYFUNCTION("""COMPUTED_VALUE"""),45418.9737037037)</f>
        <v>45418.973703703698</v>
      </c>
      <c r="C1368" s="3" t="str">
        <f ca="1">IFERROR(__xludf.DUMMYFUNCTION("""COMPUTED_VALUE"""),"purchase")</f>
        <v>purchase</v>
      </c>
      <c r="D1368" s="6">
        <f t="shared" ca="1" si="0"/>
        <v>45418</v>
      </c>
      <c r="E1368" s="6">
        <f t="shared" ca="1" si="1"/>
        <v>45418</v>
      </c>
      <c r="F1368" s="6">
        <f t="shared" ca="1" si="2"/>
        <v>45413</v>
      </c>
      <c r="G1368" s="7"/>
    </row>
    <row r="1369" spans="1:7" x14ac:dyDescent="0.2">
      <c r="A1369" s="3">
        <f ca="1">IFERROR(__xludf.DUMMYFUNCTION("""COMPUTED_VALUE"""),5081)</f>
        <v>5081</v>
      </c>
      <c r="B1369" s="6">
        <f ca="1">IFERROR(__xludf.DUMMYFUNCTION("""COMPUTED_VALUE"""),45419.115625)</f>
        <v>45419.115624999999</v>
      </c>
      <c r="C1369" s="3" t="str">
        <f ca="1">IFERROR(__xludf.DUMMYFUNCTION("""COMPUTED_VALUE"""),"purchase")</f>
        <v>purchase</v>
      </c>
      <c r="D1369" s="6">
        <f t="shared" ca="1" si="0"/>
        <v>45419</v>
      </c>
      <c r="E1369" s="6">
        <f t="shared" ca="1" si="1"/>
        <v>45418</v>
      </c>
      <c r="F1369" s="6">
        <f t="shared" ca="1" si="2"/>
        <v>45413</v>
      </c>
      <c r="G1369" s="7"/>
    </row>
    <row r="1370" spans="1:7" x14ac:dyDescent="0.2">
      <c r="A1370" s="3">
        <f ca="1">IFERROR(__xludf.DUMMYFUNCTION("""COMPUTED_VALUE"""),6692)</f>
        <v>6692</v>
      </c>
      <c r="B1370" s="6">
        <f ca="1">IFERROR(__xludf.DUMMYFUNCTION("""COMPUTED_VALUE"""),45419.1309953703)</f>
        <v>45419.130995370302</v>
      </c>
      <c r="C1370" s="3" t="str">
        <f ca="1">IFERROR(__xludf.DUMMYFUNCTION("""COMPUTED_VALUE"""),"purchase")</f>
        <v>purchase</v>
      </c>
      <c r="D1370" s="6">
        <f t="shared" ca="1" si="0"/>
        <v>45419</v>
      </c>
      <c r="E1370" s="6">
        <f t="shared" ca="1" si="1"/>
        <v>45418</v>
      </c>
      <c r="F1370" s="6">
        <f t="shared" ca="1" si="2"/>
        <v>45413</v>
      </c>
      <c r="G1370" s="7"/>
    </row>
    <row r="1371" spans="1:7" x14ac:dyDescent="0.2">
      <c r="A1371" s="3">
        <f ca="1">IFERROR(__xludf.DUMMYFUNCTION("""COMPUTED_VALUE"""),5061)</f>
        <v>5061</v>
      </c>
      <c r="B1371" s="6">
        <f ca="1">IFERROR(__xludf.DUMMYFUNCTION("""COMPUTED_VALUE"""),45419.3640277777)</f>
        <v>45419.364027777701</v>
      </c>
      <c r="C1371" s="3" t="str">
        <f ca="1">IFERROR(__xludf.DUMMYFUNCTION("""COMPUTED_VALUE"""),"purchase")</f>
        <v>purchase</v>
      </c>
      <c r="D1371" s="6">
        <f t="shared" ca="1" si="0"/>
        <v>45419</v>
      </c>
      <c r="E1371" s="6">
        <f t="shared" ca="1" si="1"/>
        <v>45418</v>
      </c>
      <c r="F1371" s="6">
        <f t="shared" ca="1" si="2"/>
        <v>45413</v>
      </c>
      <c r="G1371" s="7"/>
    </row>
    <row r="1372" spans="1:7" x14ac:dyDescent="0.2">
      <c r="A1372" s="3">
        <f ca="1">IFERROR(__xludf.DUMMYFUNCTION("""COMPUTED_VALUE"""),5437)</f>
        <v>5437</v>
      </c>
      <c r="B1372" s="6">
        <f ca="1">IFERROR(__xludf.DUMMYFUNCTION("""COMPUTED_VALUE"""),45419.4593518518)</f>
        <v>45419.459351851801</v>
      </c>
      <c r="C1372" s="3" t="str">
        <f ca="1">IFERROR(__xludf.DUMMYFUNCTION("""COMPUTED_VALUE"""),"purchase")</f>
        <v>purchase</v>
      </c>
      <c r="D1372" s="6">
        <f t="shared" ca="1" si="0"/>
        <v>45419</v>
      </c>
      <c r="E1372" s="6">
        <f t="shared" ca="1" si="1"/>
        <v>45418</v>
      </c>
      <c r="F1372" s="6">
        <f t="shared" ca="1" si="2"/>
        <v>45413</v>
      </c>
      <c r="G1372" s="7"/>
    </row>
    <row r="1373" spans="1:7" x14ac:dyDescent="0.2">
      <c r="A1373" s="3">
        <f ca="1">IFERROR(__xludf.DUMMYFUNCTION("""COMPUTED_VALUE"""),4429)</f>
        <v>4429</v>
      </c>
      <c r="B1373" s="6">
        <f ca="1">IFERROR(__xludf.DUMMYFUNCTION("""COMPUTED_VALUE"""),45419.5563425925)</f>
        <v>45419.556342592499</v>
      </c>
      <c r="C1373" s="3" t="str">
        <f ca="1">IFERROR(__xludf.DUMMYFUNCTION("""COMPUTED_VALUE"""),"purchase")</f>
        <v>purchase</v>
      </c>
      <c r="D1373" s="6">
        <f t="shared" ca="1" si="0"/>
        <v>45419</v>
      </c>
      <c r="E1373" s="6">
        <f t="shared" ca="1" si="1"/>
        <v>45418</v>
      </c>
      <c r="F1373" s="6">
        <f t="shared" ca="1" si="2"/>
        <v>45413</v>
      </c>
      <c r="G1373" s="7"/>
    </row>
    <row r="1374" spans="1:7" x14ac:dyDescent="0.2">
      <c r="A1374" s="3">
        <f ca="1">IFERROR(__xludf.DUMMYFUNCTION("""COMPUTED_VALUE"""),5837)</f>
        <v>5837</v>
      </c>
      <c r="B1374" s="6">
        <f ca="1">IFERROR(__xludf.DUMMYFUNCTION("""COMPUTED_VALUE"""),45419.6697222222)</f>
        <v>45419.669722222199</v>
      </c>
      <c r="C1374" s="3" t="str">
        <f ca="1">IFERROR(__xludf.DUMMYFUNCTION("""COMPUTED_VALUE"""),"purchase")</f>
        <v>purchase</v>
      </c>
      <c r="D1374" s="6">
        <f t="shared" ca="1" si="0"/>
        <v>45419</v>
      </c>
      <c r="E1374" s="6">
        <f t="shared" ca="1" si="1"/>
        <v>45418</v>
      </c>
      <c r="F1374" s="6">
        <f t="shared" ca="1" si="2"/>
        <v>45413</v>
      </c>
      <c r="G1374" s="7"/>
    </row>
    <row r="1375" spans="1:7" x14ac:dyDescent="0.2">
      <c r="A1375" s="3">
        <f ca="1">IFERROR(__xludf.DUMMYFUNCTION("""COMPUTED_VALUE"""),4111)</f>
        <v>4111</v>
      </c>
      <c r="B1375" s="6">
        <f ca="1">IFERROR(__xludf.DUMMYFUNCTION("""COMPUTED_VALUE"""),45419.8221527777)</f>
        <v>45419.822152777699</v>
      </c>
      <c r="C1375" s="3" t="str">
        <f ca="1">IFERROR(__xludf.DUMMYFUNCTION("""COMPUTED_VALUE"""),"purchase")</f>
        <v>purchase</v>
      </c>
      <c r="D1375" s="6">
        <f t="shared" ca="1" si="0"/>
        <v>45419</v>
      </c>
      <c r="E1375" s="6">
        <f t="shared" ca="1" si="1"/>
        <v>45418</v>
      </c>
      <c r="F1375" s="6">
        <f t="shared" ca="1" si="2"/>
        <v>45413</v>
      </c>
      <c r="G1375" s="7"/>
    </row>
    <row r="1376" spans="1:7" x14ac:dyDescent="0.2">
      <c r="A1376" s="3">
        <f ca="1">IFERROR(__xludf.DUMMYFUNCTION("""COMPUTED_VALUE"""),5188)</f>
        <v>5188</v>
      </c>
      <c r="B1376" s="6">
        <f ca="1">IFERROR(__xludf.DUMMYFUNCTION("""COMPUTED_VALUE"""),45419.8883449074)</f>
        <v>45419.888344907398</v>
      </c>
      <c r="C1376" s="3" t="str">
        <f ca="1">IFERROR(__xludf.DUMMYFUNCTION("""COMPUTED_VALUE"""),"purchase")</f>
        <v>purchase</v>
      </c>
      <c r="D1376" s="6">
        <f t="shared" ca="1" si="0"/>
        <v>45419</v>
      </c>
      <c r="E1376" s="6">
        <f t="shared" ca="1" si="1"/>
        <v>45418</v>
      </c>
      <c r="F1376" s="6">
        <f t="shared" ca="1" si="2"/>
        <v>45413</v>
      </c>
      <c r="G1376" s="7"/>
    </row>
    <row r="1377" spans="1:7" x14ac:dyDescent="0.2">
      <c r="A1377" s="3">
        <f ca="1">IFERROR(__xludf.DUMMYFUNCTION("""COMPUTED_VALUE"""),3856)</f>
        <v>3856</v>
      </c>
      <c r="B1377" s="6">
        <f ca="1">IFERROR(__xludf.DUMMYFUNCTION("""COMPUTED_VALUE"""),45419.8895833333)</f>
        <v>45419.889583333301</v>
      </c>
      <c r="C1377" s="3" t="str">
        <f ca="1">IFERROR(__xludf.DUMMYFUNCTION("""COMPUTED_VALUE"""),"purchase")</f>
        <v>purchase</v>
      </c>
      <c r="D1377" s="6">
        <f t="shared" ca="1" si="0"/>
        <v>45419</v>
      </c>
      <c r="E1377" s="6">
        <f t="shared" ca="1" si="1"/>
        <v>45418</v>
      </c>
      <c r="F1377" s="6">
        <f t="shared" ca="1" si="2"/>
        <v>45413</v>
      </c>
      <c r="G1377" s="7"/>
    </row>
    <row r="1378" spans="1:7" x14ac:dyDescent="0.2">
      <c r="A1378" s="3">
        <f ca="1">IFERROR(__xludf.DUMMYFUNCTION("""COMPUTED_VALUE"""),5138)</f>
        <v>5138</v>
      </c>
      <c r="B1378" s="6">
        <f ca="1">IFERROR(__xludf.DUMMYFUNCTION("""COMPUTED_VALUE"""),45420.1125231481)</f>
        <v>45420.112523148098</v>
      </c>
      <c r="C1378" s="3" t="str">
        <f ca="1">IFERROR(__xludf.DUMMYFUNCTION("""COMPUTED_VALUE"""),"purchase")</f>
        <v>purchase</v>
      </c>
      <c r="D1378" s="6">
        <f t="shared" ca="1" si="0"/>
        <v>45420</v>
      </c>
      <c r="E1378" s="6">
        <f t="shared" ca="1" si="1"/>
        <v>45418</v>
      </c>
      <c r="F1378" s="6">
        <f t="shared" ca="1" si="2"/>
        <v>45413</v>
      </c>
      <c r="G1378" s="7"/>
    </row>
    <row r="1379" spans="1:7" x14ac:dyDescent="0.2">
      <c r="A1379" s="3">
        <f ca="1">IFERROR(__xludf.DUMMYFUNCTION("""COMPUTED_VALUE"""),2944)</f>
        <v>2944</v>
      </c>
      <c r="B1379" s="6">
        <f ca="1">IFERROR(__xludf.DUMMYFUNCTION("""COMPUTED_VALUE"""),45420.1950810185)</f>
        <v>45420.195081018501</v>
      </c>
      <c r="C1379" s="3" t="str">
        <f ca="1">IFERROR(__xludf.DUMMYFUNCTION("""COMPUTED_VALUE"""),"purchase")</f>
        <v>purchase</v>
      </c>
      <c r="D1379" s="6">
        <f t="shared" ca="1" si="0"/>
        <v>45420</v>
      </c>
      <c r="E1379" s="6">
        <f t="shared" ca="1" si="1"/>
        <v>45418</v>
      </c>
      <c r="F1379" s="6">
        <f t="shared" ca="1" si="2"/>
        <v>45413</v>
      </c>
      <c r="G1379" s="7"/>
    </row>
    <row r="1380" spans="1:7" x14ac:dyDescent="0.2">
      <c r="A1380" s="3">
        <f ca="1">IFERROR(__xludf.DUMMYFUNCTION("""COMPUTED_VALUE"""),1510)</f>
        <v>1510</v>
      </c>
      <c r="B1380" s="6">
        <f ca="1">IFERROR(__xludf.DUMMYFUNCTION("""COMPUTED_VALUE"""),45420.2027314814)</f>
        <v>45420.202731481397</v>
      </c>
      <c r="C1380" s="3" t="str">
        <f ca="1">IFERROR(__xludf.DUMMYFUNCTION("""COMPUTED_VALUE"""),"purchase")</f>
        <v>purchase</v>
      </c>
      <c r="D1380" s="6">
        <f t="shared" ca="1" si="0"/>
        <v>45420</v>
      </c>
      <c r="E1380" s="6">
        <f t="shared" ca="1" si="1"/>
        <v>45418</v>
      </c>
      <c r="F1380" s="6">
        <f t="shared" ca="1" si="2"/>
        <v>45413</v>
      </c>
      <c r="G1380" s="7"/>
    </row>
    <row r="1381" spans="1:7" x14ac:dyDescent="0.2">
      <c r="A1381" s="3">
        <f ca="1">IFERROR(__xludf.DUMMYFUNCTION("""COMPUTED_VALUE"""),469)</f>
        <v>469</v>
      </c>
      <c r="B1381" s="6">
        <f ca="1">IFERROR(__xludf.DUMMYFUNCTION("""COMPUTED_VALUE"""),45420.2161226851)</f>
        <v>45420.216122685102</v>
      </c>
      <c r="C1381" s="3" t="str">
        <f ca="1">IFERROR(__xludf.DUMMYFUNCTION("""COMPUTED_VALUE"""),"purchase")</f>
        <v>purchase</v>
      </c>
      <c r="D1381" s="6">
        <f t="shared" ca="1" si="0"/>
        <v>45420</v>
      </c>
      <c r="E1381" s="6">
        <f t="shared" ca="1" si="1"/>
        <v>45418</v>
      </c>
      <c r="F1381" s="6">
        <f t="shared" ca="1" si="2"/>
        <v>45413</v>
      </c>
      <c r="G1381" s="7"/>
    </row>
    <row r="1382" spans="1:7" x14ac:dyDescent="0.2">
      <c r="A1382" s="3">
        <f ca="1">IFERROR(__xludf.DUMMYFUNCTION("""COMPUTED_VALUE"""),544)</f>
        <v>544</v>
      </c>
      <c r="B1382" s="6">
        <f ca="1">IFERROR(__xludf.DUMMYFUNCTION("""COMPUTED_VALUE"""),45420.2179861111)</f>
        <v>45420.2179861111</v>
      </c>
      <c r="C1382" s="3" t="str">
        <f ca="1">IFERROR(__xludf.DUMMYFUNCTION("""COMPUTED_VALUE"""),"purchase")</f>
        <v>purchase</v>
      </c>
      <c r="D1382" s="6">
        <f t="shared" ca="1" si="0"/>
        <v>45420</v>
      </c>
      <c r="E1382" s="6">
        <f t="shared" ca="1" si="1"/>
        <v>45418</v>
      </c>
      <c r="F1382" s="6">
        <f t="shared" ca="1" si="2"/>
        <v>45413</v>
      </c>
      <c r="G1382" s="7"/>
    </row>
    <row r="1383" spans="1:7" x14ac:dyDescent="0.2">
      <c r="A1383" s="3">
        <f ca="1">IFERROR(__xludf.DUMMYFUNCTION("""COMPUTED_VALUE"""),3993)</f>
        <v>3993</v>
      </c>
      <c r="B1383" s="6">
        <f ca="1">IFERROR(__xludf.DUMMYFUNCTION("""COMPUTED_VALUE"""),45420.3331828703)</f>
        <v>45420.333182870301</v>
      </c>
      <c r="C1383" s="3" t="str">
        <f ca="1">IFERROR(__xludf.DUMMYFUNCTION("""COMPUTED_VALUE"""),"purchase")</f>
        <v>purchase</v>
      </c>
      <c r="D1383" s="6">
        <f t="shared" ca="1" si="0"/>
        <v>45420</v>
      </c>
      <c r="E1383" s="6">
        <f t="shared" ca="1" si="1"/>
        <v>45418</v>
      </c>
      <c r="F1383" s="6">
        <f t="shared" ca="1" si="2"/>
        <v>45413</v>
      </c>
      <c r="G1383" s="7"/>
    </row>
    <row r="1384" spans="1:7" x14ac:dyDescent="0.2">
      <c r="A1384" s="3">
        <f ca="1">IFERROR(__xludf.DUMMYFUNCTION("""COMPUTED_VALUE"""),3323)</f>
        <v>3323</v>
      </c>
      <c r="B1384" s="6">
        <f ca="1">IFERROR(__xludf.DUMMYFUNCTION("""COMPUTED_VALUE"""),45420.3430671296)</f>
        <v>45420.343067129601</v>
      </c>
      <c r="C1384" s="3" t="str">
        <f ca="1">IFERROR(__xludf.DUMMYFUNCTION("""COMPUTED_VALUE"""),"purchase")</f>
        <v>purchase</v>
      </c>
      <c r="D1384" s="6">
        <f t="shared" ca="1" si="0"/>
        <v>45420</v>
      </c>
      <c r="E1384" s="6">
        <f t="shared" ca="1" si="1"/>
        <v>45418</v>
      </c>
      <c r="F1384" s="6">
        <f t="shared" ca="1" si="2"/>
        <v>45413</v>
      </c>
      <c r="G1384" s="7"/>
    </row>
    <row r="1385" spans="1:7" x14ac:dyDescent="0.2">
      <c r="A1385" s="3">
        <f ca="1">IFERROR(__xludf.DUMMYFUNCTION("""COMPUTED_VALUE"""),7780)</f>
        <v>7780</v>
      </c>
      <c r="B1385" s="6">
        <f ca="1">IFERROR(__xludf.DUMMYFUNCTION("""COMPUTED_VALUE"""),45420.5230555555)</f>
        <v>45420.523055555503</v>
      </c>
      <c r="C1385" s="3" t="str">
        <f ca="1">IFERROR(__xludf.DUMMYFUNCTION("""COMPUTED_VALUE"""),"purchase")</f>
        <v>purchase</v>
      </c>
      <c r="D1385" s="6">
        <f t="shared" ca="1" si="0"/>
        <v>45420</v>
      </c>
      <c r="E1385" s="6">
        <f t="shared" ca="1" si="1"/>
        <v>45418</v>
      </c>
      <c r="F1385" s="6">
        <f t="shared" ca="1" si="2"/>
        <v>45413</v>
      </c>
      <c r="G1385" s="7"/>
    </row>
    <row r="1386" spans="1:7" x14ac:dyDescent="0.2">
      <c r="A1386" s="3">
        <f ca="1">IFERROR(__xludf.DUMMYFUNCTION("""COMPUTED_VALUE"""),5118)</f>
        <v>5118</v>
      </c>
      <c r="B1386" s="6">
        <f ca="1">IFERROR(__xludf.DUMMYFUNCTION("""COMPUTED_VALUE"""),45420.5843402777)</f>
        <v>45420.584340277703</v>
      </c>
      <c r="C1386" s="3" t="str">
        <f ca="1">IFERROR(__xludf.DUMMYFUNCTION("""COMPUTED_VALUE"""),"purchase")</f>
        <v>purchase</v>
      </c>
      <c r="D1386" s="6">
        <f t="shared" ca="1" si="0"/>
        <v>45420</v>
      </c>
      <c r="E1386" s="6">
        <f t="shared" ca="1" si="1"/>
        <v>45418</v>
      </c>
      <c r="F1386" s="6">
        <f t="shared" ca="1" si="2"/>
        <v>45413</v>
      </c>
      <c r="G1386" s="7"/>
    </row>
    <row r="1387" spans="1:7" x14ac:dyDescent="0.2">
      <c r="A1387" s="3">
        <f ca="1">IFERROR(__xludf.DUMMYFUNCTION("""COMPUTED_VALUE"""),2108)</f>
        <v>2108</v>
      </c>
      <c r="B1387" s="6">
        <f ca="1">IFERROR(__xludf.DUMMYFUNCTION("""COMPUTED_VALUE"""),45420.6605902777)</f>
        <v>45420.660590277701</v>
      </c>
      <c r="C1387" s="3" t="str">
        <f ca="1">IFERROR(__xludf.DUMMYFUNCTION("""COMPUTED_VALUE"""),"purchase")</f>
        <v>purchase</v>
      </c>
      <c r="D1387" s="6">
        <f t="shared" ca="1" si="0"/>
        <v>45420</v>
      </c>
      <c r="E1387" s="6">
        <f t="shared" ca="1" si="1"/>
        <v>45418</v>
      </c>
      <c r="F1387" s="6">
        <f t="shared" ca="1" si="2"/>
        <v>45413</v>
      </c>
      <c r="G1387" s="7"/>
    </row>
    <row r="1388" spans="1:7" x14ac:dyDescent="0.2">
      <c r="A1388" s="3">
        <f ca="1">IFERROR(__xludf.DUMMYFUNCTION("""COMPUTED_VALUE"""),1515)</f>
        <v>1515</v>
      </c>
      <c r="B1388" s="6">
        <f ca="1">IFERROR(__xludf.DUMMYFUNCTION("""COMPUTED_VALUE"""),45420.9521296296)</f>
        <v>45420.952129629601</v>
      </c>
      <c r="C1388" s="3" t="str">
        <f ca="1">IFERROR(__xludf.DUMMYFUNCTION("""COMPUTED_VALUE"""),"purchase")</f>
        <v>purchase</v>
      </c>
      <c r="D1388" s="6">
        <f t="shared" ca="1" si="0"/>
        <v>45420</v>
      </c>
      <c r="E1388" s="6">
        <f t="shared" ca="1" si="1"/>
        <v>45418</v>
      </c>
      <c r="F1388" s="6">
        <f t="shared" ca="1" si="2"/>
        <v>45413</v>
      </c>
      <c r="G1388" s="7"/>
    </row>
    <row r="1389" spans="1:7" x14ac:dyDescent="0.2">
      <c r="A1389" s="3">
        <f ca="1">IFERROR(__xludf.DUMMYFUNCTION("""COMPUTED_VALUE"""),1025)</f>
        <v>1025</v>
      </c>
      <c r="B1389" s="6">
        <f ca="1">IFERROR(__xludf.DUMMYFUNCTION("""COMPUTED_VALUE"""),45420.9688773148)</f>
        <v>45420.968877314801</v>
      </c>
      <c r="C1389" s="3" t="str">
        <f ca="1">IFERROR(__xludf.DUMMYFUNCTION("""COMPUTED_VALUE"""),"purchase")</f>
        <v>purchase</v>
      </c>
      <c r="D1389" s="6">
        <f t="shared" ca="1" si="0"/>
        <v>45420</v>
      </c>
      <c r="E1389" s="6">
        <f t="shared" ca="1" si="1"/>
        <v>45418</v>
      </c>
      <c r="F1389" s="6">
        <f t="shared" ca="1" si="2"/>
        <v>45413</v>
      </c>
      <c r="G1389" s="7"/>
    </row>
    <row r="1390" spans="1:7" x14ac:dyDescent="0.2">
      <c r="A1390" s="3">
        <f ca="1">IFERROR(__xludf.DUMMYFUNCTION("""COMPUTED_VALUE"""),2406)</f>
        <v>2406</v>
      </c>
      <c r="B1390" s="6">
        <f ca="1">IFERROR(__xludf.DUMMYFUNCTION("""COMPUTED_VALUE"""),45420.975949074)</f>
        <v>45420.975949074003</v>
      </c>
      <c r="C1390" s="3" t="str">
        <f ca="1">IFERROR(__xludf.DUMMYFUNCTION("""COMPUTED_VALUE"""),"purchase")</f>
        <v>purchase</v>
      </c>
      <c r="D1390" s="6">
        <f t="shared" ca="1" si="0"/>
        <v>45420</v>
      </c>
      <c r="E1390" s="6">
        <f t="shared" ca="1" si="1"/>
        <v>45418</v>
      </c>
      <c r="F1390" s="6">
        <f t="shared" ca="1" si="2"/>
        <v>45413</v>
      </c>
      <c r="G1390" s="7"/>
    </row>
    <row r="1391" spans="1:7" x14ac:dyDescent="0.2">
      <c r="A1391" s="3">
        <f ca="1">IFERROR(__xludf.DUMMYFUNCTION("""COMPUTED_VALUE"""),1916)</f>
        <v>1916</v>
      </c>
      <c r="B1391" s="6">
        <f ca="1">IFERROR(__xludf.DUMMYFUNCTION("""COMPUTED_VALUE"""),45421.0227546296)</f>
        <v>45421.022754629601</v>
      </c>
      <c r="C1391" s="3" t="str">
        <f ca="1">IFERROR(__xludf.DUMMYFUNCTION("""COMPUTED_VALUE"""),"purchase")</f>
        <v>purchase</v>
      </c>
      <c r="D1391" s="6">
        <f t="shared" ca="1" si="0"/>
        <v>45421</v>
      </c>
      <c r="E1391" s="6">
        <f t="shared" ca="1" si="1"/>
        <v>45418</v>
      </c>
      <c r="F1391" s="6">
        <f t="shared" ca="1" si="2"/>
        <v>45413</v>
      </c>
      <c r="G1391" s="7"/>
    </row>
    <row r="1392" spans="1:7" x14ac:dyDescent="0.2">
      <c r="A1392" s="3">
        <f ca="1">IFERROR(__xludf.DUMMYFUNCTION("""COMPUTED_VALUE"""),1080)</f>
        <v>1080</v>
      </c>
      <c r="B1392" s="6">
        <f ca="1">IFERROR(__xludf.DUMMYFUNCTION("""COMPUTED_VALUE"""),45421.0535185185)</f>
        <v>45421.0535185185</v>
      </c>
      <c r="C1392" s="3" t="str">
        <f ca="1">IFERROR(__xludf.DUMMYFUNCTION("""COMPUTED_VALUE"""),"purchase")</f>
        <v>purchase</v>
      </c>
      <c r="D1392" s="6">
        <f t="shared" ca="1" si="0"/>
        <v>45421</v>
      </c>
      <c r="E1392" s="6">
        <f t="shared" ca="1" si="1"/>
        <v>45418</v>
      </c>
      <c r="F1392" s="6">
        <f t="shared" ca="1" si="2"/>
        <v>45413</v>
      </c>
      <c r="G1392" s="7"/>
    </row>
    <row r="1393" spans="1:7" x14ac:dyDescent="0.2">
      <c r="A1393" s="3">
        <f ca="1">IFERROR(__xludf.DUMMYFUNCTION("""COMPUTED_VALUE"""),1895)</f>
        <v>1895</v>
      </c>
      <c r="B1393" s="6">
        <f ca="1">IFERROR(__xludf.DUMMYFUNCTION("""COMPUTED_VALUE"""),45421.135011574)</f>
        <v>45421.135011573999</v>
      </c>
      <c r="C1393" s="3" t="str">
        <f ca="1">IFERROR(__xludf.DUMMYFUNCTION("""COMPUTED_VALUE"""),"purchase")</f>
        <v>purchase</v>
      </c>
      <c r="D1393" s="6">
        <f t="shared" ca="1" si="0"/>
        <v>45421</v>
      </c>
      <c r="E1393" s="6">
        <f t="shared" ca="1" si="1"/>
        <v>45418</v>
      </c>
      <c r="F1393" s="6">
        <f t="shared" ca="1" si="2"/>
        <v>45413</v>
      </c>
      <c r="G1393" s="7"/>
    </row>
    <row r="1394" spans="1:7" x14ac:dyDescent="0.2">
      <c r="A1394" s="3">
        <f ca="1">IFERROR(__xludf.DUMMYFUNCTION("""COMPUTED_VALUE"""),6679)</f>
        <v>6679</v>
      </c>
      <c r="B1394" s="6">
        <f ca="1">IFERROR(__xludf.DUMMYFUNCTION("""COMPUTED_VALUE"""),45421.2283564814)</f>
        <v>45421.228356481399</v>
      </c>
      <c r="C1394" s="3" t="str">
        <f ca="1">IFERROR(__xludf.DUMMYFUNCTION("""COMPUTED_VALUE"""),"purchase")</f>
        <v>purchase</v>
      </c>
      <c r="D1394" s="6">
        <f t="shared" ca="1" si="0"/>
        <v>45421</v>
      </c>
      <c r="E1394" s="6">
        <f t="shared" ca="1" si="1"/>
        <v>45418</v>
      </c>
      <c r="F1394" s="6">
        <f t="shared" ca="1" si="2"/>
        <v>45413</v>
      </c>
      <c r="G1394" s="7"/>
    </row>
    <row r="1395" spans="1:7" x14ac:dyDescent="0.2">
      <c r="A1395" s="3">
        <f ca="1">IFERROR(__xludf.DUMMYFUNCTION("""COMPUTED_VALUE"""),4751)</f>
        <v>4751</v>
      </c>
      <c r="B1395" s="6">
        <f ca="1">IFERROR(__xludf.DUMMYFUNCTION("""COMPUTED_VALUE"""),45421.2878587963)</f>
        <v>45421.287858796299</v>
      </c>
      <c r="C1395" s="3" t="str">
        <f ca="1">IFERROR(__xludf.DUMMYFUNCTION("""COMPUTED_VALUE"""),"purchase")</f>
        <v>purchase</v>
      </c>
      <c r="D1395" s="6">
        <f t="shared" ca="1" si="0"/>
        <v>45421</v>
      </c>
      <c r="E1395" s="6">
        <f t="shared" ca="1" si="1"/>
        <v>45418</v>
      </c>
      <c r="F1395" s="6">
        <f t="shared" ca="1" si="2"/>
        <v>45413</v>
      </c>
      <c r="G1395" s="7"/>
    </row>
    <row r="1396" spans="1:7" x14ac:dyDescent="0.2">
      <c r="A1396" s="3">
        <f ca="1">IFERROR(__xludf.DUMMYFUNCTION("""COMPUTED_VALUE"""),355)</f>
        <v>355</v>
      </c>
      <c r="B1396" s="6">
        <f ca="1">IFERROR(__xludf.DUMMYFUNCTION("""COMPUTED_VALUE"""),45421.4660416666)</f>
        <v>45421.466041666601</v>
      </c>
      <c r="C1396" s="3" t="str">
        <f ca="1">IFERROR(__xludf.DUMMYFUNCTION("""COMPUTED_VALUE"""),"purchase")</f>
        <v>purchase</v>
      </c>
      <c r="D1396" s="6">
        <f t="shared" ca="1" si="0"/>
        <v>45421</v>
      </c>
      <c r="E1396" s="6">
        <f t="shared" ca="1" si="1"/>
        <v>45418</v>
      </c>
      <c r="F1396" s="6">
        <f t="shared" ca="1" si="2"/>
        <v>45413</v>
      </c>
      <c r="G1396" s="7"/>
    </row>
    <row r="1397" spans="1:7" x14ac:dyDescent="0.2">
      <c r="A1397" s="3">
        <f ca="1">IFERROR(__xludf.DUMMYFUNCTION("""COMPUTED_VALUE"""),1657)</f>
        <v>1657</v>
      </c>
      <c r="B1397" s="6">
        <f ca="1">IFERROR(__xludf.DUMMYFUNCTION("""COMPUTED_VALUE"""),45421.5163541666)</f>
        <v>45421.516354166597</v>
      </c>
      <c r="C1397" s="3" t="str">
        <f ca="1">IFERROR(__xludf.DUMMYFUNCTION("""COMPUTED_VALUE"""),"purchase")</f>
        <v>purchase</v>
      </c>
      <c r="D1397" s="6">
        <f t="shared" ca="1" si="0"/>
        <v>45421</v>
      </c>
      <c r="E1397" s="6">
        <f t="shared" ca="1" si="1"/>
        <v>45418</v>
      </c>
      <c r="F1397" s="6">
        <f t="shared" ca="1" si="2"/>
        <v>45413</v>
      </c>
      <c r="G1397" s="7"/>
    </row>
    <row r="1398" spans="1:7" x14ac:dyDescent="0.2">
      <c r="A1398" s="3">
        <f ca="1">IFERROR(__xludf.DUMMYFUNCTION("""COMPUTED_VALUE"""),5636)</f>
        <v>5636</v>
      </c>
      <c r="B1398" s="6">
        <f ca="1">IFERROR(__xludf.DUMMYFUNCTION("""COMPUTED_VALUE"""),45421.5235879629)</f>
        <v>45421.523587962904</v>
      </c>
      <c r="C1398" s="3" t="str">
        <f ca="1">IFERROR(__xludf.DUMMYFUNCTION("""COMPUTED_VALUE"""),"purchase")</f>
        <v>purchase</v>
      </c>
      <c r="D1398" s="6">
        <f t="shared" ca="1" si="0"/>
        <v>45421</v>
      </c>
      <c r="E1398" s="6">
        <f t="shared" ca="1" si="1"/>
        <v>45418</v>
      </c>
      <c r="F1398" s="6">
        <f t="shared" ca="1" si="2"/>
        <v>45413</v>
      </c>
      <c r="G1398" s="7"/>
    </row>
    <row r="1399" spans="1:7" x14ac:dyDescent="0.2">
      <c r="A1399" s="3">
        <f ca="1">IFERROR(__xludf.DUMMYFUNCTION("""COMPUTED_VALUE"""),1596)</f>
        <v>1596</v>
      </c>
      <c r="B1399" s="6">
        <f ca="1">IFERROR(__xludf.DUMMYFUNCTION("""COMPUTED_VALUE"""),45421.6751157407)</f>
        <v>45421.675115740698</v>
      </c>
      <c r="C1399" s="3" t="str">
        <f ca="1">IFERROR(__xludf.DUMMYFUNCTION("""COMPUTED_VALUE"""),"purchase")</f>
        <v>purchase</v>
      </c>
      <c r="D1399" s="6">
        <f t="shared" ca="1" si="0"/>
        <v>45421</v>
      </c>
      <c r="E1399" s="6">
        <f t="shared" ca="1" si="1"/>
        <v>45418</v>
      </c>
      <c r="F1399" s="6">
        <f t="shared" ca="1" si="2"/>
        <v>45413</v>
      </c>
      <c r="G1399" s="7"/>
    </row>
    <row r="1400" spans="1:7" x14ac:dyDescent="0.2">
      <c r="A1400" s="3">
        <f ca="1">IFERROR(__xludf.DUMMYFUNCTION("""COMPUTED_VALUE"""),4113)</f>
        <v>4113</v>
      </c>
      <c r="B1400" s="6">
        <f ca="1">IFERROR(__xludf.DUMMYFUNCTION("""COMPUTED_VALUE"""),45421.7965509259)</f>
        <v>45421.796550925901</v>
      </c>
      <c r="C1400" s="3" t="str">
        <f ca="1">IFERROR(__xludf.DUMMYFUNCTION("""COMPUTED_VALUE"""),"purchase")</f>
        <v>purchase</v>
      </c>
      <c r="D1400" s="6">
        <f t="shared" ca="1" si="0"/>
        <v>45421</v>
      </c>
      <c r="E1400" s="6">
        <f t="shared" ca="1" si="1"/>
        <v>45418</v>
      </c>
      <c r="F1400" s="6">
        <f t="shared" ca="1" si="2"/>
        <v>45413</v>
      </c>
      <c r="G1400" s="7"/>
    </row>
    <row r="1401" spans="1:7" x14ac:dyDescent="0.2">
      <c r="A1401" s="3">
        <f ca="1">IFERROR(__xludf.DUMMYFUNCTION("""COMPUTED_VALUE"""),4055)</f>
        <v>4055</v>
      </c>
      <c r="B1401" s="6">
        <f ca="1">IFERROR(__xludf.DUMMYFUNCTION("""COMPUTED_VALUE"""),45421.8225578702)</f>
        <v>45421.822557870299</v>
      </c>
      <c r="C1401" s="3" t="str">
        <f ca="1">IFERROR(__xludf.DUMMYFUNCTION("""COMPUTED_VALUE"""),"purchase")</f>
        <v>purchase</v>
      </c>
      <c r="D1401" s="6">
        <f t="shared" ca="1" si="0"/>
        <v>45421</v>
      </c>
      <c r="E1401" s="6">
        <f t="shared" ca="1" si="1"/>
        <v>45418</v>
      </c>
      <c r="F1401" s="6">
        <f t="shared" ca="1" si="2"/>
        <v>45413</v>
      </c>
      <c r="G1401" s="7"/>
    </row>
    <row r="1402" spans="1:7" x14ac:dyDescent="0.2">
      <c r="A1402" s="3">
        <f ca="1">IFERROR(__xludf.DUMMYFUNCTION("""COMPUTED_VALUE"""),3363)</f>
        <v>3363</v>
      </c>
      <c r="B1402" s="6">
        <f ca="1">IFERROR(__xludf.DUMMYFUNCTION("""COMPUTED_VALUE"""),45421.8400694444)</f>
        <v>45421.840069444399</v>
      </c>
      <c r="C1402" s="3" t="str">
        <f ca="1">IFERROR(__xludf.DUMMYFUNCTION("""COMPUTED_VALUE"""),"purchase")</f>
        <v>purchase</v>
      </c>
      <c r="D1402" s="6">
        <f t="shared" ca="1" si="0"/>
        <v>45421</v>
      </c>
      <c r="E1402" s="6">
        <f t="shared" ca="1" si="1"/>
        <v>45418</v>
      </c>
      <c r="F1402" s="6">
        <f t="shared" ca="1" si="2"/>
        <v>45413</v>
      </c>
      <c r="G1402" s="7"/>
    </row>
    <row r="1403" spans="1:7" x14ac:dyDescent="0.2">
      <c r="A1403" s="3">
        <f ca="1">IFERROR(__xludf.DUMMYFUNCTION("""COMPUTED_VALUE"""),7702)</f>
        <v>7702</v>
      </c>
      <c r="B1403" s="6">
        <f ca="1">IFERROR(__xludf.DUMMYFUNCTION("""COMPUTED_VALUE"""),45421.9021759259)</f>
        <v>45421.902175925898</v>
      </c>
      <c r="C1403" s="3" t="str">
        <f ca="1">IFERROR(__xludf.DUMMYFUNCTION("""COMPUTED_VALUE"""),"purchase")</f>
        <v>purchase</v>
      </c>
      <c r="D1403" s="6">
        <f t="shared" ca="1" si="0"/>
        <v>45421</v>
      </c>
      <c r="E1403" s="6">
        <f t="shared" ca="1" si="1"/>
        <v>45418</v>
      </c>
      <c r="F1403" s="6">
        <f t="shared" ca="1" si="2"/>
        <v>45413</v>
      </c>
      <c r="G1403" s="7"/>
    </row>
    <row r="1404" spans="1:7" x14ac:dyDescent="0.2">
      <c r="A1404" s="3">
        <f ca="1">IFERROR(__xludf.DUMMYFUNCTION("""COMPUTED_VALUE"""),713)</f>
        <v>713</v>
      </c>
      <c r="B1404" s="6">
        <f ca="1">IFERROR(__xludf.DUMMYFUNCTION("""COMPUTED_VALUE"""),45421.9258101851)</f>
        <v>45421.925810185101</v>
      </c>
      <c r="C1404" s="3" t="str">
        <f ca="1">IFERROR(__xludf.DUMMYFUNCTION("""COMPUTED_VALUE"""),"purchase")</f>
        <v>purchase</v>
      </c>
      <c r="D1404" s="6">
        <f t="shared" ca="1" si="0"/>
        <v>45421</v>
      </c>
      <c r="E1404" s="6">
        <f t="shared" ca="1" si="1"/>
        <v>45418</v>
      </c>
      <c r="F1404" s="6">
        <f t="shared" ca="1" si="2"/>
        <v>45413</v>
      </c>
      <c r="G1404" s="7"/>
    </row>
    <row r="1405" spans="1:7" x14ac:dyDescent="0.2">
      <c r="A1405" s="3">
        <f ca="1">IFERROR(__xludf.DUMMYFUNCTION("""COMPUTED_VALUE"""),1175)</f>
        <v>1175</v>
      </c>
      <c r="B1405" s="6">
        <f ca="1">IFERROR(__xludf.DUMMYFUNCTION("""COMPUTED_VALUE"""),45421.9881018518)</f>
        <v>45421.988101851799</v>
      </c>
      <c r="C1405" s="3" t="str">
        <f ca="1">IFERROR(__xludf.DUMMYFUNCTION("""COMPUTED_VALUE"""),"purchase")</f>
        <v>purchase</v>
      </c>
      <c r="D1405" s="6">
        <f t="shared" ca="1" si="0"/>
        <v>45421</v>
      </c>
      <c r="E1405" s="6">
        <f t="shared" ca="1" si="1"/>
        <v>45418</v>
      </c>
      <c r="F1405" s="6">
        <f t="shared" ca="1" si="2"/>
        <v>45413</v>
      </c>
      <c r="G1405" s="7"/>
    </row>
    <row r="1406" spans="1:7" x14ac:dyDescent="0.2">
      <c r="A1406" s="3">
        <f ca="1">IFERROR(__xludf.DUMMYFUNCTION("""COMPUTED_VALUE"""),1098)</f>
        <v>1098</v>
      </c>
      <c r="B1406" s="6">
        <f ca="1">IFERROR(__xludf.DUMMYFUNCTION("""COMPUTED_VALUE"""),45422.140949074)</f>
        <v>45422.140949073997</v>
      </c>
      <c r="C1406" s="3" t="str">
        <f ca="1">IFERROR(__xludf.DUMMYFUNCTION("""COMPUTED_VALUE"""),"purchase")</f>
        <v>purchase</v>
      </c>
      <c r="D1406" s="6">
        <f t="shared" ca="1" si="0"/>
        <v>45422</v>
      </c>
      <c r="E1406" s="6">
        <f t="shared" ca="1" si="1"/>
        <v>45418</v>
      </c>
      <c r="F1406" s="6">
        <f t="shared" ca="1" si="2"/>
        <v>45413</v>
      </c>
      <c r="G1406" s="7"/>
    </row>
    <row r="1407" spans="1:7" x14ac:dyDescent="0.2">
      <c r="A1407" s="3">
        <f ca="1">IFERROR(__xludf.DUMMYFUNCTION("""COMPUTED_VALUE"""),6852)</f>
        <v>6852</v>
      </c>
      <c r="B1407" s="6">
        <f ca="1">IFERROR(__xludf.DUMMYFUNCTION("""COMPUTED_VALUE"""),45422.4935532407)</f>
        <v>45422.493553240703</v>
      </c>
      <c r="C1407" s="3" t="str">
        <f ca="1">IFERROR(__xludf.DUMMYFUNCTION("""COMPUTED_VALUE"""),"purchase")</f>
        <v>purchase</v>
      </c>
      <c r="D1407" s="6">
        <f t="shared" ca="1" si="0"/>
        <v>45422</v>
      </c>
      <c r="E1407" s="6">
        <f t="shared" ca="1" si="1"/>
        <v>45418</v>
      </c>
      <c r="F1407" s="6">
        <f t="shared" ca="1" si="2"/>
        <v>45413</v>
      </c>
      <c r="G1407" s="7"/>
    </row>
    <row r="1408" spans="1:7" x14ac:dyDescent="0.2">
      <c r="A1408" s="3">
        <f ca="1">IFERROR(__xludf.DUMMYFUNCTION("""COMPUTED_VALUE"""),4687)</f>
        <v>4687</v>
      </c>
      <c r="B1408" s="6">
        <f ca="1">IFERROR(__xludf.DUMMYFUNCTION("""COMPUTED_VALUE"""),45422.5513425925)</f>
        <v>45422.551342592502</v>
      </c>
      <c r="C1408" s="3" t="str">
        <f ca="1">IFERROR(__xludf.DUMMYFUNCTION("""COMPUTED_VALUE"""),"purchase")</f>
        <v>purchase</v>
      </c>
      <c r="D1408" s="6">
        <f t="shared" ca="1" si="0"/>
        <v>45422</v>
      </c>
      <c r="E1408" s="6">
        <f t="shared" ca="1" si="1"/>
        <v>45418</v>
      </c>
      <c r="F1408" s="6">
        <f t="shared" ca="1" si="2"/>
        <v>45413</v>
      </c>
      <c r="G1408" s="7"/>
    </row>
    <row r="1409" spans="1:7" x14ac:dyDescent="0.2">
      <c r="A1409" s="3">
        <f ca="1">IFERROR(__xludf.DUMMYFUNCTION("""COMPUTED_VALUE"""),1489)</f>
        <v>1489</v>
      </c>
      <c r="B1409" s="6">
        <f ca="1">IFERROR(__xludf.DUMMYFUNCTION("""COMPUTED_VALUE"""),45422.627349537)</f>
        <v>45422.627349536997</v>
      </c>
      <c r="C1409" s="3" t="str">
        <f ca="1">IFERROR(__xludf.DUMMYFUNCTION("""COMPUTED_VALUE"""),"purchase")</f>
        <v>purchase</v>
      </c>
      <c r="D1409" s="6">
        <f t="shared" ca="1" si="0"/>
        <v>45422</v>
      </c>
      <c r="E1409" s="6">
        <f t="shared" ca="1" si="1"/>
        <v>45418</v>
      </c>
      <c r="F1409" s="6">
        <f t="shared" ca="1" si="2"/>
        <v>45413</v>
      </c>
      <c r="G1409" s="7"/>
    </row>
    <row r="1410" spans="1:7" x14ac:dyDescent="0.2">
      <c r="A1410" s="3">
        <f ca="1">IFERROR(__xludf.DUMMYFUNCTION("""COMPUTED_VALUE"""),5319)</f>
        <v>5319</v>
      </c>
      <c r="B1410" s="6">
        <f ca="1">IFERROR(__xludf.DUMMYFUNCTION("""COMPUTED_VALUE"""),45422.7280324074)</f>
        <v>45422.728032407402</v>
      </c>
      <c r="C1410" s="3" t="str">
        <f ca="1">IFERROR(__xludf.DUMMYFUNCTION("""COMPUTED_VALUE"""),"purchase")</f>
        <v>purchase</v>
      </c>
      <c r="D1410" s="6">
        <f t="shared" ca="1" si="0"/>
        <v>45422</v>
      </c>
      <c r="E1410" s="6">
        <f t="shared" ca="1" si="1"/>
        <v>45418</v>
      </c>
      <c r="F1410" s="6">
        <f t="shared" ca="1" si="2"/>
        <v>45413</v>
      </c>
      <c r="G1410" s="7"/>
    </row>
    <row r="1411" spans="1:7" x14ac:dyDescent="0.2">
      <c r="A1411" s="3">
        <f ca="1">IFERROR(__xludf.DUMMYFUNCTION("""COMPUTED_VALUE"""),2228)</f>
        <v>2228</v>
      </c>
      <c r="B1411" s="6">
        <f ca="1">IFERROR(__xludf.DUMMYFUNCTION("""COMPUTED_VALUE"""),45422.8236921296)</f>
        <v>45422.823692129597</v>
      </c>
      <c r="C1411" s="3" t="str">
        <f ca="1">IFERROR(__xludf.DUMMYFUNCTION("""COMPUTED_VALUE"""),"purchase")</f>
        <v>purchase</v>
      </c>
      <c r="D1411" s="6">
        <f t="shared" ca="1" si="0"/>
        <v>45422</v>
      </c>
      <c r="E1411" s="6">
        <f t="shared" ca="1" si="1"/>
        <v>45418</v>
      </c>
      <c r="F1411" s="6">
        <f t="shared" ca="1" si="2"/>
        <v>45413</v>
      </c>
      <c r="G1411" s="7"/>
    </row>
    <row r="1412" spans="1:7" x14ac:dyDescent="0.2">
      <c r="A1412" s="3">
        <f ca="1">IFERROR(__xludf.DUMMYFUNCTION("""COMPUTED_VALUE"""),1833)</f>
        <v>1833</v>
      </c>
      <c r="B1412" s="6">
        <f ca="1">IFERROR(__xludf.DUMMYFUNCTION("""COMPUTED_VALUE"""),45422.9550578703)</f>
        <v>45422.955057870298</v>
      </c>
      <c r="C1412" s="3" t="str">
        <f ca="1">IFERROR(__xludf.DUMMYFUNCTION("""COMPUTED_VALUE"""),"purchase")</f>
        <v>purchase</v>
      </c>
      <c r="D1412" s="6">
        <f t="shared" ca="1" si="0"/>
        <v>45422</v>
      </c>
      <c r="E1412" s="6">
        <f t="shared" ca="1" si="1"/>
        <v>45418</v>
      </c>
      <c r="F1412" s="6">
        <f t="shared" ca="1" si="2"/>
        <v>45413</v>
      </c>
      <c r="G1412" s="7"/>
    </row>
    <row r="1413" spans="1:7" x14ac:dyDescent="0.2">
      <c r="A1413" s="3">
        <f ca="1">IFERROR(__xludf.DUMMYFUNCTION("""COMPUTED_VALUE"""),2517)</f>
        <v>2517</v>
      </c>
      <c r="B1413" s="6">
        <f ca="1">IFERROR(__xludf.DUMMYFUNCTION("""COMPUTED_VALUE"""),45422.9913888887)</f>
        <v>45422.991388888797</v>
      </c>
      <c r="C1413" s="3" t="str">
        <f ca="1">IFERROR(__xludf.DUMMYFUNCTION("""COMPUTED_VALUE"""),"purchase")</f>
        <v>purchase</v>
      </c>
      <c r="D1413" s="6">
        <f t="shared" ca="1" si="0"/>
        <v>45422</v>
      </c>
      <c r="E1413" s="6">
        <f t="shared" ca="1" si="1"/>
        <v>45418</v>
      </c>
      <c r="F1413" s="6">
        <f t="shared" ca="1" si="2"/>
        <v>45413</v>
      </c>
      <c r="G1413" s="7"/>
    </row>
    <row r="1414" spans="1:7" x14ac:dyDescent="0.2">
      <c r="A1414" s="3">
        <f ca="1">IFERROR(__xludf.DUMMYFUNCTION("""COMPUTED_VALUE"""),2878)</f>
        <v>2878</v>
      </c>
      <c r="B1414" s="6">
        <f ca="1">IFERROR(__xludf.DUMMYFUNCTION("""COMPUTED_VALUE"""),45423.0972569444)</f>
        <v>45423.097256944398</v>
      </c>
      <c r="C1414" s="3" t="str">
        <f ca="1">IFERROR(__xludf.DUMMYFUNCTION("""COMPUTED_VALUE"""),"purchase")</f>
        <v>purchase</v>
      </c>
      <c r="D1414" s="6">
        <f t="shared" ca="1" si="0"/>
        <v>45423</v>
      </c>
      <c r="E1414" s="6">
        <f t="shared" ca="1" si="1"/>
        <v>45418</v>
      </c>
      <c r="F1414" s="6">
        <f t="shared" ca="1" si="2"/>
        <v>45413</v>
      </c>
      <c r="G1414" s="7"/>
    </row>
    <row r="1415" spans="1:7" x14ac:dyDescent="0.2">
      <c r="A1415" s="3">
        <f ca="1">IFERROR(__xludf.DUMMYFUNCTION("""COMPUTED_VALUE"""),2883)</f>
        <v>2883</v>
      </c>
      <c r="B1415" s="6">
        <f ca="1">IFERROR(__xludf.DUMMYFUNCTION("""COMPUTED_VALUE"""),45423.2447685185)</f>
        <v>45423.244768518503</v>
      </c>
      <c r="C1415" s="3" t="str">
        <f ca="1">IFERROR(__xludf.DUMMYFUNCTION("""COMPUTED_VALUE"""),"purchase")</f>
        <v>purchase</v>
      </c>
      <c r="D1415" s="6">
        <f t="shared" ca="1" si="0"/>
        <v>45423</v>
      </c>
      <c r="E1415" s="6">
        <f t="shared" ca="1" si="1"/>
        <v>45418</v>
      </c>
      <c r="F1415" s="6">
        <f t="shared" ca="1" si="2"/>
        <v>45413</v>
      </c>
      <c r="G1415" s="7"/>
    </row>
    <row r="1416" spans="1:7" x14ac:dyDescent="0.2">
      <c r="A1416" s="3">
        <f ca="1">IFERROR(__xludf.DUMMYFUNCTION("""COMPUTED_VALUE"""),5552)</f>
        <v>5552</v>
      </c>
      <c r="B1416" s="6">
        <f ca="1">IFERROR(__xludf.DUMMYFUNCTION("""COMPUTED_VALUE"""),45423.5709259259)</f>
        <v>45423.570925925902</v>
      </c>
      <c r="C1416" s="3" t="str">
        <f ca="1">IFERROR(__xludf.DUMMYFUNCTION("""COMPUTED_VALUE"""),"purchase")</f>
        <v>purchase</v>
      </c>
      <c r="D1416" s="6">
        <f t="shared" ca="1" si="0"/>
        <v>45423</v>
      </c>
      <c r="E1416" s="6">
        <f t="shared" ca="1" si="1"/>
        <v>45418</v>
      </c>
      <c r="F1416" s="6">
        <f t="shared" ca="1" si="2"/>
        <v>45413</v>
      </c>
      <c r="G1416" s="7"/>
    </row>
    <row r="1417" spans="1:7" x14ac:dyDescent="0.2">
      <c r="A1417" s="3">
        <f ca="1">IFERROR(__xludf.DUMMYFUNCTION("""COMPUTED_VALUE"""),4377)</f>
        <v>4377</v>
      </c>
      <c r="B1417" s="6">
        <f ca="1">IFERROR(__xludf.DUMMYFUNCTION("""COMPUTED_VALUE"""),45423.7490393518)</f>
        <v>45423.749039351802</v>
      </c>
      <c r="C1417" s="3" t="str">
        <f ca="1">IFERROR(__xludf.DUMMYFUNCTION("""COMPUTED_VALUE"""),"purchase")</f>
        <v>purchase</v>
      </c>
      <c r="D1417" s="6">
        <f t="shared" ca="1" si="0"/>
        <v>45423</v>
      </c>
      <c r="E1417" s="6">
        <f t="shared" ca="1" si="1"/>
        <v>45418</v>
      </c>
      <c r="F1417" s="6">
        <f t="shared" ca="1" si="2"/>
        <v>45413</v>
      </c>
      <c r="G1417" s="7"/>
    </row>
    <row r="1418" spans="1:7" x14ac:dyDescent="0.2">
      <c r="A1418" s="3">
        <f ca="1">IFERROR(__xludf.DUMMYFUNCTION("""COMPUTED_VALUE"""),2511)</f>
        <v>2511</v>
      </c>
      <c r="B1418" s="6">
        <f ca="1">IFERROR(__xludf.DUMMYFUNCTION("""COMPUTED_VALUE"""),45423.7507291666)</f>
        <v>45423.750729166597</v>
      </c>
      <c r="C1418" s="3" t="str">
        <f ca="1">IFERROR(__xludf.DUMMYFUNCTION("""COMPUTED_VALUE"""),"purchase")</f>
        <v>purchase</v>
      </c>
      <c r="D1418" s="6">
        <f t="shared" ca="1" si="0"/>
        <v>45423</v>
      </c>
      <c r="E1418" s="6">
        <f t="shared" ca="1" si="1"/>
        <v>45418</v>
      </c>
      <c r="F1418" s="6">
        <f t="shared" ca="1" si="2"/>
        <v>45413</v>
      </c>
      <c r="G1418" s="7"/>
    </row>
    <row r="1419" spans="1:7" x14ac:dyDescent="0.2">
      <c r="A1419" s="3">
        <f ca="1">IFERROR(__xludf.DUMMYFUNCTION("""COMPUTED_VALUE"""),6076)</f>
        <v>6076</v>
      </c>
      <c r="B1419" s="6">
        <f ca="1">IFERROR(__xludf.DUMMYFUNCTION("""COMPUTED_VALUE"""),45423.9782291666)</f>
        <v>45423.978229166598</v>
      </c>
      <c r="C1419" s="3" t="str">
        <f ca="1">IFERROR(__xludf.DUMMYFUNCTION("""COMPUTED_VALUE"""),"purchase")</f>
        <v>purchase</v>
      </c>
      <c r="D1419" s="6">
        <f t="shared" ca="1" si="0"/>
        <v>45423</v>
      </c>
      <c r="E1419" s="6">
        <f t="shared" ca="1" si="1"/>
        <v>45418</v>
      </c>
      <c r="F1419" s="6">
        <f t="shared" ca="1" si="2"/>
        <v>45413</v>
      </c>
      <c r="G1419" s="7"/>
    </row>
    <row r="1420" spans="1:7" x14ac:dyDescent="0.2">
      <c r="A1420" s="3">
        <f ca="1">IFERROR(__xludf.DUMMYFUNCTION("""COMPUTED_VALUE"""),3529)</f>
        <v>3529</v>
      </c>
      <c r="B1420" s="6">
        <f ca="1">IFERROR(__xludf.DUMMYFUNCTION("""COMPUTED_VALUE"""),45424.2011921296)</f>
        <v>45424.2011921296</v>
      </c>
      <c r="C1420" s="3" t="str">
        <f ca="1">IFERROR(__xludf.DUMMYFUNCTION("""COMPUTED_VALUE"""),"purchase")</f>
        <v>purchase</v>
      </c>
      <c r="D1420" s="6">
        <f t="shared" ca="1" si="0"/>
        <v>45424</v>
      </c>
      <c r="E1420" s="6">
        <f t="shared" ca="1" si="1"/>
        <v>45418</v>
      </c>
      <c r="F1420" s="6">
        <f t="shared" ca="1" si="2"/>
        <v>45413</v>
      </c>
      <c r="G1420" s="7"/>
    </row>
    <row r="1421" spans="1:7" x14ac:dyDescent="0.2">
      <c r="A1421" s="3">
        <f ca="1">IFERROR(__xludf.DUMMYFUNCTION("""COMPUTED_VALUE"""),2319)</f>
        <v>2319</v>
      </c>
      <c r="B1421" s="6">
        <f ca="1">IFERROR(__xludf.DUMMYFUNCTION("""COMPUTED_VALUE"""),45424.2767708333)</f>
        <v>45424.276770833298</v>
      </c>
      <c r="C1421" s="3" t="str">
        <f ca="1">IFERROR(__xludf.DUMMYFUNCTION("""COMPUTED_VALUE"""),"purchase")</f>
        <v>purchase</v>
      </c>
      <c r="D1421" s="6">
        <f t="shared" ca="1" si="0"/>
        <v>45424</v>
      </c>
      <c r="E1421" s="6">
        <f t="shared" ca="1" si="1"/>
        <v>45418</v>
      </c>
      <c r="F1421" s="6">
        <f t="shared" ca="1" si="2"/>
        <v>45413</v>
      </c>
      <c r="G1421" s="7"/>
    </row>
    <row r="1422" spans="1:7" x14ac:dyDescent="0.2">
      <c r="A1422" s="3">
        <f ca="1">IFERROR(__xludf.DUMMYFUNCTION("""COMPUTED_VALUE"""),4790)</f>
        <v>4790</v>
      </c>
      <c r="B1422" s="6">
        <f ca="1">IFERROR(__xludf.DUMMYFUNCTION("""COMPUTED_VALUE"""),45424.3627314814)</f>
        <v>45424.3627314814</v>
      </c>
      <c r="C1422" s="3" t="str">
        <f ca="1">IFERROR(__xludf.DUMMYFUNCTION("""COMPUTED_VALUE"""),"purchase")</f>
        <v>purchase</v>
      </c>
      <c r="D1422" s="6">
        <f t="shared" ca="1" si="0"/>
        <v>45424</v>
      </c>
      <c r="E1422" s="6">
        <f t="shared" ca="1" si="1"/>
        <v>45418</v>
      </c>
      <c r="F1422" s="6">
        <f t="shared" ca="1" si="2"/>
        <v>45413</v>
      </c>
      <c r="G1422" s="7"/>
    </row>
    <row r="1423" spans="1:7" x14ac:dyDescent="0.2">
      <c r="A1423" s="3">
        <f ca="1">IFERROR(__xludf.DUMMYFUNCTION("""COMPUTED_VALUE"""),6947)</f>
        <v>6947</v>
      </c>
      <c r="B1423" s="6">
        <f ca="1">IFERROR(__xludf.DUMMYFUNCTION("""COMPUTED_VALUE"""),45424.7201041666)</f>
        <v>45424.720104166598</v>
      </c>
      <c r="C1423" s="3" t="str">
        <f ca="1">IFERROR(__xludf.DUMMYFUNCTION("""COMPUTED_VALUE"""),"purchase")</f>
        <v>purchase</v>
      </c>
      <c r="D1423" s="6">
        <f t="shared" ca="1" si="0"/>
        <v>45424</v>
      </c>
      <c r="E1423" s="6">
        <f t="shared" ca="1" si="1"/>
        <v>45418</v>
      </c>
      <c r="F1423" s="6">
        <f t="shared" ca="1" si="2"/>
        <v>45413</v>
      </c>
      <c r="G1423" s="7"/>
    </row>
    <row r="1424" spans="1:7" x14ac:dyDescent="0.2">
      <c r="A1424" s="3">
        <f ca="1">IFERROR(__xludf.DUMMYFUNCTION("""COMPUTED_VALUE"""),7329)</f>
        <v>7329</v>
      </c>
      <c r="B1424" s="6">
        <f ca="1">IFERROR(__xludf.DUMMYFUNCTION("""COMPUTED_VALUE"""),45424.7944675925)</f>
        <v>45424.794467592503</v>
      </c>
      <c r="C1424" s="3" t="str">
        <f ca="1">IFERROR(__xludf.DUMMYFUNCTION("""COMPUTED_VALUE"""),"purchase")</f>
        <v>purchase</v>
      </c>
      <c r="D1424" s="6">
        <f t="shared" ca="1" si="0"/>
        <v>45424</v>
      </c>
      <c r="E1424" s="6">
        <f t="shared" ca="1" si="1"/>
        <v>45418</v>
      </c>
      <c r="F1424" s="6">
        <f t="shared" ca="1" si="2"/>
        <v>45413</v>
      </c>
      <c r="G1424" s="7"/>
    </row>
    <row r="1425" spans="1:7" x14ac:dyDescent="0.2">
      <c r="A1425" s="3">
        <f ca="1">IFERROR(__xludf.DUMMYFUNCTION("""COMPUTED_VALUE"""),6804)</f>
        <v>6804</v>
      </c>
      <c r="B1425" s="6">
        <f ca="1">IFERROR(__xludf.DUMMYFUNCTION("""COMPUTED_VALUE"""),45424.9373958333)</f>
        <v>45424.937395833302</v>
      </c>
      <c r="C1425" s="3" t="str">
        <f ca="1">IFERROR(__xludf.DUMMYFUNCTION("""COMPUTED_VALUE"""),"purchase")</f>
        <v>purchase</v>
      </c>
      <c r="D1425" s="6">
        <f t="shared" ca="1" si="0"/>
        <v>45424</v>
      </c>
      <c r="E1425" s="6">
        <f t="shared" ca="1" si="1"/>
        <v>45418</v>
      </c>
      <c r="F1425" s="6">
        <f t="shared" ca="1" si="2"/>
        <v>45413</v>
      </c>
      <c r="G1425" s="7"/>
    </row>
    <row r="1426" spans="1:7" x14ac:dyDescent="0.2">
      <c r="A1426" s="3">
        <f ca="1">IFERROR(__xludf.DUMMYFUNCTION("""COMPUTED_VALUE"""),4395)</f>
        <v>4395</v>
      </c>
      <c r="B1426" s="6">
        <f ca="1">IFERROR(__xludf.DUMMYFUNCTION("""COMPUTED_VALUE"""),45424.9794675925)</f>
        <v>45424.9794675925</v>
      </c>
      <c r="C1426" s="3" t="str">
        <f ca="1">IFERROR(__xludf.DUMMYFUNCTION("""COMPUTED_VALUE"""),"purchase")</f>
        <v>purchase</v>
      </c>
      <c r="D1426" s="6">
        <f t="shared" ca="1" si="0"/>
        <v>45424</v>
      </c>
      <c r="E1426" s="6">
        <f t="shared" ca="1" si="1"/>
        <v>45418</v>
      </c>
      <c r="F1426" s="6">
        <f t="shared" ca="1" si="2"/>
        <v>45413</v>
      </c>
      <c r="G1426" s="7"/>
    </row>
    <row r="1427" spans="1:7" x14ac:dyDescent="0.2">
      <c r="A1427" s="3">
        <f ca="1">IFERROR(__xludf.DUMMYFUNCTION("""COMPUTED_VALUE"""),6823)</f>
        <v>6823</v>
      </c>
      <c r="B1427" s="6">
        <f ca="1">IFERROR(__xludf.DUMMYFUNCTION("""COMPUTED_VALUE"""),45424.9859259259)</f>
        <v>45424.985925925903</v>
      </c>
      <c r="C1427" s="3" t="str">
        <f ca="1">IFERROR(__xludf.DUMMYFUNCTION("""COMPUTED_VALUE"""),"purchase")</f>
        <v>purchase</v>
      </c>
      <c r="D1427" s="6">
        <f t="shared" ca="1" si="0"/>
        <v>45424</v>
      </c>
      <c r="E1427" s="6">
        <f t="shared" ca="1" si="1"/>
        <v>45418</v>
      </c>
      <c r="F1427" s="6">
        <f t="shared" ca="1" si="2"/>
        <v>45413</v>
      </c>
      <c r="G1427" s="7"/>
    </row>
    <row r="1428" spans="1:7" x14ac:dyDescent="0.2">
      <c r="A1428" s="3">
        <f ca="1">IFERROR(__xludf.DUMMYFUNCTION("""COMPUTED_VALUE"""),4845)</f>
        <v>4845</v>
      </c>
      <c r="B1428" s="6">
        <f ca="1">IFERROR(__xludf.DUMMYFUNCTION("""COMPUTED_VALUE"""),45425.0282060184)</f>
        <v>45425.028206018498</v>
      </c>
      <c r="C1428" s="3" t="str">
        <f ca="1">IFERROR(__xludf.DUMMYFUNCTION("""COMPUTED_VALUE"""),"purchase")</f>
        <v>purchase</v>
      </c>
      <c r="D1428" s="6">
        <f t="shared" ca="1" si="0"/>
        <v>45425</v>
      </c>
      <c r="E1428" s="6">
        <f t="shared" ca="1" si="1"/>
        <v>45425</v>
      </c>
      <c r="F1428" s="6">
        <f t="shared" ca="1" si="2"/>
        <v>45413</v>
      </c>
      <c r="G1428" s="7"/>
    </row>
    <row r="1429" spans="1:7" x14ac:dyDescent="0.2">
      <c r="A1429" s="3">
        <f ca="1">IFERROR(__xludf.DUMMYFUNCTION("""COMPUTED_VALUE"""),7444)</f>
        <v>7444</v>
      </c>
      <c r="B1429" s="6">
        <f ca="1">IFERROR(__xludf.DUMMYFUNCTION("""COMPUTED_VALUE"""),45425.1310416666)</f>
        <v>45425.131041666602</v>
      </c>
      <c r="C1429" s="3" t="str">
        <f ca="1">IFERROR(__xludf.DUMMYFUNCTION("""COMPUTED_VALUE"""),"purchase")</f>
        <v>purchase</v>
      </c>
      <c r="D1429" s="6">
        <f t="shared" ca="1" si="0"/>
        <v>45425</v>
      </c>
      <c r="E1429" s="6">
        <f t="shared" ca="1" si="1"/>
        <v>45425</v>
      </c>
      <c r="F1429" s="6">
        <f t="shared" ca="1" si="2"/>
        <v>45413</v>
      </c>
      <c r="G1429" s="7"/>
    </row>
    <row r="1430" spans="1:7" x14ac:dyDescent="0.2">
      <c r="A1430" s="3">
        <f ca="1">IFERROR(__xludf.DUMMYFUNCTION("""COMPUTED_VALUE"""),1503)</f>
        <v>1503</v>
      </c>
      <c r="B1430" s="6">
        <f ca="1">IFERROR(__xludf.DUMMYFUNCTION("""COMPUTED_VALUE"""),45425.249074074)</f>
        <v>45425.249074074003</v>
      </c>
      <c r="C1430" s="3" t="str">
        <f ca="1">IFERROR(__xludf.DUMMYFUNCTION("""COMPUTED_VALUE"""),"purchase")</f>
        <v>purchase</v>
      </c>
      <c r="D1430" s="6">
        <f t="shared" ca="1" si="0"/>
        <v>45425</v>
      </c>
      <c r="E1430" s="6">
        <f t="shared" ca="1" si="1"/>
        <v>45425</v>
      </c>
      <c r="F1430" s="6">
        <f t="shared" ca="1" si="2"/>
        <v>45413</v>
      </c>
      <c r="G1430" s="7"/>
    </row>
    <row r="1431" spans="1:7" x14ac:dyDescent="0.2">
      <c r="A1431" s="3">
        <f ca="1">IFERROR(__xludf.DUMMYFUNCTION("""COMPUTED_VALUE"""),3358)</f>
        <v>3358</v>
      </c>
      <c r="B1431" s="6">
        <f ca="1">IFERROR(__xludf.DUMMYFUNCTION("""COMPUTED_VALUE"""),45425.3010763888)</f>
        <v>45425.301076388801</v>
      </c>
      <c r="C1431" s="3" t="str">
        <f ca="1">IFERROR(__xludf.DUMMYFUNCTION("""COMPUTED_VALUE"""),"purchase")</f>
        <v>purchase</v>
      </c>
      <c r="D1431" s="6">
        <f t="shared" ca="1" si="0"/>
        <v>45425</v>
      </c>
      <c r="E1431" s="6">
        <f t="shared" ca="1" si="1"/>
        <v>45425</v>
      </c>
      <c r="F1431" s="6">
        <f t="shared" ca="1" si="2"/>
        <v>45413</v>
      </c>
      <c r="G1431" s="7"/>
    </row>
    <row r="1432" spans="1:7" x14ac:dyDescent="0.2">
      <c r="A1432" s="3">
        <f ca="1">IFERROR(__xludf.DUMMYFUNCTION("""COMPUTED_VALUE"""),3321)</f>
        <v>3321</v>
      </c>
      <c r="B1432" s="6">
        <f ca="1">IFERROR(__xludf.DUMMYFUNCTION("""COMPUTED_VALUE"""),45425.307662037)</f>
        <v>45425.307662036997</v>
      </c>
      <c r="C1432" s="3" t="str">
        <f ca="1">IFERROR(__xludf.DUMMYFUNCTION("""COMPUTED_VALUE"""),"purchase")</f>
        <v>purchase</v>
      </c>
      <c r="D1432" s="6">
        <f t="shared" ca="1" si="0"/>
        <v>45425</v>
      </c>
      <c r="E1432" s="6">
        <f t="shared" ca="1" si="1"/>
        <v>45425</v>
      </c>
      <c r="F1432" s="6">
        <f t="shared" ca="1" si="2"/>
        <v>45413</v>
      </c>
      <c r="G1432" s="7"/>
    </row>
    <row r="1433" spans="1:7" x14ac:dyDescent="0.2">
      <c r="A1433" s="3">
        <f ca="1">IFERROR(__xludf.DUMMYFUNCTION("""COMPUTED_VALUE"""),5267)</f>
        <v>5267</v>
      </c>
      <c r="B1433" s="6">
        <f ca="1">IFERROR(__xludf.DUMMYFUNCTION("""COMPUTED_VALUE"""),45425.3168287037)</f>
        <v>45425.316828703697</v>
      </c>
      <c r="C1433" s="3" t="str">
        <f ca="1">IFERROR(__xludf.DUMMYFUNCTION("""COMPUTED_VALUE"""),"purchase")</f>
        <v>purchase</v>
      </c>
      <c r="D1433" s="6">
        <f t="shared" ca="1" si="0"/>
        <v>45425</v>
      </c>
      <c r="E1433" s="6">
        <f t="shared" ca="1" si="1"/>
        <v>45425</v>
      </c>
      <c r="F1433" s="6">
        <f t="shared" ca="1" si="2"/>
        <v>45413</v>
      </c>
      <c r="G1433" s="7"/>
    </row>
    <row r="1434" spans="1:7" x14ac:dyDescent="0.2">
      <c r="A1434" s="3">
        <f ca="1">IFERROR(__xludf.DUMMYFUNCTION("""COMPUTED_VALUE"""),438)</f>
        <v>438</v>
      </c>
      <c r="B1434" s="6">
        <f ca="1">IFERROR(__xludf.DUMMYFUNCTION("""COMPUTED_VALUE"""),45425.3410763888)</f>
        <v>45425.341076388802</v>
      </c>
      <c r="C1434" s="3" t="str">
        <f ca="1">IFERROR(__xludf.DUMMYFUNCTION("""COMPUTED_VALUE"""),"purchase")</f>
        <v>purchase</v>
      </c>
      <c r="D1434" s="6">
        <f t="shared" ca="1" si="0"/>
        <v>45425</v>
      </c>
      <c r="E1434" s="6">
        <f t="shared" ca="1" si="1"/>
        <v>45425</v>
      </c>
      <c r="F1434" s="6">
        <f t="shared" ca="1" si="2"/>
        <v>45413</v>
      </c>
      <c r="G1434" s="7"/>
    </row>
    <row r="1435" spans="1:7" x14ac:dyDescent="0.2">
      <c r="A1435" s="3">
        <f ca="1">IFERROR(__xludf.DUMMYFUNCTION("""COMPUTED_VALUE"""),4303)</f>
        <v>4303</v>
      </c>
      <c r="B1435" s="6">
        <f ca="1">IFERROR(__xludf.DUMMYFUNCTION("""COMPUTED_VALUE"""),45425.5140162037)</f>
        <v>45425.514016203699</v>
      </c>
      <c r="C1435" s="3" t="str">
        <f ca="1">IFERROR(__xludf.DUMMYFUNCTION("""COMPUTED_VALUE"""),"purchase")</f>
        <v>purchase</v>
      </c>
      <c r="D1435" s="6">
        <f t="shared" ca="1" si="0"/>
        <v>45425</v>
      </c>
      <c r="E1435" s="6">
        <f t="shared" ca="1" si="1"/>
        <v>45425</v>
      </c>
      <c r="F1435" s="6">
        <f t="shared" ca="1" si="2"/>
        <v>45413</v>
      </c>
      <c r="G1435" s="7"/>
    </row>
    <row r="1436" spans="1:7" x14ac:dyDescent="0.2">
      <c r="A1436" s="3">
        <f ca="1">IFERROR(__xludf.DUMMYFUNCTION("""COMPUTED_VALUE"""),795)</f>
        <v>795</v>
      </c>
      <c r="B1436" s="6">
        <f ca="1">IFERROR(__xludf.DUMMYFUNCTION("""COMPUTED_VALUE"""),45425.6255555555)</f>
        <v>45425.625555555504</v>
      </c>
      <c r="C1436" s="3" t="str">
        <f ca="1">IFERROR(__xludf.DUMMYFUNCTION("""COMPUTED_VALUE"""),"purchase")</f>
        <v>purchase</v>
      </c>
      <c r="D1436" s="6">
        <f t="shared" ca="1" si="0"/>
        <v>45425</v>
      </c>
      <c r="E1436" s="6">
        <f t="shared" ca="1" si="1"/>
        <v>45425</v>
      </c>
      <c r="F1436" s="6">
        <f t="shared" ca="1" si="2"/>
        <v>45413</v>
      </c>
      <c r="G1436" s="7"/>
    </row>
    <row r="1437" spans="1:7" x14ac:dyDescent="0.2">
      <c r="A1437" s="3">
        <f ca="1">IFERROR(__xludf.DUMMYFUNCTION("""COMPUTED_VALUE"""),2624)</f>
        <v>2624</v>
      </c>
      <c r="B1437" s="6">
        <f ca="1">IFERROR(__xludf.DUMMYFUNCTION("""COMPUTED_VALUE"""),45425.676574074)</f>
        <v>45425.676574074001</v>
      </c>
      <c r="C1437" s="3" t="str">
        <f ca="1">IFERROR(__xludf.DUMMYFUNCTION("""COMPUTED_VALUE"""),"purchase")</f>
        <v>purchase</v>
      </c>
      <c r="D1437" s="6">
        <f t="shared" ca="1" si="0"/>
        <v>45425</v>
      </c>
      <c r="E1437" s="6">
        <f t="shared" ca="1" si="1"/>
        <v>45425</v>
      </c>
      <c r="F1437" s="6">
        <f t="shared" ca="1" si="2"/>
        <v>45413</v>
      </c>
      <c r="G1437" s="7"/>
    </row>
    <row r="1438" spans="1:7" x14ac:dyDescent="0.2">
      <c r="A1438" s="3">
        <f ca="1">IFERROR(__xludf.DUMMYFUNCTION("""COMPUTED_VALUE"""),7900)</f>
        <v>7900</v>
      </c>
      <c r="B1438" s="6">
        <f ca="1">IFERROR(__xludf.DUMMYFUNCTION("""COMPUTED_VALUE"""),45425.6820254629)</f>
        <v>45425.682025462898</v>
      </c>
      <c r="C1438" s="3" t="str">
        <f ca="1">IFERROR(__xludf.DUMMYFUNCTION("""COMPUTED_VALUE"""),"purchase")</f>
        <v>purchase</v>
      </c>
      <c r="D1438" s="6">
        <f t="shared" ca="1" si="0"/>
        <v>45425</v>
      </c>
      <c r="E1438" s="6">
        <f t="shared" ca="1" si="1"/>
        <v>45425</v>
      </c>
      <c r="F1438" s="6">
        <f t="shared" ca="1" si="2"/>
        <v>45413</v>
      </c>
      <c r="G1438" s="7"/>
    </row>
    <row r="1439" spans="1:7" x14ac:dyDescent="0.2">
      <c r="A1439" s="3">
        <f ca="1">IFERROR(__xludf.DUMMYFUNCTION("""COMPUTED_VALUE"""),5923)</f>
        <v>5923</v>
      </c>
      <c r="B1439" s="6">
        <f ca="1">IFERROR(__xludf.DUMMYFUNCTION("""COMPUTED_VALUE"""),45425.7233796296)</f>
        <v>45425.723379629599</v>
      </c>
      <c r="C1439" s="3" t="str">
        <f ca="1">IFERROR(__xludf.DUMMYFUNCTION("""COMPUTED_VALUE"""),"purchase")</f>
        <v>purchase</v>
      </c>
      <c r="D1439" s="6">
        <f t="shared" ca="1" si="0"/>
        <v>45425</v>
      </c>
      <c r="E1439" s="6">
        <f t="shared" ca="1" si="1"/>
        <v>45425</v>
      </c>
      <c r="F1439" s="6">
        <f t="shared" ca="1" si="2"/>
        <v>45413</v>
      </c>
      <c r="G1439" s="7"/>
    </row>
    <row r="1440" spans="1:7" x14ac:dyDescent="0.2">
      <c r="A1440" s="3">
        <f ca="1">IFERROR(__xludf.DUMMYFUNCTION("""COMPUTED_VALUE"""),2482)</f>
        <v>2482</v>
      </c>
      <c r="B1440" s="6">
        <f ca="1">IFERROR(__xludf.DUMMYFUNCTION("""COMPUTED_VALUE"""),45425.8416319444)</f>
        <v>45425.8416319444</v>
      </c>
      <c r="C1440" s="3" t="str">
        <f ca="1">IFERROR(__xludf.DUMMYFUNCTION("""COMPUTED_VALUE"""),"purchase")</f>
        <v>purchase</v>
      </c>
      <c r="D1440" s="6">
        <f t="shared" ca="1" si="0"/>
        <v>45425</v>
      </c>
      <c r="E1440" s="6">
        <f t="shared" ca="1" si="1"/>
        <v>45425</v>
      </c>
      <c r="F1440" s="6">
        <f t="shared" ca="1" si="2"/>
        <v>45413</v>
      </c>
      <c r="G1440" s="7"/>
    </row>
    <row r="1441" spans="1:7" x14ac:dyDescent="0.2">
      <c r="A1441" s="3">
        <f ca="1">IFERROR(__xludf.DUMMYFUNCTION("""COMPUTED_VALUE"""),3613)</f>
        <v>3613</v>
      </c>
      <c r="B1441" s="6">
        <f ca="1">IFERROR(__xludf.DUMMYFUNCTION("""COMPUTED_VALUE"""),45425.8481134259)</f>
        <v>45425.848113425898</v>
      </c>
      <c r="C1441" s="3" t="str">
        <f ca="1">IFERROR(__xludf.DUMMYFUNCTION("""COMPUTED_VALUE"""),"purchase")</f>
        <v>purchase</v>
      </c>
      <c r="D1441" s="6">
        <f t="shared" ca="1" si="0"/>
        <v>45425</v>
      </c>
      <c r="E1441" s="6">
        <f t="shared" ca="1" si="1"/>
        <v>45425</v>
      </c>
      <c r="F1441" s="6">
        <f t="shared" ca="1" si="2"/>
        <v>45413</v>
      </c>
      <c r="G1441" s="7"/>
    </row>
    <row r="1442" spans="1:7" x14ac:dyDescent="0.2">
      <c r="A1442" s="3">
        <f ca="1">IFERROR(__xludf.DUMMYFUNCTION("""COMPUTED_VALUE"""),4196)</f>
        <v>4196</v>
      </c>
      <c r="B1442" s="6">
        <f ca="1">IFERROR(__xludf.DUMMYFUNCTION("""COMPUTED_VALUE"""),45425.8558449074)</f>
        <v>45425.855844907397</v>
      </c>
      <c r="C1442" s="3" t="str">
        <f ca="1">IFERROR(__xludf.DUMMYFUNCTION("""COMPUTED_VALUE"""),"purchase")</f>
        <v>purchase</v>
      </c>
      <c r="D1442" s="6">
        <f t="shared" ca="1" si="0"/>
        <v>45425</v>
      </c>
      <c r="E1442" s="6">
        <f t="shared" ca="1" si="1"/>
        <v>45425</v>
      </c>
      <c r="F1442" s="6">
        <f t="shared" ca="1" si="2"/>
        <v>45413</v>
      </c>
      <c r="G1442" s="7"/>
    </row>
    <row r="1443" spans="1:7" x14ac:dyDescent="0.2">
      <c r="A1443" s="3">
        <f ca="1">IFERROR(__xludf.DUMMYFUNCTION("""COMPUTED_VALUE"""),7052)</f>
        <v>7052</v>
      </c>
      <c r="B1443" s="6">
        <f ca="1">IFERROR(__xludf.DUMMYFUNCTION("""COMPUTED_VALUE"""),45425.8925810185)</f>
        <v>45425.892581018503</v>
      </c>
      <c r="C1443" s="3" t="str">
        <f ca="1">IFERROR(__xludf.DUMMYFUNCTION("""COMPUTED_VALUE"""),"purchase")</f>
        <v>purchase</v>
      </c>
      <c r="D1443" s="6">
        <f t="shared" ca="1" si="0"/>
        <v>45425</v>
      </c>
      <c r="E1443" s="6">
        <f t="shared" ca="1" si="1"/>
        <v>45425</v>
      </c>
      <c r="F1443" s="6">
        <f t="shared" ca="1" si="2"/>
        <v>45413</v>
      </c>
      <c r="G1443" s="7"/>
    </row>
    <row r="1444" spans="1:7" x14ac:dyDescent="0.2">
      <c r="A1444" s="3">
        <f ca="1">IFERROR(__xludf.DUMMYFUNCTION("""COMPUTED_VALUE"""),6061)</f>
        <v>6061</v>
      </c>
      <c r="B1444" s="6">
        <f ca="1">IFERROR(__xludf.DUMMYFUNCTION("""COMPUTED_VALUE"""),45425.9627893518)</f>
        <v>45425.962789351797</v>
      </c>
      <c r="C1444" s="3" t="str">
        <f ca="1">IFERROR(__xludf.DUMMYFUNCTION("""COMPUTED_VALUE"""),"purchase")</f>
        <v>purchase</v>
      </c>
      <c r="D1444" s="6">
        <f t="shared" ca="1" si="0"/>
        <v>45425</v>
      </c>
      <c r="E1444" s="6">
        <f t="shared" ca="1" si="1"/>
        <v>45425</v>
      </c>
      <c r="F1444" s="6">
        <f t="shared" ca="1" si="2"/>
        <v>45413</v>
      </c>
      <c r="G1444" s="7"/>
    </row>
    <row r="1445" spans="1:7" x14ac:dyDescent="0.2">
      <c r="A1445" s="3">
        <f ca="1">IFERROR(__xludf.DUMMYFUNCTION("""COMPUTED_VALUE"""),7794)</f>
        <v>7794</v>
      </c>
      <c r="B1445" s="6">
        <f ca="1">IFERROR(__xludf.DUMMYFUNCTION("""COMPUTED_VALUE"""),45426.1791550925)</f>
        <v>45426.179155092497</v>
      </c>
      <c r="C1445" s="3" t="str">
        <f ca="1">IFERROR(__xludf.DUMMYFUNCTION("""COMPUTED_VALUE"""),"purchase")</f>
        <v>purchase</v>
      </c>
      <c r="D1445" s="6">
        <f t="shared" ca="1" si="0"/>
        <v>45426</v>
      </c>
      <c r="E1445" s="6">
        <f t="shared" ca="1" si="1"/>
        <v>45425</v>
      </c>
      <c r="F1445" s="6">
        <f t="shared" ca="1" si="2"/>
        <v>45413</v>
      </c>
      <c r="G1445" s="7"/>
    </row>
    <row r="1446" spans="1:7" x14ac:dyDescent="0.2">
      <c r="A1446" s="3">
        <f ca="1">IFERROR(__xludf.DUMMYFUNCTION("""COMPUTED_VALUE"""),3108)</f>
        <v>3108</v>
      </c>
      <c r="B1446" s="6">
        <f ca="1">IFERROR(__xludf.DUMMYFUNCTION("""COMPUTED_VALUE"""),45426.1948726851)</f>
        <v>45426.194872685097</v>
      </c>
      <c r="C1446" s="3" t="str">
        <f ca="1">IFERROR(__xludf.DUMMYFUNCTION("""COMPUTED_VALUE"""),"purchase")</f>
        <v>purchase</v>
      </c>
      <c r="D1446" s="6">
        <f t="shared" ca="1" si="0"/>
        <v>45426</v>
      </c>
      <c r="E1446" s="6">
        <f t="shared" ca="1" si="1"/>
        <v>45425</v>
      </c>
      <c r="F1446" s="6">
        <f t="shared" ca="1" si="2"/>
        <v>45413</v>
      </c>
      <c r="G1446" s="7"/>
    </row>
    <row r="1447" spans="1:7" x14ac:dyDescent="0.2">
      <c r="A1447" s="3">
        <f ca="1">IFERROR(__xludf.DUMMYFUNCTION("""COMPUTED_VALUE"""),7908)</f>
        <v>7908</v>
      </c>
      <c r="B1447" s="6">
        <f ca="1">IFERROR(__xludf.DUMMYFUNCTION("""COMPUTED_VALUE"""),45426.248136574)</f>
        <v>45426.248136574002</v>
      </c>
      <c r="C1447" s="3" t="str">
        <f ca="1">IFERROR(__xludf.DUMMYFUNCTION("""COMPUTED_VALUE"""),"purchase")</f>
        <v>purchase</v>
      </c>
      <c r="D1447" s="6">
        <f t="shared" ca="1" si="0"/>
        <v>45426</v>
      </c>
      <c r="E1447" s="6">
        <f t="shared" ca="1" si="1"/>
        <v>45425</v>
      </c>
      <c r="F1447" s="6">
        <f t="shared" ca="1" si="2"/>
        <v>45413</v>
      </c>
      <c r="G1447" s="7"/>
    </row>
    <row r="1448" spans="1:7" x14ac:dyDescent="0.2">
      <c r="A1448" s="3">
        <f ca="1">IFERROR(__xludf.DUMMYFUNCTION("""COMPUTED_VALUE"""),1558)</f>
        <v>1558</v>
      </c>
      <c r="B1448" s="6">
        <f ca="1">IFERROR(__xludf.DUMMYFUNCTION("""COMPUTED_VALUE"""),45426.3575694444)</f>
        <v>45426.357569444401</v>
      </c>
      <c r="C1448" s="3" t="str">
        <f ca="1">IFERROR(__xludf.DUMMYFUNCTION("""COMPUTED_VALUE"""),"purchase")</f>
        <v>purchase</v>
      </c>
      <c r="D1448" s="6">
        <f t="shared" ca="1" si="0"/>
        <v>45426</v>
      </c>
      <c r="E1448" s="6">
        <f t="shared" ca="1" si="1"/>
        <v>45425</v>
      </c>
      <c r="F1448" s="6">
        <f t="shared" ca="1" si="2"/>
        <v>45413</v>
      </c>
      <c r="G1448" s="7"/>
    </row>
    <row r="1449" spans="1:7" x14ac:dyDescent="0.2">
      <c r="A1449" s="3">
        <f ca="1">IFERROR(__xludf.DUMMYFUNCTION("""COMPUTED_VALUE"""),7222)</f>
        <v>7222</v>
      </c>
      <c r="B1449" s="6">
        <f ca="1">IFERROR(__xludf.DUMMYFUNCTION("""COMPUTED_VALUE"""),45426.3936342592)</f>
        <v>45426.393634259199</v>
      </c>
      <c r="C1449" s="3" t="str">
        <f ca="1">IFERROR(__xludf.DUMMYFUNCTION("""COMPUTED_VALUE"""),"purchase")</f>
        <v>purchase</v>
      </c>
      <c r="D1449" s="6">
        <f t="shared" ca="1" si="0"/>
        <v>45426</v>
      </c>
      <c r="E1449" s="6">
        <f t="shared" ca="1" si="1"/>
        <v>45425</v>
      </c>
      <c r="F1449" s="6">
        <f t="shared" ca="1" si="2"/>
        <v>45413</v>
      </c>
      <c r="G1449" s="7"/>
    </row>
    <row r="1450" spans="1:7" x14ac:dyDescent="0.2">
      <c r="A1450" s="3">
        <f ca="1">IFERROR(__xludf.DUMMYFUNCTION("""COMPUTED_VALUE"""),4249)</f>
        <v>4249</v>
      </c>
      <c r="B1450" s="6">
        <f ca="1">IFERROR(__xludf.DUMMYFUNCTION("""COMPUTED_VALUE"""),45426.4034953703)</f>
        <v>45426.403495370301</v>
      </c>
      <c r="C1450" s="3" t="str">
        <f ca="1">IFERROR(__xludf.DUMMYFUNCTION("""COMPUTED_VALUE"""),"purchase")</f>
        <v>purchase</v>
      </c>
      <c r="D1450" s="6">
        <f t="shared" ca="1" si="0"/>
        <v>45426</v>
      </c>
      <c r="E1450" s="6">
        <f t="shared" ca="1" si="1"/>
        <v>45425</v>
      </c>
      <c r="F1450" s="6">
        <f t="shared" ca="1" si="2"/>
        <v>45413</v>
      </c>
      <c r="G1450" s="7"/>
    </row>
    <row r="1451" spans="1:7" x14ac:dyDescent="0.2">
      <c r="A1451" s="3">
        <f ca="1">IFERROR(__xludf.DUMMYFUNCTION("""COMPUTED_VALUE"""),1376)</f>
        <v>1376</v>
      </c>
      <c r="B1451" s="6">
        <f ca="1">IFERROR(__xludf.DUMMYFUNCTION("""COMPUTED_VALUE"""),45426.5918171296)</f>
        <v>45426.5918171296</v>
      </c>
      <c r="C1451" s="3" t="str">
        <f ca="1">IFERROR(__xludf.DUMMYFUNCTION("""COMPUTED_VALUE"""),"purchase")</f>
        <v>purchase</v>
      </c>
      <c r="D1451" s="6">
        <f t="shared" ca="1" si="0"/>
        <v>45426</v>
      </c>
      <c r="E1451" s="6">
        <f t="shared" ca="1" si="1"/>
        <v>45425</v>
      </c>
      <c r="F1451" s="6">
        <f t="shared" ca="1" si="2"/>
        <v>45413</v>
      </c>
      <c r="G1451" s="7"/>
    </row>
    <row r="1452" spans="1:7" x14ac:dyDescent="0.2">
      <c r="A1452" s="3">
        <f ca="1">IFERROR(__xludf.DUMMYFUNCTION("""COMPUTED_VALUE"""),5825)</f>
        <v>5825</v>
      </c>
      <c r="B1452" s="6">
        <f ca="1">IFERROR(__xludf.DUMMYFUNCTION("""COMPUTED_VALUE"""),45426.5940162037)</f>
        <v>45426.5940162037</v>
      </c>
      <c r="C1452" s="3" t="str">
        <f ca="1">IFERROR(__xludf.DUMMYFUNCTION("""COMPUTED_VALUE"""),"purchase")</f>
        <v>purchase</v>
      </c>
      <c r="D1452" s="6">
        <f t="shared" ca="1" si="0"/>
        <v>45426</v>
      </c>
      <c r="E1452" s="6">
        <f t="shared" ca="1" si="1"/>
        <v>45425</v>
      </c>
      <c r="F1452" s="6">
        <f t="shared" ca="1" si="2"/>
        <v>45413</v>
      </c>
      <c r="G1452" s="7"/>
    </row>
    <row r="1453" spans="1:7" x14ac:dyDescent="0.2">
      <c r="A1453" s="3">
        <f ca="1">IFERROR(__xludf.DUMMYFUNCTION("""COMPUTED_VALUE"""),5817)</f>
        <v>5817</v>
      </c>
      <c r="B1453" s="6">
        <f ca="1">IFERROR(__xludf.DUMMYFUNCTION("""COMPUTED_VALUE"""),45426.7687152777)</f>
        <v>45426.7687152777</v>
      </c>
      <c r="C1453" s="3" t="str">
        <f ca="1">IFERROR(__xludf.DUMMYFUNCTION("""COMPUTED_VALUE"""),"purchase")</f>
        <v>purchase</v>
      </c>
      <c r="D1453" s="6">
        <f t="shared" ca="1" si="0"/>
        <v>45426</v>
      </c>
      <c r="E1453" s="6">
        <f t="shared" ca="1" si="1"/>
        <v>45425</v>
      </c>
      <c r="F1453" s="6">
        <f t="shared" ca="1" si="2"/>
        <v>45413</v>
      </c>
      <c r="G1453" s="7"/>
    </row>
    <row r="1454" spans="1:7" x14ac:dyDescent="0.2">
      <c r="A1454" s="3">
        <f ca="1">IFERROR(__xludf.DUMMYFUNCTION("""COMPUTED_VALUE"""),2645)</f>
        <v>2645</v>
      </c>
      <c r="B1454" s="6">
        <f ca="1">IFERROR(__xludf.DUMMYFUNCTION("""COMPUTED_VALUE"""),45426.7873958333)</f>
        <v>45426.7873958333</v>
      </c>
      <c r="C1454" s="3" t="str">
        <f ca="1">IFERROR(__xludf.DUMMYFUNCTION("""COMPUTED_VALUE"""),"purchase")</f>
        <v>purchase</v>
      </c>
      <c r="D1454" s="6">
        <f t="shared" ca="1" si="0"/>
        <v>45426</v>
      </c>
      <c r="E1454" s="6">
        <f t="shared" ca="1" si="1"/>
        <v>45425</v>
      </c>
      <c r="F1454" s="6">
        <f t="shared" ca="1" si="2"/>
        <v>45413</v>
      </c>
      <c r="G1454" s="7"/>
    </row>
    <row r="1455" spans="1:7" x14ac:dyDescent="0.2">
      <c r="A1455" s="3">
        <f ca="1">IFERROR(__xludf.DUMMYFUNCTION("""COMPUTED_VALUE"""),2273)</f>
        <v>2273</v>
      </c>
      <c r="B1455" s="6">
        <f ca="1">IFERROR(__xludf.DUMMYFUNCTION("""COMPUTED_VALUE"""),45426.8475810185)</f>
        <v>45426.847581018497</v>
      </c>
      <c r="C1455" s="3" t="str">
        <f ca="1">IFERROR(__xludf.DUMMYFUNCTION("""COMPUTED_VALUE"""),"purchase")</f>
        <v>purchase</v>
      </c>
      <c r="D1455" s="6">
        <f t="shared" ca="1" si="0"/>
        <v>45426</v>
      </c>
      <c r="E1455" s="6">
        <f t="shared" ca="1" si="1"/>
        <v>45425</v>
      </c>
      <c r="F1455" s="6">
        <f t="shared" ca="1" si="2"/>
        <v>45413</v>
      </c>
      <c r="G1455" s="7"/>
    </row>
    <row r="1456" spans="1:7" x14ac:dyDescent="0.2">
      <c r="A1456" s="3">
        <f ca="1">IFERROR(__xludf.DUMMYFUNCTION("""COMPUTED_VALUE"""),7688)</f>
        <v>7688</v>
      </c>
      <c r="B1456" s="6">
        <f ca="1">IFERROR(__xludf.DUMMYFUNCTION("""COMPUTED_VALUE"""),45426.9584606481)</f>
        <v>45426.9584606481</v>
      </c>
      <c r="C1456" s="3" t="str">
        <f ca="1">IFERROR(__xludf.DUMMYFUNCTION("""COMPUTED_VALUE"""),"purchase")</f>
        <v>purchase</v>
      </c>
      <c r="D1456" s="6">
        <f t="shared" ca="1" si="0"/>
        <v>45426</v>
      </c>
      <c r="E1456" s="6">
        <f t="shared" ca="1" si="1"/>
        <v>45425</v>
      </c>
      <c r="F1456" s="6">
        <f t="shared" ca="1" si="2"/>
        <v>45413</v>
      </c>
      <c r="G1456" s="7"/>
    </row>
    <row r="1457" spans="1:7" x14ac:dyDescent="0.2">
      <c r="A1457" s="3">
        <f ca="1">IFERROR(__xludf.DUMMYFUNCTION("""COMPUTED_VALUE"""),6648)</f>
        <v>6648</v>
      </c>
      <c r="B1457" s="6">
        <f ca="1">IFERROR(__xludf.DUMMYFUNCTION("""COMPUTED_VALUE"""),45426.9636921296)</f>
        <v>45426.963692129597</v>
      </c>
      <c r="C1457" s="3" t="str">
        <f ca="1">IFERROR(__xludf.DUMMYFUNCTION("""COMPUTED_VALUE"""),"purchase")</f>
        <v>purchase</v>
      </c>
      <c r="D1457" s="6">
        <f t="shared" ca="1" si="0"/>
        <v>45426</v>
      </c>
      <c r="E1457" s="6">
        <f t="shared" ca="1" si="1"/>
        <v>45425</v>
      </c>
      <c r="F1457" s="6">
        <f t="shared" ca="1" si="2"/>
        <v>45413</v>
      </c>
      <c r="G1457" s="7"/>
    </row>
    <row r="1458" spans="1:7" x14ac:dyDescent="0.2">
      <c r="A1458" s="3">
        <f ca="1">IFERROR(__xludf.DUMMYFUNCTION("""COMPUTED_VALUE"""),806)</f>
        <v>806</v>
      </c>
      <c r="B1458" s="6">
        <f ca="1">IFERROR(__xludf.DUMMYFUNCTION("""COMPUTED_VALUE"""),45427.1136342592)</f>
        <v>45427.1136342592</v>
      </c>
      <c r="C1458" s="3" t="str">
        <f ca="1">IFERROR(__xludf.DUMMYFUNCTION("""COMPUTED_VALUE"""),"purchase")</f>
        <v>purchase</v>
      </c>
      <c r="D1458" s="6">
        <f t="shared" ca="1" si="0"/>
        <v>45427</v>
      </c>
      <c r="E1458" s="6">
        <f t="shared" ca="1" si="1"/>
        <v>45425</v>
      </c>
      <c r="F1458" s="6">
        <f t="shared" ca="1" si="2"/>
        <v>45413</v>
      </c>
      <c r="G1458" s="7"/>
    </row>
    <row r="1459" spans="1:7" x14ac:dyDescent="0.2">
      <c r="A1459" s="3">
        <f ca="1">IFERROR(__xludf.DUMMYFUNCTION("""COMPUTED_VALUE"""),3704)</f>
        <v>3704</v>
      </c>
      <c r="B1459" s="6">
        <f ca="1">IFERROR(__xludf.DUMMYFUNCTION("""COMPUTED_VALUE"""),45427.1761111111)</f>
        <v>45427.176111111097</v>
      </c>
      <c r="C1459" s="3" t="str">
        <f ca="1">IFERROR(__xludf.DUMMYFUNCTION("""COMPUTED_VALUE"""),"purchase")</f>
        <v>purchase</v>
      </c>
      <c r="D1459" s="6">
        <f t="shared" ca="1" si="0"/>
        <v>45427</v>
      </c>
      <c r="E1459" s="6">
        <f t="shared" ca="1" si="1"/>
        <v>45425</v>
      </c>
      <c r="F1459" s="6">
        <f t="shared" ca="1" si="2"/>
        <v>45413</v>
      </c>
      <c r="G1459" s="7"/>
    </row>
    <row r="1460" spans="1:7" x14ac:dyDescent="0.2">
      <c r="A1460" s="3">
        <f ca="1">IFERROR(__xludf.DUMMYFUNCTION("""COMPUTED_VALUE"""),6426)</f>
        <v>6426</v>
      </c>
      <c r="B1460" s="6">
        <f ca="1">IFERROR(__xludf.DUMMYFUNCTION("""COMPUTED_VALUE"""),45427.2949189814)</f>
        <v>45427.294918981403</v>
      </c>
      <c r="C1460" s="3" t="str">
        <f ca="1">IFERROR(__xludf.DUMMYFUNCTION("""COMPUTED_VALUE"""),"purchase")</f>
        <v>purchase</v>
      </c>
      <c r="D1460" s="6">
        <f t="shared" ca="1" si="0"/>
        <v>45427</v>
      </c>
      <c r="E1460" s="6">
        <f t="shared" ca="1" si="1"/>
        <v>45425</v>
      </c>
      <c r="F1460" s="6">
        <f t="shared" ca="1" si="2"/>
        <v>45413</v>
      </c>
      <c r="G1460" s="7"/>
    </row>
    <row r="1461" spans="1:7" x14ac:dyDescent="0.2">
      <c r="A1461" s="3">
        <f ca="1">IFERROR(__xludf.DUMMYFUNCTION("""COMPUTED_VALUE"""),1216)</f>
        <v>1216</v>
      </c>
      <c r="B1461" s="6">
        <f ca="1">IFERROR(__xludf.DUMMYFUNCTION("""COMPUTED_VALUE"""),45427.3819328703)</f>
        <v>45427.381932870303</v>
      </c>
      <c r="C1461" s="3" t="str">
        <f ca="1">IFERROR(__xludf.DUMMYFUNCTION("""COMPUTED_VALUE"""),"purchase")</f>
        <v>purchase</v>
      </c>
      <c r="D1461" s="6">
        <f t="shared" ca="1" si="0"/>
        <v>45427</v>
      </c>
      <c r="E1461" s="6">
        <f t="shared" ca="1" si="1"/>
        <v>45425</v>
      </c>
      <c r="F1461" s="6">
        <f t="shared" ca="1" si="2"/>
        <v>45413</v>
      </c>
      <c r="G1461" s="7"/>
    </row>
    <row r="1462" spans="1:7" x14ac:dyDescent="0.2">
      <c r="A1462" s="3">
        <f ca="1">IFERROR(__xludf.DUMMYFUNCTION("""COMPUTED_VALUE"""),5492)</f>
        <v>5492</v>
      </c>
      <c r="B1462" s="6">
        <f ca="1">IFERROR(__xludf.DUMMYFUNCTION("""COMPUTED_VALUE"""),45427.3835300925)</f>
        <v>45427.383530092498</v>
      </c>
      <c r="C1462" s="3" t="str">
        <f ca="1">IFERROR(__xludf.DUMMYFUNCTION("""COMPUTED_VALUE"""),"purchase")</f>
        <v>purchase</v>
      </c>
      <c r="D1462" s="6">
        <f t="shared" ca="1" si="0"/>
        <v>45427</v>
      </c>
      <c r="E1462" s="6">
        <f t="shared" ca="1" si="1"/>
        <v>45425</v>
      </c>
      <c r="F1462" s="6">
        <f t="shared" ca="1" si="2"/>
        <v>45413</v>
      </c>
      <c r="G1462" s="7"/>
    </row>
    <row r="1463" spans="1:7" x14ac:dyDescent="0.2">
      <c r="A1463" s="3">
        <f ca="1">IFERROR(__xludf.DUMMYFUNCTION("""COMPUTED_VALUE"""),3245)</f>
        <v>3245</v>
      </c>
      <c r="B1463" s="6">
        <f ca="1">IFERROR(__xludf.DUMMYFUNCTION("""COMPUTED_VALUE"""),45427.6762152777)</f>
        <v>45427.676215277701</v>
      </c>
      <c r="C1463" s="3" t="str">
        <f ca="1">IFERROR(__xludf.DUMMYFUNCTION("""COMPUTED_VALUE"""),"purchase")</f>
        <v>purchase</v>
      </c>
      <c r="D1463" s="6">
        <f t="shared" ca="1" si="0"/>
        <v>45427</v>
      </c>
      <c r="E1463" s="6">
        <f t="shared" ca="1" si="1"/>
        <v>45425</v>
      </c>
      <c r="F1463" s="6">
        <f t="shared" ca="1" si="2"/>
        <v>45413</v>
      </c>
      <c r="G1463" s="7"/>
    </row>
    <row r="1464" spans="1:7" x14ac:dyDescent="0.2">
      <c r="A1464" s="3">
        <f ca="1">IFERROR(__xludf.DUMMYFUNCTION("""COMPUTED_VALUE"""),374)</f>
        <v>374</v>
      </c>
      <c r="B1464" s="6">
        <f ca="1">IFERROR(__xludf.DUMMYFUNCTION("""COMPUTED_VALUE"""),45427.8594097222)</f>
        <v>45427.859409722201</v>
      </c>
      <c r="C1464" s="3" t="str">
        <f ca="1">IFERROR(__xludf.DUMMYFUNCTION("""COMPUTED_VALUE"""),"purchase")</f>
        <v>purchase</v>
      </c>
      <c r="D1464" s="6">
        <f t="shared" ca="1" si="0"/>
        <v>45427</v>
      </c>
      <c r="E1464" s="6">
        <f t="shared" ca="1" si="1"/>
        <v>45425</v>
      </c>
      <c r="F1464" s="6">
        <f t="shared" ca="1" si="2"/>
        <v>45413</v>
      </c>
      <c r="G1464" s="7"/>
    </row>
    <row r="1465" spans="1:7" x14ac:dyDescent="0.2">
      <c r="A1465" s="3">
        <f ca="1">IFERROR(__xludf.DUMMYFUNCTION("""COMPUTED_VALUE"""),5101)</f>
        <v>5101</v>
      </c>
      <c r="B1465" s="6">
        <f ca="1">IFERROR(__xludf.DUMMYFUNCTION("""COMPUTED_VALUE"""),45428.0441435185)</f>
        <v>45428.044143518498</v>
      </c>
      <c r="C1465" s="3" t="str">
        <f ca="1">IFERROR(__xludf.DUMMYFUNCTION("""COMPUTED_VALUE"""),"purchase")</f>
        <v>purchase</v>
      </c>
      <c r="D1465" s="6">
        <f t="shared" ca="1" si="0"/>
        <v>45428</v>
      </c>
      <c r="E1465" s="6">
        <f t="shared" ca="1" si="1"/>
        <v>45425</v>
      </c>
      <c r="F1465" s="6">
        <f t="shared" ca="1" si="2"/>
        <v>45413</v>
      </c>
      <c r="G1465" s="7"/>
    </row>
    <row r="1466" spans="1:7" x14ac:dyDescent="0.2">
      <c r="A1466" s="3">
        <f ca="1">IFERROR(__xludf.DUMMYFUNCTION("""COMPUTED_VALUE"""),6675)</f>
        <v>6675</v>
      </c>
      <c r="B1466" s="6">
        <f ca="1">IFERROR(__xludf.DUMMYFUNCTION("""COMPUTED_VALUE"""),45428.06875)</f>
        <v>45428.068749999999</v>
      </c>
      <c r="C1466" s="3" t="str">
        <f ca="1">IFERROR(__xludf.DUMMYFUNCTION("""COMPUTED_VALUE"""),"purchase")</f>
        <v>purchase</v>
      </c>
      <c r="D1466" s="6">
        <f t="shared" ca="1" si="0"/>
        <v>45428</v>
      </c>
      <c r="E1466" s="6">
        <f t="shared" ca="1" si="1"/>
        <v>45425</v>
      </c>
      <c r="F1466" s="6">
        <f t="shared" ca="1" si="2"/>
        <v>45413</v>
      </c>
      <c r="G1466" s="7"/>
    </row>
    <row r="1467" spans="1:7" x14ac:dyDescent="0.2">
      <c r="A1467" s="3">
        <f ca="1">IFERROR(__xludf.DUMMYFUNCTION("""COMPUTED_VALUE"""),1609)</f>
        <v>1609</v>
      </c>
      <c r="B1467" s="6">
        <f ca="1">IFERROR(__xludf.DUMMYFUNCTION("""COMPUTED_VALUE"""),45428.3783449074)</f>
        <v>45428.378344907404</v>
      </c>
      <c r="C1467" s="3" t="str">
        <f ca="1">IFERROR(__xludf.DUMMYFUNCTION("""COMPUTED_VALUE"""),"purchase")</f>
        <v>purchase</v>
      </c>
      <c r="D1467" s="6">
        <f t="shared" ca="1" si="0"/>
        <v>45428</v>
      </c>
      <c r="E1467" s="6">
        <f t="shared" ca="1" si="1"/>
        <v>45425</v>
      </c>
      <c r="F1467" s="6">
        <f t="shared" ca="1" si="2"/>
        <v>45413</v>
      </c>
      <c r="G1467" s="7"/>
    </row>
    <row r="1468" spans="1:7" x14ac:dyDescent="0.2">
      <c r="A1468" s="3">
        <f ca="1">IFERROR(__xludf.DUMMYFUNCTION("""COMPUTED_VALUE"""),7519)</f>
        <v>7519</v>
      </c>
      <c r="B1468" s="6">
        <f ca="1">IFERROR(__xludf.DUMMYFUNCTION("""COMPUTED_VALUE"""),45428.5935069444)</f>
        <v>45428.593506944402</v>
      </c>
      <c r="C1468" s="3" t="str">
        <f ca="1">IFERROR(__xludf.DUMMYFUNCTION("""COMPUTED_VALUE"""),"purchase")</f>
        <v>purchase</v>
      </c>
      <c r="D1468" s="6">
        <f t="shared" ca="1" si="0"/>
        <v>45428</v>
      </c>
      <c r="E1468" s="6">
        <f t="shared" ca="1" si="1"/>
        <v>45425</v>
      </c>
      <c r="F1468" s="6">
        <f t="shared" ca="1" si="2"/>
        <v>45413</v>
      </c>
      <c r="G1468" s="7"/>
    </row>
    <row r="1469" spans="1:7" x14ac:dyDescent="0.2">
      <c r="A1469" s="3">
        <f ca="1">IFERROR(__xludf.DUMMYFUNCTION("""COMPUTED_VALUE"""),683)</f>
        <v>683</v>
      </c>
      <c r="B1469" s="6">
        <f ca="1">IFERROR(__xludf.DUMMYFUNCTION("""COMPUTED_VALUE"""),45428.7424305555)</f>
        <v>45428.742430555503</v>
      </c>
      <c r="C1469" s="3" t="str">
        <f ca="1">IFERROR(__xludf.DUMMYFUNCTION("""COMPUTED_VALUE"""),"purchase")</f>
        <v>purchase</v>
      </c>
      <c r="D1469" s="6">
        <f t="shared" ca="1" si="0"/>
        <v>45428</v>
      </c>
      <c r="E1469" s="6">
        <f t="shared" ca="1" si="1"/>
        <v>45425</v>
      </c>
      <c r="F1469" s="6">
        <f t="shared" ca="1" si="2"/>
        <v>45413</v>
      </c>
      <c r="G1469" s="7"/>
    </row>
    <row r="1470" spans="1:7" x14ac:dyDescent="0.2">
      <c r="A1470" s="3">
        <f ca="1">IFERROR(__xludf.DUMMYFUNCTION("""COMPUTED_VALUE"""),3572)</f>
        <v>3572</v>
      </c>
      <c r="B1470" s="6">
        <f ca="1">IFERROR(__xludf.DUMMYFUNCTION("""COMPUTED_VALUE"""),45428.8467129629)</f>
        <v>45428.846712962899</v>
      </c>
      <c r="C1470" s="3" t="str">
        <f ca="1">IFERROR(__xludf.DUMMYFUNCTION("""COMPUTED_VALUE"""),"purchase")</f>
        <v>purchase</v>
      </c>
      <c r="D1470" s="6">
        <f t="shared" ca="1" si="0"/>
        <v>45428</v>
      </c>
      <c r="E1470" s="6">
        <f t="shared" ca="1" si="1"/>
        <v>45425</v>
      </c>
      <c r="F1470" s="6">
        <f t="shared" ca="1" si="2"/>
        <v>45413</v>
      </c>
      <c r="G1470" s="7"/>
    </row>
    <row r="1471" spans="1:7" x14ac:dyDescent="0.2">
      <c r="A1471" s="3">
        <f ca="1">IFERROR(__xludf.DUMMYFUNCTION("""COMPUTED_VALUE"""),627)</f>
        <v>627</v>
      </c>
      <c r="B1471" s="6">
        <f ca="1">IFERROR(__xludf.DUMMYFUNCTION("""COMPUTED_VALUE"""),45428.9446296296)</f>
        <v>45428.944629629601</v>
      </c>
      <c r="C1471" s="3" t="str">
        <f ca="1">IFERROR(__xludf.DUMMYFUNCTION("""COMPUTED_VALUE"""),"purchase")</f>
        <v>purchase</v>
      </c>
      <c r="D1471" s="6">
        <f t="shared" ca="1" si="0"/>
        <v>45428</v>
      </c>
      <c r="E1471" s="6">
        <f t="shared" ca="1" si="1"/>
        <v>45425</v>
      </c>
      <c r="F1471" s="6">
        <f t="shared" ca="1" si="2"/>
        <v>45413</v>
      </c>
      <c r="G1471" s="7"/>
    </row>
    <row r="1472" spans="1:7" x14ac:dyDescent="0.2">
      <c r="A1472" s="3">
        <f ca="1">IFERROR(__xludf.DUMMYFUNCTION("""COMPUTED_VALUE"""),6035)</f>
        <v>6035</v>
      </c>
      <c r="B1472" s="6">
        <f ca="1">IFERROR(__xludf.DUMMYFUNCTION("""COMPUTED_VALUE"""),45428.9681712963)</f>
        <v>45428.968171296299</v>
      </c>
      <c r="C1472" s="3" t="str">
        <f ca="1">IFERROR(__xludf.DUMMYFUNCTION("""COMPUTED_VALUE"""),"purchase")</f>
        <v>purchase</v>
      </c>
      <c r="D1472" s="6">
        <f t="shared" ca="1" si="0"/>
        <v>45428</v>
      </c>
      <c r="E1472" s="6">
        <f t="shared" ca="1" si="1"/>
        <v>45425</v>
      </c>
      <c r="F1472" s="6">
        <f t="shared" ca="1" si="2"/>
        <v>45413</v>
      </c>
      <c r="G1472" s="7"/>
    </row>
    <row r="1473" spans="1:7" x14ac:dyDescent="0.2">
      <c r="A1473" s="3">
        <f ca="1">IFERROR(__xludf.DUMMYFUNCTION("""COMPUTED_VALUE"""),1617)</f>
        <v>1617</v>
      </c>
      <c r="B1473" s="6">
        <f ca="1">IFERROR(__xludf.DUMMYFUNCTION("""COMPUTED_VALUE"""),45429.10375)</f>
        <v>45429.103750000002</v>
      </c>
      <c r="C1473" s="3" t="str">
        <f ca="1">IFERROR(__xludf.DUMMYFUNCTION("""COMPUTED_VALUE"""),"purchase")</f>
        <v>purchase</v>
      </c>
      <c r="D1473" s="6">
        <f t="shared" ca="1" si="0"/>
        <v>45429</v>
      </c>
      <c r="E1473" s="6">
        <f t="shared" ca="1" si="1"/>
        <v>45425</v>
      </c>
      <c r="F1473" s="6">
        <f t="shared" ca="1" si="2"/>
        <v>45413</v>
      </c>
      <c r="G1473" s="7"/>
    </row>
    <row r="1474" spans="1:7" x14ac:dyDescent="0.2">
      <c r="A1474" s="3">
        <f ca="1">IFERROR(__xludf.DUMMYFUNCTION("""COMPUTED_VALUE"""),3379)</f>
        <v>3379</v>
      </c>
      <c r="B1474" s="6">
        <f ca="1">IFERROR(__xludf.DUMMYFUNCTION("""COMPUTED_VALUE"""),45429.1342013888)</f>
        <v>45429.134201388799</v>
      </c>
      <c r="C1474" s="3" t="str">
        <f ca="1">IFERROR(__xludf.DUMMYFUNCTION("""COMPUTED_VALUE"""),"purchase")</f>
        <v>purchase</v>
      </c>
      <c r="D1474" s="6">
        <f t="shared" ca="1" si="0"/>
        <v>45429</v>
      </c>
      <c r="E1474" s="6">
        <f t="shared" ca="1" si="1"/>
        <v>45425</v>
      </c>
      <c r="F1474" s="6">
        <f t="shared" ca="1" si="2"/>
        <v>45413</v>
      </c>
      <c r="G1474" s="7"/>
    </row>
    <row r="1475" spans="1:7" x14ac:dyDescent="0.2">
      <c r="A1475" s="3">
        <f ca="1">IFERROR(__xludf.DUMMYFUNCTION("""COMPUTED_VALUE"""),6367)</f>
        <v>6367</v>
      </c>
      <c r="B1475" s="6">
        <f ca="1">IFERROR(__xludf.DUMMYFUNCTION("""COMPUTED_VALUE"""),45429.4575810185)</f>
        <v>45429.457581018498</v>
      </c>
      <c r="C1475" s="3" t="str">
        <f ca="1">IFERROR(__xludf.DUMMYFUNCTION("""COMPUTED_VALUE"""),"purchase")</f>
        <v>purchase</v>
      </c>
      <c r="D1475" s="6">
        <f t="shared" ca="1" si="0"/>
        <v>45429</v>
      </c>
      <c r="E1475" s="6">
        <f t="shared" ca="1" si="1"/>
        <v>45425</v>
      </c>
      <c r="F1475" s="6">
        <f t="shared" ca="1" si="2"/>
        <v>45413</v>
      </c>
      <c r="G1475" s="7"/>
    </row>
    <row r="1476" spans="1:7" x14ac:dyDescent="0.2">
      <c r="A1476" s="3">
        <f ca="1">IFERROR(__xludf.DUMMYFUNCTION("""COMPUTED_VALUE"""),6343)</f>
        <v>6343</v>
      </c>
      <c r="B1476" s="6">
        <f ca="1">IFERROR(__xludf.DUMMYFUNCTION("""COMPUTED_VALUE"""),45429.5189004629)</f>
        <v>45429.518900462899</v>
      </c>
      <c r="C1476" s="3" t="str">
        <f ca="1">IFERROR(__xludf.DUMMYFUNCTION("""COMPUTED_VALUE"""),"purchase")</f>
        <v>purchase</v>
      </c>
      <c r="D1476" s="6">
        <f t="shared" ca="1" si="0"/>
        <v>45429</v>
      </c>
      <c r="E1476" s="6">
        <f t="shared" ca="1" si="1"/>
        <v>45425</v>
      </c>
      <c r="F1476" s="6">
        <f t="shared" ca="1" si="2"/>
        <v>45413</v>
      </c>
      <c r="G1476" s="7"/>
    </row>
    <row r="1477" spans="1:7" x14ac:dyDescent="0.2">
      <c r="A1477" s="3">
        <f ca="1">IFERROR(__xludf.DUMMYFUNCTION("""COMPUTED_VALUE"""),1579)</f>
        <v>1579</v>
      </c>
      <c r="B1477" s="6">
        <f ca="1">IFERROR(__xludf.DUMMYFUNCTION("""COMPUTED_VALUE"""),45429.6391319444)</f>
        <v>45429.639131944401</v>
      </c>
      <c r="C1477" s="3" t="str">
        <f ca="1">IFERROR(__xludf.DUMMYFUNCTION("""COMPUTED_VALUE"""),"purchase")</f>
        <v>purchase</v>
      </c>
      <c r="D1477" s="6">
        <f t="shared" ca="1" si="0"/>
        <v>45429</v>
      </c>
      <c r="E1477" s="6">
        <f t="shared" ca="1" si="1"/>
        <v>45425</v>
      </c>
      <c r="F1477" s="6">
        <f t="shared" ca="1" si="2"/>
        <v>45413</v>
      </c>
      <c r="G1477" s="7"/>
    </row>
    <row r="1478" spans="1:7" x14ac:dyDescent="0.2">
      <c r="A1478" s="3">
        <f ca="1">IFERROR(__xludf.DUMMYFUNCTION("""COMPUTED_VALUE"""),5295)</f>
        <v>5295</v>
      </c>
      <c r="B1478" s="6">
        <f ca="1">IFERROR(__xludf.DUMMYFUNCTION("""COMPUTED_VALUE"""),45429.7268055555)</f>
        <v>45429.726805555503</v>
      </c>
      <c r="C1478" s="3" t="str">
        <f ca="1">IFERROR(__xludf.DUMMYFUNCTION("""COMPUTED_VALUE"""),"purchase")</f>
        <v>purchase</v>
      </c>
      <c r="D1478" s="6">
        <f t="shared" ca="1" si="0"/>
        <v>45429</v>
      </c>
      <c r="E1478" s="6">
        <f t="shared" ca="1" si="1"/>
        <v>45425</v>
      </c>
      <c r="F1478" s="6">
        <f t="shared" ca="1" si="2"/>
        <v>45413</v>
      </c>
      <c r="G1478" s="7"/>
    </row>
    <row r="1479" spans="1:7" x14ac:dyDescent="0.2">
      <c r="A1479" s="3">
        <f ca="1">IFERROR(__xludf.DUMMYFUNCTION("""COMPUTED_VALUE"""),4268)</f>
        <v>4268</v>
      </c>
      <c r="B1479" s="6">
        <f ca="1">IFERROR(__xludf.DUMMYFUNCTION("""COMPUTED_VALUE"""),45430.2271643518)</f>
        <v>45430.227164351803</v>
      </c>
      <c r="C1479" s="3" t="str">
        <f ca="1">IFERROR(__xludf.DUMMYFUNCTION("""COMPUTED_VALUE"""),"purchase")</f>
        <v>purchase</v>
      </c>
      <c r="D1479" s="6">
        <f t="shared" ca="1" si="0"/>
        <v>45430</v>
      </c>
      <c r="E1479" s="6">
        <f t="shared" ca="1" si="1"/>
        <v>45425</v>
      </c>
      <c r="F1479" s="6">
        <f t="shared" ca="1" si="2"/>
        <v>45413</v>
      </c>
      <c r="G1479" s="7"/>
    </row>
    <row r="1480" spans="1:7" x14ac:dyDescent="0.2">
      <c r="A1480" s="3">
        <f ca="1">IFERROR(__xludf.DUMMYFUNCTION("""COMPUTED_VALUE"""),6002)</f>
        <v>6002</v>
      </c>
      <c r="B1480" s="6">
        <f ca="1">IFERROR(__xludf.DUMMYFUNCTION("""COMPUTED_VALUE"""),45430.2644907407)</f>
        <v>45430.264490740701</v>
      </c>
      <c r="C1480" s="3" t="str">
        <f ca="1">IFERROR(__xludf.DUMMYFUNCTION("""COMPUTED_VALUE"""),"purchase")</f>
        <v>purchase</v>
      </c>
      <c r="D1480" s="6">
        <f t="shared" ca="1" si="0"/>
        <v>45430</v>
      </c>
      <c r="E1480" s="6">
        <f t="shared" ca="1" si="1"/>
        <v>45425</v>
      </c>
      <c r="F1480" s="6">
        <f t="shared" ca="1" si="2"/>
        <v>45413</v>
      </c>
      <c r="G1480" s="7"/>
    </row>
    <row r="1481" spans="1:7" x14ac:dyDescent="0.2">
      <c r="A1481" s="3">
        <f ca="1">IFERROR(__xludf.DUMMYFUNCTION("""COMPUTED_VALUE"""),5629)</f>
        <v>5629</v>
      </c>
      <c r="B1481" s="6">
        <f ca="1">IFERROR(__xludf.DUMMYFUNCTION("""COMPUTED_VALUE"""),45430.3068402777)</f>
        <v>45430.306840277699</v>
      </c>
      <c r="C1481" s="3" t="str">
        <f ca="1">IFERROR(__xludf.DUMMYFUNCTION("""COMPUTED_VALUE"""),"purchase")</f>
        <v>purchase</v>
      </c>
      <c r="D1481" s="6">
        <f t="shared" ca="1" si="0"/>
        <v>45430</v>
      </c>
      <c r="E1481" s="6">
        <f t="shared" ca="1" si="1"/>
        <v>45425</v>
      </c>
      <c r="F1481" s="6">
        <f t="shared" ca="1" si="2"/>
        <v>45413</v>
      </c>
      <c r="G1481" s="7"/>
    </row>
    <row r="1482" spans="1:7" x14ac:dyDescent="0.2">
      <c r="A1482" s="3">
        <f ca="1">IFERROR(__xludf.DUMMYFUNCTION("""COMPUTED_VALUE"""),6241)</f>
        <v>6241</v>
      </c>
      <c r="B1482" s="6">
        <f ca="1">IFERROR(__xludf.DUMMYFUNCTION("""COMPUTED_VALUE"""),45430.3142361111)</f>
        <v>45430.314236111102</v>
      </c>
      <c r="C1482" s="3" t="str">
        <f ca="1">IFERROR(__xludf.DUMMYFUNCTION("""COMPUTED_VALUE"""),"purchase")</f>
        <v>purchase</v>
      </c>
      <c r="D1482" s="6">
        <f t="shared" ca="1" si="0"/>
        <v>45430</v>
      </c>
      <c r="E1482" s="6">
        <f t="shared" ca="1" si="1"/>
        <v>45425</v>
      </c>
      <c r="F1482" s="6">
        <f t="shared" ca="1" si="2"/>
        <v>45413</v>
      </c>
      <c r="G1482" s="7"/>
    </row>
    <row r="1483" spans="1:7" x14ac:dyDescent="0.2">
      <c r="A1483" s="3">
        <f ca="1">IFERROR(__xludf.DUMMYFUNCTION("""COMPUTED_VALUE"""),1227)</f>
        <v>1227</v>
      </c>
      <c r="B1483" s="6">
        <f ca="1">IFERROR(__xludf.DUMMYFUNCTION("""COMPUTED_VALUE"""),45430.3660416666)</f>
        <v>45430.366041666603</v>
      </c>
      <c r="C1483" s="3" t="str">
        <f ca="1">IFERROR(__xludf.DUMMYFUNCTION("""COMPUTED_VALUE"""),"purchase")</f>
        <v>purchase</v>
      </c>
      <c r="D1483" s="6">
        <f t="shared" ca="1" si="0"/>
        <v>45430</v>
      </c>
      <c r="E1483" s="6">
        <f t="shared" ca="1" si="1"/>
        <v>45425</v>
      </c>
      <c r="F1483" s="6">
        <f t="shared" ca="1" si="2"/>
        <v>45413</v>
      </c>
      <c r="G1483" s="7"/>
    </row>
    <row r="1484" spans="1:7" x14ac:dyDescent="0.2">
      <c r="A1484" s="3">
        <f ca="1">IFERROR(__xludf.DUMMYFUNCTION("""COMPUTED_VALUE"""),3928)</f>
        <v>3928</v>
      </c>
      <c r="B1484" s="6">
        <f ca="1">IFERROR(__xludf.DUMMYFUNCTION("""COMPUTED_VALUE"""),45430.4343402777)</f>
        <v>45430.434340277701</v>
      </c>
      <c r="C1484" s="3" t="str">
        <f ca="1">IFERROR(__xludf.DUMMYFUNCTION("""COMPUTED_VALUE"""),"purchase")</f>
        <v>purchase</v>
      </c>
      <c r="D1484" s="6">
        <f t="shared" ca="1" si="0"/>
        <v>45430</v>
      </c>
      <c r="E1484" s="6">
        <f t="shared" ca="1" si="1"/>
        <v>45425</v>
      </c>
      <c r="F1484" s="6">
        <f t="shared" ca="1" si="2"/>
        <v>45413</v>
      </c>
      <c r="G1484" s="7"/>
    </row>
    <row r="1485" spans="1:7" x14ac:dyDescent="0.2">
      <c r="A1485" s="3">
        <f ca="1">IFERROR(__xludf.DUMMYFUNCTION("""COMPUTED_VALUE"""),5861)</f>
        <v>5861</v>
      </c>
      <c r="B1485" s="6">
        <f ca="1">IFERROR(__xludf.DUMMYFUNCTION("""COMPUTED_VALUE"""),45430.6427777777)</f>
        <v>45430.642777777699</v>
      </c>
      <c r="C1485" s="3" t="str">
        <f ca="1">IFERROR(__xludf.DUMMYFUNCTION("""COMPUTED_VALUE"""),"purchase")</f>
        <v>purchase</v>
      </c>
      <c r="D1485" s="6">
        <f t="shared" ca="1" si="0"/>
        <v>45430</v>
      </c>
      <c r="E1485" s="6">
        <f t="shared" ca="1" si="1"/>
        <v>45425</v>
      </c>
      <c r="F1485" s="6">
        <f t="shared" ca="1" si="2"/>
        <v>45413</v>
      </c>
      <c r="G1485" s="7"/>
    </row>
    <row r="1486" spans="1:7" x14ac:dyDescent="0.2">
      <c r="A1486" s="3">
        <f ca="1">IFERROR(__xludf.DUMMYFUNCTION("""COMPUTED_VALUE"""),2339)</f>
        <v>2339</v>
      </c>
      <c r="B1486" s="6">
        <f ca="1">IFERROR(__xludf.DUMMYFUNCTION("""COMPUTED_VALUE"""),45430.6939814814)</f>
        <v>45430.693981481403</v>
      </c>
      <c r="C1486" s="3" t="str">
        <f ca="1">IFERROR(__xludf.DUMMYFUNCTION("""COMPUTED_VALUE"""),"purchase")</f>
        <v>purchase</v>
      </c>
      <c r="D1486" s="6">
        <f t="shared" ca="1" si="0"/>
        <v>45430</v>
      </c>
      <c r="E1486" s="6">
        <f t="shared" ca="1" si="1"/>
        <v>45425</v>
      </c>
      <c r="F1486" s="6">
        <f t="shared" ca="1" si="2"/>
        <v>45413</v>
      </c>
      <c r="G1486" s="7"/>
    </row>
    <row r="1487" spans="1:7" x14ac:dyDescent="0.2">
      <c r="A1487" s="3">
        <f ca="1">IFERROR(__xludf.DUMMYFUNCTION("""COMPUTED_VALUE"""),1619)</f>
        <v>1619</v>
      </c>
      <c r="B1487" s="6">
        <f ca="1">IFERROR(__xludf.DUMMYFUNCTION("""COMPUTED_VALUE"""),45430.7737384259)</f>
        <v>45430.773738425902</v>
      </c>
      <c r="C1487" s="3" t="str">
        <f ca="1">IFERROR(__xludf.DUMMYFUNCTION("""COMPUTED_VALUE"""),"purchase")</f>
        <v>purchase</v>
      </c>
      <c r="D1487" s="6">
        <f t="shared" ca="1" si="0"/>
        <v>45430</v>
      </c>
      <c r="E1487" s="6">
        <f t="shared" ca="1" si="1"/>
        <v>45425</v>
      </c>
      <c r="F1487" s="6">
        <f t="shared" ca="1" si="2"/>
        <v>45413</v>
      </c>
      <c r="G1487" s="7"/>
    </row>
    <row r="1488" spans="1:7" x14ac:dyDescent="0.2">
      <c r="A1488" s="3">
        <f ca="1">IFERROR(__xludf.DUMMYFUNCTION("""COMPUTED_VALUE"""),5395)</f>
        <v>5395</v>
      </c>
      <c r="B1488" s="6">
        <f ca="1">IFERROR(__xludf.DUMMYFUNCTION("""COMPUTED_VALUE"""),45430.8269097222)</f>
        <v>45430.8269097222</v>
      </c>
      <c r="C1488" s="3" t="str">
        <f ca="1">IFERROR(__xludf.DUMMYFUNCTION("""COMPUTED_VALUE"""),"purchase")</f>
        <v>purchase</v>
      </c>
      <c r="D1488" s="6">
        <f t="shared" ca="1" si="0"/>
        <v>45430</v>
      </c>
      <c r="E1488" s="6">
        <f t="shared" ca="1" si="1"/>
        <v>45425</v>
      </c>
      <c r="F1488" s="6">
        <f t="shared" ca="1" si="2"/>
        <v>45413</v>
      </c>
      <c r="G1488" s="7"/>
    </row>
    <row r="1489" spans="1:7" x14ac:dyDescent="0.2">
      <c r="A1489" s="3">
        <f ca="1">IFERROR(__xludf.DUMMYFUNCTION("""COMPUTED_VALUE"""),5637)</f>
        <v>5637</v>
      </c>
      <c r="B1489" s="6">
        <f ca="1">IFERROR(__xludf.DUMMYFUNCTION("""COMPUTED_VALUE"""),45431.0145833333)</f>
        <v>45431.014583333301</v>
      </c>
      <c r="C1489" s="3" t="str">
        <f ca="1">IFERROR(__xludf.DUMMYFUNCTION("""COMPUTED_VALUE"""),"purchase")</f>
        <v>purchase</v>
      </c>
      <c r="D1489" s="6">
        <f t="shared" ca="1" si="0"/>
        <v>45431</v>
      </c>
      <c r="E1489" s="6">
        <f t="shared" ca="1" si="1"/>
        <v>45425</v>
      </c>
      <c r="F1489" s="6">
        <f t="shared" ca="1" si="2"/>
        <v>45413</v>
      </c>
      <c r="G1489" s="7"/>
    </row>
    <row r="1490" spans="1:7" x14ac:dyDescent="0.2">
      <c r="A1490" s="3">
        <f ca="1">IFERROR(__xludf.DUMMYFUNCTION("""COMPUTED_VALUE"""),3200)</f>
        <v>3200</v>
      </c>
      <c r="B1490" s="6">
        <f ca="1">IFERROR(__xludf.DUMMYFUNCTION("""COMPUTED_VALUE"""),45431.2642013888)</f>
        <v>45431.264201388803</v>
      </c>
      <c r="C1490" s="3" t="str">
        <f ca="1">IFERROR(__xludf.DUMMYFUNCTION("""COMPUTED_VALUE"""),"purchase")</f>
        <v>purchase</v>
      </c>
      <c r="D1490" s="6">
        <f t="shared" ca="1" si="0"/>
        <v>45431</v>
      </c>
      <c r="E1490" s="6">
        <f t="shared" ca="1" si="1"/>
        <v>45425</v>
      </c>
      <c r="F1490" s="6">
        <f t="shared" ca="1" si="2"/>
        <v>45413</v>
      </c>
      <c r="G1490" s="7"/>
    </row>
    <row r="1491" spans="1:7" x14ac:dyDescent="0.2">
      <c r="A1491" s="3">
        <f ca="1">IFERROR(__xludf.DUMMYFUNCTION("""COMPUTED_VALUE"""),6253)</f>
        <v>6253</v>
      </c>
      <c r="B1491" s="6">
        <f ca="1">IFERROR(__xludf.DUMMYFUNCTION("""COMPUTED_VALUE"""),45431.2803587963)</f>
        <v>45431.280358796299</v>
      </c>
      <c r="C1491" s="3" t="str">
        <f ca="1">IFERROR(__xludf.DUMMYFUNCTION("""COMPUTED_VALUE"""),"purchase")</f>
        <v>purchase</v>
      </c>
      <c r="D1491" s="6">
        <f t="shared" ca="1" si="0"/>
        <v>45431</v>
      </c>
      <c r="E1491" s="6">
        <f t="shared" ca="1" si="1"/>
        <v>45425</v>
      </c>
      <c r="F1491" s="6">
        <f t="shared" ca="1" si="2"/>
        <v>45413</v>
      </c>
      <c r="G1491" s="7"/>
    </row>
    <row r="1492" spans="1:7" x14ac:dyDescent="0.2">
      <c r="A1492" s="3">
        <f ca="1">IFERROR(__xludf.DUMMYFUNCTION("""COMPUTED_VALUE"""),3579)</f>
        <v>3579</v>
      </c>
      <c r="B1492" s="6">
        <f ca="1">IFERROR(__xludf.DUMMYFUNCTION("""COMPUTED_VALUE"""),45431.388761574)</f>
        <v>45431.388761574002</v>
      </c>
      <c r="C1492" s="3" t="str">
        <f ca="1">IFERROR(__xludf.DUMMYFUNCTION("""COMPUTED_VALUE"""),"purchase")</f>
        <v>purchase</v>
      </c>
      <c r="D1492" s="6">
        <f t="shared" ca="1" si="0"/>
        <v>45431</v>
      </c>
      <c r="E1492" s="6">
        <f t="shared" ca="1" si="1"/>
        <v>45425</v>
      </c>
      <c r="F1492" s="6">
        <f t="shared" ca="1" si="2"/>
        <v>45413</v>
      </c>
      <c r="G1492" s="7"/>
    </row>
    <row r="1493" spans="1:7" x14ac:dyDescent="0.2">
      <c r="A1493" s="3">
        <f ca="1">IFERROR(__xludf.DUMMYFUNCTION("""COMPUTED_VALUE"""),5881)</f>
        <v>5881</v>
      </c>
      <c r="B1493" s="6">
        <f ca="1">IFERROR(__xludf.DUMMYFUNCTION("""COMPUTED_VALUE"""),45431.4591898148)</f>
        <v>45431.459189814799</v>
      </c>
      <c r="C1493" s="3" t="str">
        <f ca="1">IFERROR(__xludf.DUMMYFUNCTION("""COMPUTED_VALUE"""),"purchase")</f>
        <v>purchase</v>
      </c>
      <c r="D1493" s="6">
        <f t="shared" ca="1" si="0"/>
        <v>45431</v>
      </c>
      <c r="E1493" s="6">
        <f t="shared" ca="1" si="1"/>
        <v>45425</v>
      </c>
      <c r="F1493" s="6">
        <f t="shared" ca="1" si="2"/>
        <v>45413</v>
      </c>
      <c r="G1493" s="7"/>
    </row>
    <row r="1494" spans="1:7" x14ac:dyDescent="0.2">
      <c r="A1494" s="3">
        <f ca="1">IFERROR(__xludf.DUMMYFUNCTION("""COMPUTED_VALUE"""),6662)</f>
        <v>6662</v>
      </c>
      <c r="B1494" s="6">
        <f ca="1">IFERROR(__xludf.DUMMYFUNCTION("""COMPUTED_VALUE"""),45431.6624305555)</f>
        <v>45431.662430555501</v>
      </c>
      <c r="C1494" s="3" t="str">
        <f ca="1">IFERROR(__xludf.DUMMYFUNCTION("""COMPUTED_VALUE"""),"purchase")</f>
        <v>purchase</v>
      </c>
      <c r="D1494" s="6">
        <f t="shared" ca="1" si="0"/>
        <v>45431</v>
      </c>
      <c r="E1494" s="6">
        <f t="shared" ca="1" si="1"/>
        <v>45425</v>
      </c>
      <c r="F1494" s="6">
        <f t="shared" ca="1" si="2"/>
        <v>45413</v>
      </c>
      <c r="G1494" s="7"/>
    </row>
    <row r="1495" spans="1:7" x14ac:dyDescent="0.2">
      <c r="A1495" s="3">
        <f ca="1">IFERROR(__xludf.DUMMYFUNCTION("""COMPUTED_VALUE"""),1555)</f>
        <v>1555</v>
      </c>
      <c r="B1495" s="6">
        <f ca="1">IFERROR(__xludf.DUMMYFUNCTION("""COMPUTED_VALUE"""),45431.7361226851)</f>
        <v>45431.736122685099</v>
      </c>
      <c r="C1495" s="3" t="str">
        <f ca="1">IFERROR(__xludf.DUMMYFUNCTION("""COMPUTED_VALUE"""),"purchase")</f>
        <v>purchase</v>
      </c>
      <c r="D1495" s="6">
        <f t="shared" ca="1" si="0"/>
        <v>45431</v>
      </c>
      <c r="E1495" s="6">
        <f t="shared" ca="1" si="1"/>
        <v>45425</v>
      </c>
      <c r="F1495" s="6">
        <f t="shared" ca="1" si="2"/>
        <v>45413</v>
      </c>
      <c r="G1495" s="7"/>
    </row>
    <row r="1496" spans="1:7" x14ac:dyDescent="0.2">
      <c r="A1496" s="3">
        <f ca="1">IFERROR(__xludf.DUMMYFUNCTION("""COMPUTED_VALUE"""),5784)</f>
        <v>5784</v>
      </c>
      <c r="B1496" s="6">
        <f ca="1">IFERROR(__xludf.DUMMYFUNCTION("""COMPUTED_VALUE"""),45431.7529976851)</f>
        <v>45431.7529976851</v>
      </c>
      <c r="C1496" s="3" t="str">
        <f ca="1">IFERROR(__xludf.DUMMYFUNCTION("""COMPUTED_VALUE"""),"purchase")</f>
        <v>purchase</v>
      </c>
      <c r="D1496" s="6">
        <f t="shared" ca="1" si="0"/>
        <v>45431</v>
      </c>
      <c r="E1496" s="6">
        <f t="shared" ca="1" si="1"/>
        <v>45425</v>
      </c>
      <c r="F1496" s="6">
        <f t="shared" ca="1" si="2"/>
        <v>45413</v>
      </c>
      <c r="G1496" s="7"/>
    </row>
    <row r="1497" spans="1:7" x14ac:dyDescent="0.2">
      <c r="A1497" s="3">
        <f ca="1">IFERROR(__xludf.DUMMYFUNCTION("""COMPUTED_VALUE"""),2458)</f>
        <v>2458</v>
      </c>
      <c r="B1497" s="6">
        <f ca="1">IFERROR(__xludf.DUMMYFUNCTION("""COMPUTED_VALUE"""),45431.8598263888)</f>
        <v>45431.859826388798</v>
      </c>
      <c r="C1497" s="3" t="str">
        <f ca="1">IFERROR(__xludf.DUMMYFUNCTION("""COMPUTED_VALUE"""),"purchase")</f>
        <v>purchase</v>
      </c>
      <c r="D1497" s="6">
        <f t="shared" ca="1" si="0"/>
        <v>45431</v>
      </c>
      <c r="E1497" s="6">
        <f t="shared" ca="1" si="1"/>
        <v>45425</v>
      </c>
      <c r="F1497" s="6">
        <f t="shared" ca="1" si="2"/>
        <v>45413</v>
      </c>
      <c r="G1497" s="7"/>
    </row>
    <row r="1498" spans="1:7" x14ac:dyDescent="0.2">
      <c r="A1498" s="3">
        <f ca="1">IFERROR(__xludf.DUMMYFUNCTION("""COMPUTED_VALUE"""),1028)</f>
        <v>1028</v>
      </c>
      <c r="B1498" s="6">
        <f ca="1">IFERROR(__xludf.DUMMYFUNCTION("""COMPUTED_VALUE"""),45431.886261574)</f>
        <v>45431.886261574</v>
      </c>
      <c r="C1498" s="3" t="str">
        <f ca="1">IFERROR(__xludf.DUMMYFUNCTION("""COMPUTED_VALUE"""),"purchase")</f>
        <v>purchase</v>
      </c>
      <c r="D1498" s="6">
        <f t="shared" ca="1" si="0"/>
        <v>45431</v>
      </c>
      <c r="E1498" s="6">
        <f t="shared" ca="1" si="1"/>
        <v>45425</v>
      </c>
      <c r="F1498" s="6">
        <f t="shared" ca="1" si="2"/>
        <v>45413</v>
      </c>
      <c r="G1498" s="7"/>
    </row>
    <row r="1499" spans="1:7" x14ac:dyDescent="0.2">
      <c r="A1499" s="3">
        <f ca="1">IFERROR(__xludf.DUMMYFUNCTION("""COMPUTED_VALUE"""),38)</f>
        <v>38</v>
      </c>
      <c r="B1499" s="6">
        <f ca="1">IFERROR(__xludf.DUMMYFUNCTION("""COMPUTED_VALUE"""),45431.9355902777)</f>
        <v>45431.935590277702</v>
      </c>
      <c r="C1499" s="3" t="str">
        <f ca="1">IFERROR(__xludf.DUMMYFUNCTION("""COMPUTED_VALUE"""),"purchase")</f>
        <v>purchase</v>
      </c>
      <c r="D1499" s="6">
        <f t="shared" ca="1" si="0"/>
        <v>45431</v>
      </c>
      <c r="E1499" s="6">
        <f t="shared" ca="1" si="1"/>
        <v>45425</v>
      </c>
      <c r="F1499" s="6">
        <f t="shared" ca="1" si="2"/>
        <v>45413</v>
      </c>
      <c r="G1499" s="7"/>
    </row>
    <row r="1500" spans="1:7" x14ac:dyDescent="0.2">
      <c r="A1500" s="3">
        <f ca="1">IFERROR(__xludf.DUMMYFUNCTION("""COMPUTED_VALUE"""),1868)</f>
        <v>1868</v>
      </c>
      <c r="B1500" s="6">
        <f ca="1">IFERROR(__xludf.DUMMYFUNCTION("""COMPUTED_VALUE"""),45431.9525)</f>
        <v>45431.952499999999</v>
      </c>
      <c r="C1500" s="3" t="str">
        <f ca="1">IFERROR(__xludf.DUMMYFUNCTION("""COMPUTED_VALUE"""),"purchase")</f>
        <v>purchase</v>
      </c>
      <c r="D1500" s="6">
        <f t="shared" ca="1" si="0"/>
        <v>45431</v>
      </c>
      <c r="E1500" s="6">
        <f t="shared" ca="1" si="1"/>
        <v>45425</v>
      </c>
      <c r="F1500" s="6">
        <f t="shared" ca="1" si="2"/>
        <v>45413</v>
      </c>
      <c r="G1500" s="7"/>
    </row>
    <row r="1501" spans="1:7" x14ac:dyDescent="0.2">
      <c r="A1501" s="3">
        <f ca="1">IFERROR(__xludf.DUMMYFUNCTION("""COMPUTED_VALUE"""),748)</f>
        <v>748</v>
      </c>
      <c r="B1501" s="6">
        <f ca="1">IFERROR(__xludf.DUMMYFUNCTION("""COMPUTED_VALUE"""),45431.9861226851)</f>
        <v>45431.986122685099</v>
      </c>
      <c r="C1501" s="3" t="str">
        <f ca="1">IFERROR(__xludf.DUMMYFUNCTION("""COMPUTED_VALUE"""),"purchase")</f>
        <v>purchase</v>
      </c>
      <c r="D1501" s="6">
        <f t="shared" ca="1" si="0"/>
        <v>45431</v>
      </c>
      <c r="E1501" s="6">
        <f t="shared" ca="1" si="1"/>
        <v>45425</v>
      </c>
      <c r="F1501" s="6">
        <f t="shared" ca="1" si="2"/>
        <v>45413</v>
      </c>
      <c r="G1501" s="7"/>
    </row>
    <row r="1502" spans="1:7" x14ac:dyDescent="0.2">
      <c r="A1502" s="3">
        <f ca="1">IFERROR(__xludf.DUMMYFUNCTION("""COMPUTED_VALUE"""),6614)</f>
        <v>6614</v>
      </c>
      <c r="B1502" s="6">
        <f ca="1">IFERROR(__xludf.DUMMYFUNCTION("""COMPUTED_VALUE"""),45432.1463888888)</f>
        <v>45432.146388888803</v>
      </c>
      <c r="C1502" s="3" t="str">
        <f ca="1">IFERROR(__xludf.DUMMYFUNCTION("""COMPUTED_VALUE"""),"purchase")</f>
        <v>purchase</v>
      </c>
      <c r="D1502" s="6">
        <f t="shared" ca="1" si="0"/>
        <v>45432</v>
      </c>
      <c r="E1502" s="6">
        <f t="shared" ca="1" si="1"/>
        <v>45432</v>
      </c>
      <c r="F1502" s="6">
        <f t="shared" ca="1" si="2"/>
        <v>45413</v>
      </c>
      <c r="G1502" s="7"/>
    </row>
    <row r="1503" spans="1:7" x14ac:dyDescent="0.2">
      <c r="A1503" s="3">
        <f ca="1">IFERROR(__xludf.DUMMYFUNCTION("""COMPUTED_VALUE"""),7899)</f>
        <v>7899</v>
      </c>
      <c r="B1503" s="6">
        <f ca="1">IFERROR(__xludf.DUMMYFUNCTION("""COMPUTED_VALUE"""),45432.4439930555)</f>
        <v>45432.443993055502</v>
      </c>
      <c r="C1503" s="3" t="str">
        <f ca="1">IFERROR(__xludf.DUMMYFUNCTION("""COMPUTED_VALUE"""),"purchase")</f>
        <v>purchase</v>
      </c>
      <c r="D1503" s="6">
        <f t="shared" ca="1" si="0"/>
        <v>45432</v>
      </c>
      <c r="E1503" s="6">
        <f t="shared" ca="1" si="1"/>
        <v>45432</v>
      </c>
      <c r="F1503" s="6">
        <f t="shared" ca="1" si="2"/>
        <v>45413</v>
      </c>
      <c r="G1503" s="7"/>
    </row>
    <row r="1504" spans="1:7" x14ac:dyDescent="0.2">
      <c r="A1504" s="3">
        <f ca="1">IFERROR(__xludf.DUMMYFUNCTION("""COMPUTED_VALUE"""),1109)</f>
        <v>1109</v>
      </c>
      <c r="B1504" s="6">
        <f ca="1">IFERROR(__xludf.DUMMYFUNCTION("""COMPUTED_VALUE"""),45432.5522337963)</f>
        <v>45432.552233796298</v>
      </c>
      <c r="C1504" s="3" t="str">
        <f ca="1">IFERROR(__xludf.DUMMYFUNCTION("""COMPUTED_VALUE"""),"purchase")</f>
        <v>purchase</v>
      </c>
      <c r="D1504" s="6">
        <f t="shared" ca="1" si="0"/>
        <v>45432</v>
      </c>
      <c r="E1504" s="6">
        <f t="shared" ca="1" si="1"/>
        <v>45432</v>
      </c>
      <c r="F1504" s="6">
        <f t="shared" ca="1" si="2"/>
        <v>45413</v>
      </c>
      <c r="G1504" s="7"/>
    </row>
    <row r="1505" spans="1:7" x14ac:dyDescent="0.2">
      <c r="A1505" s="3">
        <f ca="1">IFERROR(__xludf.DUMMYFUNCTION("""COMPUTED_VALUE"""),1872)</f>
        <v>1872</v>
      </c>
      <c r="B1505" s="6">
        <f ca="1">IFERROR(__xludf.DUMMYFUNCTION("""COMPUTED_VALUE"""),45432.5602083333)</f>
        <v>45432.5602083333</v>
      </c>
      <c r="C1505" s="3" t="str">
        <f ca="1">IFERROR(__xludf.DUMMYFUNCTION("""COMPUTED_VALUE"""),"purchase")</f>
        <v>purchase</v>
      </c>
      <c r="D1505" s="6">
        <f t="shared" ca="1" si="0"/>
        <v>45432</v>
      </c>
      <c r="E1505" s="6">
        <f t="shared" ca="1" si="1"/>
        <v>45432</v>
      </c>
      <c r="F1505" s="6">
        <f t="shared" ca="1" si="2"/>
        <v>45413</v>
      </c>
      <c r="G1505" s="7"/>
    </row>
    <row r="1506" spans="1:7" x14ac:dyDescent="0.2">
      <c r="A1506" s="3">
        <f ca="1">IFERROR(__xludf.DUMMYFUNCTION("""COMPUTED_VALUE"""),3026)</f>
        <v>3026</v>
      </c>
      <c r="B1506" s="6">
        <f ca="1">IFERROR(__xludf.DUMMYFUNCTION("""COMPUTED_VALUE"""),45432.5776041666)</f>
        <v>45432.577604166603</v>
      </c>
      <c r="C1506" s="3" t="str">
        <f ca="1">IFERROR(__xludf.DUMMYFUNCTION("""COMPUTED_VALUE"""),"purchase")</f>
        <v>purchase</v>
      </c>
      <c r="D1506" s="6">
        <f t="shared" ca="1" si="0"/>
        <v>45432</v>
      </c>
      <c r="E1506" s="6">
        <f t="shared" ca="1" si="1"/>
        <v>45432</v>
      </c>
      <c r="F1506" s="6">
        <f t="shared" ca="1" si="2"/>
        <v>45413</v>
      </c>
      <c r="G1506" s="7"/>
    </row>
    <row r="1507" spans="1:7" x14ac:dyDescent="0.2">
      <c r="A1507" s="3">
        <f ca="1">IFERROR(__xludf.DUMMYFUNCTION("""COMPUTED_VALUE"""),1759)</f>
        <v>1759</v>
      </c>
      <c r="B1507" s="6">
        <f ca="1">IFERROR(__xludf.DUMMYFUNCTION("""COMPUTED_VALUE"""),45432.6984375)</f>
        <v>45432.698437500003</v>
      </c>
      <c r="C1507" s="3" t="str">
        <f ca="1">IFERROR(__xludf.DUMMYFUNCTION("""COMPUTED_VALUE"""),"purchase")</f>
        <v>purchase</v>
      </c>
      <c r="D1507" s="6">
        <f t="shared" ca="1" si="0"/>
        <v>45432</v>
      </c>
      <c r="E1507" s="6">
        <f t="shared" ca="1" si="1"/>
        <v>45432</v>
      </c>
      <c r="F1507" s="6">
        <f t="shared" ca="1" si="2"/>
        <v>45413</v>
      </c>
      <c r="G1507" s="7"/>
    </row>
    <row r="1508" spans="1:7" x14ac:dyDescent="0.2">
      <c r="A1508" s="3">
        <f ca="1">IFERROR(__xludf.DUMMYFUNCTION("""COMPUTED_VALUE"""),1264)</f>
        <v>1264</v>
      </c>
      <c r="B1508" s="6">
        <f ca="1">IFERROR(__xludf.DUMMYFUNCTION("""COMPUTED_VALUE"""),45432.7151967592)</f>
        <v>45432.7151967592</v>
      </c>
      <c r="C1508" s="3" t="str">
        <f ca="1">IFERROR(__xludf.DUMMYFUNCTION("""COMPUTED_VALUE"""),"purchase")</f>
        <v>purchase</v>
      </c>
      <c r="D1508" s="6">
        <f t="shared" ca="1" si="0"/>
        <v>45432</v>
      </c>
      <c r="E1508" s="6">
        <f t="shared" ca="1" si="1"/>
        <v>45432</v>
      </c>
      <c r="F1508" s="6">
        <f t="shared" ca="1" si="2"/>
        <v>45413</v>
      </c>
      <c r="G1508" s="7"/>
    </row>
    <row r="1509" spans="1:7" x14ac:dyDescent="0.2">
      <c r="A1509" s="3">
        <f ca="1">IFERROR(__xludf.DUMMYFUNCTION("""COMPUTED_VALUE"""),2514)</f>
        <v>2514</v>
      </c>
      <c r="B1509" s="6">
        <f ca="1">IFERROR(__xludf.DUMMYFUNCTION("""COMPUTED_VALUE"""),45432.8179282407)</f>
        <v>45432.8179282407</v>
      </c>
      <c r="C1509" s="3" t="str">
        <f ca="1">IFERROR(__xludf.DUMMYFUNCTION("""COMPUTED_VALUE"""),"purchase")</f>
        <v>purchase</v>
      </c>
      <c r="D1509" s="6">
        <f t="shared" ca="1" si="0"/>
        <v>45432</v>
      </c>
      <c r="E1509" s="6">
        <f t="shared" ca="1" si="1"/>
        <v>45432</v>
      </c>
      <c r="F1509" s="6">
        <f t="shared" ca="1" si="2"/>
        <v>45413</v>
      </c>
      <c r="G1509" s="7"/>
    </row>
    <row r="1510" spans="1:7" x14ac:dyDescent="0.2">
      <c r="A1510" s="3">
        <f ca="1">IFERROR(__xludf.DUMMYFUNCTION("""COMPUTED_VALUE"""),5730)</f>
        <v>5730</v>
      </c>
      <c r="B1510" s="6">
        <f ca="1">IFERROR(__xludf.DUMMYFUNCTION("""COMPUTED_VALUE"""),45432.9214351851)</f>
        <v>45432.921435185097</v>
      </c>
      <c r="C1510" s="3" t="str">
        <f ca="1">IFERROR(__xludf.DUMMYFUNCTION("""COMPUTED_VALUE"""),"purchase")</f>
        <v>purchase</v>
      </c>
      <c r="D1510" s="6">
        <f t="shared" ca="1" si="0"/>
        <v>45432</v>
      </c>
      <c r="E1510" s="6">
        <f t="shared" ca="1" si="1"/>
        <v>45432</v>
      </c>
      <c r="F1510" s="6">
        <f t="shared" ca="1" si="2"/>
        <v>45413</v>
      </c>
      <c r="G1510" s="7"/>
    </row>
    <row r="1511" spans="1:7" x14ac:dyDescent="0.2">
      <c r="A1511" s="3">
        <f ca="1">IFERROR(__xludf.DUMMYFUNCTION("""COMPUTED_VALUE"""),7399)</f>
        <v>7399</v>
      </c>
      <c r="B1511" s="6">
        <f ca="1">IFERROR(__xludf.DUMMYFUNCTION("""COMPUTED_VALUE"""),45432.929699074)</f>
        <v>45432.929699073997</v>
      </c>
      <c r="C1511" s="3" t="str">
        <f ca="1">IFERROR(__xludf.DUMMYFUNCTION("""COMPUTED_VALUE"""),"purchase")</f>
        <v>purchase</v>
      </c>
      <c r="D1511" s="6">
        <f t="shared" ca="1" si="0"/>
        <v>45432</v>
      </c>
      <c r="E1511" s="6">
        <f t="shared" ca="1" si="1"/>
        <v>45432</v>
      </c>
      <c r="F1511" s="6">
        <f t="shared" ca="1" si="2"/>
        <v>45413</v>
      </c>
      <c r="G1511" s="7"/>
    </row>
    <row r="1512" spans="1:7" x14ac:dyDescent="0.2">
      <c r="A1512" s="3">
        <f ca="1">IFERROR(__xludf.DUMMYFUNCTION("""COMPUTED_VALUE"""),7583)</f>
        <v>7583</v>
      </c>
      <c r="B1512" s="6">
        <f ca="1">IFERROR(__xludf.DUMMYFUNCTION("""COMPUTED_VALUE"""),45432.9691666666)</f>
        <v>45432.969166666597</v>
      </c>
      <c r="C1512" s="3" t="str">
        <f ca="1">IFERROR(__xludf.DUMMYFUNCTION("""COMPUTED_VALUE"""),"purchase")</f>
        <v>purchase</v>
      </c>
      <c r="D1512" s="6">
        <f t="shared" ca="1" si="0"/>
        <v>45432</v>
      </c>
      <c r="E1512" s="6">
        <f t="shared" ca="1" si="1"/>
        <v>45432</v>
      </c>
      <c r="F1512" s="6">
        <f t="shared" ca="1" si="2"/>
        <v>45413</v>
      </c>
      <c r="G1512" s="7"/>
    </row>
    <row r="1513" spans="1:7" x14ac:dyDescent="0.2">
      <c r="A1513" s="3">
        <f ca="1">IFERROR(__xludf.DUMMYFUNCTION("""COMPUTED_VALUE"""),5429)</f>
        <v>5429</v>
      </c>
      <c r="B1513" s="6">
        <f ca="1">IFERROR(__xludf.DUMMYFUNCTION("""COMPUTED_VALUE"""),45433.0423263888)</f>
        <v>45433.042326388801</v>
      </c>
      <c r="C1513" s="3" t="str">
        <f ca="1">IFERROR(__xludf.DUMMYFUNCTION("""COMPUTED_VALUE"""),"purchase")</f>
        <v>purchase</v>
      </c>
      <c r="D1513" s="6">
        <f t="shared" ca="1" si="0"/>
        <v>45433</v>
      </c>
      <c r="E1513" s="6">
        <f t="shared" ca="1" si="1"/>
        <v>45432</v>
      </c>
      <c r="F1513" s="6">
        <f t="shared" ca="1" si="2"/>
        <v>45413</v>
      </c>
      <c r="G1513" s="7"/>
    </row>
    <row r="1514" spans="1:7" x14ac:dyDescent="0.2">
      <c r="A1514" s="3">
        <f ca="1">IFERROR(__xludf.DUMMYFUNCTION("""COMPUTED_VALUE"""),473)</f>
        <v>473</v>
      </c>
      <c r="B1514" s="6">
        <f ca="1">IFERROR(__xludf.DUMMYFUNCTION("""COMPUTED_VALUE"""),45433.0958912037)</f>
        <v>45433.095891203702</v>
      </c>
      <c r="C1514" s="3" t="str">
        <f ca="1">IFERROR(__xludf.DUMMYFUNCTION("""COMPUTED_VALUE"""),"purchase")</f>
        <v>purchase</v>
      </c>
      <c r="D1514" s="6">
        <f t="shared" ca="1" si="0"/>
        <v>45433</v>
      </c>
      <c r="E1514" s="6">
        <f t="shared" ca="1" si="1"/>
        <v>45432</v>
      </c>
      <c r="F1514" s="6">
        <f t="shared" ca="1" si="2"/>
        <v>45413</v>
      </c>
      <c r="G1514" s="7"/>
    </row>
    <row r="1515" spans="1:7" x14ac:dyDescent="0.2">
      <c r="A1515" s="3">
        <f ca="1">IFERROR(__xludf.DUMMYFUNCTION("""COMPUTED_VALUE"""),1321)</f>
        <v>1321</v>
      </c>
      <c r="B1515" s="6">
        <f ca="1">IFERROR(__xludf.DUMMYFUNCTION("""COMPUTED_VALUE"""),45433.1020717592)</f>
        <v>45433.102071759196</v>
      </c>
      <c r="C1515" s="3" t="str">
        <f ca="1">IFERROR(__xludf.DUMMYFUNCTION("""COMPUTED_VALUE"""),"purchase")</f>
        <v>purchase</v>
      </c>
      <c r="D1515" s="6">
        <f t="shared" ca="1" si="0"/>
        <v>45433</v>
      </c>
      <c r="E1515" s="6">
        <f t="shared" ca="1" si="1"/>
        <v>45432</v>
      </c>
      <c r="F1515" s="6">
        <f t="shared" ca="1" si="2"/>
        <v>45413</v>
      </c>
      <c r="G1515" s="7"/>
    </row>
    <row r="1516" spans="1:7" x14ac:dyDescent="0.2">
      <c r="A1516" s="3">
        <f ca="1">IFERROR(__xludf.DUMMYFUNCTION("""COMPUTED_VALUE"""),6821)</f>
        <v>6821</v>
      </c>
      <c r="B1516" s="6">
        <f ca="1">IFERROR(__xludf.DUMMYFUNCTION("""COMPUTED_VALUE"""),45433.2958912037)</f>
        <v>45433.295891203699</v>
      </c>
      <c r="C1516" s="3" t="str">
        <f ca="1">IFERROR(__xludf.DUMMYFUNCTION("""COMPUTED_VALUE"""),"purchase")</f>
        <v>purchase</v>
      </c>
      <c r="D1516" s="6">
        <f t="shared" ca="1" si="0"/>
        <v>45433</v>
      </c>
      <c r="E1516" s="6">
        <f t="shared" ca="1" si="1"/>
        <v>45432</v>
      </c>
      <c r="F1516" s="6">
        <f t="shared" ca="1" si="2"/>
        <v>45413</v>
      </c>
      <c r="G1516" s="7"/>
    </row>
    <row r="1517" spans="1:7" x14ac:dyDescent="0.2">
      <c r="A1517" s="3">
        <f ca="1">IFERROR(__xludf.DUMMYFUNCTION("""COMPUTED_VALUE"""),7941)</f>
        <v>7941</v>
      </c>
      <c r="B1517" s="6">
        <f ca="1">IFERROR(__xludf.DUMMYFUNCTION("""COMPUTED_VALUE"""),45433.5234953703)</f>
        <v>45433.523495370297</v>
      </c>
      <c r="C1517" s="3" t="str">
        <f ca="1">IFERROR(__xludf.DUMMYFUNCTION("""COMPUTED_VALUE"""),"purchase")</f>
        <v>purchase</v>
      </c>
      <c r="D1517" s="6">
        <f t="shared" ca="1" si="0"/>
        <v>45433</v>
      </c>
      <c r="E1517" s="6">
        <f t="shared" ca="1" si="1"/>
        <v>45432</v>
      </c>
      <c r="F1517" s="6">
        <f t="shared" ca="1" si="2"/>
        <v>45413</v>
      </c>
      <c r="G1517" s="7"/>
    </row>
    <row r="1518" spans="1:7" x14ac:dyDescent="0.2">
      <c r="A1518" s="3">
        <f ca="1">IFERROR(__xludf.DUMMYFUNCTION("""COMPUTED_VALUE"""),427)</f>
        <v>427</v>
      </c>
      <c r="B1518" s="6">
        <f ca="1">IFERROR(__xludf.DUMMYFUNCTION("""COMPUTED_VALUE"""),45433.5939814814)</f>
        <v>45433.593981481397</v>
      </c>
      <c r="C1518" s="3" t="str">
        <f ca="1">IFERROR(__xludf.DUMMYFUNCTION("""COMPUTED_VALUE"""),"purchase")</f>
        <v>purchase</v>
      </c>
      <c r="D1518" s="6">
        <f t="shared" ca="1" si="0"/>
        <v>45433</v>
      </c>
      <c r="E1518" s="6">
        <f t="shared" ca="1" si="1"/>
        <v>45432</v>
      </c>
      <c r="F1518" s="6">
        <f t="shared" ca="1" si="2"/>
        <v>45413</v>
      </c>
      <c r="G1518" s="7"/>
    </row>
    <row r="1519" spans="1:7" x14ac:dyDescent="0.2">
      <c r="A1519" s="3">
        <f ca="1">IFERROR(__xludf.DUMMYFUNCTION("""COMPUTED_VALUE"""),6094)</f>
        <v>6094</v>
      </c>
      <c r="B1519" s="6">
        <f ca="1">IFERROR(__xludf.DUMMYFUNCTION("""COMPUTED_VALUE"""),45433.8154861111)</f>
        <v>45433.815486111103</v>
      </c>
      <c r="C1519" s="3" t="str">
        <f ca="1">IFERROR(__xludf.DUMMYFUNCTION("""COMPUTED_VALUE"""),"purchase")</f>
        <v>purchase</v>
      </c>
      <c r="D1519" s="6">
        <f t="shared" ca="1" si="0"/>
        <v>45433</v>
      </c>
      <c r="E1519" s="6">
        <f t="shared" ca="1" si="1"/>
        <v>45432</v>
      </c>
      <c r="F1519" s="6">
        <f t="shared" ca="1" si="2"/>
        <v>45413</v>
      </c>
      <c r="G1519" s="7"/>
    </row>
    <row r="1520" spans="1:7" x14ac:dyDescent="0.2">
      <c r="A1520" s="3">
        <f ca="1">IFERROR(__xludf.DUMMYFUNCTION("""COMPUTED_VALUE"""),3264)</f>
        <v>3264</v>
      </c>
      <c r="B1520" s="6">
        <f ca="1">IFERROR(__xludf.DUMMYFUNCTION("""COMPUTED_VALUE"""),45433.9557407407)</f>
        <v>45433.955740740697</v>
      </c>
      <c r="C1520" s="3" t="str">
        <f ca="1">IFERROR(__xludf.DUMMYFUNCTION("""COMPUTED_VALUE"""),"purchase")</f>
        <v>purchase</v>
      </c>
      <c r="D1520" s="6">
        <f t="shared" ca="1" si="0"/>
        <v>45433</v>
      </c>
      <c r="E1520" s="6">
        <f t="shared" ca="1" si="1"/>
        <v>45432</v>
      </c>
      <c r="F1520" s="6">
        <f t="shared" ca="1" si="2"/>
        <v>45413</v>
      </c>
      <c r="G1520" s="7"/>
    </row>
    <row r="1521" spans="1:7" x14ac:dyDescent="0.2">
      <c r="A1521" s="3">
        <f ca="1">IFERROR(__xludf.DUMMYFUNCTION("""COMPUTED_VALUE"""),5153)</f>
        <v>5153</v>
      </c>
      <c r="B1521" s="6">
        <f ca="1">IFERROR(__xludf.DUMMYFUNCTION("""COMPUTED_VALUE"""),45434.5016319444)</f>
        <v>45434.501631944397</v>
      </c>
      <c r="C1521" s="3" t="str">
        <f ca="1">IFERROR(__xludf.DUMMYFUNCTION("""COMPUTED_VALUE"""),"purchase")</f>
        <v>purchase</v>
      </c>
      <c r="D1521" s="6">
        <f t="shared" ca="1" si="0"/>
        <v>45434</v>
      </c>
      <c r="E1521" s="6">
        <f t="shared" ca="1" si="1"/>
        <v>45432</v>
      </c>
      <c r="F1521" s="6">
        <f t="shared" ca="1" si="2"/>
        <v>45413</v>
      </c>
      <c r="G1521" s="7"/>
    </row>
    <row r="1522" spans="1:7" x14ac:dyDescent="0.2">
      <c r="A1522" s="3">
        <f ca="1">IFERROR(__xludf.DUMMYFUNCTION("""COMPUTED_VALUE"""),997)</f>
        <v>997</v>
      </c>
      <c r="B1522" s="6">
        <f ca="1">IFERROR(__xludf.DUMMYFUNCTION("""COMPUTED_VALUE"""),45434.5489351851)</f>
        <v>45434.548935185099</v>
      </c>
      <c r="C1522" s="3" t="str">
        <f ca="1">IFERROR(__xludf.DUMMYFUNCTION("""COMPUTED_VALUE"""),"purchase")</f>
        <v>purchase</v>
      </c>
      <c r="D1522" s="6">
        <f t="shared" ca="1" si="0"/>
        <v>45434</v>
      </c>
      <c r="E1522" s="6">
        <f t="shared" ca="1" si="1"/>
        <v>45432</v>
      </c>
      <c r="F1522" s="6">
        <f t="shared" ca="1" si="2"/>
        <v>45413</v>
      </c>
      <c r="G1522" s="7"/>
    </row>
    <row r="1523" spans="1:7" x14ac:dyDescent="0.2">
      <c r="A1523" s="3">
        <f ca="1">IFERROR(__xludf.DUMMYFUNCTION("""COMPUTED_VALUE"""),4060)</f>
        <v>4060</v>
      </c>
      <c r="B1523" s="6">
        <f ca="1">IFERROR(__xludf.DUMMYFUNCTION("""COMPUTED_VALUE"""),45434.7008217592)</f>
        <v>45434.700821759201</v>
      </c>
      <c r="C1523" s="3" t="str">
        <f ca="1">IFERROR(__xludf.DUMMYFUNCTION("""COMPUTED_VALUE"""),"purchase")</f>
        <v>purchase</v>
      </c>
      <c r="D1523" s="6">
        <f t="shared" ca="1" si="0"/>
        <v>45434</v>
      </c>
      <c r="E1523" s="6">
        <f t="shared" ca="1" si="1"/>
        <v>45432</v>
      </c>
      <c r="F1523" s="6">
        <f t="shared" ca="1" si="2"/>
        <v>45413</v>
      </c>
      <c r="G1523" s="7"/>
    </row>
    <row r="1524" spans="1:7" x14ac:dyDescent="0.2">
      <c r="A1524" s="3">
        <f ca="1">IFERROR(__xludf.DUMMYFUNCTION("""COMPUTED_VALUE"""),6627)</f>
        <v>6627</v>
      </c>
      <c r="B1524" s="6">
        <f ca="1">IFERROR(__xludf.DUMMYFUNCTION("""COMPUTED_VALUE"""),45434.7126388888)</f>
        <v>45434.712638888799</v>
      </c>
      <c r="C1524" s="3" t="str">
        <f ca="1">IFERROR(__xludf.DUMMYFUNCTION("""COMPUTED_VALUE"""),"purchase")</f>
        <v>purchase</v>
      </c>
      <c r="D1524" s="6">
        <f t="shared" ca="1" si="0"/>
        <v>45434</v>
      </c>
      <c r="E1524" s="6">
        <f t="shared" ca="1" si="1"/>
        <v>45432</v>
      </c>
      <c r="F1524" s="6">
        <f t="shared" ca="1" si="2"/>
        <v>45413</v>
      </c>
      <c r="G1524" s="7"/>
    </row>
    <row r="1525" spans="1:7" x14ac:dyDescent="0.2">
      <c r="A1525" s="3">
        <f ca="1">IFERROR(__xludf.DUMMYFUNCTION("""COMPUTED_VALUE"""),62)</f>
        <v>62</v>
      </c>
      <c r="B1525" s="6">
        <f ca="1">IFERROR(__xludf.DUMMYFUNCTION("""COMPUTED_VALUE"""),45434.8748842592)</f>
        <v>45434.874884259203</v>
      </c>
      <c r="C1525" s="3" t="str">
        <f ca="1">IFERROR(__xludf.DUMMYFUNCTION("""COMPUTED_VALUE"""),"purchase")</f>
        <v>purchase</v>
      </c>
      <c r="D1525" s="6">
        <f t="shared" ca="1" si="0"/>
        <v>45434</v>
      </c>
      <c r="E1525" s="6">
        <f t="shared" ca="1" si="1"/>
        <v>45432</v>
      </c>
      <c r="F1525" s="6">
        <f t="shared" ca="1" si="2"/>
        <v>45413</v>
      </c>
      <c r="G1525" s="7"/>
    </row>
    <row r="1526" spans="1:7" x14ac:dyDescent="0.2">
      <c r="A1526" s="3">
        <f ca="1">IFERROR(__xludf.DUMMYFUNCTION("""COMPUTED_VALUE"""),1147)</f>
        <v>1147</v>
      </c>
      <c r="B1526" s="6">
        <f ca="1">IFERROR(__xludf.DUMMYFUNCTION("""COMPUTED_VALUE"""),45435.0401967592)</f>
        <v>45435.040196759197</v>
      </c>
      <c r="C1526" s="3" t="str">
        <f ca="1">IFERROR(__xludf.DUMMYFUNCTION("""COMPUTED_VALUE"""),"purchase")</f>
        <v>purchase</v>
      </c>
      <c r="D1526" s="6">
        <f t="shared" ca="1" si="0"/>
        <v>45435</v>
      </c>
      <c r="E1526" s="6">
        <f t="shared" ca="1" si="1"/>
        <v>45432</v>
      </c>
      <c r="F1526" s="6">
        <f t="shared" ca="1" si="2"/>
        <v>45413</v>
      </c>
      <c r="G1526" s="7"/>
    </row>
    <row r="1527" spans="1:7" x14ac:dyDescent="0.2">
      <c r="A1527" s="3">
        <f ca="1">IFERROR(__xludf.DUMMYFUNCTION("""COMPUTED_VALUE"""),2723)</f>
        <v>2723</v>
      </c>
      <c r="B1527" s="6">
        <f ca="1">IFERROR(__xludf.DUMMYFUNCTION("""COMPUTED_VALUE"""),45435.0924537037)</f>
        <v>45435.092453703699</v>
      </c>
      <c r="C1527" s="3" t="str">
        <f ca="1">IFERROR(__xludf.DUMMYFUNCTION("""COMPUTED_VALUE"""),"purchase")</f>
        <v>purchase</v>
      </c>
      <c r="D1527" s="6">
        <f t="shared" ca="1" si="0"/>
        <v>45435</v>
      </c>
      <c r="E1527" s="6">
        <f t="shared" ca="1" si="1"/>
        <v>45432</v>
      </c>
      <c r="F1527" s="6">
        <f t="shared" ca="1" si="2"/>
        <v>45413</v>
      </c>
      <c r="G1527" s="7"/>
    </row>
    <row r="1528" spans="1:7" x14ac:dyDescent="0.2">
      <c r="A1528" s="3">
        <f ca="1">IFERROR(__xludf.DUMMYFUNCTION("""COMPUTED_VALUE"""),430)</f>
        <v>430</v>
      </c>
      <c r="B1528" s="6">
        <f ca="1">IFERROR(__xludf.DUMMYFUNCTION("""COMPUTED_VALUE"""),45435.1007291666)</f>
        <v>45435.100729166603</v>
      </c>
      <c r="C1528" s="3" t="str">
        <f ca="1">IFERROR(__xludf.DUMMYFUNCTION("""COMPUTED_VALUE"""),"purchase")</f>
        <v>purchase</v>
      </c>
      <c r="D1528" s="6">
        <f t="shared" ca="1" si="0"/>
        <v>45435</v>
      </c>
      <c r="E1528" s="6">
        <f t="shared" ca="1" si="1"/>
        <v>45432</v>
      </c>
      <c r="F1528" s="6">
        <f t="shared" ca="1" si="2"/>
        <v>45413</v>
      </c>
      <c r="G1528" s="7"/>
    </row>
    <row r="1529" spans="1:7" x14ac:dyDescent="0.2">
      <c r="A1529" s="3">
        <f ca="1">IFERROR(__xludf.DUMMYFUNCTION("""COMPUTED_VALUE"""),3459)</f>
        <v>3459</v>
      </c>
      <c r="B1529" s="6">
        <f ca="1">IFERROR(__xludf.DUMMYFUNCTION("""COMPUTED_VALUE"""),45435.1592824074)</f>
        <v>45435.159282407403</v>
      </c>
      <c r="C1529" s="3" t="str">
        <f ca="1">IFERROR(__xludf.DUMMYFUNCTION("""COMPUTED_VALUE"""),"purchase")</f>
        <v>purchase</v>
      </c>
      <c r="D1529" s="6">
        <f t="shared" ca="1" si="0"/>
        <v>45435</v>
      </c>
      <c r="E1529" s="6">
        <f t="shared" ca="1" si="1"/>
        <v>45432</v>
      </c>
      <c r="F1529" s="6">
        <f t="shared" ca="1" si="2"/>
        <v>45413</v>
      </c>
      <c r="G1529" s="7"/>
    </row>
    <row r="1530" spans="1:7" x14ac:dyDescent="0.2">
      <c r="A1530" s="3">
        <f ca="1">IFERROR(__xludf.DUMMYFUNCTION("""COMPUTED_VALUE"""),2099)</f>
        <v>2099</v>
      </c>
      <c r="B1530" s="6">
        <f ca="1">IFERROR(__xludf.DUMMYFUNCTION("""COMPUTED_VALUE"""),45435.1709375)</f>
        <v>45435.170937499999</v>
      </c>
      <c r="C1530" s="3" t="str">
        <f ca="1">IFERROR(__xludf.DUMMYFUNCTION("""COMPUTED_VALUE"""),"purchase")</f>
        <v>purchase</v>
      </c>
      <c r="D1530" s="6">
        <f t="shared" ca="1" si="0"/>
        <v>45435</v>
      </c>
      <c r="E1530" s="6">
        <f t="shared" ca="1" si="1"/>
        <v>45432</v>
      </c>
      <c r="F1530" s="6">
        <f t="shared" ca="1" si="2"/>
        <v>45413</v>
      </c>
      <c r="G1530" s="7"/>
    </row>
    <row r="1531" spans="1:7" x14ac:dyDescent="0.2">
      <c r="A1531" s="3">
        <f ca="1">IFERROR(__xludf.DUMMYFUNCTION("""COMPUTED_VALUE"""),1870)</f>
        <v>1870</v>
      </c>
      <c r="B1531" s="6">
        <f ca="1">IFERROR(__xludf.DUMMYFUNCTION("""COMPUTED_VALUE"""),45435.5722685185)</f>
        <v>45435.572268518503</v>
      </c>
      <c r="C1531" s="3" t="str">
        <f ca="1">IFERROR(__xludf.DUMMYFUNCTION("""COMPUTED_VALUE"""),"purchase")</f>
        <v>purchase</v>
      </c>
      <c r="D1531" s="6">
        <f t="shared" ca="1" si="0"/>
        <v>45435</v>
      </c>
      <c r="E1531" s="6">
        <f t="shared" ca="1" si="1"/>
        <v>45432</v>
      </c>
      <c r="F1531" s="6">
        <f t="shared" ca="1" si="2"/>
        <v>45413</v>
      </c>
      <c r="G1531" s="7"/>
    </row>
    <row r="1532" spans="1:7" x14ac:dyDescent="0.2">
      <c r="A1532" s="3">
        <f ca="1">IFERROR(__xludf.DUMMYFUNCTION("""COMPUTED_VALUE"""),2115)</f>
        <v>2115</v>
      </c>
      <c r="B1532" s="6">
        <f ca="1">IFERROR(__xludf.DUMMYFUNCTION("""COMPUTED_VALUE"""),45435.5858217592)</f>
        <v>45435.585821759203</v>
      </c>
      <c r="C1532" s="3" t="str">
        <f ca="1">IFERROR(__xludf.DUMMYFUNCTION("""COMPUTED_VALUE"""),"purchase")</f>
        <v>purchase</v>
      </c>
      <c r="D1532" s="6">
        <f t="shared" ca="1" si="0"/>
        <v>45435</v>
      </c>
      <c r="E1532" s="6">
        <f t="shared" ca="1" si="1"/>
        <v>45432</v>
      </c>
      <c r="F1532" s="6">
        <f t="shared" ca="1" si="2"/>
        <v>45413</v>
      </c>
      <c r="G1532" s="7"/>
    </row>
    <row r="1533" spans="1:7" x14ac:dyDescent="0.2">
      <c r="A1533" s="3">
        <f ca="1">IFERROR(__xludf.DUMMYFUNCTION("""COMPUTED_VALUE"""),3299)</f>
        <v>3299</v>
      </c>
      <c r="B1533" s="6">
        <f ca="1">IFERROR(__xludf.DUMMYFUNCTION("""COMPUTED_VALUE"""),45435.5898958333)</f>
        <v>45435.589895833298</v>
      </c>
      <c r="C1533" s="3" t="str">
        <f ca="1">IFERROR(__xludf.DUMMYFUNCTION("""COMPUTED_VALUE"""),"purchase")</f>
        <v>purchase</v>
      </c>
      <c r="D1533" s="6">
        <f t="shared" ca="1" si="0"/>
        <v>45435</v>
      </c>
      <c r="E1533" s="6">
        <f t="shared" ca="1" si="1"/>
        <v>45432</v>
      </c>
      <c r="F1533" s="6">
        <f t="shared" ca="1" si="2"/>
        <v>45413</v>
      </c>
      <c r="G1533" s="7"/>
    </row>
    <row r="1534" spans="1:7" x14ac:dyDescent="0.2">
      <c r="A1534" s="3">
        <f ca="1">IFERROR(__xludf.DUMMYFUNCTION("""COMPUTED_VALUE"""),6824)</f>
        <v>6824</v>
      </c>
      <c r="B1534" s="6">
        <f ca="1">IFERROR(__xludf.DUMMYFUNCTION("""COMPUTED_VALUE"""),45435.6331018518)</f>
        <v>45435.633101851803</v>
      </c>
      <c r="C1534" s="3" t="str">
        <f ca="1">IFERROR(__xludf.DUMMYFUNCTION("""COMPUTED_VALUE"""),"purchase")</f>
        <v>purchase</v>
      </c>
      <c r="D1534" s="6">
        <f t="shared" ca="1" si="0"/>
        <v>45435</v>
      </c>
      <c r="E1534" s="6">
        <f t="shared" ca="1" si="1"/>
        <v>45432</v>
      </c>
      <c r="F1534" s="6">
        <f t="shared" ca="1" si="2"/>
        <v>45413</v>
      </c>
      <c r="G1534" s="7"/>
    </row>
    <row r="1535" spans="1:7" x14ac:dyDescent="0.2">
      <c r="A1535" s="3">
        <f ca="1">IFERROR(__xludf.DUMMYFUNCTION("""COMPUTED_VALUE"""),3359)</f>
        <v>3359</v>
      </c>
      <c r="B1535" s="6">
        <f ca="1">IFERROR(__xludf.DUMMYFUNCTION("""COMPUTED_VALUE"""),45435.6407060185)</f>
        <v>45435.640706018501</v>
      </c>
      <c r="C1535" s="3" t="str">
        <f ca="1">IFERROR(__xludf.DUMMYFUNCTION("""COMPUTED_VALUE"""),"purchase")</f>
        <v>purchase</v>
      </c>
      <c r="D1535" s="6">
        <f t="shared" ca="1" si="0"/>
        <v>45435</v>
      </c>
      <c r="E1535" s="6">
        <f t="shared" ca="1" si="1"/>
        <v>45432</v>
      </c>
      <c r="F1535" s="6">
        <f t="shared" ca="1" si="2"/>
        <v>45413</v>
      </c>
      <c r="G1535" s="7"/>
    </row>
    <row r="1536" spans="1:7" x14ac:dyDescent="0.2">
      <c r="A1536" s="3">
        <f ca="1">IFERROR(__xludf.DUMMYFUNCTION("""COMPUTED_VALUE"""),1537)</f>
        <v>1537</v>
      </c>
      <c r="B1536" s="6">
        <f ca="1">IFERROR(__xludf.DUMMYFUNCTION("""COMPUTED_VALUE"""),45435.6577893518)</f>
        <v>45435.657789351797</v>
      </c>
      <c r="C1536" s="3" t="str">
        <f ca="1">IFERROR(__xludf.DUMMYFUNCTION("""COMPUTED_VALUE"""),"purchase")</f>
        <v>purchase</v>
      </c>
      <c r="D1536" s="6">
        <f t="shared" ca="1" si="0"/>
        <v>45435</v>
      </c>
      <c r="E1536" s="6">
        <f t="shared" ca="1" si="1"/>
        <v>45432</v>
      </c>
      <c r="F1536" s="6">
        <f t="shared" ca="1" si="2"/>
        <v>45413</v>
      </c>
      <c r="G1536" s="7"/>
    </row>
    <row r="1537" spans="1:7" x14ac:dyDescent="0.2">
      <c r="A1537" s="3">
        <f ca="1">IFERROR(__xludf.DUMMYFUNCTION("""COMPUTED_VALUE"""),2987)</f>
        <v>2987</v>
      </c>
      <c r="B1537" s="6">
        <f ca="1">IFERROR(__xludf.DUMMYFUNCTION("""COMPUTED_VALUE"""),45435.8055439814)</f>
        <v>45435.805543981398</v>
      </c>
      <c r="C1537" s="3" t="str">
        <f ca="1">IFERROR(__xludf.DUMMYFUNCTION("""COMPUTED_VALUE"""),"purchase")</f>
        <v>purchase</v>
      </c>
      <c r="D1537" s="6">
        <f t="shared" ca="1" si="0"/>
        <v>45435</v>
      </c>
      <c r="E1537" s="6">
        <f t="shared" ca="1" si="1"/>
        <v>45432</v>
      </c>
      <c r="F1537" s="6">
        <f t="shared" ca="1" si="2"/>
        <v>45413</v>
      </c>
      <c r="G1537" s="7"/>
    </row>
    <row r="1538" spans="1:7" x14ac:dyDescent="0.2">
      <c r="A1538" s="3">
        <f ca="1">IFERROR(__xludf.DUMMYFUNCTION("""COMPUTED_VALUE"""),4221)</f>
        <v>4221</v>
      </c>
      <c r="B1538" s="6">
        <f ca="1">IFERROR(__xludf.DUMMYFUNCTION("""COMPUTED_VALUE"""),45435.8142129629)</f>
        <v>45435.814212962898</v>
      </c>
      <c r="C1538" s="3" t="str">
        <f ca="1">IFERROR(__xludf.DUMMYFUNCTION("""COMPUTED_VALUE"""),"purchase")</f>
        <v>purchase</v>
      </c>
      <c r="D1538" s="6">
        <f t="shared" ca="1" si="0"/>
        <v>45435</v>
      </c>
      <c r="E1538" s="6">
        <f t="shared" ca="1" si="1"/>
        <v>45432</v>
      </c>
      <c r="F1538" s="6">
        <f t="shared" ca="1" si="2"/>
        <v>45413</v>
      </c>
      <c r="G1538" s="7"/>
    </row>
    <row r="1539" spans="1:7" x14ac:dyDescent="0.2">
      <c r="A1539" s="3">
        <f ca="1">IFERROR(__xludf.DUMMYFUNCTION("""COMPUTED_VALUE"""),4562)</f>
        <v>4562</v>
      </c>
      <c r="B1539" s="6">
        <f ca="1">IFERROR(__xludf.DUMMYFUNCTION("""COMPUTED_VALUE"""),45435.8476273148)</f>
        <v>45435.847627314797</v>
      </c>
      <c r="C1539" s="3" t="str">
        <f ca="1">IFERROR(__xludf.DUMMYFUNCTION("""COMPUTED_VALUE"""),"purchase")</f>
        <v>purchase</v>
      </c>
      <c r="D1539" s="6">
        <f t="shared" ca="1" si="0"/>
        <v>45435</v>
      </c>
      <c r="E1539" s="6">
        <f t="shared" ca="1" si="1"/>
        <v>45432</v>
      </c>
      <c r="F1539" s="6">
        <f t="shared" ca="1" si="2"/>
        <v>45413</v>
      </c>
      <c r="G1539" s="7"/>
    </row>
    <row r="1540" spans="1:7" x14ac:dyDescent="0.2">
      <c r="A1540" s="3">
        <f ca="1">IFERROR(__xludf.DUMMYFUNCTION("""COMPUTED_VALUE"""),1972)</f>
        <v>1972</v>
      </c>
      <c r="B1540" s="6">
        <f ca="1">IFERROR(__xludf.DUMMYFUNCTION("""COMPUTED_VALUE"""),45436.043125)</f>
        <v>45436.043124999997</v>
      </c>
      <c r="C1540" s="3" t="str">
        <f ca="1">IFERROR(__xludf.DUMMYFUNCTION("""COMPUTED_VALUE"""),"purchase")</f>
        <v>purchase</v>
      </c>
      <c r="D1540" s="6">
        <f t="shared" ca="1" si="0"/>
        <v>45436</v>
      </c>
      <c r="E1540" s="6">
        <f t="shared" ca="1" si="1"/>
        <v>45432</v>
      </c>
      <c r="F1540" s="6">
        <f t="shared" ca="1" si="2"/>
        <v>45413</v>
      </c>
      <c r="G1540" s="7"/>
    </row>
    <row r="1541" spans="1:7" x14ac:dyDescent="0.2">
      <c r="A1541" s="3">
        <f ca="1">IFERROR(__xludf.DUMMYFUNCTION("""COMPUTED_VALUE"""),605)</f>
        <v>605</v>
      </c>
      <c r="B1541" s="6">
        <f ca="1">IFERROR(__xludf.DUMMYFUNCTION("""COMPUTED_VALUE"""),45436.3490856481)</f>
        <v>45436.3490856481</v>
      </c>
      <c r="C1541" s="3" t="str">
        <f ca="1">IFERROR(__xludf.DUMMYFUNCTION("""COMPUTED_VALUE"""),"purchase")</f>
        <v>purchase</v>
      </c>
      <c r="D1541" s="6">
        <f t="shared" ca="1" si="0"/>
        <v>45436</v>
      </c>
      <c r="E1541" s="6">
        <f t="shared" ca="1" si="1"/>
        <v>45432</v>
      </c>
      <c r="F1541" s="6">
        <f t="shared" ca="1" si="2"/>
        <v>45413</v>
      </c>
      <c r="G1541" s="7"/>
    </row>
    <row r="1542" spans="1:7" x14ac:dyDescent="0.2">
      <c r="A1542" s="3">
        <f ca="1">IFERROR(__xludf.DUMMYFUNCTION("""COMPUTED_VALUE"""),6135)</f>
        <v>6135</v>
      </c>
      <c r="B1542" s="6">
        <f ca="1">IFERROR(__xludf.DUMMYFUNCTION("""COMPUTED_VALUE"""),45436.3930324074)</f>
        <v>45436.393032407403</v>
      </c>
      <c r="C1542" s="3" t="str">
        <f ca="1">IFERROR(__xludf.DUMMYFUNCTION("""COMPUTED_VALUE"""),"purchase")</f>
        <v>purchase</v>
      </c>
      <c r="D1542" s="6">
        <f t="shared" ca="1" si="0"/>
        <v>45436</v>
      </c>
      <c r="E1542" s="6">
        <f t="shared" ca="1" si="1"/>
        <v>45432</v>
      </c>
      <c r="F1542" s="6">
        <f t="shared" ca="1" si="2"/>
        <v>45413</v>
      </c>
      <c r="G1542" s="7"/>
    </row>
    <row r="1543" spans="1:7" x14ac:dyDescent="0.2">
      <c r="A1543" s="3">
        <f ca="1">IFERROR(__xludf.DUMMYFUNCTION("""COMPUTED_VALUE"""),6401)</f>
        <v>6401</v>
      </c>
      <c r="B1543" s="6">
        <f ca="1">IFERROR(__xludf.DUMMYFUNCTION("""COMPUTED_VALUE"""),45436.5198263888)</f>
        <v>45436.519826388801</v>
      </c>
      <c r="C1543" s="3" t="str">
        <f ca="1">IFERROR(__xludf.DUMMYFUNCTION("""COMPUTED_VALUE"""),"purchase")</f>
        <v>purchase</v>
      </c>
      <c r="D1543" s="6">
        <f t="shared" ca="1" si="0"/>
        <v>45436</v>
      </c>
      <c r="E1543" s="6">
        <f t="shared" ca="1" si="1"/>
        <v>45432</v>
      </c>
      <c r="F1543" s="6">
        <f t="shared" ca="1" si="2"/>
        <v>45413</v>
      </c>
      <c r="G1543" s="7"/>
    </row>
    <row r="1544" spans="1:7" x14ac:dyDescent="0.2">
      <c r="A1544" s="3">
        <f ca="1">IFERROR(__xludf.DUMMYFUNCTION("""COMPUTED_VALUE"""),4307)</f>
        <v>4307</v>
      </c>
      <c r="B1544" s="6">
        <f ca="1">IFERROR(__xludf.DUMMYFUNCTION("""COMPUTED_VALUE"""),45436.6444097222)</f>
        <v>45436.644409722197</v>
      </c>
      <c r="C1544" s="3" t="str">
        <f ca="1">IFERROR(__xludf.DUMMYFUNCTION("""COMPUTED_VALUE"""),"purchase")</f>
        <v>purchase</v>
      </c>
      <c r="D1544" s="6">
        <f t="shared" ca="1" si="0"/>
        <v>45436</v>
      </c>
      <c r="E1544" s="6">
        <f t="shared" ca="1" si="1"/>
        <v>45432</v>
      </c>
      <c r="F1544" s="6">
        <f t="shared" ca="1" si="2"/>
        <v>45413</v>
      </c>
      <c r="G1544" s="7"/>
    </row>
    <row r="1545" spans="1:7" x14ac:dyDescent="0.2">
      <c r="A1545" s="3">
        <f ca="1">IFERROR(__xludf.DUMMYFUNCTION("""COMPUTED_VALUE"""),7776)</f>
        <v>7776</v>
      </c>
      <c r="B1545" s="6">
        <f ca="1">IFERROR(__xludf.DUMMYFUNCTION("""COMPUTED_VALUE"""),45436.6453125)</f>
        <v>45436.645312499997</v>
      </c>
      <c r="C1545" s="3" t="str">
        <f ca="1">IFERROR(__xludf.DUMMYFUNCTION("""COMPUTED_VALUE"""),"purchase")</f>
        <v>purchase</v>
      </c>
      <c r="D1545" s="6">
        <f t="shared" ca="1" si="0"/>
        <v>45436</v>
      </c>
      <c r="E1545" s="6">
        <f t="shared" ca="1" si="1"/>
        <v>45432</v>
      </c>
      <c r="F1545" s="6">
        <f t="shared" ca="1" si="2"/>
        <v>45413</v>
      </c>
      <c r="G1545" s="7"/>
    </row>
    <row r="1546" spans="1:7" x14ac:dyDescent="0.2">
      <c r="A1546" s="3">
        <f ca="1">IFERROR(__xludf.DUMMYFUNCTION("""COMPUTED_VALUE"""),6657)</f>
        <v>6657</v>
      </c>
      <c r="B1546" s="6">
        <f ca="1">IFERROR(__xludf.DUMMYFUNCTION("""COMPUTED_VALUE"""),45436.717662037)</f>
        <v>45436.717662037001</v>
      </c>
      <c r="C1546" s="3" t="str">
        <f ca="1">IFERROR(__xludf.DUMMYFUNCTION("""COMPUTED_VALUE"""),"purchase")</f>
        <v>purchase</v>
      </c>
      <c r="D1546" s="6">
        <f t="shared" ca="1" si="0"/>
        <v>45436</v>
      </c>
      <c r="E1546" s="6">
        <f t="shared" ca="1" si="1"/>
        <v>45432</v>
      </c>
      <c r="F1546" s="6">
        <f t="shared" ca="1" si="2"/>
        <v>45413</v>
      </c>
      <c r="G1546" s="7"/>
    </row>
    <row r="1547" spans="1:7" x14ac:dyDescent="0.2">
      <c r="A1547" s="3">
        <f ca="1">IFERROR(__xludf.DUMMYFUNCTION("""COMPUTED_VALUE"""),5308)</f>
        <v>5308</v>
      </c>
      <c r="B1547" s="6">
        <f ca="1">IFERROR(__xludf.DUMMYFUNCTION("""COMPUTED_VALUE"""),45436.7284722222)</f>
        <v>45436.728472222203</v>
      </c>
      <c r="C1547" s="3" t="str">
        <f ca="1">IFERROR(__xludf.DUMMYFUNCTION("""COMPUTED_VALUE"""),"purchase")</f>
        <v>purchase</v>
      </c>
      <c r="D1547" s="6">
        <f t="shared" ca="1" si="0"/>
        <v>45436</v>
      </c>
      <c r="E1547" s="6">
        <f t="shared" ca="1" si="1"/>
        <v>45432</v>
      </c>
      <c r="F1547" s="6">
        <f t="shared" ca="1" si="2"/>
        <v>45413</v>
      </c>
      <c r="G1547" s="7"/>
    </row>
    <row r="1548" spans="1:7" x14ac:dyDescent="0.2">
      <c r="A1548" s="3">
        <f ca="1">IFERROR(__xludf.DUMMYFUNCTION("""COMPUTED_VALUE"""),6310)</f>
        <v>6310</v>
      </c>
      <c r="B1548" s="6">
        <f ca="1">IFERROR(__xludf.DUMMYFUNCTION("""COMPUTED_VALUE"""),45436.773449074)</f>
        <v>45436.773449073997</v>
      </c>
      <c r="C1548" s="3" t="str">
        <f ca="1">IFERROR(__xludf.DUMMYFUNCTION("""COMPUTED_VALUE"""),"purchase")</f>
        <v>purchase</v>
      </c>
      <c r="D1548" s="6">
        <f t="shared" ca="1" si="0"/>
        <v>45436</v>
      </c>
      <c r="E1548" s="6">
        <f t="shared" ca="1" si="1"/>
        <v>45432</v>
      </c>
      <c r="F1548" s="6">
        <f t="shared" ca="1" si="2"/>
        <v>45413</v>
      </c>
      <c r="G1548" s="7"/>
    </row>
    <row r="1549" spans="1:7" x14ac:dyDescent="0.2">
      <c r="A1549" s="3">
        <f ca="1">IFERROR(__xludf.DUMMYFUNCTION("""COMPUTED_VALUE"""),1047)</f>
        <v>1047</v>
      </c>
      <c r="B1549" s="6">
        <f ca="1">IFERROR(__xludf.DUMMYFUNCTION("""COMPUTED_VALUE"""),45436.9689699074)</f>
        <v>45436.968969907401</v>
      </c>
      <c r="C1549" s="3" t="str">
        <f ca="1">IFERROR(__xludf.DUMMYFUNCTION("""COMPUTED_VALUE"""),"purchase")</f>
        <v>purchase</v>
      </c>
      <c r="D1549" s="6">
        <f t="shared" ca="1" si="0"/>
        <v>45436</v>
      </c>
      <c r="E1549" s="6">
        <f t="shared" ca="1" si="1"/>
        <v>45432</v>
      </c>
      <c r="F1549" s="6">
        <f t="shared" ca="1" si="2"/>
        <v>45413</v>
      </c>
      <c r="G1549" s="7"/>
    </row>
    <row r="1550" spans="1:7" x14ac:dyDescent="0.2">
      <c r="A1550" s="3">
        <f ca="1">IFERROR(__xludf.DUMMYFUNCTION("""COMPUTED_VALUE"""),7112)</f>
        <v>7112</v>
      </c>
      <c r="B1550" s="6">
        <f ca="1">IFERROR(__xludf.DUMMYFUNCTION("""COMPUTED_VALUE"""),45436.9794097222)</f>
        <v>45436.979409722197</v>
      </c>
      <c r="C1550" s="3" t="str">
        <f ca="1">IFERROR(__xludf.DUMMYFUNCTION("""COMPUTED_VALUE"""),"purchase")</f>
        <v>purchase</v>
      </c>
      <c r="D1550" s="6">
        <f t="shared" ca="1" si="0"/>
        <v>45436</v>
      </c>
      <c r="E1550" s="6">
        <f t="shared" ca="1" si="1"/>
        <v>45432</v>
      </c>
      <c r="F1550" s="6">
        <f t="shared" ca="1" si="2"/>
        <v>45413</v>
      </c>
      <c r="G1550" s="7"/>
    </row>
    <row r="1551" spans="1:7" x14ac:dyDescent="0.2">
      <c r="A1551" s="3">
        <f ca="1">IFERROR(__xludf.DUMMYFUNCTION("""COMPUTED_VALUE"""),5346)</f>
        <v>5346</v>
      </c>
      <c r="B1551" s="6">
        <f ca="1">IFERROR(__xludf.DUMMYFUNCTION("""COMPUTED_VALUE"""),45437.0899305555)</f>
        <v>45437.089930555499</v>
      </c>
      <c r="C1551" s="3" t="str">
        <f ca="1">IFERROR(__xludf.DUMMYFUNCTION("""COMPUTED_VALUE"""),"purchase")</f>
        <v>purchase</v>
      </c>
      <c r="D1551" s="6">
        <f t="shared" ca="1" si="0"/>
        <v>45437</v>
      </c>
      <c r="E1551" s="6">
        <f t="shared" ca="1" si="1"/>
        <v>45432</v>
      </c>
      <c r="F1551" s="6">
        <f t="shared" ca="1" si="2"/>
        <v>45413</v>
      </c>
      <c r="G1551" s="7"/>
    </row>
    <row r="1552" spans="1:7" x14ac:dyDescent="0.2">
      <c r="A1552" s="3">
        <f ca="1">IFERROR(__xludf.DUMMYFUNCTION("""COMPUTED_VALUE"""),2974)</f>
        <v>2974</v>
      </c>
      <c r="B1552" s="6">
        <f ca="1">IFERROR(__xludf.DUMMYFUNCTION("""COMPUTED_VALUE"""),45437.0986458333)</f>
        <v>45437.098645833299</v>
      </c>
      <c r="C1552" s="3" t="str">
        <f ca="1">IFERROR(__xludf.DUMMYFUNCTION("""COMPUTED_VALUE"""),"purchase")</f>
        <v>purchase</v>
      </c>
      <c r="D1552" s="6">
        <f t="shared" ca="1" si="0"/>
        <v>45437</v>
      </c>
      <c r="E1552" s="6">
        <f t="shared" ca="1" si="1"/>
        <v>45432</v>
      </c>
      <c r="F1552" s="6">
        <f t="shared" ca="1" si="2"/>
        <v>45413</v>
      </c>
      <c r="G1552" s="7"/>
    </row>
    <row r="1553" spans="1:7" x14ac:dyDescent="0.2">
      <c r="A1553" s="3">
        <f ca="1">IFERROR(__xludf.DUMMYFUNCTION("""COMPUTED_VALUE"""),2664)</f>
        <v>2664</v>
      </c>
      <c r="B1553" s="6">
        <f ca="1">IFERROR(__xludf.DUMMYFUNCTION("""COMPUTED_VALUE"""),45437.2291435185)</f>
        <v>45437.229143518503</v>
      </c>
      <c r="C1553" s="3" t="str">
        <f ca="1">IFERROR(__xludf.DUMMYFUNCTION("""COMPUTED_VALUE"""),"purchase")</f>
        <v>purchase</v>
      </c>
      <c r="D1553" s="6">
        <f t="shared" ca="1" si="0"/>
        <v>45437</v>
      </c>
      <c r="E1553" s="6">
        <f t="shared" ca="1" si="1"/>
        <v>45432</v>
      </c>
      <c r="F1553" s="6">
        <f t="shared" ca="1" si="2"/>
        <v>45413</v>
      </c>
      <c r="G1553" s="7"/>
    </row>
    <row r="1554" spans="1:7" x14ac:dyDescent="0.2">
      <c r="A1554" s="3">
        <f ca="1">IFERROR(__xludf.DUMMYFUNCTION("""COMPUTED_VALUE"""),7470)</f>
        <v>7470</v>
      </c>
      <c r="B1554" s="6">
        <f ca="1">IFERROR(__xludf.DUMMYFUNCTION("""COMPUTED_VALUE"""),45437.3497453703)</f>
        <v>45437.349745370302</v>
      </c>
      <c r="C1554" s="3" t="str">
        <f ca="1">IFERROR(__xludf.DUMMYFUNCTION("""COMPUTED_VALUE"""),"purchase")</f>
        <v>purchase</v>
      </c>
      <c r="D1554" s="6">
        <f t="shared" ca="1" si="0"/>
        <v>45437</v>
      </c>
      <c r="E1554" s="6">
        <f t="shared" ca="1" si="1"/>
        <v>45432</v>
      </c>
      <c r="F1554" s="6">
        <f t="shared" ca="1" si="2"/>
        <v>45413</v>
      </c>
      <c r="G1554" s="7"/>
    </row>
    <row r="1555" spans="1:7" x14ac:dyDescent="0.2">
      <c r="A1555" s="3">
        <f ca="1">IFERROR(__xludf.DUMMYFUNCTION("""COMPUTED_VALUE"""),1006)</f>
        <v>1006</v>
      </c>
      <c r="B1555" s="6">
        <f ca="1">IFERROR(__xludf.DUMMYFUNCTION("""COMPUTED_VALUE"""),45437.4096527777)</f>
        <v>45437.4096527777</v>
      </c>
      <c r="C1555" s="3" t="str">
        <f ca="1">IFERROR(__xludf.DUMMYFUNCTION("""COMPUTED_VALUE"""),"purchase")</f>
        <v>purchase</v>
      </c>
      <c r="D1555" s="6">
        <f t="shared" ca="1" si="0"/>
        <v>45437</v>
      </c>
      <c r="E1555" s="6">
        <f t="shared" ca="1" si="1"/>
        <v>45432</v>
      </c>
      <c r="F1555" s="6">
        <f t="shared" ca="1" si="2"/>
        <v>45413</v>
      </c>
      <c r="G1555" s="7"/>
    </row>
    <row r="1556" spans="1:7" x14ac:dyDescent="0.2">
      <c r="A1556" s="3">
        <f ca="1">IFERROR(__xludf.DUMMYFUNCTION("""COMPUTED_VALUE"""),1540)</f>
        <v>1540</v>
      </c>
      <c r="B1556" s="6">
        <f ca="1">IFERROR(__xludf.DUMMYFUNCTION("""COMPUTED_VALUE"""),45437.4319560185)</f>
        <v>45437.431956018503</v>
      </c>
      <c r="C1556" s="3" t="str">
        <f ca="1">IFERROR(__xludf.DUMMYFUNCTION("""COMPUTED_VALUE"""),"purchase")</f>
        <v>purchase</v>
      </c>
      <c r="D1556" s="6">
        <f t="shared" ca="1" si="0"/>
        <v>45437</v>
      </c>
      <c r="E1556" s="6">
        <f t="shared" ca="1" si="1"/>
        <v>45432</v>
      </c>
      <c r="F1556" s="6">
        <f t="shared" ca="1" si="2"/>
        <v>45413</v>
      </c>
      <c r="G1556" s="7"/>
    </row>
    <row r="1557" spans="1:7" x14ac:dyDescent="0.2">
      <c r="A1557" s="3">
        <f ca="1">IFERROR(__xludf.DUMMYFUNCTION("""COMPUTED_VALUE"""),1583)</f>
        <v>1583</v>
      </c>
      <c r="B1557" s="6">
        <f ca="1">IFERROR(__xludf.DUMMYFUNCTION("""COMPUTED_VALUE"""),45437.4438078703)</f>
        <v>45437.443807870302</v>
      </c>
      <c r="C1557" s="3" t="str">
        <f ca="1">IFERROR(__xludf.DUMMYFUNCTION("""COMPUTED_VALUE"""),"purchase")</f>
        <v>purchase</v>
      </c>
      <c r="D1557" s="6">
        <f t="shared" ca="1" si="0"/>
        <v>45437</v>
      </c>
      <c r="E1557" s="6">
        <f t="shared" ca="1" si="1"/>
        <v>45432</v>
      </c>
      <c r="F1557" s="6">
        <f t="shared" ca="1" si="2"/>
        <v>45413</v>
      </c>
      <c r="G1557" s="7"/>
    </row>
    <row r="1558" spans="1:7" x14ac:dyDescent="0.2">
      <c r="A1558" s="3">
        <f ca="1">IFERROR(__xludf.DUMMYFUNCTION("""COMPUTED_VALUE"""),2477)</f>
        <v>2477</v>
      </c>
      <c r="B1558" s="6">
        <f ca="1">IFERROR(__xludf.DUMMYFUNCTION("""COMPUTED_VALUE"""),45437.6566782407)</f>
        <v>45437.656678240703</v>
      </c>
      <c r="C1558" s="3" t="str">
        <f ca="1">IFERROR(__xludf.DUMMYFUNCTION("""COMPUTED_VALUE"""),"purchase")</f>
        <v>purchase</v>
      </c>
      <c r="D1558" s="6">
        <f t="shared" ca="1" si="0"/>
        <v>45437</v>
      </c>
      <c r="E1558" s="6">
        <f t="shared" ca="1" si="1"/>
        <v>45432</v>
      </c>
      <c r="F1558" s="6">
        <f t="shared" ca="1" si="2"/>
        <v>45413</v>
      </c>
      <c r="G1558" s="7"/>
    </row>
    <row r="1559" spans="1:7" x14ac:dyDescent="0.2">
      <c r="A1559" s="3">
        <f ca="1">IFERROR(__xludf.DUMMYFUNCTION("""COMPUTED_VALUE"""),7942)</f>
        <v>7942</v>
      </c>
      <c r="B1559" s="6">
        <f ca="1">IFERROR(__xludf.DUMMYFUNCTION("""COMPUTED_VALUE"""),45437.6969675925)</f>
        <v>45437.696967592499</v>
      </c>
      <c r="C1559" s="3" t="str">
        <f ca="1">IFERROR(__xludf.DUMMYFUNCTION("""COMPUTED_VALUE"""),"purchase")</f>
        <v>purchase</v>
      </c>
      <c r="D1559" s="6">
        <f t="shared" ca="1" si="0"/>
        <v>45437</v>
      </c>
      <c r="E1559" s="6">
        <f t="shared" ca="1" si="1"/>
        <v>45432</v>
      </c>
      <c r="F1559" s="6">
        <f t="shared" ca="1" si="2"/>
        <v>45413</v>
      </c>
      <c r="G1559" s="7"/>
    </row>
    <row r="1560" spans="1:7" x14ac:dyDescent="0.2">
      <c r="A1560" s="3">
        <f ca="1">IFERROR(__xludf.DUMMYFUNCTION("""COMPUTED_VALUE"""),7486)</f>
        <v>7486</v>
      </c>
      <c r="B1560" s="6">
        <f ca="1">IFERROR(__xludf.DUMMYFUNCTION("""COMPUTED_VALUE"""),45437.7289467592)</f>
        <v>45437.728946759198</v>
      </c>
      <c r="C1560" s="3" t="str">
        <f ca="1">IFERROR(__xludf.DUMMYFUNCTION("""COMPUTED_VALUE"""),"purchase")</f>
        <v>purchase</v>
      </c>
      <c r="D1560" s="6">
        <f t="shared" ca="1" si="0"/>
        <v>45437</v>
      </c>
      <c r="E1560" s="6">
        <f t="shared" ca="1" si="1"/>
        <v>45432</v>
      </c>
      <c r="F1560" s="6">
        <f t="shared" ca="1" si="2"/>
        <v>45413</v>
      </c>
      <c r="G1560" s="7"/>
    </row>
    <row r="1561" spans="1:7" x14ac:dyDescent="0.2">
      <c r="A1561" s="3">
        <f ca="1">IFERROR(__xludf.DUMMYFUNCTION("""COMPUTED_VALUE"""),232)</f>
        <v>232</v>
      </c>
      <c r="B1561" s="6">
        <f ca="1">IFERROR(__xludf.DUMMYFUNCTION("""COMPUTED_VALUE"""),45437.7356134259)</f>
        <v>45437.735613425903</v>
      </c>
      <c r="C1561" s="3" t="str">
        <f ca="1">IFERROR(__xludf.DUMMYFUNCTION("""COMPUTED_VALUE"""),"purchase")</f>
        <v>purchase</v>
      </c>
      <c r="D1561" s="6">
        <f t="shared" ca="1" si="0"/>
        <v>45437</v>
      </c>
      <c r="E1561" s="6">
        <f t="shared" ca="1" si="1"/>
        <v>45432</v>
      </c>
      <c r="F1561" s="6">
        <f t="shared" ca="1" si="2"/>
        <v>45413</v>
      </c>
      <c r="G1561" s="7"/>
    </row>
    <row r="1562" spans="1:7" x14ac:dyDescent="0.2">
      <c r="A1562" s="3">
        <f ca="1">IFERROR(__xludf.DUMMYFUNCTION("""COMPUTED_VALUE"""),4197)</f>
        <v>4197</v>
      </c>
      <c r="B1562" s="6">
        <f ca="1">IFERROR(__xludf.DUMMYFUNCTION("""COMPUTED_VALUE"""),45437.7472569444)</f>
        <v>45437.7472569444</v>
      </c>
      <c r="C1562" s="3" t="str">
        <f ca="1">IFERROR(__xludf.DUMMYFUNCTION("""COMPUTED_VALUE"""),"purchase")</f>
        <v>purchase</v>
      </c>
      <c r="D1562" s="6">
        <f t="shared" ca="1" si="0"/>
        <v>45437</v>
      </c>
      <c r="E1562" s="6">
        <f t="shared" ca="1" si="1"/>
        <v>45432</v>
      </c>
      <c r="F1562" s="6">
        <f t="shared" ca="1" si="2"/>
        <v>45413</v>
      </c>
      <c r="G1562" s="7"/>
    </row>
    <row r="1563" spans="1:7" x14ac:dyDescent="0.2">
      <c r="A1563" s="3">
        <f ca="1">IFERROR(__xludf.DUMMYFUNCTION("""COMPUTED_VALUE"""),81)</f>
        <v>81</v>
      </c>
      <c r="B1563" s="6">
        <f ca="1">IFERROR(__xludf.DUMMYFUNCTION("""COMPUTED_VALUE"""),45437.7581018518)</f>
        <v>45437.758101851803</v>
      </c>
      <c r="C1563" s="3" t="str">
        <f ca="1">IFERROR(__xludf.DUMMYFUNCTION("""COMPUTED_VALUE"""),"purchase")</f>
        <v>purchase</v>
      </c>
      <c r="D1563" s="6">
        <f t="shared" ca="1" si="0"/>
        <v>45437</v>
      </c>
      <c r="E1563" s="6">
        <f t="shared" ca="1" si="1"/>
        <v>45432</v>
      </c>
      <c r="F1563" s="6">
        <f t="shared" ca="1" si="2"/>
        <v>45413</v>
      </c>
      <c r="G1563" s="7"/>
    </row>
    <row r="1564" spans="1:7" x14ac:dyDescent="0.2">
      <c r="A1564" s="3">
        <f ca="1">IFERROR(__xludf.DUMMYFUNCTION("""COMPUTED_VALUE"""),2571)</f>
        <v>2571</v>
      </c>
      <c r="B1564" s="6">
        <f ca="1">IFERROR(__xludf.DUMMYFUNCTION("""COMPUTED_VALUE"""),45437.7757175925)</f>
        <v>45437.7757175925</v>
      </c>
      <c r="C1564" s="3" t="str">
        <f ca="1">IFERROR(__xludf.DUMMYFUNCTION("""COMPUTED_VALUE"""),"purchase")</f>
        <v>purchase</v>
      </c>
      <c r="D1564" s="6">
        <f t="shared" ca="1" si="0"/>
        <v>45437</v>
      </c>
      <c r="E1564" s="6">
        <f t="shared" ca="1" si="1"/>
        <v>45432</v>
      </c>
      <c r="F1564" s="6">
        <f t="shared" ca="1" si="2"/>
        <v>45413</v>
      </c>
      <c r="G1564" s="7"/>
    </row>
    <row r="1565" spans="1:7" x14ac:dyDescent="0.2">
      <c r="A1565" s="3">
        <f ca="1">IFERROR(__xludf.DUMMYFUNCTION("""COMPUTED_VALUE"""),3998)</f>
        <v>3998</v>
      </c>
      <c r="B1565" s="6">
        <f ca="1">IFERROR(__xludf.DUMMYFUNCTION("""COMPUTED_VALUE"""),45437.7804398148)</f>
        <v>45437.7804398148</v>
      </c>
      <c r="C1565" s="3" t="str">
        <f ca="1">IFERROR(__xludf.DUMMYFUNCTION("""COMPUTED_VALUE"""),"purchase")</f>
        <v>purchase</v>
      </c>
      <c r="D1565" s="6">
        <f t="shared" ca="1" si="0"/>
        <v>45437</v>
      </c>
      <c r="E1565" s="6">
        <f t="shared" ca="1" si="1"/>
        <v>45432</v>
      </c>
      <c r="F1565" s="6">
        <f t="shared" ca="1" si="2"/>
        <v>45413</v>
      </c>
      <c r="G1565" s="7"/>
    </row>
    <row r="1566" spans="1:7" x14ac:dyDescent="0.2">
      <c r="A1566" s="3">
        <f ca="1">IFERROR(__xludf.DUMMYFUNCTION("""COMPUTED_VALUE"""),4128)</f>
        <v>4128</v>
      </c>
      <c r="B1566" s="6">
        <f ca="1">IFERROR(__xludf.DUMMYFUNCTION("""COMPUTED_VALUE"""),45437.977974537)</f>
        <v>45437.977974537003</v>
      </c>
      <c r="C1566" s="3" t="str">
        <f ca="1">IFERROR(__xludf.DUMMYFUNCTION("""COMPUTED_VALUE"""),"purchase")</f>
        <v>purchase</v>
      </c>
      <c r="D1566" s="6">
        <f t="shared" ca="1" si="0"/>
        <v>45437</v>
      </c>
      <c r="E1566" s="6">
        <f t="shared" ca="1" si="1"/>
        <v>45432</v>
      </c>
      <c r="F1566" s="6">
        <f t="shared" ca="1" si="2"/>
        <v>45413</v>
      </c>
      <c r="G1566" s="7"/>
    </row>
    <row r="1567" spans="1:7" x14ac:dyDescent="0.2">
      <c r="A1567" s="3">
        <f ca="1">IFERROR(__xludf.DUMMYFUNCTION("""COMPUTED_VALUE"""),6959)</f>
        <v>6959</v>
      </c>
      <c r="B1567" s="6">
        <f ca="1">IFERROR(__xludf.DUMMYFUNCTION("""COMPUTED_VALUE"""),45438.1248379629)</f>
        <v>45438.124837962903</v>
      </c>
      <c r="C1567" s="3" t="str">
        <f ca="1">IFERROR(__xludf.DUMMYFUNCTION("""COMPUTED_VALUE"""),"purchase")</f>
        <v>purchase</v>
      </c>
      <c r="D1567" s="6">
        <f t="shared" ca="1" si="0"/>
        <v>45438</v>
      </c>
      <c r="E1567" s="6">
        <f t="shared" ca="1" si="1"/>
        <v>45432</v>
      </c>
      <c r="F1567" s="6">
        <f t="shared" ca="1" si="2"/>
        <v>45413</v>
      </c>
      <c r="G1567" s="7"/>
    </row>
    <row r="1568" spans="1:7" x14ac:dyDescent="0.2">
      <c r="A1568" s="3">
        <f ca="1">IFERROR(__xludf.DUMMYFUNCTION("""COMPUTED_VALUE"""),7018)</f>
        <v>7018</v>
      </c>
      <c r="B1568" s="6">
        <f ca="1">IFERROR(__xludf.DUMMYFUNCTION("""COMPUTED_VALUE"""),45438.1331828703)</f>
        <v>45438.133182870297</v>
      </c>
      <c r="C1568" s="3" t="str">
        <f ca="1">IFERROR(__xludf.DUMMYFUNCTION("""COMPUTED_VALUE"""),"purchase")</f>
        <v>purchase</v>
      </c>
      <c r="D1568" s="6">
        <f t="shared" ca="1" si="0"/>
        <v>45438</v>
      </c>
      <c r="E1568" s="6">
        <f t="shared" ca="1" si="1"/>
        <v>45432</v>
      </c>
      <c r="F1568" s="6">
        <f t="shared" ca="1" si="2"/>
        <v>45413</v>
      </c>
      <c r="G1568" s="7"/>
    </row>
    <row r="1569" spans="1:7" x14ac:dyDescent="0.2">
      <c r="A1569" s="3">
        <f ca="1">IFERROR(__xludf.DUMMYFUNCTION("""COMPUTED_VALUE"""),1394)</f>
        <v>1394</v>
      </c>
      <c r="B1569" s="6">
        <f ca="1">IFERROR(__xludf.DUMMYFUNCTION("""COMPUTED_VALUE"""),45438.2018171296)</f>
        <v>45438.2018171296</v>
      </c>
      <c r="C1569" s="3" t="str">
        <f ca="1">IFERROR(__xludf.DUMMYFUNCTION("""COMPUTED_VALUE"""),"purchase")</f>
        <v>purchase</v>
      </c>
      <c r="D1569" s="6">
        <f t="shared" ca="1" si="0"/>
        <v>45438</v>
      </c>
      <c r="E1569" s="6">
        <f t="shared" ca="1" si="1"/>
        <v>45432</v>
      </c>
      <c r="F1569" s="6">
        <f t="shared" ca="1" si="2"/>
        <v>45413</v>
      </c>
      <c r="G1569" s="7"/>
    </row>
    <row r="1570" spans="1:7" x14ac:dyDescent="0.2">
      <c r="A1570" s="3">
        <f ca="1">IFERROR(__xludf.DUMMYFUNCTION("""COMPUTED_VALUE"""),5175)</f>
        <v>5175</v>
      </c>
      <c r="B1570" s="6">
        <f ca="1">IFERROR(__xludf.DUMMYFUNCTION("""COMPUTED_VALUE"""),45438.2278819444)</f>
        <v>45438.227881944404</v>
      </c>
      <c r="C1570" s="3" t="str">
        <f ca="1">IFERROR(__xludf.DUMMYFUNCTION("""COMPUTED_VALUE"""),"purchase")</f>
        <v>purchase</v>
      </c>
      <c r="D1570" s="6">
        <f t="shared" ca="1" si="0"/>
        <v>45438</v>
      </c>
      <c r="E1570" s="6">
        <f t="shared" ca="1" si="1"/>
        <v>45432</v>
      </c>
      <c r="F1570" s="6">
        <f t="shared" ca="1" si="2"/>
        <v>45413</v>
      </c>
      <c r="G1570" s="7"/>
    </row>
    <row r="1571" spans="1:7" x14ac:dyDescent="0.2">
      <c r="A1571" s="3">
        <f ca="1">IFERROR(__xludf.DUMMYFUNCTION("""COMPUTED_VALUE"""),4971)</f>
        <v>4971</v>
      </c>
      <c r="B1571" s="6">
        <f ca="1">IFERROR(__xludf.DUMMYFUNCTION("""COMPUTED_VALUE"""),45438.2525694444)</f>
        <v>45438.252569444398</v>
      </c>
      <c r="C1571" s="3" t="str">
        <f ca="1">IFERROR(__xludf.DUMMYFUNCTION("""COMPUTED_VALUE"""),"purchase")</f>
        <v>purchase</v>
      </c>
      <c r="D1571" s="6">
        <f t="shared" ca="1" si="0"/>
        <v>45438</v>
      </c>
      <c r="E1571" s="6">
        <f t="shared" ca="1" si="1"/>
        <v>45432</v>
      </c>
      <c r="F1571" s="6">
        <f t="shared" ca="1" si="2"/>
        <v>45413</v>
      </c>
      <c r="G1571" s="7"/>
    </row>
    <row r="1572" spans="1:7" x14ac:dyDescent="0.2">
      <c r="A1572" s="3">
        <f ca="1">IFERROR(__xludf.DUMMYFUNCTION("""COMPUTED_VALUE"""),3092)</f>
        <v>3092</v>
      </c>
      <c r="B1572" s="6">
        <f ca="1">IFERROR(__xludf.DUMMYFUNCTION("""COMPUTED_VALUE"""),45438.3949884259)</f>
        <v>45438.394988425898</v>
      </c>
      <c r="C1572" s="3" t="str">
        <f ca="1">IFERROR(__xludf.DUMMYFUNCTION("""COMPUTED_VALUE"""),"purchase")</f>
        <v>purchase</v>
      </c>
      <c r="D1572" s="6">
        <f t="shared" ca="1" si="0"/>
        <v>45438</v>
      </c>
      <c r="E1572" s="6">
        <f t="shared" ca="1" si="1"/>
        <v>45432</v>
      </c>
      <c r="F1572" s="6">
        <f t="shared" ca="1" si="2"/>
        <v>45413</v>
      </c>
      <c r="G1572" s="7"/>
    </row>
    <row r="1573" spans="1:7" x14ac:dyDescent="0.2">
      <c r="A1573" s="3">
        <f ca="1">IFERROR(__xludf.DUMMYFUNCTION("""COMPUTED_VALUE"""),1881)</f>
        <v>1881</v>
      </c>
      <c r="B1573" s="6">
        <f ca="1">IFERROR(__xludf.DUMMYFUNCTION("""COMPUTED_VALUE"""),45438.4769675925)</f>
        <v>45438.476967592498</v>
      </c>
      <c r="C1573" s="3" t="str">
        <f ca="1">IFERROR(__xludf.DUMMYFUNCTION("""COMPUTED_VALUE"""),"purchase")</f>
        <v>purchase</v>
      </c>
      <c r="D1573" s="6">
        <f t="shared" ca="1" si="0"/>
        <v>45438</v>
      </c>
      <c r="E1573" s="6">
        <f t="shared" ca="1" si="1"/>
        <v>45432</v>
      </c>
      <c r="F1573" s="6">
        <f t="shared" ca="1" si="2"/>
        <v>45413</v>
      </c>
      <c r="G1573" s="7"/>
    </row>
    <row r="1574" spans="1:7" x14ac:dyDescent="0.2">
      <c r="A1574" s="3">
        <f ca="1">IFERROR(__xludf.DUMMYFUNCTION("""COMPUTED_VALUE"""),6400)</f>
        <v>6400</v>
      </c>
      <c r="B1574" s="6">
        <f ca="1">IFERROR(__xludf.DUMMYFUNCTION("""COMPUTED_VALUE"""),45438.5465277777)</f>
        <v>45438.546527777697</v>
      </c>
      <c r="C1574" s="3" t="str">
        <f ca="1">IFERROR(__xludf.DUMMYFUNCTION("""COMPUTED_VALUE"""),"purchase")</f>
        <v>purchase</v>
      </c>
      <c r="D1574" s="6">
        <f t="shared" ca="1" si="0"/>
        <v>45438</v>
      </c>
      <c r="E1574" s="6">
        <f t="shared" ca="1" si="1"/>
        <v>45432</v>
      </c>
      <c r="F1574" s="6">
        <f t="shared" ca="1" si="2"/>
        <v>45413</v>
      </c>
      <c r="G1574" s="7"/>
    </row>
    <row r="1575" spans="1:7" x14ac:dyDescent="0.2">
      <c r="A1575" s="3">
        <f ca="1">IFERROR(__xludf.DUMMYFUNCTION("""COMPUTED_VALUE"""),1034)</f>
        <v>1034</v>
      </c>
      <c r="B1575" s="6">
        <f ca="1">IFERROR(__xludf.DUMMYFUNCTION("""COMPUTED_VALUE"""),45438.8537268518)</f>
        <v>45438.853726851798</v>
      </c>
      <c r="C1575" s="3" t="str">
        <f ca="1">IFERROR(__xludf.DUMMYFUNCTION("""COMPUTED_VALUE"""),"purchase")</f>
        <v>purchase</v>
      </c>
      <c r="D1575" s="6">
        <f t="shared" ca="1" si="0"/>
        <v>45438</v>
      </c>
      <c r="E1575" s="6">
        <f t="shared" ca="1" si="1"/>
        <v>45432</v>
      </c>
      <c r="F1575" s="6">
        <f t="shared" ca="1" si="2"/>
        <v>45413</v>
      </c>
      <c r="G1575" s="7"/>
    </row>
    <row r="1576" spans="1:7" x14ac:dyDescent="0.2">
      <c r="A1576" s="3">
        <f ca="1">IFERROR(__xludf.DUMMYFUNCTION("""COMPUTED_VALUE"""),2841)</f>
        <v>2841</v>
      </c>
      <c r="B1576" s="6">
        <f ca="1">IFERROR(__xludf.DUMMYFUNCTION("""COMPUTED_VALUE"""),45438.9308217592)</f>
        <v>45438.930821759197</v>
      </c>
      <c r="C1576" s="3" t="str">
        <f ca="1">IFERROR(__xludf.DUMMYFUNCTION("""COMPUTED_VALUE"""),"purchase")</f>
        <v>purchase</v>
      </c>
      <c r="D1576" s="6">
        <f t="shared" ca="1" si="0"/>
        <v>45438</v>
      </c>
      <c r="E1576" s="6">
        <f t="shared" ca="1" si="1"/>
        <v>45432</v>
      </c>
      <c r="F1576" s="6">
        <f t="shared" ca="1" si="2"/>
        <v>45413</v>
      </c>
      <c r="G1576" s="7"/>
    </row>
    <row r="1577" spans="1:7" x14ac:dyDescent="0.2">
      <c r="A1577" s="3">
        <f ca="1">IFERROR(__xludf.DUMMYFUNCTION("""COMPUTED_VALUE"""),5122)</f>
        <v>5122</v>
      </c>
      <c r="B1577" s="6">
        <f ca="1">IFERROR(__xludf.DUMMYFUNCTION("""COMPUTED_VALUE"""),45438.9657175925)</f>
        <v>45438.965717592502</v>
      </c>
      <c r="C1577" s="3" t="str">
        <f ca="1">IFERROR(__xludf.DUMMYFUNCTION("""COMPUTED_VALUE"""),"purchase")</f>
        <v>purchase</v>
      </c>
      <c r="D1577" s="6">
        <f t="shared" ca="1" si="0"/>
        <v>45438</v>
      </c>
      <c r="E1577" s="6">
        <f t="shared" ca="1" si="1"/>
        <v>45432</v>
      </c>
      <c r="F1577" s="6">
        <f t="shared" ca="1" si="2"/>
        <v>45413</v>
      </c>
      <c r="G1577" s="7"/>
    </row>
    <row r="1578" spans="1:7" x14ac:dyDescent="0.2">
      <c r="A1578" s="3">
        <f ca="1">IFERROR(__xludf.DUMMYFUNCTION("""COMPUTED_VALUE"""),1894)</f>
        <v>1894</v>
      </c>
      <c r="B1578" s="6">
        <f ca="1">IFERROR(__xludf.DUMMYFUNCTION("""COMPUTED_VALUE"""),45439.2625462963)</f>
        <v>45439.262546296297</v>
      </c>
      <c r="C1578" s="3" t="str">
        <f ca="1">IFERROR(__xludf.DUMMYFUNCTION("""COMPUTED_VALUE"""),"purchase")</f>
        <v>purchase</v>
      </c>
      <c r="D1578" s="6">
        <f t="shared" ca="1" si="0"/>
        <v>45439</v>
      </c>
      <c r="E1578" s="6">
        <f t="shared" ca="1" si="1"/>
        <v>45439</v>
      </c>
      <c r="F1578" s="6">
        <f t="shared" ca="1" si="2"/>
        <v>45413</v>
      </c>
      <c r="G1578" s="7"/>
    </row>
    <row r="1579" spans="1:7" x14ac:dyDescent="0.2">
      <c r="A1579" s="3">
        <f ca="1">IFERROR(__xludf.DUMMYFUNCTION("""COMPUTED_VALUE"""),2759)</f>
        <v>2759</v>
      </c>
      <c r="B1579" s="6">
        <f ca="1">IFERROR(__xludf.DUMMYFUNCTION("""COMPUTED_VALUE"""),45439.2657175925)</f>
        <v>45439.265717592498</v>
      </c>
      <c r="C1579" s="3" t="str">
        <f ca="1">IFERROR(__xludf.DUMMYFUNCTION("""COMPUTED_VALUE"""),"purchase")</f>
        <v>purchase</v>
      </c>
      <c r="D1579" s="6">
        <f t="shared" ca="1" si="0"/>
        <v>45439</v>
      </c>
      <c r="E1579" s="6">
        <f t="shared" ca="1" si="1"/>
        <v>45439</v>
      </c>
      <c r="F1579" s="6">
        <f t="shared" ca="1" si="2"/>
        <v>45413</v>
      </c>
      <c r="G1579" s="7"/>
    </row>
    <row r="1580" spans="1:7" x14ac:dyDescent="0.2">
      <c r="A1580" s="3">
        <f ca="1">IFERROR(__xludf.DUMMYFUNCTION("""COMPUTED_VALUE"""),292)</f>
        <v>292</v>
      </c>
      <c r="B1580" s="6">
        <f ca="1">IFERROR(__xludf.DUMMYFUNCTION("""COMPUTED_VALUE"""),45439.5966435185)</f>
        <v>45439.596643518496</v>
      </c>
      <c r="C1580" s="3" t="str">
        <f ca="1">IFERROR(__xludf.DUMMYFUNCTION("""COMPUTED_VALUE"""),"purchase")</f>
        <v>purchase</v>
      </c>
      <c r="D1580" s="6">
        <f t="shared" ca="1" si="0"/>
        <v>45439</v>
      </c>
      <c r="E1580" s="6">
        <f t="shared" ca="1" si="1"/>
        <v>45439</v>
      </c>
      <c r="F1580" s="6">
        <f t="shared" ca="1" si="2"/>
        <v>45413</v>
      </c>
      <c r="G1580" s="7"/>
    </row>
    <row r="1581" spans="1:7" x14ac:dyDescent="0.2">
      <c r="A1581" s="3">
        <f ca="1">IFERROR(__xludf.DUMMYFUNCTION("""COMPUTED_VALUE"""),6858)</f>
        <v>6858</v>
      </c>
      <c r="B1581" s="6">
        <f ca="1">IFERROR(__xludf.DUMMYFUNCTION("""COMPUTED_VALUE"""),45439.847824074)</f>
        <v>45439.847824074001</v>
      </c>
      <c r="C1581" s="3" t="str">
        <f ca="1">IFERROR(__xludf.DUMMYFUNCTION("""COMPUTED_VALUE"""),"purchase")</f>
        <v>purchase</v>
      </c>
      <c r="D1581" s="6">
        <f t="shared" ca="1" si="0"/>
        <v>45439</v>
      </c>
      <c r="E1581" s="6">
        <f t="shared" ca="1" si="1"/>
        <v>45439</v>
      </c>
      <c r="F1581" s="6">
        <f t="shared" ca="1" si="2"/>
        <v>45413</v>
      </c>
      <c r="G1581" s="7"/>
    </row>
    <row r="1582" spans="1:7" x14ac:dyDescent="0.2">
      <c r="A1582" s="3">
        <f ca="1">IFERROR(__xludf.DUMMYFUNCTION("""COMPUTED_VALUE"""),4618)</f>
        <v>4618</v>
      </c>
      <c r="B1582" s="6">
        <f ca="1">IFERROR(__xludf.DUMMYFUNCTION("""COMPUTED_VALUE"""),45439.9199768518)</f>
        <v>45439.919976851801</v>
      </c>
      <c r="C1582" s="3" t="str">
        <f ca="1">IFERROR(__xludf.DUMMYFUNCTION("""COMPUTED_VALUE"""),"purchase")</f>
        <v>purchase</v>
      </c>
      <c r="D1582" s="6">
        <f t="shared" ca="1" si="0"/>
        <v>45439</v>
      </c>
      <c r="E1582" s="6">
        <f t="shared" ca="1" si="1"/>
        <v>45439</v>
      </c>
      <c r="F1582" s="6">
        <f t="shared" ca="1" si="2"/>
        <v>45413</v>
      </c>
      <c r="G1582" s="7"/>
    </row>
    <row r="1583" spans="1:7" x14ac:dyDescent="0.2">
      <c r="A1583" s="3">
        <f ca="1">IFERROR(__xludf.DUMMYFUNCTION("""COMPUTED_VALUE"""),5543)</f>
        <v>5543</v>
      </c>
      <c r="B1583" s="6">
        <f ca="1">IFERROR(__xludf.DUMMYFUNCTION("""COMPUTED_VALUE"""),45439.9509375)</f>
        <v>45439.950937499998</v>
      </c>
      <c r="C1583" s="3" t="str">
        <f ca="1">IFERROR(__xludf.DUMMYFUNCTION("""COMPUTED_VALUE"""),"purchase")</f>
        <v>purchase</v>
      </c>
      <c r="D1583" s="6">
        <f t="shared" ca="1" si="0"/>
        <v>45439</v>
      </c>
      <c r="E1583" s="6">
        <f t="shared" ca="1" si="1"/>
        <v>45439</v>
      </c>
      <c r="F1583" s="6">
        <f t="shared" ca="1" si="2"/>
        <v>45413</v>
      </c>
      <c r="G1583" s="7"/>
    </row>
    <row r="1584" spans="1:7" x14ac:dyDescent="0.2">
      <c r="A1584" s="3">
        <f ca="1">IFERROR(__xludf.DUMMYFUNCTION("""COMPUTED_VALUE"""),2698)</f>
        <v>2698</v>
      </c>
      <c r="B1584" s="6">
        <f ca="1">IFERROR(__xludf.DUMMYFUNCTION("""COMPUTED_VALUE"""),45439.9578819444)</f>
        <v>45439.9578819444</v>
      </c>
      <c r="C1584" s="3" t="str">
        <f ca="1">IFERROR(__xludf.DUMMYFUNCTION("""COMPUTED_VALUE"""),"purchase")</f>
        <v>purchase</v>
      </c>
      <c r="D1584" s="6">
        <f t="shared" ca="1" si="0"/>
        <v>45439</v>
      </c>
      <c r="E1584" s="6">
        <f t="shared" ca="1" si="1"/>
        <v>45439</v>
      </c>
      <c r="F1584" s="6">
        <f t="shared" ca="1" si="2"/>
        <v>45413</v>
      </c>
      <c r="G1584" s="7"/>
    </row>
    <row r="1585" spans="1:7" x14ac:dyDescent="0.2">
      <c r="A1585" s="3">
        <f ca="1">IFERROR(__xludf.DUMMYFUNCTION("""COMPUTED_VALUE"""),5191)</f>
        <v>5191</v>
      </c>
      <c r="B1585" s="6">
        <f ca="1">IFERROR(__xludf.DUMMYFUNCTION("""COMPUTED_VALUE"""),45439.9859606481)</f>
        <v>45439.985960648097</v>
      </c>
      <c r="C1585" s="3" t="str">
        <f ca="1">IFERROR(__xludf.DUMMYFUNCTION("""COMPUTED_VALUE"""),"purchase")</f>
        <v>purchase</v>
      </c>
      <c r="D1585" s="6">
        <f t="shared" ca="1" si="0"/>
        <v>45439</v>
      </c>
      <c r="E1585" s="6">
        <f t="shared" ca="1" si="1"/>
        <v>45439</v>
      </c>
      <c r="F1585" s="6">
        <f t="shared" ca="1" si="2"/>
        <v>45413</v>
      </c>
      <c r="G1585" s="7"/>
    </row>
    <row r="1586" spans="1:7" x14ac:dyDescent="0.2">
      <c r="A1586" s="3">
        <f ca="1">IFERROR(__xludf.DUMMYFUNCTION("""COMPUTED_VALUE"""),189)</f>
        <v>189</v>
      </c>
      <c r="B1586" s="6">
        <f ca="1">IFERROR(__xludf.DUMMYFUNCTION("""COMPUTED_VALUE"""),45440.303125)</f>
        <v>45440.303124999999</v>
      </c>
      <c r="C1586" s="3" t="str">
        <f ca="1">IFERROR(__xludf.DUMMYFUNCTION("""COMPUTED_VALUE"""),"purchase")</f>
        <v>purchase</v>
      </c>
      <c r="D1586" s="6">
        <f t="shared" ca="1" si="0"/>
        <v>45440</v>
      </c>
      <c r="E1586" s="6">
        <f t="shared" ca="1" si="1"/>
        <v>45439</v>
      </c>
      <c r="F1586" s="6">
        <f t="shared" ca="1" si="2"/>
        <v>45413</v>
      </c>
      <c r="G1586" s="7"/>
    </row>
    <row r="1587" spans="1:7" x14ac:dyDescent="0.2">
      <c r="A1587" s="3">
        <f ca="1">IFERROR(__xludf.DUMMYFUNCTION("""COMPUTED_VALUE"""),866)</f>
        <v>866</v>
      </c>
      <c r="B1587" s="6">
        <f ca="1">IFERROR(__xludf.DUMMYFUNCTION("""COMPUTED_VALUE"""),45440.3087268518)</f>
        <v>45440.308726851799</v>
      </c>
      <c r="C1587" s="3" t="str">
        <f ca="1">IFERROR(__xludf.DUMMYFUNCTION("""COMPUTED_VALUE"""),"purchase")</f>
        <v>purchase</v>
      </c>
      <c r="D1587" s="6">
        <f t="shared" ca="1" si="0"/>
        <v>45440</v>
      </c>
      <c r="E1587" s="6">
        <f t="shared" ca="1" si="1"/>
        <v>45439</v>
      </c>
      <c r="F1587" s="6">
        <f t="shared" ca="1" si="2"/>
        <v>45413</v>
      </c>
      <c r="G1587" s="7"/>
    </row>
    <row r="1588" spans="1:7" x14ac:dyDescent="0.2">
      <c r="A1588" s="3">
        <f ca="1">IFERROR(__xludf.DUMMYFUNCTION("""COMPUTED_VALUE"""),2338)</f>
        <v>2338</v>
      </c>
      <c r="B1588" s="6">
        <f ca="1">IFERROR(__xludf.DUMMYFUNCTION("""COMPUTED_VALUE"""),45440.3683912037)</f>
        <v>45440.368391203701</v>
      </c>
      <c r="C1588" s="3" t="str">
        <f ca="1">IFERROR(__xludf.DUMMYFUNCTION("""COMPUTED_VALUE"""),"purchase")</f>
        <v>purchase</v>
      </c>
      <c r="D1588" s="6">
        <f t="shared" ca="1" si="0"/>
        <v>45440</v>
      </c>
      <c r="E1588" s="6">
        <f t="shared" ca="1" si="1"/>
        <v>45439</v>
      </c>
      <c r="F1588" s="6">
        <f t="shared" ca="1" si="2"/>
        <v>45413</v>
      </c>
      <c r="G1588" s="7"/>
    </row>
    <row r="1589" spans="1:7" x14ac:dyDescent="0.2">
      <c r="A1589" s="3">
        <f ca="1">IFERROR(__xludf.DUMMYFUNCTION("""COMPUTED_VALUE"""),4332)</f>
        <v>4332</v>
      </c>
      <c r="B1589" s="6">
        <f ca="1">IFERROR(__xludf.DUMMYFUNCTION("""COMPUTED_VALUE"""),45440.4493171296)</f>
        <v>45440.449317129598</v>
      </c>
      <c r="C1589" s="3" t="str">
        <f ca="1">IFERROR(__xludf.DUMMYFUNCTION("""COMPUTED_VALUE"""),"purchase")</f>
        <v>purchase</v>
      </c>
      <c r="D1589" s="6">
        <f t="shared" ca="1" si="0"/>
        <v>45440</v>
      </c>
      <c r="E1589" s="6">
        <f t="shared" ca="1" si="1"/>
        <v>45439</v>
      </c>
      <c r="F1589" s="6">
        <f t="shared" ca="1" si="2"/>
        <v>45413</v>
      </c>
      <c r="G1589" s="7"/>
    </row>
    <row r="1590" spans="1:7" x14ac:dyDescent="0.2">
      <c r="A1590" s="3">
        <f ca="1">IFERROR(__xludf.DUMMYFUNCTION("""COMPUTED_VALUE"""),3313)</f>
        <v>3313</v>
      </c>
      <c r="B1590" s="6">
        <f ca="1">IFERROR(__xludf.DUMMYFUNCTION("""COMPUTED_VALUE"""),45440.492037037)</f>
        <v>45440.492037037002</v>
      </c>
      <c r="C1590" s="3" t="str">
        <f ca="1">IFERROR(__xludf.DUMMYFUNCTION("""COMPUTED_VALUE"""),"purchase")</f>
        <v>purchase</v>
      </c>
      <c r="D1590" s="6">
        <f t="shared" ca="1" si="0"/>
        <v>45440</v>
      </c>
      <c r="E1590" s="6">
        <f t="shared" ca="1" si="1"/>
        <v>45439</v>
      </c>
      <c r="F1590" s="6">
        <f t="shared" ca="1" si="2"/>
        <v>45413</v>
      </c>
      <c r="G1590" s="7"/>
    </row>
    <row r="1591" spans="1:7" x14ac:dyDescent="0.2">
      <c r="A1591" s="3">
        <f ca="1">IFERROR(__xludf.DUMMYFUNCTION("""COMPUTED_VALUE"""),7774)</f>
        <v>7774</v>
      </c>
      <c r="B1591" s="6">
        <f ca="1">IFERROR(__xludf.DUMMYFUNCTION("""COMPUTED_VALUE"""),45440.5256597222)</f>
        <v>45440.525659722203</v>
      </c>
      <c r="C1591" s="3" t="str">
        <f ca="1">IFERROR(__xludf.DUMMYFUNCTION("""COMPUTED_VALUE"""),"purchase")</f>
        <v>purchase</v>
      </c>
      <c r="D1591" s="6">
        <f t="shared" ca="1" si="0"/>
        <v>45440</v>
      </c>
      <c r="E1591" s="6">
        <f t="shared" ca="1" si="1"/>
        <v>45439</v>
      </c>
      <c r="F1591" s="6">
        <f t="shared" ca="1" si="2"/>
        <v>45413</v>
      </c>
      <c r="G1591" s="7"/>
    </row>
    <row r="1592" spans="1:7" x14ac:dyDescent="0.2">
      <c r="A1592" s="3">
        <f ca="1">IFERROR(__xludf.DUMMYFUNCTION("""COMPUTED_VALUE"""),3347)</f>
        <v>3347</v>
      </c>
      <c r="B1592" s="6">
        <f ca="1">IFERROR(__xludf.DUMMYFUNCTION("""COMPUTED_VALUE"""),45440.8380902777)</f>
        <v>45440.838090277699</v>
      </c>
      <c r="C1592" s="3" t="str">
        <f ca="1">IFERROR(__xludf.DUMMYFUNCTION("""COMPUTED_VALUE"""),"purchase")</f>
        <v>purchase</v>
      </c>
      <c r="D1592" s="6">
        <f t="shared" ca="1" si="0"/>
        <v>45440</v>
      </c>
      <c r="E1592" s="6">
        <f t="shared" ca="1" si="1"/>
        <v>45439</v>
      </c>
      <c r="F1592" s="6">
        <f t="shared" ca="1" si="2"/>
        <v>45413</v>
      </c>
      <c r="G1592" s="7"/>
    </row>
    <row r="1593" spans="1:7" x14ac:dyDescent="0.2">
      <c r="A1593" s="3">
        <f ca="1">IFERROR(__xludf.DUMMYFUNCTION("""COMPUTED_VALUE"""),6023)</f>
        <v>6023</v>
      </c>
      <c r="B1593" s="6">
        <f ca="1">IFERROR(__xludf.DUMMYFUNCTION("""COMPUTED_VALUE"""),45440.9235648148)</f>
        <v>45440.923564814802</v>
      </c>
      <c r="C1593" s="3" t="str">
        <f ca="1">IFERROR(__xludf.DUMMYFUNCTION("""COMPUTED_VALUE"""),"purchase")</f>
        <v>purchase</v>
      </c>
      <c r="D1593" s="6">
        <f t="shared" ca="1" si="0"/>
        <v>45440</v>
      </c>
      <c r="E1593" s="6">
        <f t="shared" ca="1" si="1"/>
        <v>45439</v>
      </c>
      <c r="F1593" s="6">
        <f t="shared" ca="1" si="2"/>
        <v>45413</v>
      </c>
      <c r="G1593" s="7"/>
    </row>
    <row r="1594" spans="1:7" x14ac:dyDescent="0.2">
      <c r="A1594" s="3">
        <f ca="1">IFERROR(__xludf.DUMMYFUNCTION("""COMPUTED_VALUE"""),1871)</f>
        <v>1871</v>
      </c>
      <c r="B1594" s="6">
        <f ca="1">IFERROR(__xludf.DUMMYFUNCTION("""COMPUTED_VALUE"""),45440.967349537)</f>
        <v>45440.967349537001</v>
      </c>
      <c r="C1594" s="3" t="str">
        <f ca="1">IFERROR(__xludf.DUMMYFUNCTION("""COMPUTED_VALUE"""),"purchase")</f>
        <v>purchase</v>
      </c>
      <c r="D1594" s="6">
        <f t="shared" ca="1" si="0"/>
        <v>45440</v>
      </c>
      <c r="E1594" s="6">
        <f t="shared" ca="1" si="1"/>
        <v>45439</v>
      </c>
      <c r="F1594" s="6">
        <f t="shared" ca="1" si="2"/>
        <v>45413</v>
      </c>
      <c r="G1594" s="7"/>
    </row>
    <row r="1595" spans="1:7" x14ac:dyDescent="0.2">
      <c r="A1595" s="3">
        <f ca="1">IFERROR(__xludf.DUMMYFUNCTION("""COMPUTED_VALUE"""),1929)</f>
        <v>1929</v>
      </c>
      <c r="B1595" s="6">
        <f ca="1">IFERROR(__xludf.DUMMYFUNCTION("""COMPUTED_VALUE"""),45441.0057407407)</f>
        <v>45441.0057407407</v>
      </c>
      <c r="C1595" s="3" t="str">
        <f ca="1">IFERROR(__xludf.DUMMYFUNCTION("""COMPUTED_VALUE"""),"purchase")</f>
        <v>purchase</v>
      </c>
      <c r="D1595" s="6">
        <f t="shared" ca="1" si="0"/>
        <v>45441</v>
      </c>
      <c r="E1595" s="6">
        <f t="shared" ca="1" si="1"/>
        <v>45439</v>
      </c>
      <c r="F1595" s="6">
        <f t="shared" ca="1" si="2"/>
        <v>45413</v>
      </c>
      <c r="G1595" s="7"/>
    </row>
    <row r="1596" spans="1:7" x14ac:dyDescent="0.2">
      <c r="A1596" s="3">
        <f ca="1">IFERROR(__xludf.DUMMYFUNCTION("""COMPUTED_VALUE"""),2772)</f>
        <v>2772</v>
      </c>
      <c r="B1596" s="6">
        <f ca="1">IFERROR(__xludf.DUMMYFUNCTION("""COMPUTED_VALUE"""),45441.0416319444)</f>
        <v>45441.041631944398</v>
      </c>
      <c r="C1596" s="3" t="str">
        <f ca="1">IFERROR(__xludf.DUMMYFUNCTION("""COMPUTED_VALUE"""),"purchase")</f>
        <v>purchase</v>
      </c>
      <c r="D1596" s="6">
        <f t="shared" ca="1" si="0"/>
        <v>45441</v>
      </c>
      <c r="E1596" s="6">
        <f t="shared" ca="1" si="1"/>
        <v>45439</v>
      </c>
      <c r="F1596" s="6">
        <f t="shared" ca="1" si="2"/>
        <v>45413</v>
      </c>
      <c r="G1596" s="7"/>
    </row>
    <row r="1597" spans="1:7" x14ac:dyDescent="0.2">
      <c r="A1597" s="3">
        <f ca="1">IFERROR(__xludf.DUMMYFUNCTION("""COMPUTED_VALUE"""),2830)</f>
        <v>2830</v>
      </c>
      <c r="B1597" s="6">
        <f ca="1">IFERROR(__xludf.DUMMYFUNCTION("""COMPUTED_VALUE"""),45441.1201504629)</f>
        <v>45441.120150462899</v>
      </c>
      <c r="C1597" s="3" t="str">
        <f ca="1">IFERROR(__xludf.DUMMYFUNCTION("""COMPUTED_VALUE"""),"purchase")</f>
        <v>purchase</v>
      </c>
      <c r="D1597" s="6">
        <f t="shared" ca="1" si="0"/>
        <v>45441</v>
      </c>
      <c r="E1597" s="6">
        <f t="shared" ca="1" si="1"/>
        <v>45439</v>
      </c>
      <c r="F1597" s="6">
        <f t="shared" ca="1" si="2"/>
        <v>45413</v>
      </c>
      <c r="G1597" s="7"/>
    </row>
    <row r="1598" spans="1:7" x14ac:dyDescent="0.2">
      <c r="A1598" s="3">
        <f ca="1">IFERROR(__xludf.DUMMYFUNCTION("""COMPUTED_VALUE"""),1411)</f>
        <v>1411</v>
      </c>
      <c r="B1598" s="6">
        <f ca="1">IFERROR(__xludf.DUMMYFUNCTION("""COMPUTED_VALUE"""),45441.1366666666)</f>
        <v>45441.1366666666</v>
      </c>
      <c r="C1598" s="3" t="str">
        <f ca="1">IFERROR(__xludf.DUMMYFUNCTION("""COMPUTED_VALUE"""),"purchase")</f>
        <v>purchase</v>
      </c>
      <c r="D1598" s="6">
        <f t="shared" ca="1" si="0"/>
        <v>45441</v>
      </c>
      <c r="E1598" s="6">
        <f t="shared" ca="1" si="1"/>
        <v>45439</v>
      </c>
      <c r="F1598" s="6">
        <f t="shared" ca="1" si="2"/>
        <v>45413</v>
      </c>
      <c r="G1598" s="7"/>
    </row>
    <row r="1599" spans="1:7" x14ac:dyDescent="0.2">
      <c r="A1599" s="3">
        <f ca="1">IFERROR(__xludf.DUMMYFUNCTION("""COMPUTED_VALUE"""),548)</f>
        <v>548</v>
      </c>
      <c r="B1599" s="6">
        <f ca="1">IFERROR(__xludf.DUMMYFUNCTION("""COMPUTED_VALUE"""),45441.2445601851)</f>
        <v>45441.2445601851</v>
      </c>
      <c r="C1599" s="3" t="str">
        <f ca="1">IFERROR(__xludf.DUMMYFUNCTION("""COMPUTED_VALUE"""),"purchase")</f>
        <v>purchase</v>
      </c>
      <c r="D1599" s="6">
        <f t="shared" ca="1" si="0"/>
        <v>45441</v>
      </c>
      <c r="E1599" s="6">
        <f t="shared" ca="1" si="1"/>
        <v>45439</v>
      </c>
      <c r="F1599" s="6">
        <f t="shared" ca="1" si="2"/>
        <v>45413</v>
      </c>
      <c r="G1599" s="7"/>
    </row>
    <row r="1600" spans="1:7" x14ac:dyDescent="0.2">
      <c r="A1600" s="3">
        <f ca="1">IFERROR(__xludf.DUMMYFUNCTION("""COMPUTED_VALUE"""),7786)</f>
        <v>7786</v>
      </c>
      <c r="B1600" s="6">
        <f ca="1">IFERROR(__xludf.DUMMYFUNCTION("""COMPUTED_VALUE"""),45441.2702083333)</f>
        <v>45441.270208333299</v>
      </c>
      <c r="C1600" s="3" t="str">
        <f ca="1">IFERROR(__xludf.DUMMYFUNCTION("""COMPUTED_VALUE"""),"purchase")</f>
        <v>purchase</v>
      </c>
      <c r="D1600" s="6">
        <f t="shared" ca="1" si="0"/>
        <v>45441</v>
      </c>
      <c r="E1600" s="6">
        <f t="shared" ca="1" si="1"/>
        <v>45439</v>
      </c>
      <c r="F1600" s="6">
        <f t="shared" ca="1" si="2"/>
        <v>45413</v>
      </c>
      <c r="G1600" s="7"/>
    </row>
    <row r="1601" spans="1:7" x14ac:dyDescent="0.2">
      <c r="A1601" s="3">
        <f ca="1">IFERROR(__xludf.DUMMYFUNCTION("""COMPUTED_VALUE"""),2222)</f>
        <v>2222</v>
      </c>
      <c r="B1601" s="6">
        <f ca="1">IFERROR(__xludf.DUMMYFUNCTION("""COMPUTED_VALUE"""),45441.2763425925)</f>
        <v>45441.2763425925</v>
      </c>
      <c r="C1601" s="3" t="str">
        <f ca="1">IFERROR(__xludf.DUMMYFUNCTION("""COMPUTED_VALUE"""),"purchase")</f>
        <v>purchase</v>
      </c>
      <c r="D1601" s="6">
        <f t="shared" ca="1" si="0"/>
        <v>45441</v>
      </c>
      <c r="E1601" s="6">
        <f t="shared" ca="1" si="1"/>
        <v>45439</v>
      </c>
      <c r="F1601" s="6">
        <f t="shared" ca="1" si="2"/>
        <v>45413</v>
      </c>
      <c r="G1601" s="7"/>
    </row>
    <row r="1602" spans="1:7" x14ac:dyDescent="0.2">
      <c r="A1602" s="3">
        <f ca="1">IFERROR(__xludf.DUMMYFUNCTION("""COMPUTED_VALUE"""),2765)</f>
        <v>2765</v>
      </c>
      <c r="B1602" s="6">
        <f ca="1">IFERROR(__xludf.DUMMYFUNCTION("""COMPUTED_VALUE"""),45441.4179166666)</f>
        <v>45441.4179166666</v>
      </c>
      <c r="C1602" s="3" t="str">
        <f ca="1">IFERROR(__xludf.DUMMYFUNCTION("""COMPUTED_VALUE"""),"purchase")</f>
        <v>purchase</v>
      </c>
      <c r="D1602" s="6">
        <f t="shared" ca="1" si="0"/>
        <v>45441</v>
      </c>
      <c r="E1602" s="6">
        <f t="shared" ca="1" si="1"/>
        <v>45439</v>
      </c>
      <c r="F1602" s="6">
        <f t="shared" ca="1" si="2"/>
        <v>45413</v>
      </c>
      <c r="G1602" s="7"/>
    </row>
    <row r="1603" spans="1:7" x14ac:dyDescent="0.2">
      <c r="A1603" s="3">
        <f ca="1">IFERROR(__xludf.DUMMYFUNCTION("""COMPUTED_VALUE"""),5868)</f>
        <v>5868</v>
      </c>
      <c r="B1603" s="6">
        <f ca="1">IFERROR(__xludf.DUMMYFUNCTION("""COMPUTED_VALUE"""),45441.4221412037)</f>
        <v>45441.4221412037</v>
      </c>
      <c r="C1603" s="3" t="str">
        <f ca="1">IFERROR(__xludf.DUMMYFUNCTION("""COMPUTED_VALUE"""),"purchase")</f>
        <v>purchase</v>
      </c>
      <c r="D1603" s="6">
        <f t="shared" ca="1" si="0"/>
        <v>45441</v>
      </c>
      <c r="E1603" s="6">
        <f t="shared" ca="1" si="1"/>
        <v>45439</v>
      </c>
      <c r="F1603" s="6">
        <f t="shared" ca="1" si="2"/>
        <v>45413</v>
      </c>
      <c r="G1603" s="7"/>
    </row>
    <row r="1604" spans="1:7" x14ac:dyDescent="0.2">
      <c r="A1604" s="3">
        <f ca="1">IFERROR(__xludf.DUMMYFUNCTION("""COMPUTED_VALUE"""),6655)</f>
        <v>6655</v>
      </c>
      <c r="B1604" s="6">
        <f ca="1">IFERROR(__xludf.DUMMYFUNCTION("""COMPUTED_VALUE"""),45441.4538773148)</f>
        <v>45441.453877314802</v>
      </c>
      <c r="C1604" s="3" t="str">
        <f ca="1">IFERROR(__xludf.DUMMYFUNCTION("""COMPUTED_VALUE"""),"purchase")</f>
        <v>purchase</v>
      </c>
      <c r="D1604" s="6">
        <f t="shared" ca="1" si="0"/>
        <v>45441</v>
      </c>
      <c r="E1604" s="6">
        <f t="shared" ca="1" si="1"/>
        <v>45439</v>
      </c>
      <c r="F1604" s="6">
        <f t="shared" ca="1" si="2"/>
        <v>45413</v>
      </c>
      <c r="G1604" s="7"/>
    </row>
    <row r="1605" spans="1:7" x14ac:dyDescent="0.2">
      <c r="A1605" s="3">
        <f ca="1">IFERROR(__xludf.DUMMYFUNCTION("""COMPUTED_VALUE"""),2671)</f>
        <v>2671</v>
      </c>
      <c r="B1605" s="6">
        <f ca="1">IFERROR(__xludf.DUMMYFUNCTION("""COMPUTED_VALUE"""),45441.5145833333)</f>
        <v>45441.514583333301</v>
      </c>
      <c r="C1605" s="3" t="str">
        <f ca="1">IFERROR(__xludf.DUMMYFUNCTION("""COMPUTED_VALUE"""),"purchase")</f>
        <v>purchase</v>
      </c>
      <c r="D1605" s="6">
        <f t="shared" ca="1" si="0"/>
        <v>45441</v>
      </c>
      <c r="E1605" s="6">
        <f t="shared" ca="1" si="1"/>
        <v>45439</v>
      </c>
      <c r="F1605" s="6">
        <f t="shared" ca="1" si="2"/>
        <v>45413</v>
      </c>
      <c r="G1605" s="7"/>
    </row>
    <row r="1606" spans="1:7" x14ac:dyDescent="0.2">
      <c r="A1606" s="3">
        <f ca="1">IFERROR(__xludf.DUMMYFUNCTION("""COMPUTED_VALUE"""),5139)</f>
        <v>5139</v>
      </c>
      <c r="B1606" s="6">
        <f ca="1">IFERROR(__xludf.DUMMYFUNCTION("""COMPUTED_VALUE"""),45441.5160648148)</f>
        <v>45441.516064814801</v>
      </c>
      <c r="C1606" s="3" t="str">
        <f ca="1">IFERROR(__xludf.DUMMYFUNCTION("""COMPUTED_VALUE"""),"purchase")</f>
        <v>purchase</v>
      </c>
      <c r="D1606" s="6">
        <f t="shared" ca="1" si="0"/>
        <v>45441</v>
      </c>
      <c r="E1606" s="6">
        <f t="shared" ca="1" si="1"/>
        <v>45439</v>
      </c>
      <c r="F1606" s="6">
        <f t="shared" ca="1" si="2"/>
        <v>45413</v>
      </c>
      <c r="G1606" s="7"/>
    </row>
    <row r="1607" spans="1:7" x14ac:dyDescent="0.2">
      <c r="A1607" s="3">
        <f ca="1">IFERROR(__xludf.DUMMYFUNCTION("""COMPUTED_VALUE"""),3207)</f>
        <v>3207</v>
      </c>
      <c r="B1607" s="6">
        <f ca="1">IFERROR(__xludf.DUMMYFUNCTION("""COMPUTED_VALUE"""),45441.5660416666)</f>
        <v>45441.5660416666</v>
      </c>
      <c r="C1607" s="3" t="str">
        <f ca="1">IFERROR(__xludf.DUMMYFUNCTION("""COMPUTED_VALUE"""),"purchase")</f>
        <v>purchase</v>
      </c>
      <c r="D1607" s="6">
        <f t="shared" ca="1" si="0"/>
        <v>45441</v>
      </c>
      <c r="E1607" s="6">
        <f t="shared" ca="1" si="1"/>
        <v>45439</v>
      </c>
      <c r="F1607" s="6">
        <f t="shared" ca="1" si="2"/>
        <v>45413</v>
      </c>
      <c r="G1607" s="7"/>
    </row>
    <row r="1608" spans="1:7" x14ac:dyDescent="0.2">
      <c r="A1608" s="3">
        <f ca="1">IFERROR(__xludf.DUMMYFUNCTION("""COMPUTED_VALUE"""),7771)</f>
        <v>7771</v>
      </c>
      <c r="B1608" s="6">
        <f ca="1">IFERROR(__xludf.DUMMYFUNCTION("""COMPUTED_VALUE"""),45441.6897569444)</f>
        <v>45441.689756944397</v>
      </c>
      <c r="C1608" s="3" t="str">
        <f ca="1">IFERROR(__xludf.DUMMYFUNCTION("""COMPUTED_VALUE"""),"purchase")</f>
        <v>purchase</v>
      </c>
      <c r="D1608" s="6">
        <f t="shared" ca="1" si="0"/>
        <v>45441</v>
      </c>
      <c r="E1608" s="6">
        <f t="shared" ca="1" si="1"/>
        <v>45439</v>
      </c>
      <c r="F1608" s="6">
        <f t="shared" ca="1" si="2"/>
        <v>45413</v>
      </c>
      <c r="G1608" s="7"/>
    </row>
    <row r="1609" spans="1:7" x14ac:dyDescent="0.2">
      <c r="A1609" s="3">
        <f ca="1">IFERROR(__xludf.DUMMYFUNCTION("""COMPUTED_VALUE"""),4744)</f>
        <v>4744</v>
      </c>
      <c r="B1609" s="6">
        <f ca="1">IFERROR(__xludf.DUMMYFUNCTION("""COMPUTED_VALUE"""),45441.935949074)</f>
        <v>45441.935949074003</v>
      </c>
      <c r="C1609" s="3" t="str">
        <f ca="1">IFERROR(__xludf.DUMMYFUNCTION("""COMPUTED_VALUE"""),"purchase")</f>
        <v>purchase</v>
      </c>
      <c r="D1609" s="6">
        <f t="shared" ca="1" si="0"/>
        <v>45441</v>
      </c>
      <c r="E1609" s="6">
        <f t="shared" ca="1" si="1"/>
        <v>45439</v>
      </c>
      <c r="F1609" s="6">
        <f t="shared" ca="1" si="2"/>
        <v>45413</v>
      </c>
      <c r="G1609" s="7"/>
    </row>
    <row r="1610" spans="1:7" x14ac:dyDescent="0.2">
      <c r="A1610" s="3">
        <f ca="1">IFERROR(__xludf.DUMMYFUNCTION("""COMPUTED_VALUE"""),5994)</f>
        <v>5994</v>
      </c>
      <c r="B1610" s="6">
        <f ca="1">IFERROR(__xludf.DUMMYFUNCTION("""COMPUTED_VALUE"""),45442.093125)</f>
        <v>45442.093124999999</v>
      </c>
      <c r="C1610" s="3" t="str">
        <f ca="1">IFERROR(__xludf.DUMMYFUNCTION("""COMPUTED_VALUE"""),"purchase")</f>
        <v>purchase</v>
      </c>
      <c r="D1610" s="6">
        <f t="shared" ca="1" si="0"/>
        <v>45442</v>
      </c>
      <c r="E1610" s="6">
        <f t="shared" ca="1" si="1"/>
        <v>45439</v>
      </c>
      <c r="F1610" s="6">
        <f t="shared" ca="1" si="2"/>
        <v>45413</v>
      </c>
      <c r="G1610" s="7"/>
    </row>
    <row r="1611" spans="1:7" x14ac:dyDescent="0.2">
      <c r="A1611" s="3">
        <f ca="1">IFERROR(__xludf.DUMMYFUNCTION("""COMPUTED_VALUE"""),6850)</f>
        <v>6850</v>
      </c>
      <c r="B1611" s="6">
        <f ca="1">IFERROR(__xludf.DUMMYFUNCTION("""COMPUTED_VALUE"""),45442.1058564814)</f>
        <v>45442.105856481401</v>
      </c>
      <c r="C1611" s="3" t="str">
        <f ca="1">IFERROR(__xludf.DUMMYFUNCTION("""COMPUTED_VALUE"""),"purchase")</f>
        <v>purchase</v>
      </c>
      <c r="D1611" s="6">
        <f t="shared" ca="1" si="0"/>
        <v>45442</v>
      </c>
      <c r="E1611" s="6">
        <f t="shared" ca="1" si="1"/>
        <v>45439</v>
      </c>
      <c r="F1611" s="6">
        <f t="shared" ca="1" si="2"/>
        <v>45413</v>
      </c>
      <c r="G1611" s="7"/>
    </row>
    <row r="1612" spans="1:7" x14ac:dyDescent="0.2">
      <c r="A1612" s="3">
        <f ca="1">IFERROR(__xludf.DUMMYFUNCTION("""COMPUTED_VALUE"""),1721)</f>
        <v>1721</v>
      </c>
      <c r="B1612" s="6">
        <f ca="1">IFERROR(__xludf.DUMMYFUNCTION("""COMPUTED_VALUE"""),45442.1634259259)</f>
        <v>45442.163425925901</v>
      </c>
      <c r="C1612" s="3" t="str">
        <f ca="1">IFERROR(__xludf.DUMMYFUNCTION("""COMPUTED_VALUE"""),"purchase")</f>
        <v>purchase</v>
      </c>
      <c r="D1612" s="6">
        <f t="shared" ca="1" si="0"/>
        <v>45442</v>
      </c>
      <c r="E1612" s="6">
        <f t="shared" ca="1" si="1"/>
        <v>45439</v>
      </c>
      <c r="F1612" s="6">
        <f t="shared" ca="1" si="2"/>
        <v>45413</v>
      </c>
      <c r="G1612" s="7"/>
    </row>
    <row r="1613" spans="1:7" x14ac:dyDescent="0.2">
      <c r="A1613" s="3">
        <f ca="1">IFERROR(__xludf.DUMMYFUNCTION("""COMPUTED_VALUE"""),2274)</f>
        <v>2274</v>
      </c>
      <c r="B1613" s="6">
        <f ca="1">IFERROR(__xludf.DUMMYFUNCTION("""COMPUTED_VALUE"""),45442.1723379629)</f>
        <v>45442.172337962897</v>
      </c>
      <c r="C1613" s="3" t="str">
        <f ca="1">IFERROR(__xludf.DUMMYFUNCTION("""COMPUTED_VALUE"""),"purchase")</f>
        <v>purchase</v>
      </c>
      <c r="D1613" s="6">
        <f t="shared" ca="1" si="0"/>
        <v>45442</v>
      </c>
      <c r="E1613" s="6">
        <f t="shared" ca="1" si="1"/>
        <v>45439</v>
      </c>
      <c r="F1613" s="6">
        <f t="shared" ca="1" si="2"/>
        <v>45413</v>
      </c>
      <c r="G1613" s="7"/>
    </row>
    <row r="1614" spans="1:7" x14ac:dyDescent="0.2">
      <c r="A1614" s="3">
        <f ca="1">IFERROR(__xludf.DUMMYFUNCTION("""COMPUTED_VALUE"""),2064)</f>
        <v>2064</v>
      </c>
      <c r="B1614" s="6">
        <f ca="1">IFERROR(__xludf.DUMMYFUNCTION("""COMPUTED_VALUE"""),45442.5373958333)</f>
        <v>45442.5373958333</v>
      </c>
      <c r="C1614" s="3" t="str">
        <f ca="1">IFERROR(__xludf.DUMMYFUNCTION("""COMPUTED_VALUE"""),"purchase")</f>
        <v>purchase</v>
      </c>
      <c r="D1614" s="6">
        <f t="shared" ca="1" si="0"/>
        <v>45442</v>
      </c>
      <c r="E1614" s="6">
        <f t="shared" ca="1" si="1"/>
        <v>45439</v>
      </c>
      <c r="F1614" s="6">
        <f t="shared" ca="1" si="2"/>
        <v>45413</v>
      </c>
      <c r="G1614" s="7"/>
    </row>
    <row r="1615" spans="1:7" x14ac:dyDescent="0.2">
      <c r="A1615" s="3">
        <f ca="1">IFERROR(__xludf.DUMMYFUNCTION("""COMPUTED_VALUE"""),1039)</f>
        <v>1039</v>
      </c>
      <c r="B1615" s="6">
        <f ca="1">IFERROR(__xludf.DUMMYFUNCTION("""COMPUTED_VALUE"""),45442.7986226851)</f>
        <v>45442.798622685099</v>
      </c>
      <c r="C1615" s="3" t="str">
        <f ca="1">IFERROR(__xludf.DUMMYFUNCTION("""COMPUTED_VALUE"""),"purchase")</f>
        <v>purchase</v>
      </c>
      <c r="D1615" s="6">
        <f t="shared" ca="1" si="0"/>
        <v>45442</v>
      </c>
      <c r="E1615" s="6">
        <f t="shared" ca="1" si="1"/>
        <v>45439</v>
      </c>
      <c r="F1615" s="6">
        <f t="shared" ca="1" si="2"/>
        <v>45413</v>
      </c>
      <c r="G1615" s="7"/>
    </row>
    <row r="1616" spans="1:7" x14ac:dyDescent="0.2">
      <c r="A1616" s="3">
        <f ca="1">IFERROR(__xludf.DUMMYFUNCTION("""COMPUTED_VALUE"""),7362)</f>
        <v>7362</v>
      </c>
      <c r="B1616" s="6">
        <f ca="1">IFERROR(__xludf.DUMMYFUNCTION("""COMPUTED_VALUE"""),45442.9711805555)</f>
        <v>45442.971180555498</v>
      </c>
      <c r="C1616" s="3" t="str">
        <f ca="1">IFERROR(__xludf.DUMMYFUNCTION("""COMPUTED_VALUE"""),"purchase")</f>
        <v>purchase</v>
      </c>
      <c r="D1616" s="6">
        <f t="shared" ca="1" si="0"/>
        <v>45442</v>
      </c>
      <c r="E1616" s="6">
        <f t="shared" ca="1" si="1"/>
        <v>45439</v>
      </c>
      <c r="F1616" s="6">
        <f t="shared" ca="1" si="2"/>
        <v>45413</v>
      </c>
      <c r="G1616" s="7"/>
    </row>
    <row r="1617" spans="1:7" x14ac:dyDescent="0.2">
      <c r="A1617" s="3">
        <f ca="1">IFERROR(__xludf.DUMMYFUNCTION("""COMPUTED_VALUE"""),3208)</f>
        <v>3208</v>
      </c>
      <c r="B1617" s="6">
        <f ca="1">IFERROR(__xludf.DUMMYFUNCTION("""COMPUTED_VALUE"""),45443.0171875)</f>
        <v>45443.017187500001</v>
      </c>
      <c r="C1617" s="3" t="str">
        <f ca="1">IFERROR(__xludf.DUMMYFUNCTION("""COMPUTED_VALUE"""),"purchase")</f>
        <v>purchase</v>
      </c>
      <c r="D1617" s="6">
        <f t="shared" ca="1" si="0"/>
        <v>45443</v>
      </c>
      <c r="E1617" s="6">
        <f t="shared" ca="1" si="1"/>
        <v>45439</v>
      </c>
      <c r="F1617" s="6">
        <f t="shared" ca="1" si="2"/>
        <v>45413</v>
      </c>
      <c r="G1617" s="7"/>
    </row>
    <row r="1618" spans="1:7" x14ac:dyDescent="0.2">
      <c r="A1618" s="3">
        <f ca="1">IFERROR(__xludf.DUMMYFUNCTION("""COMPUTED_VALUE"""),836)</f>
        <v>836</v>
      </c>
      <c r="B1618" s="6">
        <f ca="1">IFERROR(__xludf.DUMMYFUNCTION("""COMPUTED_VALUE"""),45443.0340972222)</f>
        <v>45443.034097222197</v>
      </c>
      <c r="C1618" s="3" t="str">
        <f ca="1">IFERROR(__xludf.DUMMYFUNCTION("""COMPUTED_VALUE"""),"purchase")</f>
        <v>purchase</v>
      </c>
      <c r="D1618" s="6">
        <f t="shared" ca="1" si="0"/>
        <v>45443</v>
      </c>
      <c r="E1618" s="6">
        <f t="shared" ca="1" si="1"/>
        <v>45439</v>
      </c>
      <c r="F1618" s="6">
        <f t="shared" ca="1" si="2"/>
        <v>45413</v>
      </c>
      <c r="G1618" s="7"/>
    </row>
    <row r="1619" spans="1:7" x14ac:dyDescent="0.2">
      <c r="A1619" s="3">
        <f ca="1">IFERROR(__xludf.DUMMYFUNCTION("""COMPUTED_VALUE"""),1731)</f>
        <v>1731</v>
      </c>
      <c r="B1619" s="6">
        <f ca="1">IFERROR(__xludf.DUMMYFUNCTION("""COMPUTED_VALUE"""),45443.0685416666)</f>
        <v>45443.068541666602</v>
      </c>
      <c r="C1619" s="3" t="str">
        <f ca="1">IFERROR(__xludf.DUMMYFUNCTION("""COMPUTED_VALUE"""),"purchase")</f>
        <v>purchase</v>
      </c>
      <c r="D1619" s="6">
        <f t="shared" ca="1" si="0"/>
        <v>45443</v>
      </c>
      <c r="E1619" s="6">
        <f t="shared" ca="1" si="1"/>
        <v>45439</v>
      </c>
      <c r="F1619" s="6">
        <f t="shared" ca="1" si="2"/>
        <v>45413</v>
      </c>
      <c r="G1619" s="7"/>
    </row>
    <row r="1620" spans="1:7" x14ac:dyDescent="0.2">
      <c r="A1620" s="3">
        <f ca="1">IFERROR(__xludf.DUMMYFUNCTION("""COMPUTED_VALUE"""),2693)</f>
        <v>2693</v>
      </c>
      <c r="B1620" s="6">
        <f ca="1">IFERROR(__xludf.DUMMYFUNCTION("""COMPUTED_VALUE"""),45443.392523148)</f>
        <v>45443.392523148097</v>
      </c>
      <c r="C1620" s="3" t="str">
        <f ca="1">IFERROR(__xludf.DUMMYFUNCTION("""COMPUTED_VALUE"""),"purchase")</f>
        <v>purchase</v>
      </c>
      <c r="D1620" s="6">
        <f t="shared" ca="1" si="0"/>
        <v>45443</v>
      </c>
      <c r="E1620" s="6">
        <f t="shared" ca="1" si="1"/>
        <v>45439</v>
      </c>
      <c r="F1620" s="6">
        <f t="shared" ca="1" si="2"/>
        <v>45413</v>
      </c>
      <c r="G1620" s="7"/>
    </row>
    <row r="1621" spans="1:7" x14ac:dyDescent="0.2">
      <c r="A1621" s="3">
        <f ca="1">IFERROR(__xludf.DUMMYFUNCTION("""COMPUTED_VALUE"""),5479)</f>
        <v>5479</v>
      </c>
      <c r="B1621" s="6">
        <f ca="1">IFERROR(__xludf.DUMMYFUNCTION("""COMPUTED_VALUE"""),45443.4001041666)</f>
        <v>45443.400104166598</v>
      </c>
      <c r="C1621" s="3" t="str">
        <f ca="1">IFERROR(__xludf.DUMMYFUNCTION("""COMPUTED_VALUE"""),"purchase")</f>
        <v>purchase</v>
      </c>
      <c r="D1621" s="6">
        <f t="shared" ca="1" si="0"/>
        <v>45443</v>
      </c>
      <c r="E1621" s="6">
        <f t="shared" ca="1" si="1"/>
        <v>45439</v>
      </c>
      <c r="F1621" s="6">
        <f t="shared" ca="1" si="2"/>
        <v>45413</v>
      </c>
      <c r="G1621" s="7"/>
    </row>
    <row r="1622" spans="1:7" x14ac:dyDescent="0.2">
      <c r="A1622" s="3">
        <f ca="1">IFERROR(__xludf.DUMMYFUNCTION("""COMPUTED_VALUE"""),7504)</f>
        <v>7504</v>
      </c>
      <c r="B1622" s="6">
        <f ca="1">IFERROR(__xludf.DUMMYFUNCTION("""COMPUTED_VALUE"""),45443.5376504629)</f>
        <v>45443.537650462902</v>
      </c>
      <c r="C1622" s="3" t="str">
        <f ca="1">IFERROR(__xludf.DUMMYFUNCTION("""COMPUTED_VALUE"""),"purchase")</f>
        <v>purchase</v>
      </c>
      <c r="D1622" s="6">
        <f t="shared" ca="1" si="0"/>
        <v>45443</v>
      </c>
      <c r="E1622" s="6">
        <f t="shared" ca="1" si="1"/>
        <v>45439</v>
      </c>
      <c r="F1622" s="6">
        <f t="shared" ca="1" si="2"/>
        <v>45413</v>
      </c>
      <c r="G1622" s="7"/>
    </row>
    <row r="1623" spans="1:7" x14ac:dyDescent="0.2">
      <c r="A1623" s="3">
        <f ca="1">IFERROR(__xludf.DUMMYFUNCTION("""COMPUTED_VALUE"""),3194)</f>
        <v>3194</v>
      </c>
      <c r="B1623" s="6">
        <f ca="1">IFERROR(__xludf.DUMMYFUNCTION("""COMPUTED_VALUE"""),45443.6350231481)</f>
        <v>45443.635023148097</v>
      </c>
      <c r="C1623" s="3" t="str">
        <f ca="1">IFERROR(__xludf.DUMMYFUNCTION("""COMPUTED_VALUE"""),"purchase")</f>
        <v>purchase</v>
      </c>
      <c r="D1623" s="6">
        <f t="shared" ca="1" si="0"/>
        <v>45443</v>
      </c>
      <c r="E1623" s="6">
        <f t="shared" ca="1" si="1"/>
        <v>45439</v>
      </c>
      <c r="F1623" s="6">
        <f t="shared" ca="1" si="2"/>
        <v>45413</v>
      </c>
      <c r="G1623" s="7"/>
    </row>
    <row r="1624" spans="1:7" x14ac:dyDescent="0.2">
      <c r="A1624" s="3">
        <f ca="1">IFERROR(__xludf.DUMMYFUNCTION("""COMPUTED_VALUE"""),4510)</f>
        <v>4510</v>
      </c>
      <c r="B1624" s="6">
        <f ca="1">IFERROR(__xludf.DUMMYFUNCTION("""COMPUTED_VALUE"""),45443.6801736111)</f>
        <v>45443.680173611101</v>
      </c>
      <c r="C1624" s="3" t="str">
        <f ca="1">IFERROR(__xludf.DUMMYFUNCTION("""COMPUTED_VALUE"""),"purchase")</f>
        <v>purchase</v>
      </c>
      <c r="D1624" s="6">
        <f t="shared" ca="1" si="0"/>
        <v>45443</v>
      </c>
      <c r="E1624" s="6">
        <f t="shared" ca="1" si="1"/>
        <v>45439</v>
      </c>
      <c r="F1624" s="6">
        <f t="shared" ca="1" si="2"/>
        <v>45413</v>
      </c>
      <c r="G1624" s="7"/>
    </row>
    <row r="1625" spans="1:7" x14ac:dyDescent="0.2">
      <c r="A1625" s="3">
        <f ca="1">IFERROR(__xludf.DUMMYFUNCTION("""COMPUTED_VALUE"""),3455)</f>
        <v>3455</v>
      </c>
      <c r="B1625" s="6">
        <f ca="1">IFERROR(__xludf.DUMMYFUNCTION("""COMPUTED_VALUE"""),45443.8287384259)</f>
        <v>45443.828738425902</v>
      </c>
      <c r="C1625" s="3" t="str">
        <f ca="1">IFERROR(__xludf.DUMMYFUNCTION("""COMPUTED_VALUE"""),"purchase")</f>
        <v>purchase</v>
      </c>
      <c r="D1625" s="6">
        <f t="shared" ca="1" si="0"/>
        <v>45443</v>
      </c>
      <c r="E1625" s="6">
        <f t="shared" ca="1" si="1"/>
        <v>45439</v>
      </c>
      <c r="F1625" s="6">
        <f t="shared" ca="1" si="2"/>
        <v>45413</v>
      </c>
      <c r="G1625" s="7"/>
    </row>
    <row r="1626" spans="1:7" x14ac:dyDescent="0.2">
      <c r="A1626" s="3">
        <f ca="1">IFERROR(__xludf.DUMMYFUNCTION("""COMPUTED_VALUE"""),3593)</f>
        <v>3593</v>
      </c>
      <c r="B1626" s="6">
        <f ca="1">IFERROR(__xludf.DUMMYFUNCTION("""COMPUTED_VALUE"""),45443.8693634259)</f>
        <v>45443.869363425903</v>
      </c>
      <c r="C1626" s="3" t="str">
        <f ca="1">IFERROR(__xludf.DUMMYFUNCTION("""COMPUTED_VALUE"""),"purchase")</f>
        <v>purchase</v>
      </c>
      <c r="D1626" s="6">
        <f t="shared" ca="1" si="0"/>
        <v>45443</v>
      </c>
      <c r="E1626" s="6">
        <f t="shared" ca="1" si="1"/>
        <v>45439</v>
      </c>
      <c r="F1626" s="6">
        <f t="shared" ca="1" si="2"/>
        <v>45413</v>
      </c>
      <c r="G1626" s="7"/>
    </row>
    <row r="1627" spans="1:7" x14ac:dyDescent="0.2">
      <c r="A1627" s="3">
        <f ca="1">IFERROR(__xludf.DUMMYFUNCTION("""COMPUTED_VALUE"""),2489)</f>
        <v>2489</v>
      </c>
      <c r="B1627" s="6">
        <f ca="1">IFERROR(__xludf.DUMMYFUNCTION("""COMPUTED_VALUE"""),45444.0547106481)</f>
        <v>45444.054710648103</v>
      </c>
      <c r="C1627" s="3" t="str">
        <f ca="1">IFERROR(__xludf.DUMMYFUNCTION("""COMPUTED_VALUE"""),"purchase")</f>
        <v>purchase</v>
      </c>
      <c r="D1627" s="6">
        <f t="shared" ca="1" si="0"/>
        <v>45444</v>
      </c>
      <c r="E1627" s="6">
        <f t="shared" ca="1" si="1"/>
        <v>45439</v>
      </c>
      <c r="F1627" s="6">
        <f t="shared" ca="1" si="2"/>
        <v>45444</v>
      </c>
      <c r="G1627" s="7"/>
    </row>
    <row r="1628" spans="1:7" x14ac:dyDescent="0.2">
      <c r="A1628" s="3">
        <f ca="1">IFERROR(__xludf.DUMMYFUNCTION("""COMPUTED_VALUE"""),1091)</f>
        <v>1091</v>
      </c>
      <c r="B1628" s="6">
        <f ca="1">IFERROR(__xludf.DUMMYFUNCTION("""COMPUTED_VALUE"""),45444.0641319444)</f>
        <v>45444.064131944397</v>
      </c>
      <c r="C1628" s="3" t="str">
        <f ca="1">IFERROR(__xludf.DUMMYFUNCTION("""COMPUTED_VALUE"""),"purchase")</f>
        <v>purchase</v>
      </c>
      <c r="D1628" s="6">
        <f t="shared" ca="1" si="0"/>
        <v>45444</v>
      </c>
      <c r="E1628" s="6">
        <f t="shared" ca="1" si="1"/>
        <v>45439</v>
      </c>
      <c r="F1628" s="6">
        <f t="shared" ca="1" si="2"/>
        <v>45444</v>
      </c>
      <c r="G1628" s="7"/>
    </row>
    <row r="1629" spans="1:7" x14ac:dyDescent="0.2">
      <c r="A1629" s="3">
        <f ca="1">IFERROR(__xludf.DUMMYFUNCTION("""COMPUTED_VALUE"""),1318)</f>
        <v>1318</v>
      </c>
      <c r="B1629" s="6">
        <f ca="1">IFERROR(__xludf.DUMMYFUNCTION("""COMPUTED_VALUE"""),45444.0995601851)</f>
        <v>45444.099560185103</v>
      </c>
      <c r="C1629" s="3" t="str">
        <f ca="1">IFERROR(__xludf.DUMMYFUNCTION("""COMPUTED_VALUE"""),"purchase")</f>
        <v>purchase</v>
      </c>
      <c r="D1629" s="6">
        <f t="shared" ca="1" si="0"/>
        <v>45444</v>
      </c>
      <c r="E1629" s="6">
        <f t="shared" ca="1" si="1"/>
        <v>45439</v>
      </c>
      <c r="F1629" s="6">
        <f t="shared" ca="1" si="2"/>
        <v>45444</v>
      </c>
      <c r="G1629" s="7"/>
    </row>
    <row r="1630" spans="1:7" x14ac:dyDescent="0.2">
      <c r="A1630" s="3">
        <f ca="1">IFERROR(__xludf.DUMMYFUNCTION("""COMPUTED_VALUE"""),7160)</f>
        <v>7160</v>
      </c>
      <c r="B1630" s="6">
        <f ca="1">IFERROR(__xludf.DUMMYFUNCTION("""COMPUTED_VALUE"""),45444.1264351851)</f>
        <v>45444.126435185099</v>
      </c>
      <c r="C1630" s="3" t="str">
        <f ca="1">IFERROR(__xludf.DUMMYFUNCTION("""COMPUTED_VALUE"""),"purchase")</f>
        <v>purchase</v>
      </c>
      <c r="D1630" s="6">
        <f t="shared" ca="1" si="0"/>
        <v>45444</v>
      </c>
      <c r="E1630" s="6">
        <f t="shared" ca="1" si="1"/>
        <v>45439</v>
      </c>
      <c r="F1630" s="6">
        <f t="shared" ca="1" si="2"/>
        <v>45444</v>
      </c>
      <c r="G1630" s="7"/>
    </row>
    <row r="1631" spans="1:7" x14ac:dyDescent="0.2">
      <c r="A1631" s="3">
        <f ca="1">IFERROR(__xludf.DUMMYFUNCTION("""COMPUTED_VALUE"""),6621)</f>
        <v>6621</v>
      </c>
      <c r="B1631" s="6">
        <f ca="1">IFERROR(__xludf.DUMMYFUNCTION("""COMPUTED_VALUE"""),45444.319537037)</f>
        <v>45444.319537037001</v>
      </c>
      <c r="C1631" s="3" t="str">
        <f ca="1">IFERROR(__xludf.DUMMYFUNCTION("""COMPUTED_VALUE"""),"purchase")</f>
        <v>purchase</v>
      </c>
      <c r="D1631" s="6">
        <f t="shared" ca="1" si="0"/>
        <v>45444</v>
      </c>
      <c r="E1631" s="6">
        <f t="shared" ca="1" si="1"/>
        <v>45439</v>
      </c>
      <c r="F1631" s="6">
        <f t="shared" ca="1" si="2"/>
        <v>45444</v>
      </c>
      <c r="G1631" s="7"/>
    </row>
    <row r="1632" spans="1:7" x14ac:dyDescent="0.2">
      <c r="A1632" s="3">
        <f ca="1">IFERROR(__xludf.DUMMYFUNCTION("""COMPUTED_VALUE"""),7220)</f>
        <v>7220</v>
      </c>
      <c r="B1632" s="6">
        <f ca="1">IFERROR(__xludf.DUMMYFUNCTION("""COMPUTED_VALUE"""),45444.4513657407)</f>
        <v>45444.451365740701</v>
      </c>
      <c r="C1632" s="3" t="str">
        <f ca="1">IFERROR(__xludf.DUMMYFUNCTION("""COMPUTED_VALUE"""),"purchase")</f>
        <v>purchase</v>
      </c>
      <c r="D1632" s="6">
        <f t="shared" ca="1" si="0"/>
        <v>45444</v>
      </c>
      <c r="E1632" s="6">
        <f t="shared" ca="1" si="1"/>
        <v>45439</v>
      </c>
      <c r="F1632" s="6">
        <f t="shared" ca="1" si="2"/>
        <v>45444</v>
      </c>
      <c r="G1632" s="7"/>
    </row>
    <row r="1633" spans="1:7" x14ac:dyDescent="0.2">
      <c r="A1633" s="3">
        <f ca="1">IFERROR(__xludf.DUMMYFUNCTION("""COMPUTED_VALUE"""),3306)</f>
        <v>3306</v>
      </c>
      <c r="B1633" s="6">
        <f ca="1">IFERROR(__xludf.DUMMYFUNCTION("""COMPUTED_VALUE"""),45444.5000578703)</f>
        <v>45444.500057870297</v>
      </c>
      <c r="C1633" s="3" t="str">
        <f ca="1">IFERROR(__xludf.DUMMYFUNCTION("""COMPUTED_VALUE"""),"purchase")</f>
        <v>purchase</v>
      </c>
      <c r="D1633" s="6">
        <f t="shared" ca="1" si="0"/>
        <v>45444</v>
      </c>
      <c r="E1633" s="6">
        <f t="shared" ca="1" si="1"/>
        <v>45439</v>
      </c>
      <c r="F1633" s="6">
        <f t="shared" ca="1" si="2"/>
        <v>45444</v>
      </c>
      <c r="G1633" s="7"/>
    </row>
    <row r="1634" spans="1:7" x14ac:dyDescent="0.2">
      <c r="A1634" s="3">
        <f ca="1">IFERROR(__xludf.DUMMYFUNCTION("""COMPUTED_VALUE"""),7785)</f>
        <v>7785</v>
      </c>
      <c r="B1634" s="6">
        <f ca="1">IFERROR(__xludf.DUMMYFUNCTION("""COMPUTED_VALUE"""),45444.6207175925)</f>
        <v>45444.620717592501</v>
      </c>
      <c r="C1634" s="3" t="str">
        <f ca="1">IFERROR(__xludf.DUMMYFUNCTION("""COMPUTED_VALUE"""),"purchase")</f>
        <v>purchase</v>
      </c>
      <c r="D1634" s="6">
        <f t="shared" ca="1" si="0"/>
        <v>45444</v>
      </c>
      <c r="E1634" s="6">
        <f t="shared" ca="1" si="1"/>
        <v>45439</v>
      </c>
      <c r="F1634" s="6">
        <f t="shared" ca="1" si="2"/>
        <v>45444</v>
      </c>
      <c r="G1634" s="7"/>
    </row>
    <row r="1635" spans="1:7" x14ac:dyDescent="0.2">
      <c r="A1635" s="3">
        <f ca="1">IFERROR(__xludf.DUMMYFUNCTION("""COMPUTED_VALUE"""),4102)</f>
        <v>4102</v>
      </c>
      <c r="B1635" s="6">
        <f ca="1">IFERROR(__xludf.DUMMYFUNCTION("""COMPUTED_VALUE"""),45444.6394328703)</f>
        <v>45444.639432870303</v>
      </c>
      <c r="C1635" s="3" t="str">
        <f ca="1">IFERROR(__xludf.DUMMYFUNCTION("""COMPUTED_VALUE"""),"purchase")</f>
        <v>purchase</v>
      </c>
      <c r="D1635" s="6">
        <f t="shared" ca="1" si="0"/>
        <v>45444</v>
      </c>
      <c r="E1635" s="6">
        <f t="shared" ca="1" si="1"/>
        <v>45439</v>
      </c>
      <c r="F1635" s="6">
        <f t="shared" ca="1" si="2"/>
        <v>45444</v>
      </c>
      <c r="G1635" s="7"/>
    </row>
    <row r="1636" spans="1:7" x14ac:dyDescent="0.2">
      <c r="A1636" s="3">
        <f ca="1">IFERROR(__xludf.DUMMYFUNCTION("""COMPUTED_VALUE"""),7443)</f>
        <v>7443</v>
      </c>
      <c r="B1636" s="6">
        <f ca="1">IFERROR(__xludf.DUMMYFUNCTION("""COMPUTED_VALUE"""),45444.6887962962)</f>
        <v>45444.688796296199</v>
      </c>
      <c r="C1636" s="3" t="str">
        <f ca="1">IFERROR(__xludf.DUMMYFUNCTION("""COMPUTED_VALUE"""),"purchase")</f>
        <v>purchase</v>
      </c>
      <c r="D1636" s="6">
        <f t="shared" ca="1" si="0"/>
        <v>45444</v>
      </c>
      <c r="E1636" s="6">
        <f t="shared" ca="1" si="1"/>
        <v>45439</v>
      </c>
      <c r="F1636" s="6">
        <f t="shared" ca="1" si="2"/>
        <v>45444</v>
      </c>
      <c r="G1636" s="7"/>
    </row>
    <row r="1637" spans="1:7" x14ac:dyDescent="0.2">
      <c r="A1637" s="3">
        <f ca="1">IFERROR(__xludf.DUMMYFUNCTION("""COMPUTED_VALUE"""),6553)</f>
        <v>6553</v>
      </c>
      <c r="B1637" s="6">
        <f ca="1">IFERROR(__xludf.DUMMYFUNCTION("""COMPUTED_VALUE"""),45444.7303935185)</f>
        <v>45444.730393518497</v>
      </c>
      <c r="C1637" s="3" t="str">
        <f ca="1">IFERROR(__xludf.DUMMYFUNCTION("""COMPUTED_VALUE"""),"purchase")</f>
        <v>purchase</v>
      </c>
      <c r="D1637" s="6">
        <f t="shared" ca="1" si="0"/>
        <v>45444</v>
      </c>
      <c r="E1637" s="6">
        <f t="shared" ca="1" si="1"/>
        <v>45439</v>
      </c>
      <c r="F1637" s="6">
        <f t="shared" ca="1" si="2"/>
        <v>45444</v>
      </c>
      <c r="G1637" s="7"/>
    </row>
    <row r="1638" spans="1:7" x14ac:dyDescent="0.2">
      <c r="A1638" s="3">
        <f ca="1">IFERROR(__xludf.DUMMYFUNCTION("""COMPUTED_VALUE"""),2019)</f>
        <v>2019</v>
      </c>
      <c r="B1638" s="6">
        <f ca="1">IFERROR(__xludf.DUMMYFUNCTION("""COMPUTED_VALUE"""),45444.7557754629)</f>
        <v>45444.755775462902</v>
      </c>
      <c r="C1638" s="3" t="str">
        <f ca="1">IFERROR(__xludf.DUMMYFUNCTION("""COMPUTED_VALUE"""),"purchase")</f>
        <v>purchase</v>
      </c>
      <c r="D1638" s="6">
        <f t="shared" ca="1" si="0"/>
        <v>45444</v>
      </c>
      <c r="E1638" s="6">
        <f t="shared" ca="1" si="1"/>
        <v>45439</v>
      </c>
      <c r="F1638" s="6">
        <f t="shared" ca="1" si="2"/>
        <v>45444</v>
      </c>
      <c r="G1638" s="7"/>
    </row>
    <row r="1639" spans="1:7" x14ac:dyDescent="0.2">
      <c r="A1639" s="3">
        <f ca="1">IFERROR(__xludf.DUMMYFUNCTION("""COMPUTED_VALUE"""),5708)</f>
        <v>5708</v>
      </c>
      <c r="B1639" s="6">
        <f ca="1">IFERROR(__xludf.DUMMYFUNCTION("""COMPUTED_VALUE"""),45444.7712731481)</f>
        <v>45444.771273148101</v>
      </c>
      <c r="C1639" s="3" t="str">
        <f ca="1">IFERROR(__xludf.DUMMYFUNCTION("""COMPUTED_VALUE"""),"purchase")</f>
        <v>purchase</v>
      </c>
      <c r="D1639" s="6">
        <f t="shared" ca="1" si="0"/>
        <v>45444</v>
      </c>
      <c r="E1639" s="6">
        <f t="shared" ca="1" si="1"/>
        <v>45439</v>
      </c>
      <c r="F1639" s="6">
        <f t="shared" ca="1" si="2"/>
        <v>45444</v>
      </c>
      <c r="G1639" s="7"/>
    </row>
    <row r="1640" spans="1:7" x14ac:dyDescent="0.2">
      <c r="A1640" s="3">
        <f ca="1">IFERROR(__xludf.DUMMYFUNCTION("""COMPUTED_VALUE"""),3071)</f>
        <v>3071</v>
      </c>
      <c r="B1640" s="6">
        <f ca="1">IFERROR(__xludf.DUMMYFUNCTION("""COMPUTED_VALUE"""),45445.0766319444)</f>
        <v>45445.076631944401</v>
      </c>
      <c r="C1640" s="3" t="str">
        <f ca="1">IFERROR(__xludf.DUMMYFUNCTION("""COMPUTED_VALUE"""),"purchase")</f>
        <v>purchase</v>
      </c>
      <c r="D1640" s="6">
        <f t="shared" ca="1" si="0"/>
        <v>45445</v>
      </c>
      <c r="E1640" s="6">
        <f t="shared" ca="1" si="1"/>
        <v>45439</v>
      </c>
      <c r="F1640" s="6">
        <f t="shared" ca="1" si="2"/>
        <v>45444</v>
      </c>
      <c r="G1640" s="7"/>
    </row>
    <row r="1641" spans="1:7" x14ac:dyDescent="0.2">
      <c r="A1641" s="3">
        <f ca="1">IFERROR(__xludf.DUMMYFUNCTION("""COMPUTED_VALUE"""),51)</f>
        <v>51</v>
      </c>
      <c r="B1641" s="6">
        <f ca="1">IFERROR(__xludf.DUMMYFUNCTION("""COMPUTED_VALUE"""),45445.2955555555)</f>
        <v>45445.295555555502</v>
      </c>
      <c r="C1641" s="3" t="str">
        <f ca="1">IFERROR(__xludf.DUMMYFUNCTION("""COMPUTED_VALUE"""),"purchase")</f>
        <v>purchase</v>
      </c>
      <c r="D1641" s="6">
        <f t="shared" ca="1" si="0"/>
        <v>45445</v>
      </c>
      <c r="E1641" s="6">
        <f t="shared" ca="1" si="1"/>
        <v>45439</v>
      </c>
      <c r="F1641" s="6">
        <f t="shared" ca="1" si="2"/>
        <v>45444</v>
      </c>
      <c r="G1641" s="7"/>
    </row>
    <row r="1642" spans="1:7" x14ac:dyDescent="0.2">
      <c r="A1642" s="3">
        <f ca="1">IFERROR(__xludf.DUMMYFUNCTION("""COMPUTED_VALUE"""),6277)</f>
        <v>6277</v>
      </c>
      <c r="B1642" s="6">
        <f ca="1">IFERROR(__xludf.DUMMYFUNCTION("""COMPUTED_VALUE"""),45445.5421412037)</f>
        <v>45445.542141203703</v>
      </c>
      <c r="C1642" s="3" t="str">
        <f ca="1">IFERROR(__xludf.DUMMYFUNCTION("""COMPUTED_VALUE"""),"purchase")</f>
        <v>purchase</v>
      </c>
      <c r="D1642" s="6">
        <f t="shared" ca="1" si="0"/>
        <v>45445</v>
      </c>
      <c r="E1642" s="6">
        <f t="shared" ca="1" si="1"/>
        <v>45439</v>
      </c>
      <c r="F1642" s="6">
        <f t="shared" ca="1" si="2"/>
        <v>45444</v>
      </c>
      <c r="G1642" s="7"/>
    </row>
    <row r="1643" spans="1:7" x14ac:dyDescent="0.2">
      <c r="A1643" s="3">
        <f ca="1">IFERROR(__xludf.DUMMYFUNCTION("""COMPUTED_VALUE"""),1500)</f>
        <v>1500</v>
      </c>
      <c r="B1643" s="6">
        <f ca="1">IFERROR(__xludf.DUMMYFUNCTION("""COMPUTED_VALUE"""),45445.5607060185)</f>
        <v>45445.560706018499</v>
      </c>
      <c r="C1643" s="3" t="str">
        <f ca="1">IFERROR(__xludf.DUMMYFUNCTION("""COMPUTED_VALUE"""),"purchase")</f>
        <v>purchase</v>
      </c>
      <c r="D1643" s="6">
        <f t="shared" ca="1" si="0"/>
        <v>45445</v>
      </c>
      <c r="E1643" s="6">
        <f t="shared" ca="1" si="1"/>
        <v>45439</v>
      </c>
      <c r="F1643" s="6">
        <f t="shared" ca="1" si="2"/>
        <v>45444</v>
      </c>
      <c r="G1643" s="7"/>
    </row>
    <row r="1644" spans="1:7" x14ac:dyDescent="0.2">
      <c r="A1644" s="3">
        <f ca="1">IFERROR(__xludf.DUMMYFUNCTION("""COMPUTED_VALUE"""),4348)</f>
        <v>4348</v>
      </c>
      <c r="B1644" s="6">
        <f ca="1">IFERROR(__xludf.DUMMYFUNCTION("""COMPUTED_VALUE"""),45445.58625)</f>
        <v>45445.58625</v>
      </c>
      <c r="C1644" s="3" t="str">
        <f ca="1">IFERROR(__xludf.DUMMYFUNCTION("""COMPUTED_VALUE"""),"purchase")</f>
        <v>purchase</v>
      </c>
      <c r="D1644" s="6">
        <f t="shared" ca="1" si="0"/>
        <v>45445</v>
      </c>
      <c r="E1644" s="6">
        <f t="shared" ca="1" si="1"/>
        <v>45439</v>
      </c>
      <c r="F1644" s="6">
        <f t="shared" ca="1" si="2"/>
        <v>45444</v>
      </c>
      <c r="G1644" s="7"/>
    </row>
    <row r="1645" spans="1:7" x14ac:dyDescent="0.2">
      <c r="A1645" s="3">
        <f ca="1">IFERROR(__xludf.DUMMYFUNCTION("""COMPUTED_VALUE"""),3555)</f>
        <v>3555</v>
      </c>
      <c r="B1645" s="6">
        <f ca="1">IFERROR(__xludf.DUMMYFUNCTION("""COMPUTED_VALUE"""),45445.5982291666)</f>
        <v>45445.598229166601</v>
      </c>
      <c r="C1645" s="3" t="str">
        <f ca="1">IFERROR(__xludf.DUMMYFUNCTION("""COMPUTED_VALUE"""),"purchase")</f>
        <v>purchase</v>
      </c>
      <c r="D1645" s="6">
        <f t="shared" ca="1" si="0"/>
        <v>45445</v>
      </c>
      <c r="E1645" s="6">
        <f t="shared" ca="1" si="1"/>
        <v>45439</v>
      </c>
      <c r="F1645" s="6">
        <f t="shared" ca="1" si="2"/>
        <v>45444</v>
      </c>
      <c r="G1645" s="7"/>
    </row>
    <row r="1646" spans="1:7" x14ac:dyDescent="0.2">
      <c r="A1646" s="3">
        <f ca="1">IFERROR(__xludf.DUMMYFUNCTION("""COMPUTED_VALUE"""),1243)</f>
        <v>1243</v>
      </c>
      <c r="B1646" s="6">
        <f ca="1">IFERROR(__xludf.DUMMYFUNCTION("""COMPUTED_VALUE"""),45445.758287037)</f>
        <v>45445.758287037002</v>
      </c>
      <c r="C1646" s="3" t="str">
        <f ca="1">IFERROR(__xludf.DUMMYFUNCTION("""COMPUTED_VALUE"""),"purchase")</f>
        <v>purchase</v>
      </c>
      <c r="D1646" s="6">
        <f t="shared" ca="1" si="0"/>
        <v>45445</v>
      </c>
      <c r="E1646" s="6">
        <f t="shared" ca="1" si="1"/>
        <v>45439</v>
      </c>
      <c r="F1646" s="6">
        <f t="shared" ca="1" si="2"/>
        <v>45444</v>
      </c>
      <c r="G1646" s="7"/>
    </row>
    <row r="1647" spans="1:7" x14ac:dyDescent="0.2">
      <c r="A1647" s="3">
        <f ca="1">IFERROR(__xludf.DUMMYFUNCTION("""COMPUTED_VALUE"""),7136)</f>
        <v>7136</v>
      </c>
      <c r="B1647" s="6">
        <f ca="1">IFERROR(__xludf.DUMMYFUNCTION("""COMPUTED_VALUE"""),45445.8556712962)</f>
        <v>45445.855671296202</v>
      </c>
      <c r="C1647" s="3" t="str">
        <f ca="1">IFERROR(__xludf.DUMMYFUNCTION("""COMPUTED_VALUE"""),"purchase")</f>
        <v>purchase</v>
      </c>
      <c r="D1647" s="6">
        <f t="shared" ca="1" si="0"/>
        <v>45445</v>
      </c>
      <c r="E1647" s="6">
        <f t="shared" ca="1" si="1"/>
        <v>45439</v>
      </c>
      <c r="F1647" s="6">
        <f t="shared" ca="1" si="2"/>
        <v>45444</v>
      </c>
      <c r="G1647" s="7"/>
    </row>
    <row r="1648" spans="1:7" x14ac:dyDescent="0.2">
      <c r="A1648" s="3">
        <f ca="1">IFERROR(__xludf.DUMMYFUNCTION("""COMPUTED_VALUE"""),2628)</f>
        <v>2628</v>
      </c>
      <c r="B1648" s="6">
        <f ca="1">IFERROR(__xludf.DUMMYFUNCTION("""COMPUTED_VALUE"""),45446.0326157407)</f>
        <v>45446.032615740703</v>
      </c>
      <c r="C1648" s="3" t="str">
        <f ca="1">IFERROR(__xludf.DUMMYFUNCTION("""COMPUTED_VALUE"""),"purchase")</f>
        <v>purchase</v>
      </c>
      <c r="D1648" s="6">
        <f t="shared" ca="1" si="0"/>
        <v>45446</v>
      </c>
      <c r="E1648" s="6">
        <f t="shared" ca="1" si="1"/>
        <v>45446</v>
      </c>
      <c r="F1648" s="6">
        <f t="shared" ca="1" si="2"/>
        <v>45444</v>
      </c>
      <c r="G1648" s="7"/>
    </row>
    <row r="1649" spans="1:7" x14ac:dyDescent="0.2">
      <c r="A1649" s="3">
        <f ca="1">IFERROR(__xludf.DUMMYFUNCTION("""COMPUTED_VALUE"""),4819)</f>
        <v>4819</v>
      </c>
      <c r="B1649" s="6">
        <f ca="1">IFERROR(__xludf.DUMMYFUNCTION("""COMPUTED_VALUE"""),45446.2117361111)</f>
        <v>45446.211736111101</v>
      </c>
      <c r="C1649" s="3" t="str">
        <f ca="1">IFERROR(__xludf.DUMMYFUNCTION("""COMPUTED_VALUE"""),"purchase")</f>
        <v>purchase</v>
      </c>
      <c r="D1649" s="6">
        <f t="shared" ca="1" si="0"/>
        <v>45446</v>
      </c>
      <c r="E1649" s="6">
        <f t="shared" ca="1" si="1"/>
        <v>45446</v>
      </c>
      <c r="F1649" s="6">
        <f t="shared" ca="1" si="2"/>
        <v>45444</v>
      </c>
      <c r="G1649" s="7"/>
    </row>
    <row r="1650" spans="1:7" x14ac:dyDescent="0.2">
      <c r="A1650" s="3">
        <f ca="1">IFERROR(__xludf.DUMMYFUNCTION("""COMPUTED_VALUE"""),7940)</f>
        <v>7940</v>
      </c>
      <c r="B1650" s="6">
        <f ca="1">IFERROR(__xludf.DUMMYFUNCTION("""COMPUTED_VALUE"""),45446.2143287037)</f>
        <v>45446.214328703703</v>
      </c>
      <c r="C1650" s="3" t="str">
        <f ca="1">IFERROR(__xludf.DUMMYFUNCTION("""COMPUTED_VALUE"""),"purchase")</f>
        <v>purchase</v>
      </c>
      <c r="D1650" s="6">
        <f t="shared" ca="1" si="0"/>
        <v>45446</v>
      </c>
      <c r="E1650" s="6">
        <f t="shared" ca="1" si="1"/>
        <v>45446</v>
      </c>
      <c r="F1650" s="6">
        <f t="shared" ca="1" si="2"/>
        <v>45444</v>
      </c>
      <c r="G1650" s="7"/>
    </row>
    <row r="1651" spans="1:7" x14ac:dyDescent="0.2">
      <c r="A1651" s="3">
        <f ca="1">IFERROR(__xludf.DUMMYFUNCTION("""COMPUTED_VALUE"""),6563)</f>
        <v>6563</v>
      </c>
      <c r="B1651" s="6">
        <f ca="1">IFERROR(__xludf.DUMMYFUNCTION("""COMPUTED_VALUE"""),45446.5025925925)</f>
        <v>45446.5025925925</v>
      </c>
      <c r="C1651" s="3" t="str">
        <f ca="1">IFERROR(__xludf.DUMMYFUNCTION("""COMPUTED_VALUE"""),"purchase")</f>
        <v>purchase</v>
      </c>
      <c r="D1651" s="6">
        <f t="shared" ca="1" si="0"/>
        <v>45446</v>
      </c>
      <c r="E1651" s="6">
        <f t="shared" ca="1" si="1"/>
        <v>45446</v>
      </c>
      <c r="F1651" s="6">
        <f t="shared" ca="1" si="2"/>
        <v>45444</v>
      </c>
      <c r="G1651" s="7"/>
    </row>
    <row r="1652" spans="1:7" x14ac:dyDescent="0.2">
      <c r="A1652" s="3">
        <f ca="1">IFERROR(__xludf.DUMMYFUNCTION("""COMPUTED_VALUE"""),5762)</f>
        <v>5762</v>
      </c>
      <c r="B1652" s="6">
        <f ca="1">IFERROR(__xludf.DUMMYFUNCTION("""COMPUTED_VALUE"""),45446.6838541666)</f>
        <v>45446.6838541666</v>
      </c>
      <c r="C1652" s="3" t="str">
        <f ca="1">IFERROR(__xludf.DUMMYFUNCTION("""COMPUTED_VALUE"""),"purchase")</f>
        <v>purchase</v>
      </c>
      <c r="D1652" s="6">
        <f t="shared" ca="1" si="0"/>
        <v>45446</v>
      </c>
      <c r="E1652" s="6">
        <f t="shared" ca="1" si="1"/>
        <v>45446</v>
      </c>
      <c r="F1652" s="6">
        <f t="shared" ca="1" si="2"/>
        <v>45444</v>
      </c>
      <c r="G1652" s="7"/>
    </row>
    <row r="1653" spans="1:7" x14ac:dyDescent="0.2">
      <c r="A1653" s="3">
        <f ca="1">IFERROR(__xludf.DUMMYFUNCTION("""COMPUTED_VALUE"""),7479)</f>
        <v>7479</v>
      </c>
      <c r="B1653" s="6">
        <f ca="1">IFERROR(__xludf.DUMMYFUNCTION("""COMPUTED_VALUE"""),45446.6938888888)</f>
        <v>45446.693888888803</v>
      </c>
      <c r="C1653" s="3" t="str">
        <f ca="1">IFERROR(__xludf.DUMMYFUNCTION("""COMPUTED_VALUE"""),"purchase")</f>
        <v>purchase</v>
      </c>
      <c r="D1653" s="6">
        <f t="shared" ca="1" si="0"/>
        <v>45446</v>
      </c>
      <c r="E1653" s="6">
        <f t="shared" ca="1" si="1"/>
        <v>45446</v>
      </c>
      <c r="F1653" s="6">
        <f t="shared" ca="1" si="2"/>
        <v>45444</v>
      </c>
      <c r="G1653" s="7"/>
    </row>
    <row r="1654" spans="1:7" x14ac:dyDescent="0.2">
      <c r="A1654" s="3">
        <f ca="1">IFERROR(__xludf.DUMMYFUNCTION("""COMPUTED_VALUE"""),454)</f>
        <v>454</v>
      </c>
      <c r="B1654" s="6">
        <f ca="1">IFERROR(__xludf.DUMMYFUNCTION("""COMPUTED_VALUE"""),45446.7683333333)</f>
        <v>45446.768333333297</v>
      </c>
      <c r="C1654" s="3" t="str">
        <f ca="1">IFERROR(__xludf.DUMMYFUNCTION("""COMPUTED_VALUE"""),"purchase")</f>
        <v>purchase</v>
      </c>
      <c r="D1654" s="6">
        <f t="shared" ca="1" si="0"/>
        <v>45446</v>
      </c>
      <c r="E1654" s="6">
        <f t="shared" ca="1" si="1"/>
        <v>45446</v>
      </c>
      <c r="F1654" s="6">
        <f t="shared" ca="1" si="2"/>
        <v>45444</v>
      </c>
      <c r="G1654" s="7"/>
    </row>
    <row r="1655" spans="1:7" x14ac:dyDescent="0.2">
      <c r="A1655" s="3">
        <f ca="1">IFERROR(__xludf.DUMMYFUNCTION("""COMPUTED_VALUE"""),2317)</f>
        <v>2317</v>
      </c>
      <c r="B1655" s="6">
        <f ca="1">IFERROR(__xludf.DUMMYFUNCTION("""COMPUTED_VALUE"""),45446.9017592592)</f>
        <v>45446.901759259199</v>
      </c>
      <c r="C1655" s="3" t="str">
        <f ca="1">IFERROR(__xludf.DUMMYFUNCTION("""COMPUTED_VALUE"""),"purchase")</f>
        <v>purchase</v>
      </c>
      <c r="D1655" s="6">
        <f t="shared" ca="1" si="0"/>
        <v>45446</v>
      </c>
      <c r="E1655" s="6">
        <f t="shared" ca="1" si="1"/>
        <v>45446</v>
      </c>
      <c r="F1655" s="6">
        <f t="shared" ca="1" si="2"/>
        <v>45444</v>
      </c>
      <c r="G1655" s="7"/>
    </row>
    <row r="1656" spans="1:7" x14ac:dyDescent="0.2">
      <c r="A1656" s="3">
        <f ca="1">IFERROR(__xludf.DUMMYFUNCTION("""COMPUTED_VALUE"""),5988)</f>
        <v>5988</v>
      </c>
      <c r="B1656" s="6">
        <f ca="1">IFERROR(__xludf.DUMMYFUNCTION("""COMPUTED_VALUE"""),45447.1249768518)</f>
        <v>45447.124976851803</v>
      </c>
      <c r="C1656" s="3" t="str">
        <f ca="1">IFERROR(__xludf.DUMMYFUNCTION("""COMPUTED_VALUE"""),"purchase")</f>
        <v>purchase</v>
      </c>
      <c r="D1656" s="6">
        <f t="shared" ca="1" si="0"/>
        <v>45447</v>
      </c>
      <c r="E1656" s="6">
        <f t="shared" ca="1" si="1"/>
        <v>45446</v>
      </c>
      <c r="F1656" s="6">
        <f t="shared" ca="1" si="2"/>
        <v>45444</v>
      </c>
      <c r="G1656" s="7"/>
    </row>
    <row r="1657" spans="1:7" x14ac:dyDescent="0.2">
      <c r="A1657" s="3">
        <f ca="1">IFERROR(__xludf.DUMMYFUNCTION("""COMPUTED_VALUE"""),158)</f>
        <v>158</v>
      </c>
      <c r="B1657" s="6">
        <f ca="1">IFERROR(__xludf.DUMMYFUNCTION("""COMPUTED_VALUE"""),45447.139849537)</f>
        <v>45447.139849537001</v>
      </c>
      <c r="C1657" s="3" t="str">
        <f ca="1">IFERROR(__xludf.DUMMYFUNCTION("""COMPUTED_VALUE"""),"purchase")</f>
        <v>purchase</v>
      </c>
      <c r="D1657" s="6">
        <f t="shared" ca="1" si="0"/>
        <v>45447</v>
      </c>
      <c r="E1657" s="6">
        <f t="shared" ca="1" si="1"/>
        <v>45446</v>
      </c>
      <c r="F1657" s="6">
        <f t="shared" ca="1" si="2"/>
        <v>45444</v>
      </c>
      <c r="G1657" s="7"/>
    </row>
    <row r="1658" spans="1:7" x14ac:dyDescent="0.2">
      <c r="A1658" s="3">
        <f ca="1">IFERROR(__xludf.DUMMYFUNCTION("""COMPUTED_VALUE"""),3734)</f>
        <v>3734</v>
      </c>
      <c r="B1658" s="6">
        <f ca="1">IFERROR(__xludf.DUMMYFUNCTION("""COMPUTED_VALUE"""),45447.1862268518)</f>
        <v>45447.186226851802</v>
      </c>
      <c r="C1658" s="3" t="str">
        <f ca="1">IFERROR(__xludf.DUMMYFUNCTION("""COMPUTED_VALUE"""),"purchase")</f>
        <v>purchase</v>
      </c>
      <c r="D1658" s="6">
        <f t="shared" ca="1" si="0"/>
        <v>45447</v>
      </c>
      <c r="E1658" s="6">
        <f t="shared" ca="1" si="1"/>
        <v>45446</v>
      </c>
      <c r="F1658" s="6">
        <f t="shared" ca="1" si="2"/>
        <v>45444</v>
      </c>
      <c r="G1658" s="7"/>
    </row>
    <row r="1659" spans="1:7" x14ac:dyDescent="0.2">
      <c r="A1659" s="3">
        <f ca="1">IFERROR(__xludf.DUMMYFUNCTION("""COMPUTED_VALUE"""),3429)</f>
        <v>3429</v>
      </c>
      <c r="B1659" s="6">
        <f ca="1">IFERROR(__xludf.DUMMYFUNCTION("""COMPUTED_VALUE"""),45447.3205555555)</f>
        <v>45447.320555555503</v>
      </c>
      <c r="C1659" s="3" t="str">
        <f ca="1">IFERROR(__xludf.DUMMYFUNCTION("""COMPUTED_VALUE"""),"purchase")</f>
        <v>purchase</v>
      </c>
      <c r="D1659" s="6">
        <f t="shared" ca="1" si="0"/>
        <v>45447</v>
      </c>
      <c r="E1659" s="6">
        <f t="shared" ca="1" si="1"/>
        <v>45446</v>
      </c>
      <c r="F1659" s="6">
        <f t="shared" ca="1" si="2"/>
        <v>45444</v>
      </c>
      <c r="G1659" s="7"/>
    </row>
    <row r="1660" spans="1:7" x14ac:dyDescent="0.2">
      <c r="A1660" s="3">
        <f ca="1">IFERROR(__xludf.DUMMYFUNCTION("""COMPUTED_VALUE"""),6596)</f>
        <v>6596</v>
      </c>
      <c r="B1660" s="6">
        <f ca="1">IFERROR(__xludf.DUMMYFUNCTION("""COMPUTED_VALUE"""),45447.3420138888)</f>
        <v>45447.342013888803</v>
      </c>
      <c r="C1660" s="3" t="str">
        <f ca="1">IFERROR(__xludf.DUMMYFUNCTION("""COMPUTED_VALUE"""),"purchase")</f>
        <v>purchase</v>
      </c>
      <c r="D1660" s="6">
        <f t="shared" ca="1" si="0"/>
        <v>45447</v>
      </c>
      <c r="E1660" s="6">
        <f t="shared" ca="1" si="1"/>
        <v>45446</v>
      </c>
      <c r="F1660" s="6">
        <f t="shared" ca="1" si="2"/>
        <v>45444</v>
      </c>
      <c r="G1660" s="7"/>
    </row>
    <row r="1661" spans="1:7" x14ac:dyDescent="0.2">
      <c r="A1661" s="3">
        <f ca="1">IFERROR(__xludf.DUMMYFUNCTION("""COMPUTED_VALUE"""),119)</f>
        <v>119</v>
      </c>
      <c r="B1661" s="6">
        <f ca="1">IFERROR(__xludf.DUMMYFUNCTION("""COMPUTED_VALUE"""),45447.3890509259)</f>
        <v>45447.3890509259</v>
      </c>
      <c r="C1661" s="3" t="str">
        <f ca="1">IFERROR(__xludf.DUMMYFUNCTION("""COMPUTED_VALUE"""),"purchase")</f>
        <v>purchase</v>
      </c>
      <c r="D1661" s="6">
        <f t="shared" ca="1" si="0"/>
        <v>45447</v>
      </c>
      <c r="E1661" s="6">
        <f t="shared" ca="1" si="1"/>
        <v>45446</v>
      </c>
      <c r="F1661" s="6">
        <f t="shared" ca="1" si="2"/>
        <v>45444</v>
      </c>
      <c r="G1661" s="7"/>
    </row>
    <row r="1662" spans="1:7" x14ac:dyDescent="0.2">
      <c r="A1662" s="3">
        <f ca="1">IFERROR(__xludf.DUMMYFUNCTION("""COMPUTED_VALUE"""),1836)</f>
        <v>1836</v>
      </c>
      <c r="B1662" s="6">
        <f ca="1">IFERROR(__xludf.DUMMYFUNCTION("""COMPUTED_VALUE"""),45447.4512152777)</f>
        <v>45447.451215277702</v>
      </c>
      <c r="C1662" s="3" t="str">
        <f ca="1">IFERROR(__xludf.DUMMYFUNCTION("""COMPUTED_VALUE"""),"purchase")</f>
        <v>purchase</v>
      </c>
      <c r="D1662" s="6">
        <f t="shared" ca="1" si="0"/>
        <v>45447</v>
      </c>
      <c r="E1662" s="6">
        <f t="shared" ca="1" si="1"/>
        <v>45446</v>
      </c>
      <c r="F1662" s="6">
        <f t="shared" ca="1" si="2"/>
        <v>45444</v>
      </c>
      <c r="G1662" s="7"/>
    </row>
    <row r="1663" spans="1:7" x14ac:dyDescent="0.2">
      <c r="A1663" s="3">
        <f ca="1">IFERROR(__xludf.DUMMYFUNCTION("""COMPUTED_VALUE"""),7540)</f>
        <v>7540</v>
      </c>
      <c r="B1663" s="6">
        <f ca="1">IFERROR(__xludf.DUMMYFUNCTION("""COMPUTED_VALUE"""),45447.5208217592)</f>
        <v>45447.520821759201</v>
      </c>
      <c r="C1663" s="3" t="str">
        <f ca="1">IFERROR(__xludf.DUMMYFUNCTION("""COMPUTED_VALUE"""),"purchase")</f>
        <v>purchase</v>
      </c>
      <c r="D1663" s="6">
        <f t="shared" ca="1" si="0"/>
        <v>45447</v>
      </c>
      <c r="E1663" s="6">
        <f t="shared" ca="1" si="1"/>
        <v>45446</v>
      </c>
      <c r="F1663" s="6">
        <f t="shared" ca="1" si="2"/>
        <v>45444</v>
      </c>
      <c r="G1663" s="7"/>
    </row>
    <row r="1664" spans="1:7" x14ac:dyDescent="0.2">
      <c r="A1664" s="3">
        <f ca="1">IFERROR(__xludf.DUMMYFUNCTION("""COMPUTED_VALUE"""),7659)</f>
        <v>7659</v>
      </c>
      <c r="B1664" s="6">
        <f ca="1">IFERROR(__xludf.DUMMYFUNCTION("""COMPUTED_VALUE"""),45447.5673958333)</f>
        <v>45447.567395833299</v>
      </c>
      <c r="C1664" s="3" t="str">
        <f ca="1">IFERROR(__xludf.DUMMYFUNCTION("""COMPUTED_VALUE"""),"purchase")</f>
        <v>purchase</v>
      </c>
      <c r="D1664" s="6">
        <f t="shared" ca="1" si="0"/>
        <v>45447</v>
      </c>
      <c r="E1664" s="6">
        <f t="shared" ca="1" si="1"/>
        <v>45446</v>
      </c>
      <c r="F1664" s="6">
        <f t="shared" ca="1" si="2"/>
        <v>45444</v>
      </c>
      <c r="G1664" s="7"/>
    </row>
    <row r="1665" spans="1:7" x14ac:dyDescent="0.2">
      <c r="A1665" s="3">
        <f ca="1">IFERROR(__xludf.DUMMYFUNCTION("""COMPUTED_VALUE"""),1298)</f>
        <v>1298</v>
      </c>
      <c r="B1665" s="6">
        <f ca="1">IFERROR(__xludf.DUMMYFUNCTION("""COMPUTED_VALUE"""),45447.6149652777)</f>
        <v>45447.614965277702</v>
      </c>
      <c r="C1665" s="3" t="str">
        <f ca="1">IFERROR(__xludf.DUMMYFUNCTION("""COMPUTED_VALUE"""),"purchase")</f>
        <v>purchase</v>
      </c>
      <c r="D1665" s="6">
        <f t="shared" ca="1" si="0"/>
        <v>45447</v>
      </c>
      <c r="E1665" s="6">
        <f t="shared" ca="1" si="1"/>
        <v>45446</v>
      </c>
      <c r="F1665" s="6">
        <f t="shared" ca="1" si="2"/>
        <v>45444</v>
      </c>
      <c r="G1665" s="7"/>
    </row>
    <row r="1666" spans="1:7" x14ac:dyDescent="0.2">
      <c r="A1666" s="3">
        <f ca="1">IFERROR(__xludf.DUMMYFUNCTION("""COMPUTED_VALUE"""),2848)</f>
        <v>2848</v>
      </c>
      <c r="B1666" s="6">
        <f ca="1">IFERROR(__xludf.DUMMYFUNCTION("""COMPUTED_VALUE"""),45447.6695949074)</f>
        <v>45447.669594907398</v>
      </c>
      <c r="C1666" s="3" t="str">
        <f ca="1">IFERROR(__xludf.DUMMYFUNCTION("""COMPUTED_VALUE"""),"purchase")</f>
        <v>purchase</v>
      </c>
      <c r="D1666" s="6">
        <f t="shared" ca="1" si="0"/>
        <v>45447</v>
      </c>
      <c r="E1666" s="6">
        <f t="shared" ca="1" si="1"/>
        <v>45446</v>
      </c>
      <c r="F1666" s="6">
        <f t="shared" ca="1" si="2"/>
        <v>45444</v>
      </c>
      <c r="G1666" s="7"/>
    </row>
    <row r="1667" spans="1:7" x14ac:dyDescent="0.2">
      <c r="A1667" s="3">
        <f ca="1">IFERROR(__xludf.DUMMYFUNCTION("""COMPUTED_VALUE"""),5598)</f>
        <v>5598</v>
      </c>
      <c r="B1667" s="6">
        <f ca="1">IFERROR(__xludf.DUMMYFUNCTION("""COMPUTED_VALUE"""),45447.6723032407)</f>
        <v>45447.672303240703</v>
      </c>
      <c r="C1667" s="3" t="str">
        <f ca="1">IFERROR(__xludf.DUMMYFUNCTION("""COMPUTED_VALUE"""),"purchase")</f>
        <v>purchase</v>
      </c>
      <c r="D1667" s="6">
        <f t="shared" ca="1" si="0"/>
        <v>45447</v>
      </c>
      <c r="E1667" s="6">
        <f t="shared" ca="1" si="1"/>
        <v>45446</v>
      </c>
      <c r="F1667" s="6">
        <f t="shared" ca="1" si="2"/>
        <v>45444</v>
      </c>
      <c r="G1667" s="7"/>
    </row>
    <row r="1668" spans="1:7" x14ac:dyDescent="0.2">
      <c r="A1668" s="3">
        <f ca="1">IFERROR(__xludf.DUMMYFUNCTION("""COMPUTED_VALUE"""),102)</f>
        <v>102</v>
      </c>
      <c r="B1668" s="6">
        <f ca="1">IFERROR(__xludf.DUMMYFUNCTION("""COMPUTED_VALUE"""),45447.7803935185)</f>
        <v>45447.7803935185</v>
      </c>
      <c r="C1668" s="3" t="str">
        <f ca="1">IFERROR(__xludf.DUMMYFUNCTION("""COMPUTED_VALUE"""),"purchase")</f>
        <v>purchase</v>
      </c>
      <c r="D1668" s="6">
        <f t="shared" ca="1" si="0"/>
        <v>45447</v>
      </c>
      <c r="E1668" s="6">
        <f t="shared" ca="1" si="1"/>
        <v>45446</v>
      </c>
      <c r="F1668" s="6">
        <f t="shared" ca="1" si="2"/>
        <v>45444</v>
      </c>
      <c r="G1668" s="7"/>
    </row>
    <row r="1669" spans="1:7" x14ac:dyDescent="0.2">
      <c r="A1669" s="3">
        <f ca="1">IFERROR(__xludf.DUMMYFUNCTION("""COMPUTED_VALUE"""),4889)</f>
        <v>4889</v>
      </c>
      <c r="B1669" s="6">
        <f ca="1">IFERROR(__xludf.DUMMYFUNCTION("""COMPUTED_VALUE"""),45447.7849305555)</f>
        <v>45447.784930555499</v>
      </c>
      <c r="C1669" s="3" t="str">
        <f ca="1">IFERROR(__xludf.DUMMYFUNCTION("""COMPUTED_VALUE"""),"purchase")</f>
        <v>purchase</v>
      </c>
      <c r="D1669" s="6">
        <f t="shared" ca="1" si="0"/>
        <v>45447</v>
      </c>
      <c r="E1669" s="6">
        <f t="shared" ca="1" si="1"/>
        <v>45446</v>
      </c>
      <c r="F1669" s="6">
        <f t="shared" ca="1" si="2"/>
        <v>45444</v>
      </c>
      <c r="G1669" s="7"/>
    </row>
    <row r="1670" spans="1:7" x14ac:dyDescent="0.2">
      <c r="A1670" s="3">
        <f ca="1">IFERROR(__xludf.DUMMYFUNCTION("""COMPUTED_VALUE"""),643)</f>
        <v>643</v>
      </c>
      <c r="B1670" s="6">
        <f ca="1">IFERROR(__xludf.DUMMYFUNCTION("""COMPUTED_VALUE"""),45447.8480902777)</f>
        <v>45447.848090277701</v>
      </c>
      <c r="C1670" s="3" t="str">
        <f ca="1">IFERROR(__xludf.DUMMYFUNCTION("""COMPUTED_VALUE"""),"purchase")</f>
        <v>purchase</v>
      </c>
      <c r="D1670" s="6">
        <f t="shared" ca="1" si="0"/>
        <v>45447</v>
      </c>
      <c r="E1670" s="6">
        <f t="shared" ca="1" si="1"/>
        <v>45446</v>
      </c>
      <c r="F1670" s="6">
        <f t="shared" ca="1" si="2"/>
        <v>45444</v>
      </c>
      <c r="G1670" s="7"/>
    </row>
    <row r="1671" spans="1:7" x14ac:dyDescent="0.2">
      <c r="A1671" s="3">
        <f ca="1">IFERROR(__xludf.DUMMYFUNCTION("""COMPUTED_VALUE"""),2998)</f>
        <v>2998</v>
      </c>
      <c r="B1671" s="6">
        <f ca="1">IFERROR(__xludf.DUMMYFUNCTION("""COMPUTED_VALUE"""),45447.8619791666)</f>
        <v>45447.861979166599</v>
      </c>
      <c r="C1671" s="3" t="str">
        <f ca="1">IFERROR(__xludf.DUMMYFUNCTION("""COMPUTED_VALUE"""),"purchase")</f>
        <v>purchase</v>
      </c>
      <c r="D1671" s="6">
        <f t="shared" ca="1" si="0"/>
        <v>45447</v>
      </c>
      <c r="E1671" s="6">
        <f t="shared" ca="1" si="1"/>
        <v>45446</v>
      </c>
      <c r="F1671" s="6">
        <f t="shared" ca="1" si="2"/>
        <v>45444</v>
      </c>
      <c r="G1671" s="7"/>
    </row>
    <row r="1672" spans="1:7" x14ac:dyDescent="0.2">
      <c r="A1672" s="3">
        <f ca="1">IFERROR(__xludf.DUMMYFUNCTION("""COMPUTED_VALUE"""),4339)</f>
        <v>4339</v>
      </c>
      <c r="B1672" s="6">
        <f ca="1">IFERROR(__xludf.DUMMYFUNCTION("""COMPUTED_VALUE"""),45447.9260763888)</f>
        <v>45447.926076388801</v>
      </c>
      <c r="C1672" s="3" t="str">
        <f ca="1">IFERROR(__xludf.DUMMYFUNCTION("""COMPUTED_VALUE"""),"purchase")</f>
        <v>purchase</v>
      </c>
      <c r="D1672" s="6">
        <f t="shared" ca="1" si="0"/>
        <v>45447</v>
      </c>
      <c r="E1672" s="6">
        <f t="shared" ca="1" si="1"/>
        <v>45446</v>
      </c>
      <c r="F1672" s="6">
        <f t="shared" ca="1" si="2"/>
        <v>45444</v>
      </c>
      <c r="G1672" s="7"/>
    </row>
    <row r="1673" spans="1:7" x14ac:dyDescent="0.2">
      <c r="A1673" s="3">
        <f ca="1">IFERROR(__xludf.DUMMYFUNCTION("""COMPUTED_VALUE"""),4210)</f>
        <v>4210</v>
      </c>
      <c r="B1673" s="6">
        <f ca="1">IFERROR(__xludf.DUMMYFUNCTION("""COMPUTED_VALUE"""),45447.9485300925)</f>
        <v>45447.948530092501</v>
      </c>
      <c r="C1673" s="3" t="str">
        <f ca="1">IFERROR(__xludf.DUMMYFUNCTION("""COMPUTED_VALUE"""),"purchase")</f>
        <v>purchase</v>
      </c>
      <c r="D1673" s="6">
        <f t="shared" ca="1" si="0"/>
        <v>45447</v>
      </c>
      <c r="E1673" s="6">
        <f t="shared" ca="1" si="1"/>
        <v>45446</v>
      </c>
      <c r="F1673" s="6">
        <f t="shared" ca="1" si="2"/>
        <v>45444</v>
      </c>
      <c r="G1673" s="7"/>
    </row>
    <row r="1674" spans="1:7" x14ac:dyDescent="0.2">
      <c r="A1674" s="3">
        <f ca="1">IFERROR(__xludf.DUMMYFUNCTION("""COMPUTED_VALUE"""),593)</f>
        <v>593</v>
      </c>
      <c r="B1674" s="6">
        <f ca="1">IFERROR(__xludf.DUMMYFUNCTION("""COMPUTED_VALUE"""),45448.0099884259)</f>
        <v>45448.009988425903</v>
      </c>
      <c r="C1674" s="3" t="str">
        <f ca="1">IFERROR(__xludf.DUMMYFUNCTION("""COMPUTED_VALUE"""),"purchase")</f>
        <v>purchase</v>
      </c>
      <c r="D1674" s="6">
        <f t="shared" ca="1" si="0"/>
        <v>45448</v>
      </c>
      <c r="E1674" s="6">
        <f t="shared" ca="1" si="1"/>
        <v>45446</v>
      </c>
      <c r="F1674" s="6">
        <f t="shared" ca="1" si="2"/>
        <v>45444</v>
      </c>
      <c r="G1674" s="7"/>
    </row>
    <row r="1675" spans="1:7" x14ac:dyDescent="0.2">
      <c r="A1675" s="3">
        <f ca="1">IFERROR(__xludf.DUMMYFUNCTION("""COMPUTED_VALUE"""),3028)</f>
        <v>3028</v>
      </c>
      <c r="B1675" s="6">
        <f ca="1">IFERROR(__xludf.DUMMYFUNCTION("""COMPUTED_VALUE"""),45448.0361805555)</f>
        <v>45448.0361805555</v>
      </c>
      <c r="C1675" s="3" t="str">
        <f ca="1">IFERROR(__xludf.DUMMYFUNCTION("""COMPUTED_VALUE"""),"purchase")</f>
        <v>purchase</v>
      </c>
      <c r="D1675" s="6">
        <f t="shared" ca="1" si="0"/>
        <v>45448</v>
      </c>
      <c r="E1675" s="6">
        <f t="shared" ca="1" si="1"/>
        <v>45446</v>
      </c>
      <c r="F1675" s="6">
        <f t="shared" ca="1" si="2"/>
        <v>45444</v>
      </c>
      <c r="G1675" s="7"/>
    </row>
    <row r="1676" spans="1:7" x14ac:dyDescent="0.2">
      <c r="A1676" s="3">
        <f ca="1">IFERROR(__xludf.DUMMYFUNCTION("""COMPUTED_VALUE"""),1884)</f>
        <v>1884</v>
      </c>
      <c r="B1676" s="6">
        <f ca="1">IFERROR(__xludf.DUMMYFUNCTION("""COMPUTED_VALUE"""),45448.3262268518)</f>
        <v>45448.326226851801</v>
      </c>
      <c r="C1676" s="3" t="str">
        <f ca="1">IFERROR(__xludf.DUMMYFUNCTION("""COMPUTED_VALUE"""),"purchase")</f>
        <v>purchase</v>
      </c>
      <c r="D1676" s="6">
        <f t="shared" ca="1" si="0"/>
        <v>45448</v>
      </c>
      <c r="E1676" s="6">
        <f t="shared" ca="1" si="1"/>
        <v>45446</v>
      </c>
      <c r="F1676" s="6">
        <f t="shared" ca="1" si="2"/>
        <v>45444</v>
      </c>
      <c r="G1676" s="7"/>
    </row>
    <row r="1677" spans="1:7" x14ac:dyDescent="0.2">
      <c r="A1677" s="3">
        <f ca="1">IFERROR(__xludf.DUMMYFUNCTION("""COMPUTED_VALUE"""),5815)</f>
        <v>5815</v>
      </c>
      <c r="B1677" s="6">
        <f ca="1">IFERROR(__xludf.DUMMYFUNCTION("""COMPUTED_VALUE"""),45448.3946180555)</f>
        <v>45448.394618055499</v>
      </c>
      <c r="C1677" s="3" t="str">
        <f ca="1">IFERROR(__xludf.DUMMYFUNCTION("""COMPUTED_VALUE"""),"purchase")</f>
        <v>purchase</v>
      </c>
      <c r="D1677" s="6">
        <f t="shared" ca="1" si="0"/>
        <v>45448</v>
      </c>
      <c r="E1677" s="6">
        <f t="shared" ca="1" si="1"/>
        <v>45446</v>
      </c>
      <c r="F1677" s="6">
        <f t="shared" ca="1" si="2"/>
        <v>45444</v>
      </c>
      <c r="G1677" s="7"/>
    </row>
    <row r="1678" spans="1:7" x14ac:dyDescent="0.2">
      <c r="A1678" s="3">
        <f ca="1">IFERROR(__xludf.DUMMYFUNCTION("""COMPUTED_VALUE"""),928)</f>
        <v>928</v>
      </c>
      <c r="B1678" s="6">
        <f ca="1">IFERROR(__xludf.DUMMYFUNCTION("""COMPUTED_VALUE"""),45448.4015162037)</f>
        <v>45448.401516203703</v>
      </c>
      <c r="C1678" s="3" t="str">
        <f ca="1">IFERROR(__xludf.DUMMYFUNCTION("""COMPUTED_VALUE"""),"purchase")</f>
        <v>purchase</v>
      </c>
      <c r="D1678" s="6">
        <f t="shared" ca="1" si="0"/>
        <v>45448</v>
      </c>
      <c r="E1678" s="6">
        <f t="shared" ca="1" si="1"/>
        <v>45446</v>
      </c>
      <c r="F1678" s="6">
        <f t="shared" ca="1" si="2"/>
        <v>45444</v>
      </c>
      <c r="G1678" s="7"/>
    </row>
    <row r="1679" spans="1:7" x14ac:dyDescent="0.2">
      <c r="A1679" s="3">
        <f ca="1">IFERROR(__xludf.DUMMYFUNCTION("""COMPUTED_VALUE"""),4199)</f>
        <v>4199</v>
      </c>
      <c r="B1679" s="6">
        <f ca="1">IFERROR(__xludf.DUMMYFUNCTION("""COMPUTED_VALUE"""),45448.5418981481)</f>
        <v>45448.541898148098</v>
      </c>
      <c r="C1679" s="3" t="str">
        <f ca="1">IFERROR(__xludf.DUMMYFUNCTION("""COMPUTED_VALUE"""),"purchase")</f>
        <v>purchase</v>
      </c>
      <c r="D1679" s="6">
        <f t="shared" ca="1" si="0"/>
        <v>45448</v>
      </c>
      <c r="E1679" s="6">
        <f t="shared" ca="1" si="1"/>
        <v>45446</v>
      </c>
      <c r="F1679" s="6">
        <f t="shared" ca="1" si="2"/>
        <v>45444</v>
      </c>
      <c r="G1679" s="7"/>
    </row>
    <row r="1680" spans="1:7" x14ac:dyDescent="0.2">
      <c r="A1680" s="3">
        <f ca="1">IFERROR(__xludf.DUMMYFUNCTION("""COMPUTED_VALUE"""),4127)</f>
        <v>4127</v>
      </c>
      <c r="B1680" s="6">
        <f ca="1">IFERROR(__xludf.DUMMYFUNCTION("""COMPUTED_VALUE"""),45448.6792939814)</f>
        <v>45448.679293981397</v>
      </c>
      <c r="C1680" s="3" t="str">
        <f ca="1">IFERROR(__xludf.DUMMYFUNCTION("""COMPUTED_VALUE"""),"purchase")</f>
        <v>purchase</v>
      </c>
      <c r="D1680" s="6">
        <f t="shared" ca="1" si="0"/>
        <v>45448</v>
      </c>
      <c r="E1680" s="6">
        <f t="shared" ca="1" si="1"/>
        <v>45446</v>
      </c>
      <c r="F1680" s="6">
        <f t="shared" ca="1" si="2"/>
        <v>45444</v>
      </c>
      <c r="G1680" s="7"/>
    </row>
    <row r="1681" spans="1:7" x14ac:dyDescent="0.2">
      <c r="A1681" s="3">
        <f ca="1">IFERROR(__xludf.DUMMYFUNCTION("""COMPUTED_VALUE"""),2942)</f>
        <v>2942</v>
      </c>
      <c r="B1681" s="6">
        <f ca="1">IFERROR(__xludf.DUMMYFUNCTION("""COMPUTED_VALUE"""),45448.6895254629)</f>
        <v>45448.689525462898</v>
      </c>
      <c r="C1681" s="3" t="str">
        <f ca="1">IFERROR(__xludf.DUMMYFUNCTION("""COMPUTED_VALUE"""),"purchase")</f>
        <v>purchase</v>
      </c>
      <c r="D1681" s="6">
        <f t="shared" ca="1" si="0"/>
        <v>45448</v>
      </c>
      <c r="E1681" s="6">
        <f t="shared" ca="1" si="1"/>
        <v>45446</v>
      </c>
      <c r="F1681" s="6">
        <f t="shared" ca="1" si="2"/>
        <v>45444</v>
      </c>
      <c r="G1681" s="7"/>
    </row>
    <row r="1682" spans="1:7" x14ac:dyDescent="0.2">
      <c r="A1682" s="3">
        <f ca="1">IFERROR(__xludf.DUMMYFUNCTION("""COMPUTED_VALUE"""),2030)</f>
        <v>2030</v>
      </c>
      <c r="B1682" s="6">
        <f ca="1">IFERROR(__xludf.DUMMYFUNCTION("""COMPUTED_VALUE"""),45448.8834027777)</f>
        <v>45448.883402777697</v>
      </c>
      <c r="C1682" s="3" t="str">
        <f ca="1">IFERROR(__xludf.DUMMYFUNCTION("""COMPUTED_VALUE"""),"purchase")</f>
        <v>purchase</v>
      </c>
      <c r="D1682" s="6">
        <f t="shared" ca="1" si="0"/>
        <v>45448</v>
      </c>
      <c r="E1682" s="6">
        <f t="shared" ca="1" si="1"/>
        <v>45446</v>
      </c>
      <c r="F1682" s="6">
        <f t="shared" ca="1" si="2"/>
        <v>45444</v>
      </c>
      <c r="G1682" s="7"/>
    </row>
    <row r="1683" spans="1:7" x14ac:dyDescent="0.2">
      <c r="A1683" s="3">
        <f ca="1">IFERROR(__xludf.DUMMYFUNCTION("""COMPUTED_VALUE"""),5396)</f>
        <v>5396</v>
      </c>
      <c r="B1683" s="6">
        <f ca="1">IFERROR(__xludf.DUMMYFUNCTION("""COMPUTED_VALUE"""),45448.9166203703)</f>
        <v>45448.916620370299</v>
      </c>
      <c r="C1683" s="3" t="str">
        <f ca="1">IFERROR(__xludf.DUMMYFUNCTION("""COMPUTED_VALUE"""),"purchase")</f>
        <v>purchase</v>
      </c>
      <c r="D1683" s="6">
        <f t="shared" ca="1" si="0"/>
        <v>45448</v>
      </c>
      <c r="E1683" s="6">
        <f t="shared" ca="1" si="1"/>
        <v>45446</v>
      </c>
      <c r="F1683" s="6">
        <f t="shared" ca="1" si="2"/>
        <v>45444</v>
      </c>
      <c r="G1683" s="7"/>
    </row>
    <row r="1684" spans="1:7" x14ac:dyDescent="0.2">
      <c r="A1684" s="3">
        <f ca="1">IFERROR(__xludf.DUMMYFUNCTION("""COMPUTED_VALUE"""),1733)</f>
        <v>1733</v>
      </c>
      <c r="B1684" s="6">
        <f ca="1">IFERROR(__xludf.DUMMYFUNCTION("""COMPUTED_VALUE"""),45448.9705324074)</f>
        <v>45448.970532407402</v>
      </c>
      <c r="C1684" s="3" t="str">
        <f ca="1">IFERROR(__xludf.DUMMYFUNCTION("""COMPUTED_VALUE"""),"purchase")</f>
        <v>purchase</v>
      </c>
      <c r="D1684" s="6">
        <f t="shared" ca="1" si="0"/>
        <v>45448</v>
      </c>
      <c r="E1684" s="6">
        <f t="shared" ca="1" si="1"/>
        <v>45446</v>
      </c>
      <c r="F1684" s="6">
        <f t="shared" ca="1" si="2"/>
        <v>45444</v>
      </c>
      <c r="G1684" s="7"/>
    </row>
    <row r="1685" spans="1:7" x14ac:dyDescent="0.2">
      <c r="A1685" s="3">
        <f ca="1">IFERROR(__xludf.DUMMYFUNCTION("""COMPUTED_VALUE"""),3334)</f>
        <v>3334</v>
      </c>
      <c r="B1685" s="6">
        <f ca="1">IFERROR(__xludf.DUMMYFUNCTION("""COMPUTED_VALUE"""),45448.9796180555)</f>
        <v>45448.979618055499</v>
      </c>
      <c r="C1685" s="3" t="str">
        <f ca="1">IFERROR(__xludf.DUMMYFUNCTION("""COMPUTED_VALUE"""),"purchase")</f>
        <v>purchase</v>
      </c>
      <c r="D1685" s="6">
        <f t="shared" ca="1" si="0"/>
        <v>45448</v>
      </c>
      <c r="E1685" s="6">
        <f t="shared" ca="1" si="1"/>
        <v>45446</v>
      </c>
      <c r="F1685" s="6">
        <f t="shared" ca="1" si="2"/>
        <v>45444</v>
      </c>
      <c r="G1685" s="7"/>
    </row>
    <row r="1686" spans="1:7" x14ac:dyDescent="0.2">
      <c r="A1686" s="3">
        <f ca="1">IFERROR(__xludf.DUMMYFUNCTION("""COMPUTED_VALUE"""),3681)</f>
        <v>3681</v>
      </c>
      <c r="B1686" s="6">
        <f ca="1">IFERROR(__xludf.DUMMYFUNCTION("""COMPUTED_VALUE"""),45449.0702662037)</f>
        <v>45449.0702662037</v>
      </c>
      <c r="C1686" s="3" t="str">
        <f ca="1">IFERROR(__xludf.DUMMYFUNCTION("""COMPUTED_VALUE"""),"purchase")</f>
        <v>purchase</v>
      </c>
      <c r="D1686" s="6">
        <f t="shared" ca="1" si="0"/>
        <v>45449</v>
      </c>
      <c r="E1686" s="6">
        <f t="shared" ca="1" si="1"/>
        <v>45446</v>
      </c>
      <c r="F1686" s="6">
        <f t="shared" ca="1" si="2"/>
        <v>45444</v>
      </c>
      <c r="G1686" s="7"/>
    </row>
    <row r="1687" spans="1:7" x14ac:dyDescent="0.2">
      <c r="A1687" s="3">
        <f ca="1">IFERROR(__xludf.DUMMYFUNCTION("""COMPUTED_VALUE"""),7809)</f>
        <v>7809</v>
      </c>
      <c r="B1687" s="6">
        <f ca="1">IFERROR(__xludf.DUMMYFUNCTION("""COMPUTED_VALUE"""),45449.3267939814)</f>
        <v>45449.326793981403</v>
      </c>
      <c r="C1687" s="3" t="str">
        <f ca="1">IFERROR(__xludf.DUMMYFUNCTION("""COMPUTED_VALUE"""),"purchase")</f>
        <v>purchase</v>
      </c>
      <c r="D1687" s="6">
        <f t="shared" ca="1" si="0"/>
        <v>45449</v>
      </c>
      <c r="E1687" s="6">
        <f t="shared" ca="1" si="1"/>
        <v>45446</v>
      </c>
      <c r="F1687" s="6">
        <f t="shared" ca="1" si="2"/>
        <v>45444</v>
      </c>
      <c r="G1687" s="7"/>
    </row>
    <row r="1688" spans="1:7" x14ac:dyDescent="0.2">
      <c r="A1688" s="3">
        <f ca="1">IFERROR(__xludf.DUMMYFUNCTION("""COMPUTED_VALUE"""),2670)</f>
        <v>2670</v>
      </c>
      <c r="B1688" s="6">
        <f ca="1">IFERROR(__xludf.DUMMYFUNCTION("""COMPUTED_VALUE"""),45449.3422800925)</f>
        <v>45449.342280092496</v>
      </c>
      <c r="C1688" s="3" t="str">
        <f ca="1">IFERROR(__xludf.DUMMYFUNCTION("""COMPUTED_VALUE"""),"purchase")</f>
        <v>purchase</v>
      </c>
      <c r="D1688" s="6">
        <f t="shared" ca="1" si="0"/>
        <v>45449</v>
      </c>
      <c r="E1688" s="6">
        <f t="shared" ca="1" si="1"/>
        <v>45446</v>
      </c>
      <c r="F1688" s="6">
        <f t="shared" ca="1" si="2"/>
        <v>45444</v>
      </c>
      <c r="G1688" s="7"/>
    </row>
    <row r="1689" spans="1:7" x14ac:dyDescent="0.2">
      <c r="A1689" s="3">
        <f ca="1">IFERROR(__xludf.DUMMYFUNCTION("""COMPUTED_VALUE"""),1129)</f>
        <v>1129</v>
      </c>
      <c r="B1689" s="6">
        <f ca="1">IFERROR(__xludf.DUMMYFUNCTION("""COMPUTED_VALUE"""),45449.4386111111)</f>
        <v>45449.438611111102</v>
      </c>
      <c r="C1689" s="3" t="str">
        <f ca="1">IFERROR(__xludf.DUMMYFUNCTION("""COMPUTED_VALUE"""),"purchase")</f>
        <v>purchase</v>
      </c>
      <c r="D1689" s="6">
        <f t="shared" ca="1" si="0"/>
        <v>45449</v>
      </c>
      <c r="E1689" s="6">
        <f t="shared" ca="1" si="1"/>
        <v>45446</v>
      </c>
      <c r="F1689" s="6">
        <f t="shared" ca="1" si="2"/>
        <v>45444</v>
      </c>
      <c r="G1689" s="7"/>
    </row>
    <row r="1690" spans="1:7" x14ac:dyDescent="0.2">
      <c r="A1690" s="3">
        <f ca="1">IFERROR(__xludf.DUMMYFUNCTION("""COMPUTED_VALUE"""),1747)</f>
        <v>1747</v>
      </c>
      <c r="B1690" s="6">
        <f ca="1">IFERROR(__xludf.DUMMYFUNCTION("""COMPUTED_VALUE"""),45449.453912037)</f>
        <v>45449.453912037003</v>
      </c>
      <c r="C1690" s="3" t="str">
        <f ca="1">IFERROR(__xludf.DUMMYFUNCTION("""COMPUTED_VALUE"""),"purchase")</f>
        <v>purchase</v>
      </c>
      <c r="D1690" s="6">
        <f t="shared" ca="1" si="0"/>
        <v>45449</v>
      </c>
      <c r="E1690" s="6">
        <f t="shared" ca="1" si="1"/>
        <v>45446</v>
      </c>
      <c r="F1690" s="6">
        <f t="shared" ca="1" si="2"/>
        <v>45444</v>
      </c>
      <c r="G1690" s="7"/>
    </row>
    <row r="1691" spans="1:7" x14ac:dyDescent="0.2">
      <c r="A1691" s="3">
        <f ca="1">IFERROR(__xludf.DUMMYFUNCTION("""COMPUTED_VALUE"""),2822)</f>
        <v>2822</v>
      </c>
      <c r="B1691" s="6">
        <f ca="1">IFERROR(__xludf.DUMMYFUNCTION("""COMPUTED_VALUE"""),45449.5221759259)</f>
        <v>45449.5221759259</v>
      </c>
      <c r="C1691" s="3" t="str">
        <f ca="1">IFERROR(__xludf.DUMMYFUNCTION("""COMPUTED_VALUE"""),"purchase")</f>
        <v>purchase</v>
      </c>
      <c r="D1691" s="6">
        <f t="shared" ca="1" si="0"/>
        <v>45449</v>
      </c>
      <c r="E1691" s="6">
        <f t="shared" ca="1" si="1"/>
        <v>45446</v>
      </c>
      <c r="F1691" s="6">
        <f t="shared" ca="1" si="2"/>
        <v>45444</v>
      </c>
      <c r="G1691" s="7"/>
    </row>
    <row r="1692" spans="1:7" x14ac:dyDescent="0.2">
      <c r="A1692" s="3">
        <f ca="1">IFERROR(__xludf.DUMMYFUNCTION("""COMPUTED_VALUE"""),5245)</f>
        <v>5245</v>
      </c>
      <c r="B1692" s="6">
        <f ca="1">IFERROR(__xludf.DUMMYFUNCTION("""COMPUTED_VALUE"""),45449.7694560185)</f>
        <v>45449.769456018497</v>
      </c>
      <c r="C1692" s="3" t="str">
        <f ca="1">IFERROR(__xludf.DUMMYFUNCTION("""COMPUTED_VALUE"""),"purchase")</f>
        <v>purchase</v>
      </c>
      <c r="D1692" s="6">
        <f t="shared" ca="1" si="0"/>
        <v>45449</v>
      </c>
      <c r="E1692" s="6">
        <f t="shared" ca="1" si="1"/>
        <v>45446</v>
      </c>
      <c r="F1692" s="6">
        <f t="shared" ca="1" si="2"/>
        <v>45444</v>
      </c>
      <c r="G1692" s="7"/>
    </row>
    <row r="1693" spans="1:7" x14ac:dyDescent="0.2">
      <c r="A1693" s="3">
        <f ca="1">IFERROR(__xludf.DUMMYFUNCTION("""COMPUTED_VALUE"""),4938)</f>
        <v>4938</v>
      </c>
      <c r="B1693" s="6">
        <f ca="1">IFERROR(__xludf.DUMMYFUNCTION("""COMPUTED_VALUE"""),45449.7985532407)</f>
        <v>45449.798553240696</v>
      </c>
      <c r="C1693" s="3" t="str">
        <f ca="1">IFERROR(__xludf.DUMMYFUNCTION("""COMPUTED_VALUE"""),"purchase")</f>
        <v>purchase</v>
      </c>
      <c r="D1693" s="6">
        <f t="shared" ca="1" si="0"/>
        <v>45449</v>
      </c>
      <c r="E1693" s="6">
        <f t="shared" ca="1" si="1"/>
        <v>45446</v>
      </c>
      <c r="F1693" s="6">
        <f t="shared" ca="1" si="2"/>
        <v>45444</v>
      </c>
      <c r="G1693" s="7"/>
    </row>
    <row r="1694" spans="1:7" x14ac:dyDescent="0.2">
      <c r="A1694" s="3">
        <f ca="1">IFERROR(__xludf.DUMMYFUNCTION("""COMPUTED_VALUE"""),2442)</f>
        <v>2442</v>
      </c>
      <c r="B1694" s="6">
        <f ca="1">IFERROR(__xludf.DUMMYFUNCTION("""COMPUTED_VALUE"""),45450.3631481481)</f>
        <v>45450.363148148099</v>
      </c>
      <c r="C1694" s="3" t="str">
        <f ca="1">IFERROR(__xludf.DUMMYFUNCTION("""COMPUTED_VALUE"""),"purchase")</f>
        <v>purchase</v>
      </c>
      <c r="D1694" s="6">
        <f t="shared" ca="1" si="0"/>
        <v>45450</v>
      </c>
      <c r="E1694" s="6">
        <f t="shared" ca="1" si="1"/>
        <v>45446</v>
      </c>
      <c r="F1694" s="6">
        <f t="shared" ca="1" si="2"/>
        <v>45444</v>
      </c>
      <c r="G1694" s="7"/>
    </row>
    <row r="1695" spans="1:7" x14ac:dyDescent="0.2">
      <c r="A1695" s="3">
        <f ca="1">IFERROR(__xludf.DUMMYFUNCTION("""COMPUTED_VALUE"""),4020)</f>
        <v>4020</v>
      </c>
      <c r="B1695" s="6">
        <f ca="1">IFERROR(__xludf.DUMMYFUNCTION("""COMPUTED_VALUE"""),45450.377662037)</f>
        <v>45450.377662036997</v>
      </c>
      <c r="C1695" s="3" t="str">
        <f ca="1">IFERROR(__xludf.DUMMYFUNCTION("""COMPUTED_VALUE"""),"purchase")</f>
        <v>purchase</v>
      </c>
      <c r="D1695" s="6">
        <f t="shared" ca="1" si="0"/>
        <v>45450</v>
      </c>
      <c r="E1695" s="6">
        <f t="shared" ca="1" si="1"/>
        <v>45446</v>
      </c>
      <c r="F1695" s="6">
        <f t="shared" ca="1" si="2"/>
        <v>45444</v>
      </c>
      <c r="G1695" s="7"/>
    </row>
    <row r="1696" spans="1:7" x14ac:dyDescent="0.2">
      <c r="A1696" s="3">
        <f ca="1">IFERROR(__xludf.DUMMYFUNCTION("""COMPUTED_VALUE"""),813)</f>
        <v>813</v>
      </c>
      <c r="B1696" s="6">
        <f ca="1">IFERROR(__xludf.DUMMYFUNCTION("""COMPUTED_VALUE"""),45450.4790162037)</f>
        <v>45450.479016203702</v>
      </c>
      <c r="C1696" s="3" t="str">
        <f ca="1">IFERROR(__xludf.DUMMYFUNCTION("""COMPUTED_VALUE"""),"purchase")</f>
        <v>purchase</v>
      </c>
      <c r="D1696" s="6">
        <f t="shared" ca="1" si="0"/>
        <v>45450</v>
      </c>
      <c r="E1696" s="6">
        <f t="shared" ca="1" si="1"/>
        <v>45446</v>
      </c>
      <c r="F1696" s="6">
        <f t="shared" ca="1" si="2"/>
        <v>45444</v>
      </c>
      <c r="G1696" s="7"/>
    </row>
    <row r="1697" spans="1:7" x14ac:dyDescent="0.2">
      <c r="A1697" s="3">
        <f ca="1">IFERROR(__xludf.DUMMYFUNCTION("""COMPUTED_VALUE"""),5442)</f>
        <v>5442</v>
      </c>
      <c r="B1697" s="6">
        <f ca="1">IFERROR(__xludf.DUMMYFUNCTION("""COMPUTED_VALUE"""),45450.5228703703)</f>
        <v>45450.522870370303</v>
      </c>
      <c r="C1697" s="3" t="str">
        <f ca="1">IFERROR(__xludf.DUMMYFUNCTION("""COMPUTED_VALUE"""),"purchase")</f>
        <v>purchase</v>
      </c>
      <c r="D1697" s="6">
        <f t="shared" ca="1" si="0"/>
        <v>45450</v>
      </c>
      <c r="E1697" s="6">
        <f t="shared" ca="1" si="1"/>
        <v>45446</v>
      </c>
      <c r="F1697" s="6">
        <f t="shared" ca="1" si="2"/>
        <v>45444</v>
      </c>
      <c r="G1697" s="7"/>
    </row>
    <row r="1698" spans="1:7" x14ac:dyDescent="0.2">
      <c r="A1698" s="3">
        <f ca="1">IFERROR(__xludf.DUMMYFUNCTION("""COMPUTED_VALUE"""),2875)</f>
        <v>2875</v>
      </c>
      <c r="B1698" s="6">
        <f ca="1">IFERROR(__xludf.DUMMYFUNCTION("""COMPUTED_VALUE"""),45450.6280787037)</f>
        <v>45450.628078703703</v>
      </c>
      <c r="C1698" s="3" t="str">
        <f ca="1">IFERROR(__xludf.DUMMYFUNCTION("""COMPUTED_VALUE"""),"purchase")</f>
        <v>purchase</v>
      </c>
      <c r="D1698" s="6">
        <f t="shared" ca="1" si="0"/>
        <v>45450</v>
      </c>
      <c r="E1698" s="6">
        <f t="shared" ca="1" si="1"/>
        <v>45446</v>
      </c>
      <c r="F1698" s="6">
        <f t="shared" ca="1" si="2"/>
        <v>45444</v>
      </c>
      <c r="G1698" s="7"/>
    </row>
    <row r="1699" spans="1:7" x14ac:dyDescent="0.2">
      <c r="A1699" s="3">
        <f ca="1">IFERROR(__xludf.DUMMYFUNCTION("""COMPUTED_VALUE"""),602)</f>
        <v>602</v>
      </c>
      <c r="B1699" s="6">
        <f ca="1">IFERROR(__xludf.DUMMYFUNCTION("""COMPUTED_VALUE"""),45450.6620833333)</f>
        <v>45450.6620833333</v>
      </c>
      <c r="C1699" s="3" t="str">
        <f ca="1">IFERROR(__xludf.DUMMYFUNCTION("""COMPUTED_VALUE"""),"purchase")</f>
        <v>purchase</v>
      </c>
      <c r="D1699" s="6">
        <f t="shared" ca="1" si="0"/>
        <v>45450</v>
      </c>
      <c r="E1699" s="6">
        <f t="shared" ca="1" si="1"/>
        <v>45446</v>
      </c>
      <c r="F1699" s="6">
        <f t="shared" ca="1" si="2"/>
        <v>45444</v>
      </c>
      <c r="G1699" s="7"/>
    </row>
    <row r="1700" spans="1:7" x14ac:dyDescent="0.2">
      <c r="A1700" s="3">
        <f ca="1">IFERROR(__xludf.DUMMYFUNCTION("""COMPUTED_VALUE"""),648)</f>
        <v>648</v>
      </c>
      <c r="B1700" s="6">
        <f ca="1">IFERROR(__xludf.DUMMYFUNCTION("""COMPUTED_VALUE"""),45450.7451157407)</f>
        <v>45450.745115740698</v>
      </c>
      <c r="C1700" s="3" t="str">
        <f ca="1">IFERROR(__xludf.DUMMYFUNCTION("""COMPUTED_VALUE"""),"purchase")</f>
        <v>purchase</v>
      </c>
      <c r="D1700" s="6">
        <f t="shared" ca="1" si="0"/>
        <v>45450</v>
      </c>
      <c r="E1700" s="6">
        <f t="shared" ca="1" si="1"/>
        <v>45446</v>
      </c>
      <c r="F1700" s="6">
        <f t="shared" ca="1" si="2"/>
        <v>45444</v>
      </c>
      <c r="G1700" s="7"/>
    </row>
    <row r="1701" spans="1:7" x14ac:dyDescent="0.2">
      <c r="A1701" s="3">
        <f ca="1">IFERROR(__xludf.DUMMYFUNCTION("""COMPUTED_VALUE"""),304)</f>
        <v>304</v>
      </c>
      <c r="B1701" s="6">
        <f ca="1">IFERROR(__xludf.DUMMYFUNCTION("""COMPUTED_VALUE"""),45451.2100578703)</f>
        <v>45451.210057870303</v>
      </c>
      <c r="C1701" s="3" t="str">
        <f ca="1">IFERROR(__xludf.DUMMYFUNCTION("""COMPUTED_VALUE"""),"purchase")</f>
        <v>purchase</v>
      </c>
      <c r="D1701" s="6">
        <f t="shared" ca="1" si="0"/>
        <v>45451</v>
      </c>
      <c r="E1701" s="6">
        <f t="shared" ca="1" si="1"/>
        <v>45446</v>
      </c>
      <c r="F1701" s="6">
        <f t="shared" ca="1" si="2"/>
        <v>45444</v>
      </c>
      <c r="G1701" s="7"/>
    </row>
    <row r="1702" spans="1:7" x14ac:dyDescent="0.2">
      <c r="A1702" s="3">
        <f ca="1">IFERROR(__xludf.DUMMYFUNCTION("""COMPUTED_VALUE"""),3615)</f>
        <v>3615</v>
      </c>
      <c r="B1702" s="6">
        <f ca="1">IFERROR(__xludf.DUMMYFUNCTION("""COMPUTED_VALUE"""),45451.3388888888)</f>
        <v>45451.3388888888</v>
      </c>
      <c r="C1702" s="3" t="str">
        <f ca="1">IFERROR(__xludf.DUMMYFUNCTION("""COMPUTED_VALUE"""),"purchase")</f>
        <v>purchase</v>
      </c>
      <c r="D1702" s="6">
        <f t="shared" ca="1" si="0"/>
        <v>45451</v>
      </c>
      <c r="E1702" s="6">
        <f t="shared" ca="1" si="1"/>
        <v>45446</v>
      </c>
      <c r="F1702" s="6">
        <f t="shared" ca="1" si="2"/>
        <v>45444</v>
      </c>
      <c r="G1702" s="7"/>
    </row>
    <row r="1703" spans="1:7" x14ac:dyDescent="0.2">
      <c r="A1703" s="3">
        <f ca="1">IFERROR(__xludf.DUMMYFUNCTION("""COMPUTED_VALUE"""),6318)</f>
        <v>6318</v>
      </c>
      <c r="B1703" s="6">
        <f ca="1">IFERROR(__xludf.DUMMYFUNCTION("""COMPUTED_VALUE"""),45451.4274189814)</f>
        <v>45451.427418981402</v>
      </c>
      <c r="C1703" s="3" t="str">
        <f ca="1">IFERROR(__xludf.DUMMYFUNCTION("""COMPUTED_VALUE"""),"purchase")</f>
        <v>purchase</v>
      </c>
      <c r="D1703" s="6">
        <f t="shared" ca="1" si="0"/>
        <v>45451</v>
      </c>
      <c r="E1703" s="6">
        <f t="shared" ca="1" si="1"/>
        <v>45446</v>
      </c>
      <c r="F1703" s="6">
        <f t="shared" ca="1" si="2"/>
        <v>45444</v>
      </c>
      <c r="G1703" s="7"/>
    </row>
    <row r="1704" spans="1:7" x14ac:dyDescent="0.2">
      <c r="A1704" s="3">
        <f ca="1">IFERROR(__xludf.DUMMYFUNCTION("""COMPUTED_VALUE"""),3146)</f>
        <v>3146</v>
      </c>
      <c r="B1704" s="6">
        <f ca="1">IFERROR(__xludf.DUMMYFUNCTION("""COMPUTED_VALUE"""),45451.4884606481)</f>
        <v>45451.488460648099</v>
      </c>
      <c r="C1704" s="3" t="str">
        <f ca="1">IFERROR(__xludf.DUMMYFUNCTION("""COMPUTED_VALUE"""),"purchase")</f>
        <v>purchase</v>
      </c>
      <c r="D1704" s="6">
        <f t="shared" ca="1" si="0"/>
        <v>45451</v>
      </c>
      <c r="E1704" s="6">
        <f t="shared" ca="1" si="1"/>
        <v>45446</v>
      </c>
      <c r="F1704" s="6">
        <f t="shared" ca="1" si="2"/>
        <v>45444</v>
      </c>
      <c r="G1704" s="7"/>
    </row>
    <row r="1705" spans="1:7" x14ac:dyDescent="0.2">
      <c r="A1705" s="3">
        <f ca="1">IFERROR(__xludf.DUMMYFUNCTION("""COMPUTED_VALUE"""),2116)</f>
        <v>2116</v>
      </c>
      <c r="B1705" s="6">
        <f ca="1">IFERROR(__xludf.DUMMYFUNCTION("""COMPUTED_VALUE"""),45451.6002199074)</f>
        <v>45451.600219907399</v>
      </c>
      <c r="C1705" s="3" t="str">
        <f ca="1">IFERROR(__xludf.DUMMYFUNCTION("""COMPUTED_VALUE"""),"purchase")</f>
        <v>purchase</v>
      </c>
      <c r="D1705" s="6">
        <f t="shared" ca="1" si="0"/>
        <v>45451</v>
      </c>
      <c r="E1705" s="6">
        <f t="shared" ca="1" si="1"/>
        <v>45446</v>
      </c>
      <c r="F1705" s="6">
        <f t="shared" ca="1" si="2"/>
        <v>45444</v>
      </c>
      <c r="G1705" s="7"/>
    </row>
    <row r="1706" spans="1:7" x14ac:dyDescent="0.2">
      <c r="A1706" s="3">
        <f ca="1">IFERROR(__xludf.DUMMYFUNCTION("""COMPUTED_VALUE"""),7696)</f>
        <v>7696</v>
      </c>
      <c r="B1706" s="6">
        <f ca="1">IFERROR(__xludf.DUMMYFUNCTION("""COMPUTED_VALUE"""),45451.6820486111)</f>
        <v>45451.682048611103</v>
      </c>
      <c r="C1706" s="3" t="str">
        <f ca="1">IFERROR(__xludf.DUMMYFUNCTION("""COMPUTED_VALUE"""),"purchase")</f>
        <v>purchase</v>
      </c>
      <c r="D1706" s="6">
        <f t="shared" ca="1" si="0"/>
        <v>45451</v>
      </c>
      <c r="E1706" s="6">
        <f t="shared" ca="1" si="1"/>
        <v>45446</v>
      </c>
      <c r="F1706" s="6">
        <f t="shared" ca="1" si="2"/>
        <v>45444</v>
      </c>
      <c r="G1706" s="7"/>
    </row>
    <row r="1707" spans="1:7" x14ac:dyDescent="0.2">
      <c r="A1707" s="3">
        <f ca="1">IFERROR(__xludf.DUMMYFUNCTION("""COMPUTED_VALUE"""),7872)</f>
        <v>7872</v>
      </c>
      <c r="B1707" s="6">
        <f ca="1">IFERROR(__xludf.DUMMYFUNCTION("""COMPUTED_VALUE"""),45451.7239583333)</f>
        <v>45451.723958333299</v>
      </c>
      <c r="C1707" s="3" t="str">
        <f ca="1">IFERROR(__xludf.DUMMYFUNCTION("""COMPUTED_VALUE"""),"purchase")</f>
        <v>purchase</v>
      </c>
      <c r="D1707" s="6">
        <f t="shared" ca="1" si="0"/>
        <v>45451</v>
      </c>
      <c r="E1707" s="6">
        <f t="shared" ca="1" si="1"/>
        <v>45446</v>
      </c>
      <c r="F1707" s="6">
        <f t="shared" ca="1" si="2"/>
        <v>45444</v>
      </c>
      <c r="G1707" s="7"/>
    </row>
    <row r="1708" spans="1:7" x14ac:dyDescent="0.2">
      <c r="A1708" s="3">
        <f ca="1">IFERROR(__xludf.DUMMYFUNCTION("""COMPUTED_VALUE"""),1946)</f>
        <v>1946</v>
      </c>
      <c r="B1708" s="6">
        <f ca="1">IFERROR(__xludf.DUMMYFUNCTION("""COMPUTED_VALUE"""),45451.7424768518)</f>
        <v>45451.742476851803</v>
      </c>
      <c r="C1708" s="3" t="str">
        <f ca="1">IFERROR(__xludf.DUMMYFUNCTION("""COMPUTED_VALUE"""),"purchase")</f>
        <v>purchase</v>
      </c>
      <c r="D1708" s="6">
        <f t="shared" ca="1" si="0"/>
        <v>45451</v>
      </c>
      <c r="E1708" s="6">
        <f t="shared" ca="1" si="1"/>
        <v>45446</v>
      </c>
      <c r="F1708" s="6">
        <f t="shared" ca="1" si="2"/>
        <v>45444</v>
      </c>
      <c r="G1708" s="7"/>
    </row>
    <row r="1709" spans="1:7" x14ac:dyDescent="0.2">
      <c r="A1709" s="3">
        <f ca="1">IFERROR(__xludf.DUMMYFUNCTION("""COMPUTED_VALUE"""),6694)</f>
        <v>6694</v>
      </c>
      <c r="B1709" s="6">
        <f ca="1">IFERROR(__xludf.DUMMYFUNCTION("""COMPUTED_VALUE"""),45451.8187037037)</f>
        <v>45451.818703703699</v>
      </c>
      <c r="C1709" s="3" t="str">
        <f ca="1">IFERROR(__xludf.DUMMYFUNCTION("""COMPUTED_VALUE"""),"purchase")</f>
        <v>purchase</v>
      </c>
      <c r="D1709" s="6">
        <f t="shared" ca="1" si="0"/>
        <v>45451</v>
      </c>
      <c r="E1709" s="6">
        <f t="shared" ca="1" si="1"/>
        <v>45446</v>
      </c>
      <c r="F1709" s="6">
        <f t="shared" ca="1" si="2"/>
        <v>45444</v>
      </c>
      <c r="G1709" s="7"/>
    </row>
    <row r="1710" spans="1:7" x14ac:dyDescent="0.2">
      <c r="A1710" s="3">
        <f ca="1">IFERROR(__xludf.DUMMYFUNCTION("""COMPUTED_VALUE"""),7285)</f>
        <v>7285</v>
      </c>
      <c r="B1710" s="6">
        <f ca="1">IFERROR(__xludf.DUMMYFUNCTION("""COMPUTED_VALUE"""),45451.819699074)</f>
        <v>45451.819699074003</v>
      </c>
      <c r="C1710" s="3" t="str">
        <f ca="1">IFERROR(__xludf.DUMMYFUNCTION("""COMPUTED_VALUE"""),"purchase")</f>
        <v>purchase</v>
      </c>
      <c r="D1710" s="6">
        <f t="shared" ca="1" si="0"/>
        <v>45451</v>
      </c>
      <c r="E1710" s="6">
        <f t="shared" ca="1" si="1"/>
        <v>45446</v>
      </c>
      <c r="F1710" s="6">
        <f t="shared" ca="1" si="2"/>
        <v>45444</v>
      </c>
      <c r="G1710" s="7"/>
    </row>
    <row r="1711" spans="1:7" x14ac:dyDescent="0.2">
      <c r="A1711" s="3">
        <f ca="1">IFERROR(__xludf.DUMMYFUNCTION("""COMPUTED_VALUE"""),4994)</f>
        <v>4994</v>
      </c>
      <c r="B1711" s="6">
        <f ca="1">IFERROR(__xludf.DUMMYFUNCTION("""COMPUTED_VALUE"""),45451.8967824074)</f>
        <v>45451.896782407399</v>
      </c>
      <c r="C1711" s="3" t="str">
        <f ca="1">IFERROR(__xludf.DUMMYFUNCTION("""COMPUTED_VALUE"""),"purchase")</f>
        <v>purchase</v>
      </c>
      <c r="D1711" s="6">
        <f t="shared" ca="1" si="0"/>
        <v>45451</v>
      </c>
      <c r="E1711" s="6">
        <f t="shared" ca="1" si="1"/>
        <v>45446</v>
      </c>
      <c r="F1711" s="6">
        <f t="shared" ca="1" si="2"/>
        <v>45444</v>
      </c>
      <c r="G1711" s="7"/>
    </row>
    <row r="1712" spans="1:7" x14ac:dyDescent="0.2">
      <c r="A1712" s="3">
        <f ca="1">IFERROR(__xludf.DUMMYFUNCTION("""COMPUTED_VALUE"""),3612)</f>
        <v>3612</v>
      </c>
      <c r="B1712" s="6">
        <f ca="1">IFERROR(__xludf.DUMMYFUNCTION("""COMPUTED_VALUE"""),45452.0054629629)</f>
        <v>45452.005462962901</v>
      </c>
      <c r="C1712" s="3" t="str">
        <f ca="1">IFERROR(__xludf.DUMMYFUNCTION("""COMPUTED_VALUE"""),"purchase")</f>
        <v>purchase</v>
      </c>
      <c r="D1712" s="6">
        <f t="shared" ca="1" si="0"/>
        <v>45452</v>
      </c>
      <c r="E1712" s="6">
        <f t="shared" ca="1" si="1"/>
        <v>45446</v>
      </c>
      <c r="F1712" s="6">
        <f t="shared" ca="1" si="2"/>
        <v>45444</v>
      </c>
      <c r="G1712" s="7"/>
    </row>
    <row r="1713" spans="1:7" x14ac:dyDescent="0.2">
      <c r="A1713" s="3">
        <f ca="1">IFERROR(__xludf.DUMMYFUNCTION("""COMPUTED_VALUE"""),2329)</f>
        <v>2329</v>
      </c>
      <c r="B1713" s="6">
        <f ca="1">IFERROR(__xludf.DUMMYFUNCTION("""COMPUTED_VALUE"""),45452.013912037)</f>
        <v>45452.013912037</v>
      </c>
      <c r="C1713" s="3" t="str">
        <f ca="1">IFERROR(__xludf.DUMMYFUNCTION("""COMPUTED_VALUE"""),"purchase")</f>
        <v>purchase</v>
      </c>
      <c r="D1713" s="6">
        <f t="shared" ca="1" si="0"/>
        <v>45452</v>
      </c>
      <c r="E1713" s="6">
        <f t="shared" ca="1" si="1"/>
        <v>45446</v>
      </c>
      <c r="F1713" s="6">
        <f t="shared" ca="1" si="2"/>
        <v>45444</v>
      </c>
      <c r="G1713" s="7"/>
    </row>
    <row r="1714" spans="1:7" x14ac:dyDescent="0.2">
      <c r="A1714" s="3">
        <f ca="1">IFERROR(__xludf.DUMMYFUNCTION("""COMPUTED_VALUE"""),3476)</f>
        <v>3476</v>
      </c>
      <c r="B1714" s="6">
        <f ca="1">IFERROR(__xludf.DUMMYFUNCTION("""COMPUTED_VALUE"""),45452.1297453703)</f>
        <v>45452.129745370301</v>
      </c>
      <c r="C1714" s="3" t="str">
        <f ca="1">IFERROR(__xludf.DUMMYFUNCTION("""COMPUTED_VALUE"""),"purchase")</f>
        <v>purchase</v>
      </c>
      <c r="D1714" s="6">
        <f t="shared" ca="1" si="0"/>
        <v>45452</v>
      </c>
      <c r="E1714" s="6">
        <f t="shared" ca="1" si="1"/>
        <v>45446</v>
      </c>
      <c r="F1714" s="6">
        <f t="shared" ca="1" si="2"/>
        <v>45444</v>
      </c>
      <c r="G1714" s="7"/>
    </row>
    <row r="1715" spans="1:7" x14ac:dyDescent="0.2">
      <c r="A1715" s="3">
        <f ca="1">IFERROR(__xludf.DUMMYFUNCTION("""COMPUTED_VALUE"""),5426)</f>
        <v>5426</v>
      </c>
      <c r="B1715" s="6">
        <f ca="1">IFERROR(__xludf.DUMMYFUNCTION("""COMPUTED_VALUE"""),45452.3699074074)</f>
        <v>45452.369907407403</v>
      </c>
      <c r="C1715" s="3" t="str">
        <f ca="1">IFERROR(__xludf.DUMMYFUNCTION("""COMPUTED_VALUE"""),"purchase")</f>
        <v>purchase</v>
      </c>
      <c r="D1715" s="6">
        <f t="shared" ca="1" si="0"/>
        <v>45452</v>
      </c>
      <c r="E1715" s="6">
        <f t="shared" ca="1" si="1"/>
        <v>45446</v>
      </c>
      <c r="F1715" s="6">
        <f t="shared" ca="1" si="2"/>
        <v>45444</v>
      </c>
      <c r="G1715" s="7"/>
    </row>
    <row r="1716" spans="1:7" x14ac:dyDescent="0.2">
      <c r="A1716" s="3">
        <f ca="1">IFERROR(__xludf.DUMMYFUNCTION("""COMPUTED_VALUE"""),96)</f>
        <v>96</v>
      </c>
      <c r="B1716" s="6">
        <f ca="1">IFERROR(__xludf.DUMMYFUNCTION("""COMPUTED_VALUE"""),45452.4346527777)</f>
        <v>45452.434652777702</v>
      </c>
      <c r="C1716" s="3" t="str">
        <f ca="1">IFERROR(__xludf.DUMMYFUNCTION("""COMPUTED_VALUE"""),"purchase")</f>
        <v>purchase</v>
      </c>
      <c r="D1716" s="6">
        <f t="shared" ca="1" si="0"/>
        <v>45452</v>
      </c>
      <c r="E1716" s="6">
        <f t="shared" ca="1" si="1"/>
        <v>45446</v>
      </c>
      <c r="F1716" s="6">
        <f t="shared" ca="1" si="2"/>
        <v>45444</v>
      </c>
      <c r="G1716" s="7"/>
    </row>
    <row r="1717" spans="1:7" x14ac:dyDescent="0.2">
      <c r="A1717" s="3">
        <f ca="1">IFERROR(__xludf.DUMMYFUNCTION("""COMPUTED_VALUE"""),7163)</f>
        <v>7163</v>
      </c>
      <c r="B1717" s="6">
        <f ca="1">IFERROR(__xludf.DUMMYFUNCTION("""COMPUTED_VALUE"""),45452.713136574)</f>
        <v>45452.713136573999</v>
      </c>
      <c r="C1717" s="3" t="str">
        <f ca="1">IFERROR(__xludf.DUMMYFUNCTION("""COMPUTED_VALUE"""),"purchase")</f>
        <v>purchase</v>
      </c>
      <c r="D1717" s="6">
        <f t="shared" ca="1" si="0"/>
        <v>45452</v>
      </c>
      <c r="E1717" s="6">
        <f t="shared" ca="1" si="1"/>
        <v>45446</v>
      </c>
      <c r="F1717" s="6">
        <f t="shared" ca="1" si="2"/>
        <v>45444</v>
      </c>
      <c r="G1717" s="7"/>
    </row>
    <row r="1718" spans="1:7" x14ac:dyDescent="0.2">
      <c r="A1718" s="3">
        <f ca="1">IFERROR(__xludf.DUMMYFUNCTION("""COMPUTED_VALUE"""),7398)</f>
        <v>7398</v>
      </c>
      <c r="B1718" s="6">
        <f ca="1">IFERROR(__xludf.DUMMYFUNCTION("""COMPUTED_VALUE"""),45452.9166435185)</f>
        <v>45452.916643518503</v>
      </c>
      <c r="C1718" s="3" t="str">
        <f ca="1">IFERROR(__xludf.DUMMYFUNCTION("""COMPUTED_VALUE"""),"purchase")</f>
        <v>purchase</v>
      </c>
      <c r="D1718" s="6">
        <f t="shared" ca="1" si="0"/>
        <v>45452</v>
      </c>
      <c r="E1718" s="6">
        <f t="shared" ca="1" si="1"/>
        <v>45446</v>
      </c>
      <c r="F1718" s="6">
        <f t="shared" ca="1" si="2"/>
        <v>45444</v>
      </c>
      <c r="G1718" s="7"/>
    </row>
    <row r="1719" spans="1:7" x14ac:dyDescent="0.2">
      <c r="A1719" s="3">
        <f ca="1">IFERROR(__xludf.DUMMYFUNCTION("""COMPUTED_VALUE"""),4114)</f>
        <v>4114</v>
      </c>
      <c r="B1719" s="6">
        <f ca="1">IFERROR(__xludf.DUMMYFUNCTION("""COMPUTED_VALUE"""),45453.1941898148)</f>
        <v>45453.1941898148</v>
      </c>
      <c r="C1719" s="3" t="str">
        <f ca="1">IFERROR(__xludf.DUMMYFUNCTION("""COMPUTED_VALUE"""),"purchase")</f>
        <v>purchase</v>
      </c>
      <c r="D1719" s="6">
        <f t="shared" ca="1" si="0"/>
        <v>45453</v>
      </c>
      <c r="E1719" s="6">
        <f t="shared" ca="1" si="1"/>
        <v>45453</v>
      </c>
      <c r="F1719" s="6">
        <f t="shared" ca="1" si="2"/>
        <v>45444</v>
      </c>
      <c r="G1719" s="7"/>
    </row>
    <row r="1720" spans="1:7" x14ac:dyDescent="0.2">
      <c r="A1720" s="3">
        <f ca="1">IFERROR(__xludf.DUMMYFUNCTION("""COMPUTED_VALUE"""),3878)</f>
        <v>3878</v>
      </c>
      <c r="B1720" s="6">
        <f ca="1">IFERROR(__xludf.DUMMYFUNCTION("""COMPUTED_VALUE"""),45453.3019444444)</f>
        <v>45453.3019444444</v>
      </c>
      <c r="C1720" s="3" t="str">
        <f ca="1">IFERROR(__xludf.DUMMYFUNCTION("""COMPUTED_VALUE"""),"purchase")</f>
        <v>purchase</v>
      </c>
      <c r="D1720" s="6">
        <f t="shared" ca="1" si="0"/>
        <v>45453</v>
      </c>
      <c r="E1720" s="6">
        <f t="shared" ca="1" si="1"/>
        <v>45453</v>
      </c>
      <c r="F1720" s="6">
        <f t="shared" ca="1" si="2"/>
        <v>45444</v>
      </c>
      <c r="G1720" s="7"/>
    </row>
    <row r="1721" spans="1:7" x14ac:dyDescent="0.2">
      <c r="A1721" s="3">
        <f ca="1">IFERROR(__xludf.DUMMYFUNCTION("""COMPUTED_VALUE"""),7279)</f>
        <v>7279</v>
      </c>
      <c r="B1721" s="6">
        <f ca="1">IFERROR(__xludf.DUMMYFUNCTION("""COMPUTED_VALUE"""),45453.3454629629)</f>
        <v>45453.345462962898</v>
      </c>
      <c r="C1721" s="3" t="str">
        <f ca="1">IFERROR(__xludf.DUMMYFUNCTION("""COMPUTED_VALUE"""),"purchase")</f>
        <v>purchase</v>
      </c>
      <c r="D1721" s="6">
        <f t="shared" ca="1" si="0"/>
        <v>45453</v>
      </c>
      <c r="E1721" s="6">
        <f t="shared" ca="1" si="1"/>
        <v>45453</v>
      </c>
      <c r="F1721" s="6">
        <f t="shared" ca="1" si="2"/>
        <v>45444</v>
      </c>
      <c r="G1721" s="7"/>
    </row>
    <row r="1722" spans="1:7" x14ac:dyDescent="0.2">
      <c r="A1722" s="3">
        <f ca="1">IFERROR(__xludf.DUMMYFUNCTION("""COMPUTED_VALUE"""),6728)</f>
        <v>6728</v>
      </c>
      <c r="B1722" s="6">
        <f ca="1">IFERROR(__xludf.DUMMYFUNCTION("""COMPUTED_VALUE"""),45453.3988888888)</f>
        <v>45453.398888888798</v>
      </c>
      <c r="C1722" s="3" t="str">
        <f ca="1">IFERROR(__xludf.DUMMYFUNCTION("""COMPUTED_VALUE"""),"purchase")</f>
        <v>purchase</v>
      </c>
      <c r="D1722" s="6">
        <f t="shared" ca="1" si="0"/>
        <v>45453</v>
      </c>
      <c r="E1722" s="6">
        <f t="shared" ca="1" si="1"/>
        <v>45453</v>
      </c>
      <c r="F1722" s="6">
        <f t="shared" ca="1" si="2"/>
        <v>45444</v>
      </c>
      <c r="G1722" s="7"/>
    </row>
    <row r="1723" spans="1:7" x14ac:dyDescent="0.2">
      <c r="A1723" s="3">
        <f ca="1">IFERROR(__xludf.DUMMYFUNCTION("""COMPUTED_VALUE"""),5441)</f>
        <v>5441</v>
      </c>
      <c r="B1723" s="6">
        <f ca="1">IFERROR(__xludf.DUMMYFUNCTION("""COMPUTED_VALUE"""),45453.4668402777)</f>
        <v>45453.466840277702</v>
      </c>
      <c r="C1723" s="3" t="str">
        <f ca="1">IFERROR(__xludf.DUMMYFUNCTION("""COMPUTED_VALUE"""),"purchase")</f>
        <v>purchase</v>
      </c>
      <c r="D1723" s="6">
        <f t="shared" ca="1" si="0"/>
        <v>45453</v>
      </c>
      <c r="E1723" s="6">
        <f t="shared" ca="1" si="1"/>
        <v>45453</v>
      </c>
      <c r="F1723" s="6">
        <f t="shared" ca="1" si="2"/>
        <v>45444</v>
      </c>
      <c r="G1723" s="7"/>
    </row>
    <row r="1724" spans="1:7" x14ac:dyDescent="0.2">
      <c r="A1724" s="3">
        <f ca="1">IFERROR(__xludf.DUMMYFUNCTION("""COMPUTED_VALUE"""),2025)</f>
        <v>2025</v>
      </c>
      <c r="B1724" s="6">
        <f ca="1">IFERROR(__xludf.DUMMYFUNCTION("""COMPUTED_VALUE"""),45453.560011574)</f>
        <v>45453.560011574002</v>
      </c>
      <c r="C1724" s="3" t="str">
        <f ca="1">IFERROR(__xludf.DUMMYFUNCTION("""COMPUTED_VALUE"""),"purchase")</f>
        <v>purchase</v>
      </c>
      <c r="D1724" s="6">
        <f t="shared" ca="1" si="0"/>
        <v>45453</v>
      </c>
      <c r="E1724" s="6">
        <f t="shared" ca="1" si="1"/>
        <v>45453</v>
      </c>
      <c r="F1724" s="6">
        <f t="shared" ca="1" si="2"/>
        <v>45444</v>
      </c>
      <c r="G1724" s="7"/>
    </row>
    <row r="1725" spans="1:7" x14ac:dyDescent="0.2">
      <c r="A1725" s="3">
        <f ca="1">IFERROR(__xludf.DUMMYFUNCTION("""COMPUTED_VALUE"""),6631)</f>
        <v>6631</v>
      </c>
      <c r="B1725" s="6">
        <f ca="1">IFERROR(__xludf.DUMMYFUNCTION("""COMPUTED_VALUE"""),45453.6446412037)</f>
        <v>45453.644641203697</v>
      </c>
      <c r="C1725" s="3" t="str">
        <f ca="1">IFERROR(__xludf.DUMMYFUNCTION("""COMPUTED_VALUE"""),"purchase")</f>
        <v>purchase</v>
      </c>
      <c r="D1725" s="6">
        <f t="shared" ca="1" si="0"/>
        <v>45453</v>
      </c>
      <c r="E1725" s="6">
        <f t="shared" ca="1" si="1"/>
        <v>45453</v>
      </c>
      <c r="F1725" s="6">
        <f t="shared" ca="1" si="2"/>
        <v>45444</v>
      </c>
      <c r="G1725" s="7"/>
    </row>
    <row r="1726" spans="1:7" x14ac:dyDescent="0.2">
      <c r="A1726" s="3">
        <f ca="1">IFERROR(__xludf.DUMMYFUNCTION("""COMPUTED_VALUE"""),6166)</f>
        <v>6166</v>
      </c>
      <c r="B1726" s="6">
        <f ca="1">IFERROR(__xludf.DUMMYFUNCTION("""COMPUTED_VALUE"""),45453.8151157407)</f>
        <v>45453.815115740697</v>
      </c>
      <c r="C1726" s="3" t="str">
        <f ca="1">IFERROR(__xludf.DUMMYFUNCTION("""COMPUTED_VALUE"""),"purchase")</f>
        <v>purchase</v>
      </c>
      <c r="D1726" s="6">
        <f t="shared" ca="1" si="0"/>
        <v>45453</v>
      </c>
      <c r="E1726" s="6">
        <f t="shared" ca="1" si="1"/>
        <v>45453</v>
      </c>
      <c r="F1726" s="6">
        <f t="shared" ca="1" si="2"/>
        <v>45444</v>
      </c>
      <c r="G1726" s="7"/>
    </row>
    <row r="1727" spans="1:7" x14ac:dyDescent="0.2">
      <c r="A1727" s="3">
        <f ca="1">IFERROR(__xludf.DUMMYFUNCTION("""COMPUTED_VALUE"""),1624)</f>
        <v>1624</v>
      </c>
      <c r="B1727" s="6">
        <f ca="1">IFERROR(__xludf.DUMMYFUNCTION("""COMPUTED_VALUE"""),45453.9464004629)</f>
        <v>45453.946400462897</v>
      </c>
      <c r="C1727" s="3" t="str">
        <f ca="1">IFERROR(__xludf.DUMMYFUNCTION("""COMPUTED_VALUE"""),"purchase")</f>
        <v>purchase</v>
      </c>
      <c r="D1727" s="6">
        <f t="shared" ca="1" si="0"/>
        <v>45453</v>
      </c>
      <c r="E1727" s="6">
        <f t="shared" ca="1" si="1"/>
        <v>45453</v>
      </c>
      <c r="F1727" s="6">
        <f t="shared" ca="1" si="2"/>
        <v>45444</v>
      </c>
      <c r="G1727" s="7"/>
    </row>
    <row r="1728" spans="1:7" x14ac:dyDescent="0.2">
      <c r="A1728" s="3">
        <f ca="1">IFERROR(__xludf.DUMMYFUNCTION("""COMPUTED_VALUE"""),966)</f>
        <v>966</v>
      </c>
      <c r="B1728" s="6">
        <f ca="1">IFERROR(__xludf.DUMMYFUNCTION("""COMPUTED_VALUE"""),45453.9734027777)</f>
        <v>45453.973402777701</v>
      </c>
      <c r="C1728" s="3" t="str">
        <f ca="1">IFERROR(__xludf.DUMMYFUNCTION("""COMPUTED_VALUE"""),"purchase")</f>
        <v>purchase</v>
      </c>
      <c r="D1728" s="6">
        <f t="shared" ca="1" si="0"/>
        <v>45453</v>
      </c>
      <c r="E1728" s="6">
        <f t="shared" ca="1" si="1"/>
        <v>45453</v>
      </c>
      <c r="F1728" s="6">
        <f t="shared" ca="1" si="2"/>
        <v>45444</v>
      </c>
      <c r="G1728" s="7"/>
    </row>
    <row r="1729" spans="1:7" x14ac:dyDescent="0.2">
      <c r="A1729" s="3">
        <f ca="1">IFERROR(__xludf.DUMMYFUNCTION("""COMPUTED_VALUE"""),4814)</f>
        <v>4814</v>
      </c>
      <c r="B1729" s="6">
        <f ca="1">IFERROR(__xludf.DUMMYFUNCTION("""COMPUTED_VALUE"""),45454.0463425925)</f>
        <v>45454.046342592497</v>
      </c>
      <c r="C1729" s="3" t="str">
        <f ca="1">IFERROR(__xludf.DUMMYFUNCTION("""COMPUTED_VALUE"""),"purchase")</f>
        <v>purchase</v>
      </c>
      <c r="D1729" s="6">
        <f t="shared" ca="1" si="0"/>
        <v>45454</v>
      </c>
      <c r="E1729" s="6">
        <f t="shared" ca="1" si="1"/>
        <v>45453</v>
      </c>
      <c r="F1729" s="6">
        <f t="shared" ca="1" si="2"/>
        <v>45444</v>
      </c>
      <c r="G1729" s="7"/>
    </row>
    <row r="1730" spans="1:7" x14ac:dyDescent="0.2">
      <c r="A1730" s="3">
        <f ca="1">IFERROR(__xludf.DUMMYFUNCTION("""COMPUTED_VALUE"""),3516)</f>
        <v>3516</v>
      </c>
      <c r="B1730" s="6">
        <f ca="1">IFERROR(__xludf.DUMMYFUNCTION("""COMPUTED_VALUE"""),45454.1715277777)</f>
        <v>45454.171527777697</v>
      </c>
      <c r="C1730" s="3" t="str">
        <f ca="1">IFERROR(__xludf.DUMMYFUNCTION("""COMPUTED_VALUE"""),"purchase")</f>
        <v>purchase</v>
      </c>
      <c r="D1730" s="6">
        <f t="shared" ca="1" si="0"/>
        <v>45454</v>
      </c>
      <c r="E1730" s="6">
        <f t="shared" ca="1" si="1"/>
        <v>45453</v>
      </c>
      <c r="F1730" s="6">
        <f t="shared" ca="1" si="2"/>
        <v>45444</v>
      </c>
      <c r="G1730" s="7"/>
    </row>
    <row r="1731" spans="1:7" x14ac:dyDescent="0.2">
      <c r="A1731" s="3">
        <f ca="1">IFERROR(__xludf.DUMMYFUNCTION("""COMPUTED_VALUE"""),555)</f>
        <v>555</v>
      </c>
      <c r="B1731" s="6">
        <f ca="1">IFERROR(__xludf.DUMMYFUNCTION("""COMPUTED_VALUE"""),45454.3619444444)</f>
        <v>45454.361944444398</v>
      </c>
      <c r="C1731" s="3" t="str">
        <f ca="1">IFERROR(__xludf.DUMMYFUNCTION("""COMPUTED_VALUE"""),"purchase")</f>
        <v>purchase</v>
      </c>
      <c r="D1731" s="6">
        <f t="shared" ca="1" si="0"/>
        <v>45454</v>
      </c>
      <c r="E1731" s="6">
        <f t="shared" ca="1" si="1"/>
        <v>45453</v>
      </c>
      <c r="F1731" s="6">
        <f t="shared" ca="1" si="2"/>
        <v>45444</v>
      </c>
      <c r="G1731" s="7"/>
    </row>
    <row r="1732" spans="1:7" x14ac:dyDescent="0.2">
      <c r="A1732" s="3">
        <f ca="1">IFERROR(__xludf.DUMMYFUNCTION("""COMPUTED_VALUE"""),5431)</f>
        <v>5431</v>
      </c>
      <c r="B1732" s="6">
        <f ca="1">IFERROR(__xludf.DUMMYFUNCTION("""COMPUTED_VALUE"""),45454.4045949074)</f>
        <v>45454.404594907399</v>
      </c>
      <c r="C1732" s="3" t="str">
        <f ca="1">IFERROR(__xludf.DUMMYFUNCTION("""COMPUTED_VALUE"""),"purchase")</f>
        <v>purchase</v>
      </c>
      <c r="D1732" s="6">
        <f t="shared" ca="1" si="0"/>
        <v>45454</v>
      </c>
      <c r="E1732" s="6">
        <f t="shared" ca="1" si="1"/>
        <v>45453</v>
      </c>
      <c r="F1732" s="6">
        <f t="shared" ca="1" si="2"/>
        <v>45444</v>
      </c>
      <c r="G1732" s="7"/>
    </row>
    <row r="1733" spans="1:7" x14ac:dyDescent="0.2">
      <c r="A1733" s="3">
        <f ca="1">IFERROR(__xludf.DUMMYFUNCTION("""COMPUTED_VALUE"""),6056)</f>
        <v>6056</v>
      </c>
      <c r="B1733" s="6">
        <f ca="1">IFERROR(__xludf.DUMMYFUNCTION("""COMPUTED_VALUE"""),45454.4080902777)</f>
        <v>45454.408090277699</v>
      </c>
      <c r="C1733" s="3" t="str">
        <f ca="1">IFERROR(__xludf.DUMMYFUNCTION("""COMPUTED_VALUE"""),"purchase")</f>
        <v>purchase</v>
      </c>
      <c r="D1733" s="6">
        <f t="shared" ca="1" si="0"/>
        <v>45454</v>
      </c>
      <c r="E1733" s="6">
        <f t="shared" ca="1" si="1"/>
        <v>45453</v>
      </c>
      <c r="F1733" s="6">
        <f t="shared" ca="1" si="2"/>
        <v>45444</v>
      </c>
      <c r="G1733" s="7"/>
    </row>
    <row r="1734" spans="1:7" x14ac:dyDescent="0.2">
      <c r="A1734" s="3">
        <f ca="1">IFERROR(__xludf.DUMMYFUNCTION("""COMPUTED_VALUE"""),4302)</f>
        <v>4302</v>
      </c>
      <c r="B1734" s="6">
        <f ca="1">IFERROR(__xludf.DUMMYFUNCTION("""COMPUTED_VALUE"""),45454.4275)</f>
        <v>45454.427499999998</v>
      </c>
      <c r="C1734" s="3" t="str">
        <f ca="1">IFERROR(__xludf.DUMMYFUNCTION("""COMPUTED_VALUE"""),"purchase")</f>
        <v>purchase</v>
      </c>
      <c r="D1734" s="6">
        <f t="shared" ca="1" si="0"/>
        <v>45454</v>
      </c>
      <c r="E1734" s="6">
        <f t="shared" ca="1" si="1"/>
        <v>45453</v>
      </c>
      <c r="F1734" s="6">
        <f t="shared" ca="1" si="2"/>
        <v>45444</v>
      </c>
      <c r="G1734" s="7"/>
    </row>
    <row r="1735" spans="1:7" x14ac:dyDescent="0.2">
      <c r="A1735" s="3">
        <f ca="1">IFERROR(__xludf.DUMMYFUNCTION("""COMPUTED_VALUE"""),4353)</f>
        <v>4353</v>
      </c>
      <c r="B1735" s="6">
        <f ca="1">IFERROR(__xludf.DUMMYFUNCTION("""COMPUTED_VALUE"""),45454.4945949074)</f>
        <v>45454.494594907403</v>
      </c>
      <c r="C1735" s="3" t="str">
        <f ca="1">IFERROR(__xludf.DUMMYFUNCTION("""COMPUTED_VALUE"""),"purchase")</f>
        <v>purchase</v>
      </c>
      <c r="D1735" s="6">
        <f t="shared" ca="1" si="0"/>
        <v>45454</v>
      </c>
      <c r="E1735" s="6">
        <f t="shared" ca="1" si="1"/>
        <v>45453</v>
      </c>
      <c r="F1735" s="6">
        <f t="shared" ca="1" si="2"/>
        <v>45444</v>
      </c>
      <c r="G1735" s="7"/>
    </row>
    <row r="1736" spans="1:7" x14ac:dyDescent="0.2">
      <c r="A1736" s="3">
        <f ca="1">IFERROR(__xludf.DUMMYFUNCTION("""COMPUTED_VALUE"""),5459)</f>
        <v>5459</v>
      </c>
      <c r="B1736" s="6">
        <f ca="1">IFERROR(__xludf.DUMMYFUNCTION("""COMPUTED_VALUE"""),45454.6706134259)</f>
        <v>45454.6706134259</v>
      </c>
      <c r="C1736" s="3" t="str">
        <f ca="1">IFERROR(__xludf.DUMMYFUNCTION("""COMPUTED_VALUE"""),"purchase")</f>
        <v>purchase</v>
      </c>
      <c r="D1736" s="6">
        <f t="shared" ca="1" si="0"/>
        <v>45454</v>
      </c>
      <c r="E1736" s="6">
        <f t="shared" ca="1" si="1"/>
        <v>45453</v>
      </c>
      <c r="F1736" s="6">
        <f t="shared" ca="1" si="2"/>
        <v>45444</v>
      </c>
      <c r="G1736" s="7"/>
    </row>
    <row r="1737" spans="1:7" x14ac:dyDescent="0.2">
      <c r="A1737" s="3">
        <f ca="1">IFERROR(__xludf.DUMMYFUNCTION("""COMPUTED_VALUE"""),2165)</f>
        <v>2165</v>
      </c>
      <c r="B1737" s="6">
        <f ca="1">IFERROR(__xludf.DUMMYFUNCTION("""COMPUTED_VALUE"""),45454.7304976851)</f>
        <v>45454.730497685101</v>
      </c>
      <c r="C1737" s="3" t="str">
        <f ca="1">IFERROR(__xludf.DUMMYFUNCTION("""COMPUTED_VALUE"""),"purchase")</f>
        <v>purchase</v>
      </c>
      <c r="D1737" s="6">
        <f t="shared" ca="1" si="0"/>
        <v>45454</v>
      </c>
      <c r="E1737" s="6">
        <f t="shared" ca="1" si="1"/>
        <v>45453</v>
      </c>
      <c r="F1737" s="6">
        <f t="shared" ca="1" si="2"/>
        <v>45444</v>
      </c>
      <c r="G1737" s="7"/>
    </row>
    <row r="1738" spans="1:7" x14ac:dyDescent="0.2">
      <c r="A1738" s="3">
        <f ca="1">IFERROR(__xludf.DUMMYFUNCTION("""COMPUTED_VALUE"""),1551)</f>
        <v>1551</v>
      </c>
      <c r="B1738" s="6">
        <f ca="1">IFERROR(__xludf.DUMMYFUNCTION("""COMPUTED_VALUE"""),45454.8151388888)</f>
        <v>45454.8151388888</v>
      </c>
      <c r="C1738" s="3" t="str">
        <f ca="1">IFERROR(__xludf.DUMMYFUNCTION("""COMPUTED_VALUE"""),"purchase")</f>
        <v>purchase</v>
      </c>
      <c r="D1738" s="6">
        <f t="shared" ca="1" si="0"/>
        <v>45454</v>
      </c>
      <c r="E1738" s="6">
        <f t="shared" ca="1" si="1"/>
        <v>45453</v>
      </c>
      <c r="F1738" s="6">
        <f t="shared" ca="1" si="2"/>
        <v>45444</v>
      </c>
      <c r="G1738" s="7"/>
    </row>
    <row r="1739" spans="1:7" x14ac:dyDescent="0.2">
      <c r="A1739" s="3">
        <f ca="1">IFERROR(__xludf.DUMMYFUNCTION("""COMPUTED_VALUE"""),843)</f>
        <v>843</v>
      </c>
      <c r="B1739" s="6">
        <f ca="1">IFERROR(__xludf.DUMMYFUNCTION("""COMPUTED_VALUE"""),45454.8300578703)</f>
        <v>45454.830057870298</v>
      </c>
      <c r="C1739" s="3" t="str">
        <f ca="1">IFERROR(__xludf.DUMMYFUNCTION("""COMPUTED_VALUE"""),"purchase")</f>
        <v>purchase</v>
      </c>
      <c r="D1739" s="6">
        <f t="shared" ca="1" si="0"/>
        <v>45454</v>
      </c>
      <c r="E1739" s="6">
        <f t="shared" ca="1" si="1"/>
        <v>45453</v>
      </c>
      <c r="F1739" s="6">
        <f t="shared" ca="1" si="2"/>
        <v>45444</v>
      </c>
      <c r="G1739" s="7"/>
    </row>
    <row r="1740" spans="1:7" x14ac:dyDescent="0.2">
      <c r="A1740" s="3">
        <f ca="1">IFERROR(__xludf.DUMMYFUNCTION("""COMPUTED_VALUE"""),3405)</f>
        <v>3405</v>
      </c>
      <c r="B1740" s="6">
        <f ca="1">IFERROR(__xludf.DUMMYFUNCTION("""COMPUTED_VALUE"""),45454.8994907407)</f>
        <v>45454.899490740703</v>
      </c>
      <c r="C1740" s="3" t="str">
        <f ca="1">IFERROR(__xludf.DUMMYFUNCTION("""COMPUTED_VALUE"""),"purchase")</f>
        <v>purchase</v>
      </c>
      <c r="D1740" s="6">
        <f t="shared" ca="1" si="0"/>
        <v>45454</v>
      </c>
      <c r="E1740" s="6">
        <f t="shared" ca="1" si="1"/>
        <v>45453</v>
      </c>
      <c r="F1740" s="6">
        <f t="shared" ca="1" si="2"/>
        <v>45444</v>
      </c>
      <c r="G1740" s="7"/>
    </row>
    <row r="1741" spans="1:7" x14ac:dyDescent="0.2">
      <c r="A1741" s="3">
        <f ca="1">IFERROR(__xludf.DUMMYFUNCTION("""COMPUTED_VALUE"""),4982)</f>
        <v>4982</v>
      </c>
      <c r="B1741" s="6">
        <f ca="1">IFERROR(__xludf.DUMMYFUNCTION("""COMPUTED_VALUE"""),45455.061886574)</f>
        <v>45455.061886574003</v>
      </c>
      <c r="C1741" s="3" t="str">
        <f ca="1">IFERROR(__xludf.DUMMYFUNCTION("""COMPUTED_VALUE"""),"purchase")</f>
        <v>purchase</v>
      </c>
      <c r="D1741" s="6">
        <f t="shared" ca="1" si="0"/>
        <v>45455</v>
      </c>
      <c r="E1741" s="6">
        <f t="shared" ca="1" si="1"/>
        <v>45453</v>
      </c>
      <c r="F1741" s="6">
        <f t="shared" ca="1" si="2"/>
        <v>45444</v>
      </c>
      <c r="G1741" s="7"/>
    </row>
    <row r="1742" spans="1:7" x14ac:dyDescent="0.2">
      <c r="A1742" s="3">
        <f ca="1">IFERROR(__xludf.DUMMYFUNCTION("""COMPUTED_VALUE"""),6211)</f>
        <v>6211</v>
      </c>
      <c r="B1742" s="6">
        <f ca="1">IFERROR(__xludf.DUMMYFUNCTION("""COMPUTED_VALUE"""),45455.1836805555)</f>
        <v>45455.183680555499</v>
      </c>
      <c r="C1742" s="3" t="str">
        <f ca="1">IFERROR(__xludf.DUMMYFUNCTION("""COMPUTED_VALUE"""),"purchase")</f>
        <v>purchase</v>
      </c>
      <c r="D1742" s="6">
        <f t="shared" ca="1" si="0"/>
        <v>45455</v>
      </c>
      <c r="E1742" s="6">
        <f t="shared" ca="1" si="1"/>
        <v>45453</v>
      </c>
      <c r="F1742" s="6">
        <f t="shared" ca="1" si="2"/>
        <v>45444</v>
      </c>
      <c r="G1742" s="7"/>
    </row>
    <row r="1743" spans="1:7" x14ac:dyDescent="0.2">
      <c r="A1743" s="3">
        <f ca="1">IFERROR(__xludf.DUMMYFUNCTION("""COMPUTED_VALUE"""),6077)</f>
        <v>6077</v>
      </c>
      <c r="B1743" s="6">
        <f ca="1">IFERROR(__xludf.DUMMYFUNCTION("""COMPUTED_VALUE"""),45455.3636342592)</f>
        <v>45455.3636342592</v>
      </c>
      <c r="C1743" s="3" t="str">
        <f ca="1">IFERROR(__xludf.DUMMYFUNCTION("""COMPUTED_VALUE"""),"purchase")</f>
        <v>purchase</v>
      </c>
      <c r="D1743" s="6">
        <f t="shared" ca="1" si="0"/>
        <v>45455</v>
      </c>
      <c r="E1743" s="6">
        <f t="shared" ca="1" si="1"/>
        <v>45453</v>
      </c>
      <c r="F1743" s="6">
        <f t="shared" ca="1" si="2"/>
        <v>45444</v>
      </c>
      <c r="G1743" s="7"/>
    </row>
    <row r="1744" spans="1:7" x14ac:dyDescent="0.2">
      <c r="A1744" s="3">
        <f ca="1">IFERROR(__xludf.DUMMYFUNCTION("""COMPUTED_VALUE"""),4103)</f>
        <v>4103</v>
      </c>
      <c r="B1744" s="6">
        <f ca="1">IFERROR(__xludf.DUMMYFUNCTION("""COMPUTED_VALUE"""),45455.3850347222)</f>
        <v>45455.385034722203</v>
      </c>
      <c r="C1744" s="3" t="str">
        <f ca="1">IFERROR(__xludf.DUMMYFUNCTION("""COMPUTED_VALUE"""),"purchase")</f>
        <v>purchase</v>
      </c>
      <c r="D1744" s="6">
        <f t="shared" ca="1" si="0"/>
        <v>45455</v>
      </c>
      <c r="E1744" s="6">
        <f t="shared" ca="1" si="1"/>
        <v>45453</v>
      </c>
      <c r="F1744" s="6">
        <f t="shared" ca="1" si="2"/>
        <v>45444</v>
      </c>
      <c r="G1744" s="7"/>
    </row>
    <row r="1745" spans="1:7" x14ac:dyDescent="0.2">
      <c r="A1745" s="3">
        <f ca="1">IFERROR(__xludf.DUMMYFUNCTION("""COMPUTED_VALUE"""),5966)</f>
        <v>5966</v>
      </c>
      <c r="B1745" s="6">
        <f ca="1">IFERROR(__xludf.DUMMYFUNCTION("""COMPUTED_VALUE"""),45455.4108449073)</f>
        <v>45455.410844907397</v>
      </c>
      <c r="C1745" s="3" t="str">
        <f ca="1">IFERROR(__xludf.DUMMYFUNCTION("""COMPUTED_VALUE"""),"purchase")</f>
        <v>purchase</v>
      </c>
      <c r="D1745" s="6">
        <f t="shared" ca="1" si="0"/>
        <v>45455</v>
      </c>
      <c r="E1745" s="6">
        <f t="shared" ca="1" si="1"/>
        <v>45453</v>
      </c>
      <c r="F1745" s="6">
        <f t="shared" ca="1" si="2"/>
        <v>45444</v>
      </c>
      <c r="G1745" s="7"/>
    </row>
    <row r="1746" spans="1:7" x14ac:dyDescent="0.2">
      <c r="A1746" s="3">
        <f ca="1">IFERROR(__xludf.DUMMYFUNCTION("""COMPUTED_VALUE"""),6423)</f>
        <v>6423</v>
      </c>
      <c r="B1746" s="6">
        <f ca="1">IFERROR(__xludf.DUMMYFUNCTION("""COMPUTED_VALUE"""),45455.4563541666)</f>
        <v>45455.456354166599</v>
      </c>
      <c r="C1746" s="3" t="str">
        <f ca="1">IFERROR(__xludf.DUMMYFUNCTION("""COMPUTED_VALUE"""),"purchase")</f>
        <v>purchase</v>
      </c>
      <c r="D1746" s="6">
        <f t="shared" ca="1" si="0"/>
        <v>45455</v>
      </c>
      <c r="E1746" s="6">
        <f t="shared" ca="1" si="1"/>
        <v>45453</v>
      </c>
      <c r="F1746" s="6">
        <f t="shared" ca="1" si="2"/>
        <v>45444</v>
      </c>
      <c r="G1746" s="7"/>
    </row>
    <row r="1747" spans="1:7" x14ac:dyDescent="0.2">
      <c r="A1747" s="3">
        <f ca="1">IFERROR(__xludf.DUMMYFUNCTION("""COMPUTED_VALUE"""),3045)</f>
        <v>3045</v>
      </c>
      <c r="B1747" s="6">
        <f ca="1">IFERROR(__xludf.DUMMYFUNCTION("""COMPUTED_VALUE"""),45455.4946527777)</f>
        <v>45455.494652777699</v>
      </c>
      <c r="C1747" s="3" t="str">
        <f ca="1">IFERROR(__xludf.DUMMYFUNCTION("""COMPUTED_VALUE"""),"purchase")</f>
        <v>purchase</v>
      </c>
      <c r="D1747" s="6">
        <f t="shared" ca="1" si="0"/>
        <v>45455</v>
      </c>
      <c r="E1747" s="6">
        <f t="shared" ca="1" si="1"/>
        <v>45453</v>
      </c>
      <c r="F1747" s="6">
        <f t="shared" ca="1" si="2"/>
        <v>45444</v>
      </c>
      <c r="G1747" s="7"/>
    </row>
    <row r="1748" spans="1:7" x14ac:dyDescent="0.2">
      <c r="A1748" s="3">
        <f ca="1">IFERROR(__xludf.DUMMYFUNCTION("""COMPUTED_VALUE"""),5220)</f>
        <v>5220</v>
      </c>
      <c r="B1748" s="6">
        <f ca="1">IFERROR(__xludf.DUMMYFUNCTION("""COMPUTED_VALUE"""),45455.6077777777)</f>
        <v>45455.607777777703</v>
      </c>
      <c r="C1748" s="3" t="str">
        <f ca="1">IFERROR(__xludf.DUMMYFUNCTION("""COMPUTED_VALUE"""),"purchase")</f>
        <v>purchase</v>
      </c>
      <c r="D1748" s="6">
        <f t="shared" ca="1" si="0"/>
        <v>45455</v>
      </c>
      <c r="E1748" s="6">
        <f t="shared" ca="1" si="1"/>
        <v>45453</v>
      </c>
      <c r="F1748" s="6">
        <f t="shared" ca="1" si="2"/>
        <v>45444</v>
      </c>
      <c r="G1748" s="7"/>
    </row>
    <row r="1749" spans="1:7" x14ac:dyDescent="0.2">
      <c r="A1749" s="3">
        <f ca="1">IFERROR(__xludf.DUMMYFUNCTION("""COMPUTED_VALUE"""),6324)</f>
        <v>6324</v>
      </c>
      <c r="B1749" s="6">
        <f ca="1">IFERROR(__xludf.DUMMYFUNCTION("""COMPUTED_VALUE"""),45455.6832986111)</f>
        <v>45455.683298611097</v>
      </c>
      <c r="C1749" s="3" t="str">
        <f ca="1">IFERROR(__xludf.DUMMYFUNCTION("""COMPUTED_VALUE"""),"purchase")</f>
        <v>purchase</v>
      </c>
      <c r="D1749" s="6">
        <f t="shared" ca="1" si="0"/>
        <v>45455</v>
      </c>
      <c r="E1749" s="6">
        <f t="shared" ca="1" si="1"/>
        <v>45453</v>
      </c>
      <c r="F1749" s="6">
        <f t="shared" ca="1" si="2"/>
        <v>45444</v>
      </c>
      <c r="G1749" s="7"/>
    </row>
    <row r="1750" spans="1:7" x14ac:dyDescent="0.2">
      <c r="A1750" s="3">
        <f ca="1">IFERROR(__xludf.DUMMYFUNCTION("""COMPUTED_VALUE"""),6982)</f>
        <v>6982</v>
      </c>
      <c r="B1750" s="6">
        <f ca="1">IFERROR(__xludf.DUMMYFUNCTION("""COMPUTED_VALUE"""),45455.7421643518)</f>
        <v>45455.742164351803</v>
      </c>
      <c r="C1750" s="3" t="str">
        <f ca="1">IFERROR(__xludf.DUMMYFUNCTION("""COMPUTED_VALUE"""),"purchase")</f>
        <v>purchase</v>
      </c>
      <c r="D1750" s="6">
        <f t="shared" ca="1" si="0"/>
        <v>45455</v>
      </c>
      <c r="E1750" s="6">
        <f t="shared" ca="1" si="1"/>
        <v>45453</v>
      </c>
      <c r="F1750" s="6">
        <f t="shared" ca="1" si="2"/>
        <v>45444</v>
      </c>
      <c r="G1750" s="7"/>
    </row>
    <row r="1751" spans="1:7" x14ac:dyDescent="0.2">
      <c r="A1751" s="3">
        <f ca="1">IFERROR(__xludf.DUMMYFUNCTION("""COMPUTED_VALUE"""),1011)</f>
        <v>1011</v>
      </c>
      <c r="B1751" s="6">
        <f ca="1">IFERROR(__xludf.DUMMYFUNCTION("""COMPUTED_VALUE"""),45455.7845601851)</f>
        <v>45455.7845601851</v>
      </c>
      <c r="C1751" s="3" t="str">
        <f ca="1">IFERROR(__xludf.DUMMYFUNCTION("""COMPUTED_VALUE"""),"purchase")</f>
        <v>purchase</v>
      </c>
      <c r="D1751" s="6">
        <f t="shared" ca="1" si="0"/>
        <v>45455</v>
      </c>
      <c r="E1751" s="6">
        <f t="shared" ca="1" si="1"/>
        <v>45453</v>
      </c>
      <c r="F1751" s="6">
        <f t="shared" ca="1" si="2"/>
        <v>45444</v>
      </c>
      <c r="G1751" s="7"/>
    </row>
    <row r="1752" spans="1:7" x14ac:dyDescent="0.2">
      <c r="A1752" s="3">
        <f ca="1">IFERROR(__xludf.DUMMYFUNCTION("""COMPUTED_VALUE"""),4297)</f>
        <v>4297</v>
      </c>
      <c r="B1752" s="6">
        <f ca="1">IFERROR(__xludf.DUMMYFUNCTION("""COMPUTED_VALUE"""),45455.9783217592)</f>
        <v>45455.978321759198</v>
      </c>
      <c r="C1752" s="3" t="str">
        <f ca="1">IFERROR(__xludf.DUMMYFUNCTION("""COMPUTED_VALUE"""),"purchase")</f>
        <v>purchase</v>
      </c>
      <c r="D1752" s="6">
        <f t="shared" ca="1" si="0"/>
        <v>45455</v>
      </c>
      <c r="E1752" s="6">
        <f t="shared" ca="1" si="1"/>
        <v>45453</v>
      </c>
      <c r="F1752" s="6">
        <f t="shared" ca="1" si="2"/>
        <v>45444</v>
      </c>
      <c r="G1752" s="7"/>
    </row>
    <row r="1753" spans="1:7" x14ac:dyDescent="0.2">
      <c r="A1753" s="3">
        <f ca="1">IFERROR(__xludf.DUMMYFUNCTION("""COMPUTED_VALUE"""),1512)</f>
        <v>1512</v>
      </c>
      <c r="B1753" s="6">
        <f ca="1">IFERROR(__xludf.DUMMYFUNCTION("""COMPUTED_VALUE"""),45456.1783333333)</f>
        <v>45456.178333333301</v>
      </c>
      <c r="C1753" s="3" t="str">
        <f ca="1">IFERROR(__xludf.DUMMYFUNCTION("""COMPUTED_VALUE"""),"purchase")</f>
        <v>purchase</v>
      </c>
      <c r="D1753" s="6">
        <f t="shared" ca="1" si="0"/>
        <v>45456</v>
      </c>
      <c r="E1753" s="6">
        <f t="shared" ca="1" si="1"/>
        <v>45453</v>
      </c>
      <c r="F1753" s="6">
        <f t="shared" ca="1" si="2"/>
        <v>45444</v>
      </c>
      <c r="G1753" s="7"/>
    </row>
    <row r="1754" spans="1:7" x14ac:dyDescent="0.2">
      <c r="A1754" s="3">
        <f ca="1">IFERROR(__xludf.DUMMYFUNCTION("""COMPUTED_VALUE"""),7652)</f>
        <v>7652</v>
      </c>
      <c r="B1754" s="6">
        <f ca="1">IFERROR(__xludf.DUMMYFUNCTION("""COMPUTED_VALUE"""),45456.205162037)</f>
        <v>45456.205162036997</v>
      </c>
      <c r="C1754" s="3" t="str">
        <f ca="1">IFERROR(__xludf.DUMMYFUNCTION("""COMPUTED_VALUE"""),"purchase")</f>
        <v>purchase</v>
      </c>
      <c r="D1754" s="6">
        <f t="shared" ca="1" si="0"/>
        <v>45456</v>
      </c>
      <c r="E1754" s="6">
        <f t="shared" ca="1" si="1"/>
        <v>45453</v>
      </c>
      <c r="F1754" s="6">
        <f t="shared" ca="1" si="2"/>
        <v>45444</v>
      </c>
      <c r="G1754" s="7"/>
    </row>
    <row r="1755" spans="1:7" x14ac:dyDescent="0.2">
      <c r="A1755" s="3">
        <f ca="1">IFERROR(__xludf.DUMMYFUNCTION("""COMPUTED_VALUE"""),562)</f>
        <v>562</v>
      </c>
      <c r="B1755" s="6">
        <f ca="1">IFERROR(__xludf.DUMMYFUNCTION("""COMPUTED_VALUE"""),45456.2768981481)</f>
        <v>45456.276898148099</v>
      </c>
      <c r="C1755" s="3" t="str">
        <f ca="1">IFERROR(__xludf.DUMMYFUNCTION("""COMPUTED_VALUE"""),"purchase")</f>
        <v>purchase</v>
      </c>
      <c r="D1755" s="6">
        <f t="shared" ca="1" si="0"/>
        <v>45456</v>
      </c>
      <c r="E1755" s="6">
        <f t="shared" ca="1" si="1"/>
        <v>45453</v>
      </c>
      <c r="F1755" s="6">
        <f t="shared" ca="1" si="2"/>
        <v>45444</v>
      </c>
      <c r="G1755" s="7"/>
    </row>
    <row r="1756" spans="1:7" x14ac:dyDescent="0.2">
      <c r="A1756" s="3">
        <f ca="1">IFERROR(__xludf.DUMMYFUNCTION("""COMPUTED_VALUE"""),4443)</f>
        <v>4443</v>
      </c>
      <c r="B1756" s="6">
        <f ca="1">IFERROR(__xludf.DUMMYFUNCTION("""COMPUTED_VALUE"""),45456.4733449073)</f>
        <v>45456.473344907397</v>
      </c>
      <c r="C1756" s="3" t="str">
        <f ca="1">IFERROR(__xludf.DUMMYFUNCTION("""COMPUTED_VALUE"""),"purchase")</f>
        <v>purchase</v>
      </c>
      <c r="D1756" s="6">
        <f t="shared" ca="1" si="0"/>
        <v>45456</v>
      </c>
      <c r="E1756" s="6">
        <f t="shared" ca="1" si="1"/>
        <v>45453</v>
      </c>
      <c r="F1756" s="6">
        <f t="shared" ca="1" si="2"/>
        <v>45444</v>
      </c>
      <c r="G1756" s="7"/>
    </row>
    <row r="1757" spans="1:7" x14ac:dyDescent="0.2">
      <c r="A1757" s="3">
        <f ca="1">IFERROR(__xludf.DUMMYFUNCTION("""COMPUTED_VALUE"""),2179)</f>
        <v>2179</v>
      </c>
      <c r="B1757" s="6">
        <f ca="1">IFERROR(__xludf.DUMMYFUNCTION("""COMPUTED_VALUE"""),45456.5813657407)</f>
        <v>45456.581365740698</v>
      </c>
      <c r="C1757" s="3" t="str">
        <f ca="1">IFERROR(__xludf.DUMMYFUNCTION("""COMPUTED_VALUE"""),"purchase")</f>
        <v>purchase</v>
      </c>
      <c r="D1757" s="6">
        <f t="shared" ca="1" si="0"/>
        <v>45456</v>
      </c>
      <c r="E1757" s="6">
        <f t="shared" ca="1" si="1"/>
        <v>45453</v>
      </c>
      <c r="F1757" s="6">
        <f t="shared" ca="1" si="2"/>
        <v>45444</v>
      </c>
      <c r="G1757" s="7"/>
    </row>
    <row r="1758" spans="1:7" x14ac:dyDescent="0.2">
      <c r="A1758" s="3">
        <f ca="1">IFERROR(__xludf.DUMMYFUNCTION("""COMPUTED_VALUE"""),2836)</f>
        <v>2836</v>
      </c>
      <c r="B1758" s="6">
        <f ca="1">IFERROR(__xludf.DUMMYFUNCTION("""COMPUTED_VALUE"""),45456.6509375)</f>
        <v>45456.650937500002</v>
      </c>
      <c r="C1758" s="3" t="str">
        <f ca="1">IFERROR(__xludf.DUMMYFUNCTION("""COMPUTED_VALUE"""),"purchase")</f>
        <v>purchase</v>
      </c>
      <c r="D1758" s="6">
        <f t="shared" ca="1" si="0"/>
        <v>45456</v>
      </c>
      <c r="E1758" s="6">
        <f t="shared" ca="1" si="1"/>
        <v>45453</v>
      </c>
      <c r="F1758" s="6">
        <f t="shared" ca="1" si="2"/>
        <v>45444</v>
      </c>
      <c r="G1758" s="7"/>
    </row>
    <row r="1759" spans="1:7" x14ac:dyDescent="0.2">
      <c r="A1759" s="3">
        <f ca="1">IFERROR(__xludf.DUMMYFUNCTION("""COMPUTED_VALUE"""),5365)</f>
        <v>5365</v>
      </c>
      <c r="B1759" s="6">
        <f ca="1">IFERROR(__xludf.DUMMYFUNCTION("""COMPUTED_VALUE"""),45456.7862384259)</f>
        <v>45456.786238425899</v>
      </c>
      <c r="C1759" s="3" t="str">
        <f ca="1">IFERROR(__xludf.DUMMYFUNCTION("""COMPUTED_VALUE"""),"purchase")</f>
        <v>purchase</v>
      </c>
      <c r="D1759" s="6">
        <f t="shared" ca="1" si="0"/>
        <v>45456</v>
      </c>
      <c r="E1759" s="6">
        <f t="shared" ca="1" si="1"/>
        <v>45453</v>
      </c>
      <c r="F1759" s="6">
        <f t="shared" ca="1" si="2"/>
        <v>45444</v>
      </c>
      <c r="G1759" s="7"/>
    </row>
    <row r="1760" spans="1:7" x14ac:dyDescent="0.2">
      <c r="A1760" s="3">
        <f ca="1">IFERROR(__xludf.DUMMYFUNCTION("""COMPUTED_VALUE"""),2284)</f>
        <v>2284</v>
      </c>
      <c r="B1760" s="6">
        <f ca="1">IFERROR(__xludf.DUMMYFUNCTION("""COMPUTED_VALUE"""),45457.0371296296)</f>
        <v>45457.0371296296</v>
      </c>
      <c r="C1760" s="3" t="str">
        <f ca="1">IFERROR(__xludf.DUMMYFUNCTION("""COMPUTED_VALUE"""),"purchase")</f>
        <v>purchase</v>
      </c>
      <c r="D1760" s="6">
        <f t="shared" ca="1" si="0"/>
        <v>45457</v>
      </c>
      <c r="E1760" s="6">
        <f t="shared" ca="1" si="1"/>
        <v>45453</v>
      </c>
      <c r="F1760" s="6">
        <f t="shared" ca="1" si="2"/>
        <v>45444</v>
      </c>
      <c r="G1760" s="7"/>
    </row>
    <row r="1761" spans="1:7" x14ac:dyDescent="0.2">
      <c r="A1761" s="3">
        <f ca="1">IFERROR(__xludf.DUMMYFUNCTION("""COMPUTED_VALUE"""),3857)</f>
        <v>3857</v>
      </c>
      <c r="B1761" s="6">
        <f ca="1">IFERROR(__xludf.DUMMYFUNCTION("""COMPUTED_VALUE"""),45457.047824074)</f>
        <v>45457.047824073998</v>
      </c>
      <c r="C1761" s="3" t="str">
        <f ca="1">IFERROR(__xludf.DUMMYFUNCTION("""COMPUTED_VALUE"""),"purchase")</f>
        <v>purchase</v>
      </c>
      <c r="D1761" s="6">
        <f t="shared" ca="1" si="0"/>
        <v>45457</v>
      </c>
      <c r="E1761" s="6">
        <f t="shared" ca="1" si="1"/>
        <v>45453</v>
      </c>
      <c r="F1761" s="6">
        <f t="shared" ca="1" si="2"/>
        <v>45444</v>
      </c>
      <c r="G1761" s="7"/>
    </row>
    <row r="1762" spans="1:7" x14ac:dyDescent="0.2">
      <c r="A1762" s="3">
        <f ca="1">IFERROR(__xludf.DUMMYFUNCTION("""COMPUTED_VALUE"""),4505)</f>
        <v>4505</v>
      </c>
      <c r="B1762" s="6">
        <f ca="1">IFERROR(__xludf.DUMMYFUNCTION("""COMPUTED_VALUE"""),45457.1035300925)</f>
        <v>45457.1035300925</v>
      </c>
      <c r="C1762" s="3" t="str">
        <f ca="1">IFERROR(__xludf.DUMMYFUNCTION("""COMPUTED_VALUE"""),"purchase")</f>
        <v>purchase</v>
      </c>
      <c r="D1762" s="6">
        <f t="shared" ca="1" si="0"/>
        <v>45457</v>
      </c>
      <c r="E1762" s="6">
        <f t="shared" ca="1" si="1"/>
        <v>45453</v>
      </c>
      <c r="F1762" s="6">
        <f t="shared" ca="1" si="2"/>
        <v>45444</v>
      </c>
      <c r="G1762" s="7"/>
    </row>
    <row r="1763" spans="1:7" x14ac:dyDescent="0.2">
      <c r="A1763" s="3">
        <f ca="1">IFERROR(__xludf.DUMMYFUNCTION("""COMPUTED_VALUE"""),744)</f>
        <v>744</v>
      </c>
      <c r="B1763" s="6">
        <f ca="1">IFERROR(__xludf.DUMMYFUNCTION("""COMPUTED_VALUE"""),45457.1334027777)</f>
        <v>45457.133402777697</v>
      </c>
      <c r="C1763" s="3" t="str">
        <f ca="1">IFERROR(__xludf.DUMMYFUNCTION("""COMPUTED_VALUE"""),"purchase")</f>
        <v>purchase</v>
      </c>
      <c r="D1763" s="6">
        <f t="shared" ca="1" si="0"/>
        <v>45457</v>
      </c>
      <c r="E1763" s="6">
        <f t="shared" ca="1" si="1"/>
        <v>45453</v>
      </c>
      <c r="F1763" s="6">
        <f t="shared" ca="1" si="2"/>
        <v>45444</v>
      </c>
      <c r="G1763" s="7"/>
    </row>
    <row r="1764" spans="1:7" x14ac:dyDescent="0.2">
      <c r="A1764" s="3">
        <f ca="1">IFERROR(__xludf.DUMMYFUNCTION("""COMPUTED_VALUE"""),94)</f>
        <v>94</v>
      </c>
      <c r="B1764" s="6">
        <f ca="1">IFERROR(__xludf.DUMMYFUNCTION("""COMPUTED_VALUE"""),45457.1758912037)</f>
        <v>45457.175891203697</v>
      </c>
      <c r="C1764" s="3" t="str">
        <f ca="1">IFERROR(__xludf.DUMMYFUNCTION("""COMPUTED_VALUE"""),"purchase")</f>
        <v>purchase</v>
      </c>
      <c r="D1764" s="6">
        <f t="shared" ca="1" si="0"/>
        <v>45457</v>
      </c>
      <c r="E1764" s="6">
        <f t="shared" ca="1" si="1"/>
        <v>45453</v>
      </c>
      <c r="F1764" s="6">
        <f t="shared" ca="1" si="2"/>
        <v>45444</v>
      </c>
      <c r="G1764" s="7"/>
    </row>
    <row r="1765" spans="1:7" x14ac:dyDescent="0.2">
      <c r="A1765" s="3">
        <f ca="1">IFERROR(__xludf.DUMMYFUNCTION("""COMPUTED_VALUE"""),3985)</f>
        <v>3985</v>
      </c>
      <c r="B1765" s="6">
        <f ca="1">IFERROR(__xludf.DUMMYFUNCTION("""COMPUTED_VALUE"""),45457.2508680555)</f>
        <v>45457.250868055497</v>
      </c>
      <c r="C1765" s="3" t="str">
        <f ca="1">IFERROR(__xludf.DUMMYFUNCTION("""COMPUTED_VALUE"""),"purchase")</f>
        <v>purchase</v>
      </c>
      <c r="D1765" s="6">
        <f t="shared" ca="1" si="0"/>
        <v>45457</v>
      </c>
      <c r="E1765" s="6">
        <f t="shared" ca="1" si="1"/>
        <v>45453</v>
      </c>
      <c r="F1765" s="6">
        <f t="shared" ca="1" si="2"/>
        <v>45444</v>
      </c>
      <c r="G1765" s="7"/>
    </row>
    <row r="1766" spans="1:7" x14ac:dyDescent="0.2">
      <c r="A1766" s="3">
        <f ca="1">IFERROR(__xludf.DUMMYFUNCTION("""COMPUTED_VALUE"""),7879)</f>
        <v>7879</v>
      </c>
      <c r="B1766" s="6">
        <f ca="1">IFERROR(__xludf.DUMMYFUNCTION("""COMPUTED_VALUE"""),45457.2720138888)</f>
        <v>45457.272013888803</v>
      </c>
      <c r="C1766" s="3" t="str">
        <f ca="1">IFERROR(__xludf.DUMMYFUNCTION("""COMPUTED_VALUE"""),"purchase")</f>
        <v>purchase</v>
      </c>
      <c r="D1766" s="6">
        <f t="shared" ca="1" si="0"/>
        <v>45457</v>
      </c>
      <c r="E1766" s="6">
        <f t="shared" ca="1" si="1"/>
        <v>45453</v>
      </c>
      <c r="F1766" s="6">
        <f t="shared" ca="1" si="2"/>
        <v>45444</v>
      </c>
      <c r="G1766" s="7"/>
    </row>
    <row r="1767" spans="1:7" x14ac:dyDescent="0.2">
      <c r="A1767" s="3">
        <f ca="1">IFERROR(__xludf.DUMMYFUNCTION("""COMPUTED_VALUE"""),2541)</f>
        <v>2541</v>
      </c>
      <c r="B1767" s="6">
        <f ca="1">IFERROR(__xludf.DUMMYFUNCTION("""COMPUTED_VALUE"""),45457.4014351851)</f>
        <v>45457.4014351851</v>
      </c>
      <c r="C1767" s="3" t="str">
        <f ca="1">IFERROR(__xludf.DUMMYFUNCTION("""COMPUTED_VALUE"""),"purchase")</f>
        <v>purchase</v>
      </c>
      <c r="D1767" s="6">
        <f t="shared" ca="1" si="0"/>
        <v>45457</v>
      </c>
      <c r="E1767" s="6">
        <f t="shared" ca="1" si="1"/>
        <v>45453</v>
      </c>
      <c r="F1767" s="6">
        <f t="shared" ca="1" si="2"/>
        <v>45444</v>
      </c>
      <c r="G1767" s="7"/>
    </row>
    <row r="1768" spans="1:7" x14ac:dyDescent="0.2">
      <c r="A1768" s="3">
        <f ca="1">IFERROR(__xludf.DUMMYFUNCTION("""COMPUTED_VALUE"""),6051)</f>
        <v>6051</v>
      </c>
      <c r="B1768" s="6">
        <f ca="1">IFERROR(__xludf.DUMMYFUNCTION("""COMPUTED_VALUE"""),45457.4610185185)</f>
        <v>45457.461018518501</v>
      </c>
      <c r="C1768" s="3" t="str">
        <f ca="1">IFERROR(__xludf.DUMMYFUNCTION("""COMPUTED_VALUE"""),"purchase")</f>
        <v>purchase</v>
      </c>
      <c r="D1768" s="6">
        <f t="shared" ca="1" si="0"/>
        <v>45457</v>
      </c>
      <c r="E1768" s="6">
        <f t="shared" ca="1" si="1"/>
        <v>45453</v>
      </c>
      <c r="F1768" s="6">
        <f t="shared" ca="1" si="2"/>
        <v>45444</v>
      </c>
      <c r="G1768" s="7"/>
    </row>
    <row r="1769" spans="1:7" x14ac:dyDescent="0.2">
      <c r="A1769" s="3">
        <f ca="1">IFERROR(__xludf.DUMMYFUNCTION("""COMPUTED_VALUE"""),1104)</f>
        <v>1104</v>
      </c>
      <c r="B1769" s="6">
        <f ca="1">IFERROR(__xludf.DUMMYFUNCTION("""COMPUTED_VALUE"""),45457.4858680555)</f>
        <v>45457.485868055497</v>
      </c>
      <c r="C1769" s="3" t="str">
        <f ca="1">IFERROR(__xludf.DUMMYFUNCTION("""COMPUTED_VALUE"""),"purchase")</f>
        <v>purchase</v>
      </c>
      <c r="D1769" s="6">
        <f t="shared" ca="1" si="0"/>
        <v>45457</v>
      </c>
      <c r="E1769" s="6">
        <f t="shared" ca="1" si="1"/>
        <v>45453</v>
      </c>
      <c r="F1769" s="6">
        <f t="shared" ca="1" si="2"/>
        <v>45444</v>
      </c>
      <c r="G1769" s="7"/>
    </row>
    <row r="1770" spans="1:7" x14ac:dyDescent="0.2">
      <c r="A1770" s="3">
        <f ca="1">IFERROR(__xludf.DUMMYFUNCTION("""COMPUTED_VALUE"""),168)</f>
        <v>168</v>
      </c>
      <c r="B1770" s="6">
        <f ca="1">IFERROR(__xludf.DUMMYFUNCTION("""COMPUTED_VALUE"""),45457.5030324074)</f>
        <v>45457.503032407403</v>
      </c>
      <c r="C1770" s="3" t="str">
        <f ca="1">IFERROR(__xludf.DUMMYFUNCTION("""COMPUTED_VALUE"""),"purchase")</f>
        <v>purchase</v>
      </c>
      <c r="D1770" s="6">
        <f t="shared" ca="1" si="0"/>
        <v>45457</v>
      </c>
      <c r="E1770" s="6">
        <f t="shared" ca="1" si="1"/>
        <v>45453</v>
      </c>
      <c r="F1770" s="6">
        <f t="shared" ca="1" si="2"/>
        <v>45444</v>
      </c>
      <c r="G1770" s="7"/>
    </row>
    <row r="1771" spans="1:7" x14ac:dyDescent="0.2">
      <c r="A1771" s="3">
        <f ca="1">IFERROR(__xludf.DUMMYFUNCTION("""COMPUTED_VALUE"""),7568)</f>
        <v>7568</v>
      </c>
      <c r="B1771" s="6">
        <f ca="1">IFERROR(__xludf.DUMMYFUNCTION("""COMPUTED_VALUE"""),45457.5157060185)</f>
        <v>45457.515706018501</v>
      </c>
      <c r="C1771" s="3" t="str">
        <f ca="1">IFERROR(__xludf.DUMMYFUNCTION("""COMPUTED_VALUE"""),"purchase")</f>
        <v>purchase</v>
      </c>
      <c r="D1771" s="6">
        <f t="shared" ca="1" si="0"/>
        <v>45457</v>
      </c>
      <c r="E1771" s="6">
        <f t="shared" ca="1" si="1"/>
        <v>45453</v>
      </c>
      <c r="F1771" s="6">
        <f t="shared" ca="1" si="2"/>
        <v>45444</v>
      </c>
      <c r="G1771" s="7"/>
    </row>
    <row r="1772" spans="1:7" x14ac:dyDescent="0.2">
      <c r="A1772" s="3">
        <f ca="1">IFERROR(__xludf.DUMMYFUNCTION("""COMPUTED_VALUE"""),4770)</f>
        <v>4770</v>
      </c>
      <c r="B1772" s="6">
        <f ca="1">IFERROR(__xludf.DUMMYFUNCTION("""COMPUTED_VALUE"""),45457.702037037)</f>
        <v>45457.702037037001</v>
      </c>
      <c r="C1772" s="3" t="str">
        <f ca="1">IFERROR(__xludf.DUMMYFUNCTION("""COMPUTED_VALUE"""),"purchase")</f>
        <v>purchase</v>
      </c>
      <c r="D1772" s="6">
        <f t="shared" ca="1" si="0"/>
        <v>45457</v>
      </c>
      <c r="E1772" s="6">
        <f t="shared" ca="1" si="1"/>
        <v>45453</v>
      </c>
      <c r="F1772" s="6">
        <f t="shared" ca="1" si="2"/>
        <v>45444</v>
      </c>
      <c r="G1772" s="7"/>
    </row>
    <row r="1773" spans="1:7" x14ac:dyDescent="0.2">
      <c r="A1773" s="3">
        <f ca="1">IFERROR(__xludf.DUMMYFUNCTION("""COMPUTED_VALUE"""),6437)</f>
        <v>6437</v>
      </c>
      <c r="B1773" s="6">
        <f ca="1">IFERROR(__xludf.DUMMYFUNCTION("""COMPUTED_VALUE"""),45457.9908101851)</f>
        <v>45457.990810185103</v>
      </c>
      <c r="C1773" s="3" t="str">
        <f ca="1">IFERROR(__xludf.DUMMYFUNCTION("""COMPUTED_VALUE"""),"purchase")</f>
        <v>purchase</v>
      </c>
      <c r="D1773" s="6">
        <f t="shared" ca="1" si="0"/>
        <v>45457</v>
      </c>
      <c r="E1773" s="6">
        <f t="shared" ca="1" si="1"/>
        <v>45453</v>
      </c>
      <c r="F1773" s="6">
        <f t="shared" ca="1" si="2"/>
        <v>45444</v>
      </c>
      <c r="G1773" s="7"/>
    </row>
    <row r="1774" spans="1:7" x14ac:dyDescent="0.2">
      <c r="A1774" s="3">
        <f ca="1">IFERROR(__xludf.DUMMYFUNCTION("""COMPUTED_VALUE"""),5211)</f>
        <v>5211</v>
      </c>
      <c r="B1774" s="6">
        <f ca="1">IFERROR(__xludf.DUMMYFUNCTION("""COMPUTED_VALUE"""),45458.2325694444)</f>
        <v>45458.232569444401</v>
      </c>
      <c r="C1774" s="3" t="str">
        <f ca="1">IFERROR(__xludf.DUMMYFUNCTION("""COMPUTED_VALUE"""),"purchase")</f>
        <v>purchase</v>
      </c>
      <c r="D1774" s="6">
        <f t="shared" ca="1" si="0"/>
        <v>45458</v>
      </c>
      <c r="E1774" s="6">
        <f t="shared" ca="1" si="1"/>
        <v>45453</v>
      </c>
      <c r="F1774" s="6">
        <f t="shared" ca="1" si="2"/>
        <v>45444</v>
      </c>
      <c r="G1774" s="7"/>
    </row>
    <row r="1775" spans="1:7" x14ac:dyDescent="0.2">
      <c r="A1775" s="3">
        <f ca="1">IFERROR(__xludf.DUMMYFUNCTION("""COMPUTED_VALUE"""),7733)</f>
        <v>7733</v>
      </c>
      <c r="B1775" s="6">
        <f ca="1">IFERROR(__xludf.DUMMYFUNCTION("""COMPUTED_VALUE"""),45458.2411689814)</f>
        <v>45458.241168981403</v>
      </c>
      <c r="C1775" s="3" t="str">
        <f ca="1">IFERROR(__xludf.DUMMYFUNCTION("""COMPUTED_VALUE"""),"purchase")</f>
        <v>purchase</v>
      </c>
      <c r="D1775" s="6">
        <f t="shared" ca="1" si="0"/>
        <v>45458</v>
      </c>
      <c r="E1775" s="6">
        <f t="shared" ca="1" si="1"/>
        <v>45453</v>
      </c>
      <c r="F1775" s="6">
        <f t="shared" ca="1" si="2"/>
        <v>45444</v>
      </c>
      <c r="G1775" s="7"/>
    </row>
    <row r="1776" spans="1:7" x14ac:dyDescent="0.2">
      <c r="A1776" s="3">
        <f ca="1">IFERROR(__xludf.DUMMYFUNCTION("""COMPUTED_VALUE"""),5834)</f>
        <v>5834</v>
      </c>
      <c r="B1776" s="6">
        <f ca="1">IFERROR(__xludf.DUMMYFUNCTION("""COMPUTED_VALUE"""),45458.3469212962)</f>
        <v>45458.346921296201</v>
      </c>
      <c r="C1776" s="3" t="str">
        <f ca="1">IFERROR(__xludf.DUMMYFUNCTION("""COMPUTED_VALUE"""),"purchase")</f>
        <v>purchase</v>
      </c>
      <c r="D1776" s="6">
        <f t="shared" ca="1" si="0"/>
        <v>45458</v>
      </c>
      <c r="E1776" s="6">
        <f t="shared" ca="1" si="1"/>
        <v>45453</v>
      </c>
      <c r="F1776" s="6">
        <f t="shared" ca="1" si="2"/>
        <v>45444</v>
      </c>
      <c r="G1776" s="7"/>
    </row>
    <row r="1777" spans="1:7" x14ac:dyDescent="0.2">
      <c r="A1777" s="3">
        <f ca="1">IFERROR(__xludf.DUMMYFUNCTION("""COMPUTED_VALUE"""),6214)</f>
        <v>6214</v>
      </c>
      <c r="B1777" s="6">
        <f ca="1">IFERROR(__xludf.DUMMYFUNCTION("""COMPUTED_VALUE"""),45458.3764351851)</f>
        <v>45458.376435185099</v>
      </c>
      <c r="C1777" s="3" t="str">
        <f ca="1">IFERROR(__xludf.DUMMYFUNCTION("""COMPUTED_VALUE"""),"purchase")</f>
        <v>purchase</v>
      </c>
      <c r="D1777" s="6">
        <f t="shared" ca="1" si="0"/>
        <v>45458</v>
      </c>
      <c r="E1777" s="6">
        <f t="shared" ca="1" si="1"/>
        <v>45453</v>
      </c>
      <c r="F1777" s="6">
        <f t="shared" ca="1" si="2"/>
        <v>45444</v>
      </c>
      <c r="G1777" s="7"/>
    </row>
    <row r="1778" spans="1:7" x14ac:dyDescent="0.2">
      <c r="A1778" s="3">
        <f ca="1">IFERROR(__xludf.DUMMYFUNCTION("""COMPUTED_VALUE"""),466)</f>
        <v>466</v>
      </c>
      <c r="B1778" s="6">
        <f ca="1">IFERROR(__xludf.DUMMYFUNCTION("""COMPUTED_VALUE"""),45458.3831828703)</f>
        <v>45458.383182870297</v>
      </c>
      <c r="C1778" s="3" t="str">
        <f ca="1">IFERROR(__xludf.DUMMYFUNCTION("""COMPUTED_VALUE"""),"purchase")</f>
        <v>purchase</v>
      </c>
      <c r="D1778" s="6">
        <f t="shared" ca="1" si="0"/>
        <v>45458</v>
      </c>
      <c r="E1778" s="6">
        <f t="shared" ca="1" si="1"/>
        <v>45453</v>
      </c>
      <c r="F1778" s="6">
        <f t="shared" ca="1" si="2"/>
        <v>45444</v>
      </c>
      <c r="G1778" s="7"/>
    </row>
    <row r="1779" spans="1:7" x14ac:dyDescent="0.2">
      <c r="A1779" s="3">
        <f ca="1">IFERROR(__xludf.DUMMYFUNCTION("""COMPUTED_VALUE"""),2496)</f>
        <v>2496</v>
      </c>
      <c r="B1779" s="6">
        <f ca="1">IFERROR(__xludf.DUMMYFUNCTION("""COMPUTED_VALUE"""),45458.4836689814)</f>
        <v>45458.483668981396</v>
      </c>
      <c r="C1779" s="3" t="str">
        <f ca="1">IFERROR(__xludf.DUMMYFUNCTION("""COMPUTED_VALUE"""),"purchase")</f>
        <v>purchase</v>
      </c>
      <c r="D1779" s="6">
        <f t="shared" ca="1" si="0"/>
        <v>45458</v>
      </c>
      <c r="E1779" s="6">
        <f t="shared" ca="1" si="1"/>
        <v>45453</v>
      </c>
      <c r="F1779" s="6">
        <f t="shared" ca="1" si="2"/>
        <v>45444</v>
      </c>
      <c r="G1779" s="7"/>
    </row>
    <row r="1780" spans="1:7" x14ac:dyDescent="0.2">
      <c r="A1780" s="3">
        <f ca="1">IFERROR(__xludf.DUMMYFUNCTION("""COMPUTED_VALUE"""),4669)</f>
        <v>4669</v>
      </c>
      <c r="B1780" s="6">
        <f ca="1">IFERROR(__xludf.DUMMYFUNCTION("""COMPUTED_VALUE"""),45458.8972800925)</f>
        <v>45458.897280092497</v>
      </c>
      <c r="C1780" s="3" t="str">
        <f ca="1">IFERROR(__xludf.DUMMYFUNCTION("""COMPUTED_VALUE"""),"purchase")</f>
        <v>purchase</v>
      </c>
      <c r="D1780" s="6">
        <f t="shared" ca="1" si="0"/>
        <v>45458</v>
      </c>
      <c r="E1780" s="6">
        <f t="shared" ca="1" si="1"/>
        <v>45453</v>
      </c>
      <c r="F1780" s="6">
        <f t="shared" ca="1" si="2"/>
        <v>45444</v>
      </c>
      <c r="G1780" s="7"/>
    </row>
    <row r="1781" spans="1:7" x14ac:dyDescent="0.2">
      <c r="A1781" s="3">
        <f ca="1">IFERROR(__xludf.DUMMYFUNCTION("""COMPUTED_VALUE"""),6271)</f>
        <v>6271</v>
      </c>
      <c r="B1781" s="6">
        <f ca="1">IFERROR(__xludf.DUMMYFUNCTION("""COMPUTED_VALUE"""),45458.9148148148)</f>
        <v>45458.914814814802</v>
      </c>
      <c r="C1781" s="3" t="str">
        <f ca="1">IFERROR(__xludf.DUMMYFUNCTION("""COMPUTED_VALUE"""),"purchase")</f>
        <v>purchase</v>
      </c>
      <c r="D1781" s="6">
        <f t="shared" ca="1" si="0"/>
        <v>45458</v>
      </c>
      <c r="E1781" s="6">
        <f t="shared" ca="1" si="1"/>
        <v>45453</v>
      </c>
      <c r="F1781" s="6">
        <f t="shared" ca="1" si="2"/>
        <v>45444</v>
      </c>
      <c r="G1781" s="7"/>
    </row>
    <row r="1782" spans="1:7" x14ac:dyDescent="0.2">
      <c r="A1782" s="3">
        <f ca="1">IFERROR(__xludf.DUMMYFUNCTION("""COMPUTED_VALUE"""),7531)</f>
        <v>7531</v>
      </c>
      <c r="B1782" s="6">
        <f ca="1">IFERROR(__xludf.DUMMYFUNCTION("""COMPUTED_VALUE"""),45458.9266782407)</f>
        <v>45458.926678240699</v>
      </c>
      <c r="C1782" s="3" t="str">
        <f ca="1">IFERROR(__xludf.DUMMYFUNCTION("""COMPUTED_VALUE"""),"purchase")</f>
        <v>purchase</v>
      </c>
      <c r="D1782" s="6">
        <f t="shared" ca="1" si="0"/>
        <v>45458</v>
      </c>
      <c r="E1782" s="6">
        <f t="shared" ca="1" si="1"/>
        <v>45453</v>
      </c>
      <c r="F1782" s="6">
        <f t="shared" ca="1" si="2"/>
        <v>45444</v>
      </c>
      <c r="G1782" s="7"/>
    </row>
    <row r="1783" spans="1:7" x14ac:dyDescent="0.2">
      <c r="A1783" s="3">
        <f ca="1">IFERROR(__xludf.DUMMYFUNCTION("""COMPUTED_VALUE"""),3492)</f>
        <v>3492</v>
      </c>
      <c r="B1783" s="6">
        <f ca="1">IFERROR(__xludf.DUMMYFUNCTION("""COMPUTED_VALUE"""),45459.0731828703)</f>
        <v>45459.073182870299</v>
      </c>
      <c r="C1783" s="3" t="str">
        <f ca="1">IFERROR(__xludf.DUMMYFUNCTION("""COMPUTED_VALUE"""),"purchase")</f>
        <v>purchase</v>
      </c>
      <c r="D1783" s="6">
        <f t="shared" ca="1" si="0"/>
        <v>45459</v>
      </c>
      <c r="E1783" s="6">
        <f t="shared" ca="1" si="1"/>
        <v>45453</v>
      </c>
      <c r="F1783" s="6">
        <f t="shared" ca="1" si="2"/>
        <v>45444</v>
      </c>
      <c r="G1783" s="7"/>
    </row>
    <row r="1784" spans="1:7" x14ac:dyDescent="0.2">
      <c r="A1784" s="3">
        <f ca="1">IFERROR(__xludf.DUMMYFUNCTION("""COMPUTED_VALUE"""),4039)</f>
        <v>4039</v>
      </c>
      <c r="B1784" s="6">
        <f ca="1">IFERROR(__xludf.DUMMYFUNCTION("""COMPUTED_VALUE"""),45459.0799421296)</f>
        <v>45459.079942129603</v>
      </c>
      <c r="C1784" s="3" t="str">
        <f ca="1">IFERROR(__xludf.DUMMYFUNCTION("""COMPUTED_VALUE"""),"purchase")</f>
        <v>purchase</v>
      </c>
      <c r="D1784" s="6">
        <f t="shared" ca="1" si="0"/>
        <v>45459</v>
      </c>
      <c r="E1784" s="6">
        <f t="shared" ca="1" si="1"/>
        <v>45453</v>
      </c>
      <c r="F1784" s="6">
        <f t="shared" ca="1" si="2"/>
        <v>45444</v>
      </c>
      <c r="G1784" s="7"/>
    </row>
    <row r="1785" spans="1:7" x14ac:dyDescent="0.2">
      <c r="A1785" s="3">
        <f ca="1">IFERROR(__xludf.DUMMYFUNCTION("""COMPUTED_VALUE"""),6688)</f>
        <v>6688</v>
      </c>
      <c r="B1785" s="6">
        <f ca="1">IFERROR(__xludf.DUMMYFUNCTION("""COMPUTED_VALUE"""),45459.1032407407)</f>
        <v>45459.103240740696</v>
      </c>
      <c r="C1785" s="3" t="str">
        <f ca="1">IFERROR(__xludf.DUMMYFUNCTION("""COMPUTED_VALUE"""),"purchase")</f>
        <v>purchase</v>
      </c>
      <c r="D1785" s="6">
        <f t="shared" ca="1" si="0"/>
        <v>45459</v>
      </c>
      <c r="E1785" s="6">
        <f t="shared" ca="1" si="1"/>
        <v>45453</v>
      </c>
      <c r="F1785" s="6">
        <f t="shared" ca="1" si="2"/>
        <v>45444</v>
      </c>
      <c r="G1785" s="7"/>
    </row>
    <row r="1786" spans="1:7" x14ac:dyDescent="0.2">
      <c r="A1786" s="3">
        <f ca="1">IFERROR(__xludf.DUMMYFUNCTION("""COMPUTED_VALUE"""),3899)</f>
        <v>3899</v>
      </c>
      <c r="B1786" s="6">
        <f ca="1">IFERROR(__xludf.DUMMYFUNCTION("""COMPUTED_VALUE"""),45459.1120486111)</f>
        <v>45459.112048611103</v>
      </c>
      <c r="C1786" s="3" t="str">
        <f ca="1">IFERROR(__xludf.DUMMYFUNCTION("""COMPUTED_VALUE"""),"purchase")</f>
        <v>purchase</v>
      </c>
      <c r="D1786" s="6">
        <f t="shared" ca="1" si="0"/>
        <v>45459</v>
      </c>
      <c r="E1786" s="6">
        <f t="shared" ca="1" si="1"/>
        <v>45453</v>
      </c>
      <c r="F1786" s="6">
        <f t="shared" ca="1" si="2"/>
        <v>45444</v>
      </c>
      <c r="G1786" s="7"/>
    </row>
    <row r="1787" spans="1:7" x14ac:dyDescent="0.2">
      <c r="A1787" s="3">
        <f ca="1">IFERROR(__xludf.DUMMYFUNCTION("""COMPUTED_VALUE"""),5739)</f>
        <v>5739</v>
      </c>
      <c r="B1787" s="6">
        <f ca="1">IFERROR(__xludf.DUMMYFUNCTION("""COMPUTED_VALUE"""),45459.1299652777)</f>
        <v>45459.129965277702</v>
      </c>
      <c r="C1787" s="3" t="str">
        <f ca="1">IFERROR(__xludf.DUMMYFUNCTION("""COMPUTED_VALUE"""),"purchase")</f>
        <v>purchase</v>
      </c>
      <c r="D1787" s="6">
        <f t="shared" ca="1" si="0"/>
        <v>45459</v>
      </c>
      <c r="E1787" s="6">
        <f t="shared" ca="1" si="1"/>
        <v>45453</v>
      </c>
      <c r="F1787" s="6">
        <f t="shared" ca="1" si="2"/>
        <v>45444</v>
      </c>
      <c r="G1787" s="7"/>
    </row>
    <row r="1788" spans="1:7" x14ac:dyDescent="0.2">
      <c r="A1788" s="3">
        <f ca="1">IFERROR(__xludf.DUMMYFUNCTION("""COMPUTED_VALUE"""),1373)</f>
        <v>1373</v>
      </c>
      <c r="B1788" s="6">
        <f ca="1">IFERROR(__xludf.DUMMYFUNCTION("""COMPUTED_VALUE"""),45459.1793055555)</f>
        <v>45459.179305555503</v>
      </c>
      <c r="C1788" s="3" t="str">
        <f ca="1">IFERROR(__xludf.DUMMYFUNCTION("""COMPUTED_VALUE"""),"purchase")</f>
        <v>purchase</v>
      </c>
      <c r="D1788" s="6">
        <f t="shared" ca="1" si="0"/>
        <v>45459</v>
      </c>
      <c r="E1788" s="6">
        <f t="shared" ca="1" si="1"/>
        <v>45453</v>
      </c>
      <c r="F1788" s="6">
        <f t="shared" ca="1" si="2"/>
        <v>45444</v>
      </c>
      <c r="G1788" s="7"/>
    </row>
    <row r="1789" spans="1:7" x14ac:dyDescent="0.2">
      <c r="A1789" s="3">
        <f ca="1">IFERROR(__xludf.DUMMYFUNCTION("""COMPUTED_VALUE"""),6422)</f>
        <v>6422</v>
      </c>
      <c r="B1789" s="6">
        <f ca="1">IFERROR(__xludf.DUMMYFUNCTION("""COMPUTED_VALUE"""),45459.3760069444)</f>
        <v>45459.376006944403</v>
      </c>
      <c r="C1789" s="3" t="str">
        <f ca="1">IFERROR(__xludf.DUMMYFUNCTION("""COMPUTED_VALUE"""),"purchase")</f>
        <v>purchase</v>
      </c>
      <c r="D1789" s="6">
        <f t="shared" ca="1" si="0"/>
        <v>45459</v>
      </c>
      <c r="E1789" s="6">
        <f t="shared" ca="1" si="1"/>
        <v>45453</v>
      </c>
      <c r="F1789" s="6">
        <f t="shared" ca="1" si="2"/>
        <v>45444</v>
      </c>
      <c r="G1789" s="7"/>
    </row>
    <row r="1790" spans="1:7" x14ac:dyDescent="0.2">
      <c r="A1790" s="3">
        <f ca="1">IFERROR(__xludf.DUMMYFUNCTION("""COMPUTED_VALUE"""),1499)</f>
        <v>1499</v>
      </c>
      <c r="B1790" s="6">
        <f ca="1">IFERROR(__xludf.DUMMYFUNCTION("""COMPUTED_VALUE"""),45459.4228125)</f>
        <v>45459.422812500001</v>
      </c>
      <c r="C1790" s="3" t="str">
        <f ca="1">IFERROR(__xludf.DUMMYFUNCTION("""COMPUTED_VALUE"""),"purchase")</f>
        <v>purchase</v>
      </c>
      <c r="D1790" s="6">
        <f t="shared" ca="1" si="0"/>
        <v>45459</v>
      </c>
      <c r="E1790" s="6">
        <f t="shared" ca="1" si="1"/>
        <v>45453</v>
      </c>
      <c r="F1790" s="6">
        <f t="shared" ca="1" si="2"/>
        <v>45444</v>
      </c>
      <c r="G1790" s="7"/>
    </row>
    <row r="1791" spans="1:7" x14ac:dyDescent="0.2">
      <c r="A1791" s="3">
        <f ca="1">IFERROR(__xludf.DUMMYFUNCTION("""COMPUTED_VALUE"""),4696)</f>
        <v>4696</v>
      </c>
      <c r="B1791" s="6">
        <f ca="1">IFERROR(__xludf.DUMMYFUNCTION("""COMPUTED_VALUE"""),45459.4552777777)</f>
        <v>45459.455277777699</v>
      </c>
      <c r="C1791" s="3" t="str">
        <f ca="1">IFERROR(__xludf.DUMMYFUNCTION("""COMPUTED_VALUE"""),"purchase")</f>
        <v>purchase</v>
      </c>
      <c r="D1791" s="6">
        <f t="shared" ca="1" si="0"/>
        <v>45459</v>
      </c>
      <c r="E1791" s="6">
        <f t="shared" ca="1" si="1"/>
        <v>45453</v>
      </c>
      <c r="F1791" s="6">
        <f t="shared" ca="1" si="2"/>
        <v>45444</v>
      </c>
      <c r="G1791" s="7"/>
    </row>
    <row r="1792" spans="1:7" x14ac:dyDescent="0.2">
      <c r="A1792" s="3">
        <f ca="1">IFERROR(__xludf.DUMMYFUNCTION("""COMPUTED_VALUE"""),5037)</f>
        <v>5037</v>
      </c>
      <c r="B1792" s="6">
        <f ca="1">IFERROR(__xludf.DUMMYFUNCTION("""COMPUTED_VALUE"""),45459.4617361111)</f>
        <v>45459.461736111101</v>
      </c>
      <c r="C1792" s="3" t="str">
        <f ca="1">IFERROR(__xludf.DUMMYFUNCTION("""COMPUTED_VALUE"""),"purchase")</f>
        <v>purchase</v>
      </c>
      <c r="D1792" s="6">
        <f t="shared" ca="1" si="0"/>
        <v>45459</v>
      </c>
      <c r="E1792" s="6">
        <f t="shared" ca="1" si="1"/>
        <v>45453</v>
      </c>
      <c r="F1792" s="6">
        <f t="shared" ca="1" si="2"/>
        <v>45444</v>
      </c>
      <c r="G1792" s="7"/>
    </row>
    <row r="1793" spans="1:7" x14ac:dyDescent="0.2">
      <c r="A1793" s="3">
        <f ca="1">IFERROR(__xludf.DUMMYFUNCTION("""COMPUTED_VALUE"""),6140)</f>
        <v>6140</v>
      </c>
      <c r="B1793" s="6">
        <f ca="1">IFERROR(__xludf.DUMMYFUNCTION("""COMPUTED_VALUE"""),45459.4969907407)</f>
        <v>45459.496990740699</v>
      </c>
      <c r="C1793" s="3" t="str">
        <f ca="1">IFERROR(__xludf.DUMMYFUNCTION("""COMPUTED_VALUE"""),"purchase")</f>
        <v>purchase</v>
      </c>
      <c r="D1793" s="6">
        <f t="shared" ca="1" si="0"/>
        <v>45459</v>
      </c>
      <c r="E1793" s="6">
        <f t="shared" ca="1" si="1"/>
        <v>45453</v>
      </c>
      <c r="F1793" s="6">
        <f t="shared" ca="1" si="2"/>
        <v>45444</v>
      </c>
      <c r="G1793" s="7"/>
    </row>
    <row r="1794" spans="1:7" x14ac:dyDescent="0.2">
      <c r="A1794" s="3">
        <f ca="1">IFERROR(__xludf.DUMMYFUNCTION("""COMPUTED_VALUE"""),5203)</f>
        <v>5203</v>
      </c>
      <c r="B1794" s="6">
        <f ca="1">IFERROR(__xludf.DUMMYFUNCTION("""COMPUTED_VALUE"""),45459.6301736111)</f>
        <v>45459.630173611098</v>
      </c>
      <c r="C1794" s="3" t="str">
        <f ca="1">IFERROR(__xludf.DUMMYFUNCTION("""COMPUTED_VALUE"""),"purchase")</f>
        <v>purchase</v>
      </c>
      <c r="D1794" s="6">
        <f t="shared" ca="1" si="0"/>
        <v>45459</v>
      </c>
      <c r="E1794" s="6">
        <f t="shared" ca="1" si="1"/>
        <v>45453</v>
      </c>
      <c r="F1794" s="6">
        <f t="shared" ca="1" si="2"/>
        <v>45444</v>
      </c>
      <c r="G1794" s="7"/>
    </row>
    <row r="1795" spans="1:7" x14ac:dyDescent="0.2">
      <c r="A1795" s="3">
        <f ca="1">IFERROR(__xludf.DUMMYFUNCTION("""COMPUTED_VALUE"""),1124)</f>
        <v>1124</v>
      </c>
      <c r="B1795" s="6">
        <f ca="1">IFERROR(__xludf.DUMMYFUNCTION("""COMPUTED_VALUE"""),45459.8764467592)</f>
        <v>45459.876446759197</v>
      </c>
      <c r="C1795" s="3" t="str">
        <f ca="1">IFERROR(__xludf.DUMMYFUNCTION("""COMPUTED_VALUE"""),"purchase")</f>
        <v>purchase</v>
      </c>
      <c r="D1795" s="6">
        <f t="shared" ca="1" si="0"/>
        <v>45459</v>
      </c>
      <c r="E1795" s="6">
        <f t="shared" ca="1" si="1"/>
        <v>45453</v>
      </c>
      <c r="F1795" s="6">
        <f t="shared" ca="1" si="2"/>
        <v>45444</v>
      </c>
      <c r="G1795" s="7"/>
    </row>
    <row r="1796" spans="1:7" x14ac:dyDescent="0.2">
      <c r="A1796" s="3">
        <f ca="1">IFERROR(__xludf.DUMMYFUNCTION("""COMPUTED_VALUE"""),6358)</f>
        <v>6358</v>
      </c>
      <c r="B1796" s="6">
        <f ca="1">IFERROR(__xludf.DUMMYFUNCTION("""COMPUTED_VALUE"""),45459.9080324074)</f>
        <v>45459.908032407402</v>
      </c>
      <c r="C1796" s="3" t="str">
        <f ca="1">IFERROR(__xludf.DUMMYFUNCTION("""COMPUTED_VALUE"""),"purchase")</f>
        <v>purchase</v>
      </c>
      <c r="D1796" s="6">
        <f t="shared" ca="1" si="0"/>
        <v>45459</v>
      </c>
      <c r="E1796" s="6">
        <f t="shared" ca="1" si="1"/>
        <v>45453</v>
      </c>
      <c r="F1796" s="6">
        <f t="shared" ca="1" si="2"/>
        <v>45444</v>
      </c>
      <c r="G1796" s="7"/>
    </row>
    <row r="1797" spans="1:7" x14ac:dyDescent="0.2">
      <c r="A1797" s="3">
        <f ca="1">IFERROR(__xludf.DUMMYFUNCTION("""COMPUTED_VALUE"""),6886)</f>
        <v>6886</v>
      </c>
      <c r="B1797" s="6">
        <f ca="1">IFERROR(__xludf.DUMMYFUNCTION("""COMPUTED_VALUE"""),45459.9838888888)</f>
        <v>45459.983888888797</v>
      </c>
      <c r="C1797" s="3" t="str">
        <f ca="1">IFERROR(__xludf.DUMMYFUNCTION("""COMPUTED_VALUE"""),"purchase")</f>
        <v>purchase</v>
      </c>
      <c r="D1797" s="6">
        <f t="shared" ca="1" si="0"/>
        <v>45459</v>
      </c>
      <c r="E1797" s="6">
        <f t="shared" ca="1" si="1"/>
        <v>45453</v>
      </c>
      <c r="F1797" s="6">
        <f t="shared" ca="1" si="2"/>
        <v>45444</v>
      </c>
      <c r="G1797" s="7"/>
    </row>
    <row r="1798" spans="1:7" x14ac:dyDescent="0.2">
      <c r="A1798" s="3">
        <f ca="1">IFERROR(__xludf.DUMMYFUNCTION("""COMPUTED_VALUE"""),5934)</f>
        <v>5934</v>
      </c>
      <c r="B1798" s="6">
        <f ca="1">IFERROR(__xludf.DUMMYFUNCTION("""COMPUTED_VALUE"""),45460.0112847222)</f>
        <v>45460.011284722197</v>
      </c>
      <c r="C1798" s="3" t="str">
        <f ca="1">IFERROR(__xludf.DUMMYFUNCTION("""COMPUTED_VALUE"""),"purchase")</f>
        <v>purchase</v>
      </c>
      <c r="D1798" s="6">
        <f t="shared" ca="1" si="0"/>
        <v>45460</v>
      </c>
      <c r="E1798" s="6">
        <f t="shared" ca="1" si="1"/>
        <v>45460</v>
      </c>
      <c r="F1798" s="6">
        <f t="shared" ca="1" si="2"/>
        <v>45444</v>
      </c>
      <c r="G1798" s="7"/>
    </row>
    <row r="1799" spans="1:7" x14ac:dyDescent="0.2">
      <c r="A1799" s="3">
        <f ca="1">IFERROR(__xludf.DUMMYFUNCTION("""COMPUTED_VALUE"""),3911)</f>
        <v>3911</v>
      </c>
      <c r="B1799" s="6">
        <f ca="1">IFERROR(__xludf.DUMMYFUNCTION("""COMPUTED_VALUE"""),45460.0843055555)</f>
        <v>45460.084305555501</v>
      </c>
      <c r="C1799" s="3" t="str">
        <f ca="1">IFERROR(__xludf.DUMMYFUNCTION("""COMPUTED_VALUE"""),"purchase")</f>
        <v>purchase</v>
      </c>
      <c r="D1799" s="6">
        <f t="shared" ca="1" si="0"/>
        <v>45460</v>
      </c>
      <c r="E1799" s="6">
        <f t="shared" ca="1" si="1"/>
        <v>45460</v>
      </c>
      <c r="F1799" s="6">
        <f t="shared" ca="1" si="2"/>
        <v>45444</v>
      </c>
      <c r="G1799" s="7"/>
    </row>
    <row r="1800" spans="1:7" x14ac:dyDescent="0.2">
      <c r="A1800" s="3">
        <f ca="1">IFERROR(__xludf.DUMMYFUNCTION("""COMPUTED_VALUE"""),4418)</f>
        <v>4418</v>
      </c>
      <c r="B1800" s="6">
        <f ca="1">IFERROR(__xludf.DUMMYFUNCTION("""COMPUTED_VALUE"""),45460.1460069444)</f>
        <v>45460.1460069444</v>
      </c>
      <c r="C1800" s="3" t="str">
        <f ca="1">IFERROR(__xludf.DUMMYFUNCTION("""COMPUTED_VALUE"""),"purchase")</f>
        <v>purchase</v>
      </c>
      <c r="D1800" s="6">
        <f t="shared" ca="1" si="0"/>
        <v>45460</v>
      </c>
      <c r="E1800" s="6">
        <f t="shared" ca="1" si="1"/>
        <v>45460</v>
      </c>
      <c r="F1800" s="6">
        <f t="shared" ca="1" si="2"/>
        <v>45444</v>
      </c>
      <c r="G1800" s="7"/>
    </row>
    <row r="1801" spans="1:7" x14ac:dyDescent="0.2">
      <c r="A1801" s="3">
        <f ca="1">IFERROR(__xludf.DUMMYFUNCTION("""COMPUTED_VALUE"""),7883)</f>
        <v>7883</v>
      </c>
      <c r="B1801" s="6">
        <f ca="1">IFERROR(__xludf.DUMMYFUNCTION("""COMPUTED_VALUE"""),45460.2428703703)</f>
        <v>45460.242870370297</v>
      </c>
      <c r="C1801" s="3" t="str">
        <f ca="1">IFERROR(__xludf.DUMMYFUNCTION("""COMPUTED_VALUE"""),"purchase")</f>
        <v>purchase</v>
      </c>
      <c r="D1801" s="6">
        <f t="shared" ca="1" si="0"/>
        <v>45460</v>
      </c>
      <c r="E1801" s="6">
        <f t="shared" ca="1" si="1"/>
        <v>45460</v>
      </c>
      <c r="F1801" s="6">
        <f t="shared" ca="1" si="2"/>
        <v>45444</v>
      </c>
      <c r="G1801" s="7"/>
    </row>
    <row r="1802" spans="1:7" x14ac:dyDescent="0.2">
      <c r="A1802" s="3">
        <f ca="1">IFERROR(__xludf.DUMMYFUNCTION("""COMPUTED_VALUE"""),7118)</f>
        <v>7118</v>
      </c>
      <c r="B1802" s="6">
        <f ca="1">IFERROR(__xludf.DUMMYFUNCTION("""COMPUTED_VALUE"""),45460.3203125)</f>
        <v>45460.3203125</v>
      </c>
      <c r="C1802" s="3" t="str">
        <f ca="1">IFERROR(__xludf.DUMMYFUNCTION("""COMPUTED_VALUE"""),"purchase")</f>
        <v>purchase</v>
      </c>
      <c r="D1802" s="6">
        <f t="shared" ca="1" si="0"/>
        <v>45460</v>
      </c>
      <c r="E1802" s="6">
        <f t="shared" ca="1" si="1"/>
        <v>45460</v>
      </c>
      <c r="F1802" s="6">
        <f t="shared" ca="1" si="2"/>
        <v>45444</v>
      </c>
      <c r="G1802" s="7"/>
    </row>
    <row r="1803" spans="1:7" x14ac:dyDescent="0.2">
      <c r="A1803" s="3">
        <f ca="1">IFERROR(__xludf.DUMMYFUNCTION("""COMPUTED_VALUE"""),1045)</f>
        <v>1045</v>
      </c>
      <c r="B1803" s="6">
        <f ca="1">IFERROR(__xludf.DUMMYFUNCTION("""COMPUTED_VALUE"""),45460.3380671296)</f>
        <v>45460.338067129604</v>
      </c>
      <c r="C1803" s="3" t="str">
        <f ca="1">IFERROR(__xludf.DUMMYFUNCTION("""COMPUTED_VALUE"""),"purchase")</f>
        <v>purchase</v>
      </c>
      <c r="D1803" s="6">
        <f t="shared" ca="1" si="0"/>
        <v>45460</v>
      </c>
      <c r="E1803" s="6">
        <f t="shared" ca="1" si="1"/>
        <v>45460</v>
      </c>
      <c r="F1803" s="6">
        <f t="shared" ca="1" si="2"/>
        <v>45444</v>
      </c>
      <c r="G1803" s="7"/>
    </row>
    <row r="1804" spans="1:7" x14ac:dyDescent="0.2">
      <c r="A1804" s="3">
        <f ca="1">IFERROR(__xludf.DUMMYFUNCTION("""COMPUTED_VALUE"""),1331)</f>
        <v>1331</v>
      </c>
      <c r="B1804" s="6">
        <f ca="1">IFERROR(__xludf.DUMMYFUNCTION("""COMPUTED_VALUE"""),45460.4224768518)</f>
        <v>45460.422476851803</v>
      </c>
      <c r="C1804" s="3" t="str">
        <f ca="1">IFERROR(__xludf.DUMMYFUNCTION("""COMPUTED_VALUE"""),"purchase")</f>
        <v>purchase</v>
      </c>
      <c r="D1804" s="6">
        <f t="shared" ca="1" si="0"/>
        <v>45460</v>
      </c>
      <c r="E1804" s="6">
        <f t="shared" ca="1" si="1"/>
        <v>45460</v>
      </c>
      <c r="F1804" s="6">
        <f t="shared" ca="1" si="2"/>
        <v>45444</v>
      </c>
      <c r="G1804" s="7"/>
    </row>
    <row r="1805" spans="1:7" x14ac:dyDescent="0.2">
      <c r="A1805" s="3">
        <f ca="1">IFERROR(__xludf.DUMMYFUNCTION("""COMPUTED_VALUE"""),5814)</f>
        <v>5814</v>
      </c>
      <c r="B1805" s="6">
        <f ca="1">IFERROR(__xludf.DUMMYFUNCTION("""COMPUTED_VALUE"""),45460.4969791666)</f>
        <v>45460.496979166601</v>
      </c>
      <c r="C1805" s="3" t="str">
        <f ca="1">IFERROR(__xludf.DUMMYFUNCTION("""COMPUTED_VALUE"""),"purchase")</f>
        <v>purchase</v>
      </c>
      <c r="D1805" s="6">
        <f t="shared" ca="1" si="0"/>
        <v>45460</v>
      </c>
      <c r="E1805" s="6">
        <f t="shared" ca="1" si="1"/>
        <v>45460</v>
      </c>
      <c r="F1805" s="6">
        <f t="shared" ca="1" si="2"/>
        <v>45444</v>
      </c>
      <c r="G1805" s="7"/>
    </row>
    <row r="1806" spans="1:7" x14ac:dyDescent="0.2">
      <c r="A1806" s="3">
        <f ca="1">IFERROR(__xludf.DUMMYFUNCTION("""COMPUTED_VALUE"""),4619)</f>
        <v>4619</v>
      </c>
      <c r="B1806" s="6">
        <f ca="1">IFERROR(__xludf.DUMMYFUNCTION("""COMPUTED_VALUE"""),45460.5334259259)</f>
        <v>45460.533425925903</v>
      </c>
      <c r="C1806" s="3" t="str">
        <f ca="1">IFERROR(__xludf.DUMMYFUNCTION("""COMPUTED_VALUE"""),"purchase")</f>
        <v>purchase</v>
      </c>
      <c r="D1806" s="6">
        <f t="shared" ca="1" si="0"/>
        <v>45460</v>
      </c>
      <c r="E1806" s="6">
        <f t="shared" ca="1" si="1"/>
        <v>45460</v>
      </c>
      <c r="F1806" s="6">
        <f t="shared" ca="1" si="2"/>
        <v>45444</v>
      </c>
      <c r="G1806" s="7"/>
    </row>
    <row r="1807" spans="1:7" x14ac:dyDescent="0.2">
      <c r="A1807" s="3">
        <f ca="1">IFERROR(__xludf.DUMMYFUNCTION("""COMPUTED_VALUE"""),1607)</f>
        <v>1607</v>
      </c>
      <c r="B1807" s="6">
        <f ca="1">IFERROR(__xludf.DUMMYFUNCTION("""COMPUTED_VALUE"""),45460.5991666666)</f>
        <v>45460.599166666601</v>
      </c>
      <c r="C1807" s="3" t="str">
        <f ca="1">IFERROR(__xludf.DUMMYFUNCTION("""COMPUTED_VALUE"""),"purchase")</f>
        <v>purchase</v>
      </c>
      <c r="D1807" s="6">
        <f t="shared" ca="1" si="0"/>
        <v>45460</v>
      </c>
      <c r="E1807" s="6">
        <f t="shared" ca="1" si="1"/>
        <v>45460</v>
      </c>
      <c r="F1807" s="6">
        <f t="shared" ca="1" si="2"/>
        <v>45444</v>
      </c>
      <c r="G1807" s="7"/>
    </row>
    <row r="1808" spans="1:7" x14ac:dyDescent="0.2">
      <c r="A1808" s="3">
        <f ca="1">IFERROR(__xludf.DUMMYFUNCTION("""COMPUTED_VALUE"""),6587)</f>
        <v>6587</v>
      </c>
      <c r="B1808" s="6">
        <f ca="1">IFERROR(__xludf.DUMMYFUNCTION("""COMPUTED_VALUE"""),45460.7631712963)</f>
        <v>45460.763171296298</v>
      </c>
      <c r="C1808" s="3" t="str">
        <f ca="1">IFERROR(__xludf.DUMMYFUNCTION("""COMPUTED_VALUE"""),"purchase")</f>
        <v>purchase</v>
      </c>
      <c r="D1808" s="6">
        <f t="shared" ca="1" si="0"/>
        <v>45460</v>
      </c>
      <c r="E1808" s="6">
        <f t="shared" ca="1" si="1"/>
        <v>45460</v>
      </c>
      <c r="F1808" s="6">
        <f t="shared" ca="1" si="2"/>
        <v>45444</v>
      </c>
      <c r="G1808" s="7"/>
    </row>
    <row r="1809" spans="1:7" x14ac:dyDescent="0.2">
      <c r="A1809" s="3">
        <f ca="1">IFERROR(__xludf.DUMMYFUNCTION("""COMPUTED_VALUE"""),4016)</f>
        <v>4016</v>
      </c>
      <c r="B1809" s="6">
        <f ca="1">IFERROR(__xludf.DUMMYFUNCTION("""COMPUTED_VALUE"""),45460.8688078703)</f>
        <v>45460.868807870298</v>
      </c>
      <c r="C1809" s="3" t="str">
        <f ca="1">IFERROR(__xludf.DUMMYFUNCTION("""COMPUTED_VALUE"""),"purchase")</f>
        <v>purchase</v>
      </c>
      <c r="D1809" s="6">
        <f t="shared" ca="1" si="0"/>
        <v>45460</v>
      </c>
      <c r="E1809" s="6">
        <f t="shared" ca="1" si="1"/>
        <v>45460</v>
      </c>
      <c r="F1809" s="6">
        <f t="shared" ca="1" si="2"/>
        <v>45444</v>
      </c>
      <c r="G1809" s="7"/>
    </row>
    <row r="1810" spans="1:7" x14ac:dyDescent="0.2">
      <c r="A1810" s="3">
        <f ca="1">IFERROR(__xludf.DUMMYFUNCTION("""COMPUTED_VALUE"""),6966)</f>
        <v>6966</v>
      </c>
      <c r="B1810" s="6">
        <f ca="1">IFERROR(__xludf.DUMMYFUNCTION("""COMPUTED_VALUE"""),45460.9429398148)</f>
        <v>45460.942939814799</v>
      </c>
      <c r="C1810" s="3" t="str">
        <f ca="1">IFERROR(__xludf.DUMMYFUNCTION("""COMPUTED_VALUE"""),"purchase")</f>
        <v>purchase</v>
      </c>
      <c r="D1810" s="6">
        <f t="shared" ca="1" si="0"/>
        <v>45460</v>
      </c>
      <c r="E1810" s="6">
        <f t="shared" ca="1" si="1"/>
        <v>45460</v>
      </c>
      <c r="F1810" s="6">
        <f t="shared" ca="1" si="2"/>
        <v>45444</v>
      </c>
      <c r="G1810" s="7"/>
    </row>
    <row r="1811" spans="1:7" x14ac:dyDescent="0.2">
      <c r="A1811" s="3">
        <f ca="1">IFERROR(__xludf.DUMMYFUNCTION("""COMPUTED_VALUE"""),7925)</f>
        <v>7925</v>
      </c>
      <c r="B1811" s="6">
        <f ca="1">IFERROR(__xludf.DUMMYFUNCTION("""COMPUTED_VALUE"""),45461.2140162037)</f>
        <v>45461.214016203703</v>
      </c>
      <c r="C1811" s="3" t="str">
        <f ca="1">IFERROR(__xludf.DUMMYFUNCTION("""COMPUTED_VALUE"""),"purchase")</f>
        <v>purchase</v>
      </c>
      <c r="D1811" s="6">
        <f t="shared" ca="1" si="0"/>
        <v>45461</v>
      </c>
      <c r="E1811" s="6">
        <f t="shared" ca="1" si="1"/>
        <v>45460</v>
      </c>
      <c r="F1811" s="6">
        <f t="shared" ca="1" si="2"/>
        <v>45444</v>
      </c>
      <c r="G1811" s="7"/>
    </row>
    <row r="1812" spans="1:7" x14ac:dyDescent="0.2">
      <c r="A1812" s="3">
        <f ca="1">IFERROR(__xludf.DUMMYFUNCTION("""COMPUTED_VALUE"""),7493)</f>
        <v>7493</v>
      </c>
      <c r="B1812" s="6">
        <f ca="1">IFERROR(__xludf.DUMMYFUNCTION("""COMPUTED_VALUE"""),45461.3199189814)</f>
        <v>45461.319918981397</v>
      </c>
      <c r="C1812" s="3" t="str">
        <f ca="1">IFERROR(__xludf.DUMMYFUNCTION("""COMPUTED_VALUE"""),"purchase")</f>
        <v>purchase</v>
      </c>
      <c r="D1812" s="6">
        <f t="shared" ca="1" si="0"/>
        <v>45461</v>
      </c>
      <c r="E1812" s="6">
        <f t="shared" ca="1" si="1"/>
        <v>45460</v>
      </c>
      <c r="F1812" s="6">
        <f t="shared" ca="1" si="2"/>
        <v>45444</v>
      </c>
      <c r="G1812" s="7"/>
    </row>
    <row r="1813" spans="1:7" x14ac:dyDescent="0.2">
      <c r="A1813" s="3">
        <f ca="1">IFERROR(__xludf.DUMMYFUNCTION("""COMPUTED_VALUE"""),7867)</f>
        <v>7867</v>
      </c>
      <c r="B1813" s="6">
        <f ca="1">IFERROR(__xludf.DUMMYFUNCTION("""COMPUTED_VALUE"""),45461.3879050925)</f>
        <v>45461.387905092502</v>
      </c>
      <c r="C1813" s="3" t="str">
        <f ca="1">IFERROR(__xludf.DUMMYFUNCTION("""COMPUTED_VALUE"""),"purchase")</f>
        <v>purchase</v>
      </c>
      <c r="D1813" s="6">
        <f t="shared" ca="1" si="0"/>
        <v>45461</v>
      </c>
      <c r="E1813" s="6">
        <f t="shared" ca="1" si="1"/>
        <v>45460</v>
      </c>
      <c r="F1813" s="6">
        <f t="shared" ca="1" si="2"/>
        <v>45444</v>
      </c>
      <c r="G1813" s="7"/>
    </row>
    <row r="1814" spans="1:7" x14ac:dyDescent="0.2">
      <c r="A1814" s="3">
        <f ca="1">IFERROR(__xludf.DUMMYFUNCTION("""COMPUTED_VALUE"""),7732)</f>
        <v>7732</v>
      </c>
      <c r="B1814" s="6">
        <f ca="1">IFERROR(__xludf.DUMMYFUNCTION("""COMPUTED_VALUE"""),45461.4408333333)</f>
        <v>45461.440833333298</v>
      </c>
      <c r="C1814" s="3" t="str">
        <f ca="1">IFERROR(__xludf.DUMMYFUNCTION("""COMPUTED_VALUE"""),"purchase")</f>
        <v>purchase</v>
      </c>
      <c r="D1814" s="6">
        <f t="shared" ca="1" si="0"/>
        <v>45461</v>
      </c>
      <c r="E1814" s="6">
        <f t="shared" ca="1" si="1"/>
        <v>45460</v>
      </c>
      <c r="F1814" s="6">
        <f t="shared" ca="1" si="2"/>
        <v>45444</v>
      </c>
      <c r="G1814" s="7"/>
    </row>
    <row r="1815" spans="1:7" x14ac:dyDescent="0.2">
      <c r="A1815" s="3">
        <f ca="1">IFERROR(__xludf.DUMMYFUNCTION("""COMPUTED_VALUE"""),6054)</f>
        <v>6054</v>
      </c>
      <c r="B1815" s="6">
        <f ca="1">IFERROR(__xludf.DUMMYFUNCTION("""COMPUTED_VALUE"""),45461.6428125)</f>
        <v>45461.642812500002</v>
      </c>
      <c r="C1815" s="3" t="str">
        <f ca="1">IFERROR(__xludf.DUMMYFUNCTION("""COMPUTED_VALUE"""),"purchase")</f>
        <v>purchase</v>
      </c>
      <c r="D1815" s="6">
        <f t="shared" ca="1" si="0"/>
        <v>45461</v>
      </c>
      <c r="E1815" s="6">
        <f t="shared" ca="1" si="1"/>
        <v>45460</v>
      </c>
      <c r="F1815" s="6">
        <f t="shared" ca="1" si="2"/>
        <v>45444</v>
      </c>
      <c r="G1815" s="7"/>
    </row>
    <row r="1816" spans="1:7" x14ac:dyDescent="0.2">
      <c r="A1816" s="3">
        <f ca="1">IFERROR(__xludf.DUMMYFUNCTION("""COMPUTED_VALUE"""),3397)</f>
        <v>3397</v>
      </c>
      <c r="B1816" s="6">
        <f ca="1">IFERROR(__xludf.DUMMYFUNCTION("""COMPUTED_VALUE"""),45461.7299305555)</f>
        <v>45461.729930555499</v>
      </c>
      <c r="C1816" s="3" t="str">
        <f ca="1">IFERROR(__xludf.DUMMYFUNCTION("""COMPUTED_VALUE"""),"purchase")</f>
        <v>purchase</v>
      </c>
      <c r="D1816" s="6">
        <f t="shared" ca="1" si="0"/>
        <v>45461</v>
      </c>
      <c r="E1816" s="6">
        <f t="shared" ca="1" si="1"/>
        <v>45460</v>
      </c>
      <c r="F1816" s="6">
        <f t="shared" ca="1" si="2"/>
        <v>45444</v>
      </c>
      <c r="G1816" s="7"/>
    </row>
    <row r="1817" spans="1:7" x14ac:dyDescent="0.2">
      <c r="A1817" s="3">
        <f ca="1">IFERROR(__xludf.DUMMYFUNCTION("""COMPUTED_VALUE"""),2654)</f>
        <v>2654</v>
      </c>
      <c r="B1817" s="6">
        <f ca="1">IFERROR(__xludf.DUMMYFUNCTION("""COMPUTED_VALUE"""),45461.9189814814)</f>
        <v>45461.918981481402</v>
      </c>
      <c r="C1817" s="3" t="str">
        <f ca="1">IFERROR(__xludf.DUMMYFUNCTION("""COMPUTED_VALUE"""),"purchase")</f>
        <v>purchase</v>
      </c>
      <c r="D1817" s="6">
        <f t="shared" ca="1" si="0"/>
        <v>45461</v>
      </c>
      <c r="E1817" s="6">
        <f t="shared" ca="1" si="1"/>
        <v>45460</v>
      </c>
      <c r="F1817" s="6">
        <f t="shared" ca="1" si="2"/>
        <v>45444</v>
      </c>
      <c r="G1817" s="7"/>
    </row>
    <row r="1818" spans="1:7" x14ac:dyDescent="0.2">
      <c r="A1818" s="3">
        <f ca="1">IFERROR(__xludf.DUMMYFUNCTION("""COMPUTED_VALUE"""),3440)</f>
        <v>3440</v>
      </c>
      <c r="B1818" s="6">
        <f ca="1">IFERROR(__xludf.DUMMYFUNCTION("""COMPUTED_VALUE"""),45462.0968402777)</f>
        <v>45462.0968402777</v>
      </c>
      <c r="C1818" s="3" t="str">
        <f ca="1">IFERROR(__xludf.DUMMYFUNCTION("""COMPUTED_VALUE"""),"purchase")</f>
        <v>purchase</v>
      </c>
      <c r="D1818" s="6">
        <f t="shared" ca="1" si="0"/>
        <v>45462</v>
      </c>
      <c r="E1818" s="6">
        <f t="shared" ca="1" si="1"/>
        <v>45460</v>
      </c>
      <c r="F1818" s="6">
        <f t="shared" ca="1" si="2"/>
        <v>45444</v>
      </c>
      <c r="G1818" s="7"/>
    </row>
    <row r="1819" spans="1:7" x14ac:dyDescent="0.2">
      <c r="A1819" s="3">
        <f ca="1">IFERROR(__xludf.DUMMYFUNCTION("""COMPUTED_VALUE"""),7812)</f>
        <v>7812</v>
      </c>
      <c r="B1819" s="6">
        <f ca="1">IFERROR(__xludf.DUMMYFUNCTION("""COMPUTED_VALUE"""),45462.482037037)</f>
        <v>45462.482037037</v>
      </c>
      <c r="C1819" s="3" t="str">
        <f ca="1">IFERROR(__xludf.DUMMYFUNCTION("""COMPUTED_VALUE"""),"purchase")</f>
        <v>purchase</v>
      </c>
      <c r="D1819" s="6">
        <f t="shared" ca="1" si="0"/>
        <v>45462</v>
      </c>
      <c r="E1819" s="6">
        <f t="shared" ca="1" si="1"/>
        <v>45460</v>
      </c>
      <c r="F1819" s="6">
        <f t="shared" ca="1" si="2"/>
        <v>45444</v>
      </c>
      <c r="G1819" s="7"/>
    </row>
    <row r="1820" spans="1:7" x14ac:dyDescent="0.2">
      <c r="A1820" s="3">
        <f ca="1">IFERROR(__xludf.DUMMYFUNCTION("""COMPUTED_VALUE"""),3050)</f>
        <v>3050</v>
      </c>
      <c r="B1820" s="6">
        <f ca="1">IFERROR(__xludf.DUMMYFUNCTION("""COMPUTED_VALUE"""),45462.5115972222)</f>
        <v>45462.511597222197</v>
      </c>
      <c r="C1820" s="3" t="str">
        <f ca="1">IFERROR(__xludf.DUMMYFUNCTION("""COMPUTED_VALUE"""),"purchase")</f>
        <v>purchase</v>
      </c>
      <c r="D1820" s="6">
        <f t="shared" ca="1" si="0"/>
        <v>45462</v>
      </c>
      <c r="E1820" s="6">
        <f t="shared" ca="1" si="1"/>
        <v>45460</v>
      </c>
      <c r="F1820" s="6">
        <f t="shared" ca="1" si="2"/>
        <v>45444</v>
      </c>
      <c r="G1820" s="7"/>
    </row>
    <row r="1821" spans="1:7" x14ac:dyDescent="0.2">
      <c r="A1821" s="3">
        <f ca="1">IFERROR(__xludf.DUMMYFUNCTION("""COMPUTED_VALUE"""),1559)</f>
        <v>1559</v>
      </c>
      <c r="B1821" s="6">
        <f ca="1">IFERROR(__xludf.DUMMYFUNCTION("""COMPUTED_VALUE"""),45462.5840856481)</f>
        <v>45462.584085648101</v>
      </c>
      <c r="C1821" s="3" t="str">
        <f ca="1">IFERROR(__xludf.DUMMYFUNCTION("""COMPUTED_VALUE"""),"purchase")</f>
        <v>purchase</v>
      </c>
      <c r="D1821" s="6">
        <f t="shared" ca="1" si="0"/>
        <v>45462</v>
      </c>
      <c r="E1821" s="6">
        <f t="shared" ca="1" si="1"/>
        <v>45460</v>
      </c>
      <c r="F1821" s="6">
        <f t="shared" ca="1" si="2"/>
        <v>45444</v>
      </c>
      <c r="G1821" s="7"/>
    </row>
    <row r="1822" spans="1:7" x14ac:dyDescent="0.2">
      <c r="A1822" s="3">
        <f ca="1">IFERROR(__xludf.DUMMYFUNCTION("""COMPUTED_VALUE"""),4292)</f>
        <v>4292</v>
      </c>
      <c r="B1822" s="6">
        <f ca="1">IFERROR(__xludf.DUMMYFUNCTION("""COMPUTED_VALUE"""),45462.6100462962)</f>
        <v>45462.610046296199</v>
      </c>
      <c r="C1822" s="3" t="str">
        <f ca="1">IFERROR(__xludf.DUMMYFUNCTION("""COMPUTED_VALUE"""),"purchase")</f>
        <v>purchase</v>
      </c>
      <c r="D1822" s="6">
        <f t="shared" ca="1" si="0"/>
        <v>45462</v>
      </c>
      <c r="E1822" s="6">
        <f t="shared" ca="1" si="1"/>
        <v>45460</v>
      </c>
      <c r="F1822" s="6">
        <f t="shared" ca="1" si="2"/>
        <v>45444</v>
      </c>
      <c r="G1822" s="7"/>
    </row>
    <row r="1823" spans="1:7" x14ac:dyDescent="0.2">
      <c r="A1823" s="3">
        <f ca="1">IFERROR(__xludf.DUMMYFUNCTION("""COMPUTED_VALUE"""),5039)</f>
        <v>5039</v>
      </c>
      <c r="B1823" s="6">
        <f ca="1">IFERROR(__xludf.DUMMYFUNCTION("""COMPUTED_VALUE"""),45462.7995138888)</f>
        <v>45462.7995138888</v>
      </c>
      <c r="C1823" s="3" t="str">
        <f ca="1">IFERROR(__xludf.DUMMYFUNCTION("""COMPUTED_VALUE"""),"purchase")</f>
        <v>purchase</v>
      </c>
      <c r="D1823" s="6">
        <f t="shared" ca="1" si="0"/>
        <v>45462</v>
      </c>
      <c r="E1823" s="6">
        <f t="shared" ca="1" si="1"/>
        <v>45460</v>
      </c>
      <c r="F1823" s="6">
        <f t="shared" ca="1" si="2"/>
        <v>45444</v>
      </c>
      <c r="G1823" s="7"/>
    </row>
    <row r="1824" spans="1:7" x14ac:dyDescent="0.2">
      <c r="A1824" s="3">
        <f ca="1">IFERROR(__xludf.DUMMYFUNCTION("""COMPUTED_VALUE"""),2318)</f>
        <v>2318</v>
      </c>
      <c r="B1824" s="6">
        <f ca="1">IFERROR(__xludf.DUMMYFUNCTION("""COMPUTED_VALUE"""),45462.8441203703)</f>
        <v>45462.844120370297</v>
      </c>
      <c r="C1824" s="3" t="str">
        <f ca="1">IFERROR(__xludf.DUMMYFUNCTION("""COMPUTED_VALUE"""),"purchase")</f>
        <v>purchase</v>
      </c>
      <c r="D1824" s="6">
        <f t="shared" ca="1" si="0"/>
        <v>45462</v>
      </c>
      <c r="E1824" s="6">
        <f t="shared" ca="1" si="1"/>
        <v>45460</v>
      </c>
      <c r="F1824" s="6">
        <f t="shared" ca="1" si="2"/>
        <v>45444</v>
      </c>
      <c r="G1824" s="7"/>
    </row>
    <row r="1825" spans="1:7" x14ac:dyDescent="0.2">
      <c r="A1825" s="3">
        <f ca="1">IFERROR(__xludf.DUMMYFUNCTION("""COMPUTED_VALUE"""),3536)</f>
        <v>3536</v>
      </c>
      <c r="B1825" s="6">
        <f ca="1">IFERROR(__xludf.DUMMYFUNCTION("""COMPUTED_VALUE"""),45462.8646064814)</f>
        <v>45462.864606481402</v>
      </c>
      <c r="C1825" s="3" t="str">
        <f ca="1">IFERROR(__xludf.DUMMYFUNCTION("""COMPUTED_VALUE"""),"purchase")</f>
        <v>purchase</v>
      </c>
      <c r="D1825" s="6">
        <f t="shared" ca="1" si="0"/>
        <v>45462</v>
      </c>
      <c r="E1825" s="6">
        <f t="shared" ca="1" si="1"/>
        <v>45460</v>
      </c>
      <c r="F1825" s="6">
        <f t="shared" ca="1" si="2"/>
        <v>45444</v>
      </c>
      <c r="G1825" s="7"/>
    </row>
    <row r="1826" spans="1:7" x14ac:dyDescent="0.2">
      <c r="A1826" s="3">
        <f ca="1">IFERROR(__xludf.DUMMYFUNCTION("""COMPUTED_VALUE"""),6187)</f>
        <v>6187</v>
      </c>
      <c r="B1826" s="6">
        <f ca="1">IFERROR(__xludf.DUMMYFUNCTION("""COMPUTED_VALUE"""),45463.0840856481)</f>
        <v>45463.084085648101</v>
      </c>
      <c r="C1826" s="3" t="str">
        <f ca="1">IFERROR(__xludf.DUMMYFUNCTION("""COMPUTED_VALUE"""),"purchase")</f>
        <v>purchase</v>
      </c>
      <c r="D1826" s="6">
        <f t="shared" ca="1" si="0"/>
        <v>45463</v>
      </c>
      <c r="E1826" s="6">
        <f t="shared" ca="1" si="1"/>
        <v>45460</v>
      </c>
      <c r="F1826" s="6">
        <f t="shared" ca="1" si="2"/>
        <v>45444</v>
      </c>
      <c r="G1826" s="7"/>
    </row>
    <row r="1827" spans="1:7" x14ac:dyDescent="0.2">
      <c r="A1827" s="3">
        <f ca="1">IFERROR(__xludf.DUMMYFUNCTION("""COMPUTED_VALUE"""),3164)</f>
        <v>3164</v>
      </c>
      <c r="B1827" s="6">
        <f ca="1">IFERROR(__xludf.DUMMYFUNCTION("""COMPUTED_VALUE"""),45463.2261342592)</f>
        <v>45463.226134259203</v>
      </c>
      <c r="C1827" s="3" t="str">
        <f ca="1">IFERROR(__xludf.DUMMYFUNCTION("""COMPUTED_VALUE"""),"purchase")</f>
        <v>purchase</v>
      </c>
      <c r="D1827" s="6">
        <f t="shared" ca="1" si="0"/>
        <v>45463</v>
      </c>
      <c r="E1827" s="6">
        <f t="shared" ca="1" si="1"/>
        <v>45460</v>
      </c>
      <c r="F1827" s="6">
        <f t="shared" ca="1" si="2"/>
        <v>45444</v>
      </c>
      <c r="G1827" s="7"/>
    </row>
    <row r="1828" spans="1:7" x14ac:dyDescent="0.2">
      <c r="A1828" s="3">
        <f ca="1">IFERROR(__xludf.DUMMYFUNCTION("""COMPUTED_VALUE"""),5338)</f>
        <v>5338</v>
      </c>
      <c r="B1828" s="6">
        <f ca="1">IFERROR(__xludf.DUMMYFUNCTION("""COMPUTED_VALUE"""),45463.2659953703)</f>
        <v>45463.265995370297</v>
      </c>
      <c r="C1828" s="3" t="str">
        <f ca="1">IFERROR(__xludf.DUMMYFUNCTION("""COMPUTED_VALUE"""),"purchase")</f>
        <v>purchase</v>
      </c>
      <c r="D1828" s="6">
        <f t="shared" ca="1" si="0"/>
        <v>45463</v>
      </c>
      <c r="E1828" s="6">
        <f t="shared" ca="1" si="1"/>
        <v>45460</v>
      </c>
      <c r="F1828" s="6">
        <f t="shared" ca="1" si="2"/>
        <v>45444</v>
      </c>
      <c r="G1828" s="7"/>
    </row>
    <row r="1829" spans="1:7" x14ac:dyDescent="0.2">
      <c r="A1829" s="3">
        <f ca="1">IFERROR(__xludf.DUMMYFUNCTION("""COMPUTED_VALUE"""),7871)</f>
        <v>7871</v>
      </c>
      <c r="B1829" s="6">
        <f ca="1">IFERROR(__xludf.DUMMYFUNCTION("""COMPUTED_VALUE"""),45463.3434143518)</f>
        <v>45463.343414351802</v>
      </c>
      <c r="C1829" s="3" t="str">
        <f ca="1">IFERROR(__xludf.DUMMYFUNCTION("""COMPUTED_VALUE"""),"purchase")</f>
        <v>purchase</v>
      </c>
      <c r="D1829" s="6">
        <f t="shared" ca="1" si="0"/>
        <v>45463</v>
      </c>
      <c r="E1829" s="6">
        <f t="shared" ca="1" si="1"/>
        <v>45460</v>
      </c>
      <c r="F1829" s="6">
        <f t="shared" ca="1" si="2"/>
        <v>45444</v>
      </c>
      <c r="G1829" s="7"/>
    </row>
    <row r="1830" spans="1:7" x14ac:dyDescent="0.2">
      <c r="A1830" s="3">
        <f ca="1">IFERROR(__xludf.DUMMYFUNCTION("""COMPUTED_VALUE"""),5571)</f>
        <v>5571</v>
      </c>
      <c r="B1830" s="6">
        <f ca="1">IFERROR(__xludf.DUMMYFUNCTION("""COMPUTED_VALUE"""),45463.4496527777)</f>
        <v>45463.449652777701</v>
      </c>
      <c r="C1830" s="3" t="str">
        <f ca="1">IFERROR(__xludf.DUMMYFUNCTION("""COMPUTED_VALUE"""),"purchase")</f>
        <v>purchase</v>
      </c>
      <c r="D1830" s="6">
        <f t="shared" ca="1" si="0"/>
        <v>45463</v>
      </c>
      <c r="E1830" s="6">
        <f t="shared" ca="1" si="1"/>
        <v>45460</v>
      </c>
      <c r="F1830" s="6">
        <f t="shared" ca="1" si="2"/>
        <v>45444</v>
      </c>
      <c r="G1830" s="7"/>
    </row>
    <row r="1831" spans="1:7" x14ac:dyDescent="0.2">
      <c r="A1831" s="3">
        <f ca="1">IFERROR(__xludf.DUMMYFUNCTION("""COMPUTED_VALUE"""),5938)</f>
        <v>5938</v>
      </c>
      <c r="B1831" s="6">
        <f ca="1">IFERROR(__xludf.DUMMYFUNCTION("""COMPUTED_VALUE"""),45463.473599537)</f>
        <v>45463.473599536999</v>
      </c>
      <c r="C1831" s="3" t="str">
        <f ca="1">IFERROR(__xludf.DUMMYFUNCTION("""COMPUTED_VALUE"""),"purchase")</f>
        <v>purchase</v>
      </c>
      <c r="D1831" s="6">
        <f t="shared" ca="1" si="0"/>
        <v>45463</v>
      </c>
      <c r="E1831" s="6">
        <f t="shared" ca="1" si="1"/>
        <v>45460</v>
      </c>
      <c r="F1831" s="6">
        <f t="shared" ca="1" si="2"/>
        <v>45444</v>
      </c>
      <c r="G1831" s="7"/>
    </row>
    <row r="1832" spans="1:7" x14ac:dyDescent="0.2">
      <c r="A1832" s="3">
        <f ca="1">IFERROR(__xludf.DUMMYFUNCTION("""COMPUTED_VALUE"""),2651)</f>
        <v>2651</v>
      </c>
      <c r="B1832" s="6">
        <f ca="1">IFERROR(__xludf.DUMMYFUNCTION("""COMPUTED_VALUE"""),45463.7019675925)</f>
        <v>45463.701967592497</v>
      </c>
      <c r="C1832" s="3" t="str">
        <f ca="1">IFERROR(__xludf.DUMMYFUNCTION("""COMPUTED_VALUE"""),"purchase")</f>
        <v>purchase</v>
      </c>
      <c r="D1832" s="6">
        <f t="shared" ca="1" si="0"/>
        <v>45463</v>
      </c>
      <c r="E1832" s="6">
        <f t="shared" ca="1" si="1"/>
        <v>45460</v>
      </c>
      <c r="F1832" s="6">
        <f t="shared" ca="1" si="2"/>
        <v>45444</v>
      </c>
      <c r="G1832" s="7"/>
    </row>
    <row r="1833" spans="1:7" x14ac:dyDescent="0.2">
      <c r="A1833" s="3">
        <f ca="1">IFERROR(__xludf.DUMMYFUNCTION("""COMPUTED_VALUE"""),6523)</f>
        <v>6523</v>
      </c>
      <c r="B1833" s="6">
        <f ca="1">IFERROR(__xludf.DUMMYFUNCTION("""COMPUTED_VALUE"""),45463.8269907407)</f>
        <v>45463.826990740701</v>
      </c>
      <c r="C1833" s="3" t="str">
        <f ca="1">IFERROR(__xludf.DUMMYFUNCTION("""COMPUTED_VALUE"""),"purchase")</f>
        <v>purchase</v>
      </c>
      <c r="D1833" s="6">
        <f t="shared" ca="1" si="0"/>
        <v>45463</v>
      </c>
      <c r="E1833" s="6">
        <f t="shared" ca="1" si="1"/>
        <v>45460</v>
      </c>
      <c r="F1833" s="6">
        <f t="shared" ca="1" si="2"/>
        <v>45444</v>
      </c>
      <c r="G1833" s="7"/>
    </row>
    <row r="1834" spans="1:7" x14ac:dyDescent="0.2">
      <c r="A1834" s="3">
        <f ca="1">IFERROR(__xludf.DUMMYFUNCTION("""COMPUTED_VALUE"""),890)</f>
        <v>890</v>
      </c>
      <c r="B1834" s="6">
        <f ca="1">IFERROR(__xludf.DUMMYFUNCTION("""COMPUTED_VALUE"""),45463.935)</f>
        <v>45463.934999999998</v>
      </c>
      <c r="C1834" s="3" t="str">
        <f ca="1">IFERROR(__xludf.DUMMYFUNCTION("""COMPUTED_VALUE"""),"purchase")</f>
        <v>purchase</v>
      </c>
      <c r="D1834" s="6">
        <f t="shared" ca="1" si="0"/>
        <v>45463</v>
      </c>
      <c r="E1834" s="6">
        <f t="shared" ca="1" si="1"/>
        <v>45460</v>
      </c>
      <c r="F1834" s="6">
        <f t="shared" ca="1" si="2"/>
        <v>45444</v>
      </c>
      <c r="G1834" s="7"/>
    </row>
    <row r="1835" spans="1:7" x14ac:dyDescent="0.2">
      <c r="A1835" s="3">
        <f ca="1">IFERROR(__xludf.DUMMYFUNCTION("""COMPUTED_VALUE"""),3107)</f>
        <v>3107</v>
      </c>
      <c r="B1835" s="6">
        <f ca="1">IFERROR(__xludf.DUMMYFUNCTION("""COMPUTED_VALUE"""),45464.1155787037)</f>
        <v>45464.115578703699</v>
      </c>
      <c r="C1835" s="3" t="str">
        <f ca="1">IFERROR(__xludf.DUMMYFUNCTION("""COMPUTED_VALUE"""),"purchase")</f>
        <v>purchase</v>
      </c>
      <c r="D1835" s="6">
        <f t="shared" ca="1" si="0"/>
        <v>45464</v>
      </c>
      <c r="E1835" s="6">
        <f t="shared" ca="1" si="1"/>
        <v>45460</v>
      </c>
      <c r="F1835" s="6">
        <f t="shared" ca="1" si="2"/>
        <v>45444</v>
      </c>
      <c r="G1835" s="7"/>
    </row>
    <row r="1836" spans="1:7" x14ac:dyDescent="0.2">
      <c r="A1836" s="3">
        <f ca="1">IFERROR(__xludf.DUMMYFUNCTION("""COMPUTED_VALUE"""),7175)</f>
        <v>7175</v>
      </c>
      <c r="B1836" s="6">
        <f ca="1">IFERROR(__xludf.DUMMYFUNCTION("""COMPUTED_VALUE"""),45464.1919444444)</f>
        <v>45464.191944444399</v>
      </c>
      <c r="C1836" s="3" t="str">
        <f ca="1">IFERROR(__xludf.DUMMYFUNCTION("""COMPUTED_VALUE"""),"purchase")</f>
        <v>purchase</v>
      </c>
      <c r="D1836" s="6">
        <f t="shared" ca="1" si="0"/>
        <v>45464</v>
      </c>
      <c r="E1836" s="6">
        <f t="shared" ca="1" si="1"/>
        <v>45460</v>
      </c>
      <c r="F1836" s="6">
        <f t="shared" ca="1" si="2"/>
        <v>45444</v>
      </c>
      <c r="G1836" s="7"/>
    </row>
    <row r="1837" spans="1:7" x14ac:dyDescent="0.2">
      <c r="A1837" s="3">
        <f ca="1">IFERROR(__xludf.DUMMYFUNCTION("""COMPUTED_VALUE"""),7295)</f>
        <v>7295</v>
      </c>
      <c r="B1837" s="6">
        <f ca="1">IFERROR(__xludf.DUMMYFUNCTION("""COMPUTED_VALUE"""),45464.420625)</f>
        <v>45464.420624999999</v>
      </c>
      <c r="C1837" s="3" t="str">
        <f ca="1">IFERROR(__xludf.DUMMYFUNCTION("""COMPUTED_VALUE"""),"purchase")</f>
        <v>purchase</v>
      </c>
      <c r="D1837" s="6">
        <f t="shared" ca="1" si="0"/>
        <v>45464</v>
      </c>
      <c r="E1837" s="6">
        <f t="shared" ca="1" si="1"/>
        <v>45460</v>
      </c>
      <c r="F1837" s="6">
        <f t="shared" ca="1" si="2"/>
        <v>45444</v>
      </c>
      <c r="G1837" s="7"/>
    </row>
    <row r="1838" spans="1:7" x14ac:dyDescent="0.2">
      <c r="A1838" s="3">
        <f ca="1">IFERROR(__xludf.DUMMYFUNCTION("""COMPUTED_VALUE"""),642)</f>
        <v>642</v>
      </c>
      <c r="B1838" s="6">
        <f ca="1">IFERROR(__xludf.DUMMYFUNCTION("""COMPUTED_VALUE"""),45464.4983796296)</f>
        <v>45464.4983796296</v>
      </c>
      <c r="C1838" s="3" t="str">
        <f ca="1">IFERROR(__xludf.DUMMYFUNCTION("""COMPUTED_VALUE"""),"purchase")</f>
        <v>purchase</v>
      </c>
      <c r="D1838" s="6">
        <f t="shared" ca="1" si="0"/>
        <v>45464</v>
      </c>
      <c r="E1838" s="6">
        <f t="shared" ca="1" si="1"/>
        <v>45460</v>
      </c>
      <c r="F1838" s="6">
        <f t="shared" ca="1" si="2"/>
        <v>45444</v>
      </c>
      <c r="G1838" s="7"/>
    </row>
    <row r="1839" spans="1:7" x14ac:dyDescent="0.2">
      <c r="A1839" s="3">
        <f ca="1">IFERROR(__xludf.DUMMYFUNCTION("""COMPUTED_VALUE"""),2466)</f>
        <v>2466</v>
      </c>
      <c r="B1839" s="6">
        <f ca="1">IFERROR(__xludf.DUMMYFUNCTION("""COMPUTED_VALUE"""),45464.6097916666)</f>
        <v>45464.609791666597</v>
      </c>
      <c r="C1839" s="3" t="str">
        <f ca="1">IFERROR(__xludf.DUMMYFUNCTION("""COMPUTED_VALUE"""),"purchase")</f>
        <v>purchase</v>
      </c>
      <c r="D1839" s="6">
        <f t="shared" ca="1" si="0"/>
        <v>45464</v>
      </c>
      <c r="E1839" s="6">
        <f t="shared" ca="1" si="1"/>
        <v>45460</v>
      </c>
      <c r="F1839" s="6">
        <f t="shared" ca="1" si="2"/>
        <v>45444</v>
      </c>
      <c r="G1839" s="7"/>
    </row>
    <row r="1840" spans="1:7" x14ac:dyDescent="0.2">
      <c r="A1840" s="3">
        <f ca="1">IFERROR(__xludf.DUMMYFUNCTION("""COMPUTED_VALUE"""),3115)</f>
        <v>3115</v>
      </c>
      <c r="B1840" s="6">
        <f ca="1">IFERROR(__xludf.DUMMYFUNCTION("""COMPUTED_VALUE"""),45464.673287037)</f>
        <v>45464.673287037003</v>
      </c>
      <c r="C1840" s="3" t="str">
        <f ca="1">IFERROR(__xludf.DUMMYFUNCTION("""COMPUTED_VALUE"""),"purchase")</f>
        <v>purchase</v>
      </c>
      <c r="D1840" s="6">
        <f t="shared" ca="1" si="0"/>
        <v>45464</v>
      </c>
      <c r="E1840" s="6">
        <f t="shared" ca="1" si="1"/>
        <v>45460</v>
      </c>
      <c r="F1840" s="6">
        <f t="shared" ca="1" si="2"/>
        <v>45444</v>
      </c>
      <c r="G1840" s="7"/>
    </row>
    <row r="1841" spans="1:7" x14ac:dyDescent="0.2">
      <c r="A1841" s="3">
        <f ca="1">IFERROR(__xludf.DUMMYFUNCTION("""COMPUTED_VALUE"""),2277)</f>
        <v>2277</v>
      </c>
      <c r="B1841" s="6">
        <f ca="1">IFERROR(__xludf.DUMMYFUNCTION("""COMPUTED_VALUE"""),45464.757037037)</f>
        <v>45464.757037037001</v>
      </c>
      <c r="C1841" s="3" t="str">
        <f ca="1">IFERROR(__xludf.DUMMYFUNCTION("""COMPUTED_VALUE"""),"purchase")</f>
        <v>purchase</v>
      </c>
      <c r="D1841" s="6">
        <f t="shared" ca="1" si="0"/>
        <v>45464</v>
      </c>
      <c r="E1841" s="6">
        <f t="shared" ca="1" si="1"/>
        <v>45460</v>
      </c>
      <c r="F1841" s="6">
        <f t="shared" ca="1" si="2"/>
        <v>45444</v>
      </c>
      <c r="G1841" s="7"/>
    </row>
    <row r="1842" spans="1:7" x14ac:dyDescent="0.2">
      <c r="A1842" s="3">
        <f ca="1">IFERROR(__xludf.DUMMYFUNCTION("""COMPUTED_VALUE"""),3304)</f>
        <v>3304</v>
      </c>
      <c r="B1842" s="6">
        <f ca="1">IFERROR(__xludf.DUMMYFUNCTION("""COMPUTED_VALUE"""),45464.8786921296)</f>
        <v>45464.878692129598</v>
      </c>
      <c r="C1842" s="3" t="str">
        <f ca="1">IFERROR(__xludf.DUMMYFUNCTION("""COMPUTED_VALUE"""),"purchase")</f>
        <v>purchase</v>
      </c>
      <c r="D1842" s="6">
        <f t="shared" ca="1" si="0"/>
        <v>45464</v>
      </c>
      <c r="E1842" s="6">
        <f t="shared" ca="1" si="1"/>
        <v>45460</v>
      </c>
      <c r="F1842" s="6">
        <f t="shared" ca="1" si="2"/>
        <v>45444</v>
      </c>
      <c r="G1842" s="7"/>
    </row>
    <row r="1843" spans="1:7" x14ac:dyDescent="0.2">
      <c r="A1843" s="3">
        <f ca="1">IFERROR(__xludf.DUMMYFUNCTION("""COMPUTED_VALUE"""),6172)</f>
        <v>6172</v>
      </c>
      <c r="B1843" s="6">
        <f ca="1">IFERROR(__xludf.DUMMYFUNCTION("""COMPUTED_VALUE"""),45465.2746296296)</f>
        <v>45465.274629629603</v>
      </c>
      <c r="C1843" s="3" t="str">
        <f ca="1">IFERROR(__xludf.DUMMYFUNCTION("""COMPUTED_VALUE"""),"purchase")</f>
        <v>purchase</v>
      </c>
      <c r="D1843" s="6">
        <f t="shared" ca="1" si="0"/>
        <v>45465</v>
      </c>
      <c r="E1843" s="6">
        <f t="shared" ca="1" si="1"/>
        <v>45460</v>
      </c>
      <c r="F1843" s="6">
        <f t="shared" ca="1" si="2"/>
        <v>45444</v>
      </c>
      <c r="G1843" s="7"/>
    </row>
    <row r="1844" spans="1:7" x14ac:dyDescent="0.2">
      <c r="A1844" s="3">
        <f ca="1">IFERROR(__xludf.DUMMYFUNCTION("""COMPUTED_VALUE"""),3807)</f>
        <v>3807</v>
      </c>
      <c r="B1844" s="6">
        <f ca="1">IFERROR(__xludf.DUMMYFUNCTION("""COMPUTED_VALUE"""),45465.6223379629)</f>
        <v>45465.622337962901</v>
      </c>
      <c r="C1844" s="3" t="str">
        <f ca="1">IFERROR(__xludf.DUMMYFUNCTION("""COMPUTED_VALUE"""),"purchase")</f>
        <v>purchase</v>
      </c>
      <c r="D1844" s="6">
        <f t="shared" ca="1" si="0"/>
        <v>45465</v>
      </c>
      <c r="E1844" s="6">
        <f t="shared" ca="1" si="1"/>
        <v>45460</v>
      </c>
      <c r="F1844" s="6">
        <f t="shared" ca="1" si="2"/>
        <v>45444</v>
      </c>
      <c r="G1844" s="7"/>
    </row>
    <row r="1845" spans="1:7" x14ac:dyDescent="0.2">
      <c r="A1845" s="3">
        <f ca="1">IFERROR(__xludf.DUMMYFUNCTION("""COMPUTED_VALUE"""),1143)</f>
        <v>1143</v>
      </c>
      <c r="B1845" s="6">
        <f ca="1">IFERROR(__xludf.DUMMYFUNCTION("""COMPUTED_VALUE"""),45465.7034606481)</f>
        <v>45465.703460648103</v>
      </c>
      <c r="C1845" s="3" t="str">
        <f ca="1">IFERROR(__xludf.DUMMYFUNCTION("""COMPUTED_VALUE"""),"purchase")</f>
        <v>purchase</v>
      </c>
      <c r="D1845" s="6">
        <f t="shared" ca="1" si="0"/>
        <v>45465</v>
      </c>
      <c r="E1845" s="6">
        <f t="shared" ca="1" si="1"/>
        <v>45460</v>
      </c>
      <c r="F1845" s="6">
        <f t="shared" ca="1" si="2"/>
        <v>45444</v>
      </c>
      <c r="G1845" s="7"/>
    </row>
    <row r="1846" spans="1:7" x14ac:dyDescent="0.2">
      <c r="A1846" s="3">
        <f ca="1">IFERROR(__xludf.DUMMYFUNCTION("""COMPUTED_VALUE"""),4636)</f>
        <v>4636</v>
      </c>
      <c r="B1846" s="6">
        <f ca="1">IFERROR(__xludf.DUMMYFUNCTION("""COMPUTED_VALUE"""),45465.7188310185)</f>
        <v>45465.718831018501</v>
      </c>
      <c r="C1846" s="3" t="str">
        <f ca="1">IFERROR(__xludf.DUMMYFUNCTION("""COMPUTED_VALUE"""),"purchase")</f>
        <v>purchase</v>
      </c>
      <c r="D1846" s="6">
        <f t="shared" ca="1" si="0"/>
        <v>45465</v>
      </c>
      <c r="E1846" s="6">
        <f t="shared" ca="1" si="1"/>
        <v>45460</v>
      </c>
      <c r="F1846" s="6">
        <f t="shared" ca="1" si="2"/>
        <v>45444</v>
      </c>
      <c r="G1846" s="7"/>
    </row>
    <row r="1847" spans="1:7" x14ac:dyDescent="0.2">
      <c r="A1847" s="3">
        <f ca="1">IFERROR(__xludf.DUMMYFUNCTION("""COMPUTED_VALUE"""),801)</f>
        <v>801</v>
      </c>
      <c r="B1847" s="6">
        <f ca="1">IFERROR(__xludf.DUMMYFUNCTION("""COMPUTED_VALUE"""),45465.7371180555)</f>
        <v>45465.737118055498</v>
      </c>
      <c r="C1847" s="3" t="str">
        <f ca="1">IFERROR(__xludf.DUMMYFUNCTION("""COMPUTED_VALUE"""),"purchase")</f>
        <v>purchase</v>
      </c>
      <c r="D1847" s="6">
        <f t="shared" ca="1" si="0"/>
        <v>45465</v>
      </c>
      <c r="E1847" s="6">
        <f t="shared" ca="1" si="1"/>
        <v>45460</v>
      </c>
      <c r="F1847" s="6">
        <f t="shared" ca="1" si="2"/>
        <v>45444</v>
      </c>
      <c r="G1847" s="7"/>
    </row>
    <row r="1848" spans="1:7" x14ac:dyDescent="0.2">
      <c r="A1848" s="3">
        <f ca="1">IFERROR(__xludf.DUMMYFUNCTION("""COMPUTED_VALUE"""),5649)</f>
        <v>5649</v>
      </c>
      <c r="B1848" s="6">
        <f ca="1">IFERROR(__xludf.DUMMYFUNCTION("""COMPUTED_VALUE"""),45465.8057638888)</f>
        <v>45465.805763888799</v>
      </c>
      <c r="C1848" s="3" t="str">
        <f ca="1">IFERROR(__xludf.DUMMYFUNCTION("""COMPUTED_VALUE"""),"purchase")</f>
        <v>purchase</v>
      </c>
      <c r="D1848" s="6">
        <f t="shared" ca="1" si="0"/>
        <v>45465</v>
      </c>
      <c r="E1848" s="6">
        <f t="shared" ca="1" si="1"/>
        <v>45460</v>
      </c>
      <c r="F1848" s="6">
        <f t="shared" ca="1" si="2"/>
        <v>45444</v>
      </c>
      <c r="G1848" s="7"/>
    </row>
    <row r="1849" spans="1:7" x14ac:dyDescent="0.2">
      <c r="A1849" s="3">
        <f ca="1">IFERROR(__xludf.DUMMYFUNCTION("""COMPUTED_VALUE"""),6762)</f>
        <v>6762</v>
      </c>
      <c r="B1849" s="6">
        <f ca="1">IFERROR(__xludf.DUMMYFUNCTION("""COMPUTED_VALUE"""),45465.8713657407)</f>
        <v>45465.871365740699</v>
      </c>
      <c r="C1849" s="3" t="str">
        <f ca="1">IFERROR(__xludf.DUMMYFUNCTION("""COMPUTED_VALUE"""),"purchase")</f>
        <v>purchase</v>
      </c>
      <c r="D1849" s="6">
        <f t="shared" ca="1" si="0"/>
        <v>45465</v>
      </c>
      <c r="E1849" s="6">
        <f t="shared" ca="1" si="1"/>
        <v>45460</v>
      </c>
      <c r="F1849" s="6">
        <f t="shared" ca="1" si="2"/>
        <v>45444</v>
      </c>
      <c r="G1849" s="7"/>
    </row>
    <row r="1850" spans="1:7" x14ac:dyDescent="0.2">
      <c r="A1850" s="3">
        <f ca="1">IFERROR(__xludf.DUMMYFUNCTION("""COMPUTED_VALUE"""),4630)</f>
        <v>4630</v>
      </c>
      <c r="B1850" s="6">
        <f ca="1">IFERROR(__xludf.DUMMYFUNCTION("""COMPUTED_VALUE"""),45465.9776851851)</f>
        <v>45465.977685185098</v>
      </c>
      <c r="C1850" s="3" t="str">
        <f ca="1">IFERROR(__xludf.DUMMYFUNCTION("""COMPUTED_VALUE"""),"purchase")</f>
        <v>purchase</v>
      </c>
      <c r="D1850" s="6">
        <f t="shared" ca="1" si="0"/>
        <v>45465</v>
      </c>
      <c r="E1850" s="6">
        <f t="shared" ca="1" si="1"/>
        <v>45460</v>
      </c>
      <c r="F1850" s="6">
        <f t="shared" ca="1" si="2"/>
        <v>45444</v>
      </c>
      <c r="G1850" s="7"/>
    </row>
    <row r="1851" spans="1:7" x14ac:dyDescent="0.2">
      <c r="A1851" s="3">
        <f ca="1">IFERROR(__xludf.DUMMYFUNCTION("""COMPUTED_VALUE"""),4664)</f>
        <v>4664</v>
      </c>
      <c r="B1851" s="6">
        <f ca="1">IFERROR(__xludf.DUMMYFUNCTION("""COMPUTED_VALUE"""),45465.9814004629)</f>
        <v>45465.981400462901</v>
      </c>
      <c r="C1851" s="3" t="str">
        <f ca="1">IFERROR(__xludf.DUMMYFUNCTION("""COMPUTED_VALUE"""),"purchase")</f>
        <v>purchase</v>
      </c>
      <c r="D1851" s="6">
        <f t="shared" ca="1" si="0"/>
        <v>45465</v>
      </c>
      <c r="E1851" s="6">
        <f t="shared" ca="1" si="1"/>
        <v>45460</v>
      </c>
      <c r="F1851" s="6">
        <f t="shared" ca="1" si="2"/>
        <v>45444</v>
      </c>
      <c r="G1851" s="7"/>
    </row>
    <row r="1852" spans="1:7" x14ac:dyDescent="0.2">
      <c r="A1852" s="3">
        <f ca="1">IFERROR(__xludf.DUMMYFUNCTION("""COMPUTED_VALUE"""),6885)</f>
        <v>6885</v>
      </c>
      <c r="B1852" s="6">
        <f ca="1">IFERROR(__xludf.DUMMYFUNCTION("""COMPUTED_VALUE"""),45466.1223842592)</f>
        <v>45466.122384259201</v>
      </c>
      <c r="C1852" s="3" t="str">
        <f ca="1">IFERROR(__xludf.DUMMYFUNCTION("""COMPUTED_VALUE"""),"purchase")</f>
        <v>purchase</v>
      </c>
      <c r="D1852" s="6">
        <f t="shared" ca="1" si="0"/>
        <v>45466</v>
      </c>
      <c r="E1852" s="6">
        <f t="shared" ca="1" si="1"/>
        <v>45460</v>
      </c>
      <c r="F1852" s="6">
        <f t="shared" ca="1" si="2"/>
        <v>45444</v>
      </c>
      <c r="G1852" s="7"/>
    </row>
    <row r="1853" spans="1:7" x14ac:dyDescent="0.2">
      <c r="A1853" s="3">
        <f ca="1">IFERROR(__xludf.DUMMYFUNCTION("""COMPUTED_VALUE"""),666)</f>
        <v>666</v>
      </c>
      <c r="B1853" s="6">
        <f ca="1">IFERROR(__xludf.DUMMYFUNCTION("""COMPUTED_VALUE"""),45466.134849537)</f>
        <v>45466.134849536997</v>
      </c>
      <c r="C1853" s="3" t="str">
        <f ca="1">IFERROR(__xludf.DUMMYFUNCTION("""COMPUTED_VALUE"""),"purchase")</f>
        <v>purchase</v>
      </c>
      <c r="D1853" s="6">
        <f t="shared" ca="1" si="0"/>
        <v>45466</v>
      </c>
      <c r="E1853" s="6">
        <f t="shared" ca="1" si="1"/>
        <v>45460</v>
      </c>
      <c r="F1853" s="6">
        <f t="shared" ca="1" si="2"/>
        <v>45444</v>
      </c>
      <c r="G1853" s="7"/>
    </row>
    <row r="1854" spans="1:7" x14ac:dyDescent="0.2">
      <c r="A1854" s="3">
        <f ca="1">IFERROR(__xludf.DUMMYFUNCTION("""COMPUTED_VALUE"""),6111)</f>
        <v>6111</v>
      </c>
      <c r="B1854" s="6">
        <f ca="1">IFERROR(__xludf.DUMMYFUNCTION("""COMPUTED_VALUE"""),45466.2296643518)</f>
        <v>45466.229664351798</v>
      </c>
      <c r="C1854" s="3" t="str">
        <f ca="1">IFERROR(__xludf.DUMMYFUNCTION("""COMPUTED_VALUE"""),"purchase")</f>
        <v>purchase</v>
      </c>
      <c r="D1854" s="6">
        <f t="shared" ca="1" si="0"/>
        <v>45466</v>
      </c>
      <c r="E1854" s="6">
        <f t="shared" ca="1" si="1"/>
        <v>45460</v>
      </c>
      <c r="F1854" s="6">
        <f t="shared" ca="1" si="2"/>
        <v>45444</v>
      </c>
      <c r="G1854" s="7"/>
    </row>
    <row r="1855" spans="1:7" x14ac:dyDescent="0.2">
      <c r="A1855" s="3">
        <f ca="1">IFERROR(__xludf.DUMMYFUNCTION("""COMPUTED_VALUE"""),4668)</f>
        <v>4668</v>
      </c>
      <c r="B1855" s="6">
        <f ca="1">IFERROR(__xludf.DUMMYFUNCTION("""COMPUTED_VALUE"""),45466.4273032407)</f>
        <v>45466.4273032407</v>
      </c>
      <c r="C1855" s="3" t="str">
        <f ca="1">IFERROR(__xludf.DUMMYFUNCTION("""COMPUTED_VALUE"""),"purchase")</f>
        <v>purchase</v>
      </c>
      <c r="D1855" s="6">
        <f t="shared" ca="1" si="0"/>
        <v>45466</v>
      </c>
      <c r="E1855" s="6">
        <f t="shared" ca="1" si="1"/>
        <v>45460</v>
      </c>
      <c r="F1855" s="6">
        <f t="shared" ca="1" si="2"/>
        <v>45444</v>
      </c>
      <c r="G1855" s="7"/>
    </row>
    <row r="1856" spans="1:7" x14ac:dyDescent="0.2">
      <c r="A1856" s="3">
        <f ca="1">IFERROR(__xludf.DUMMYFUNCTION("""COMPUTED_VALUE"""),59)</f>
        <v>59</v>
      </c>
      <c r="B1856" s="6">
        <f ca="1">IFERROR(__xludf.DUMMYFUNCTION("""COMPUTED_VALUE"""),45466.6208449074)</f>
        <v>45466.620844907397</v>
      </c>
      <c r="C1856" s="3" t="str">
        <f ca="1">IFERROR(__xludf.DUMMYFUNCTION("""COMPUTED_VALUE"""),"purchase")</f>
        <v>purchase</v>
      </c>
      <c r="D1856" s="6">
        <f t="shared" ca="1" si="0"/>
        <v>45466</v>
      </c>
      <c r="E1856" s="6">
        <f t="shared" ca="1" si="1"/>
        <v>45460</v>
      </c>
      <c r="F1856" s="6">
        <f t="shared" ca="1" si="2"/>
        <v>45444</v>
      </c>
      <c r="G1856" s="7"/>
    </row>
    <row r="1857" spans="1:7" x14ac:dyDescent="0.2">
      <c r="A1857" s="3">
        <f ca="1">IFERROR(__xludf.DUMMYFUNCTION("""COMPUTED_VALUE"""),4754)</f>
        <v>4754</v>
      </c>
      <c r="B1857" s="6">
        <f ca="1">IFERROR(__xludf.DUMMYFUNCTION("""COMPUTED_VALUE"""),45466.6929976851)</f>
        <v>45466.692997685102</v>
      </c>
      <c r="C1857" s="3" t="str">
        <f ca="1">IFERROR(__xludf.DUMMYFUNCTION("""COMPUTED_VALUE"""),"purchase")</f>
        <v>purchase</v>
      </c>
      <c r="D1857" s="6">
        <f t="shared" ca="1" si="0"/>
        <v>45466</v>
      </c>
      <c r="E1857" s="6">
        <f t="shared" ca="1" si="1"/>
        <v>45460</v>
      </c>
      <c r="F1857" s="6">
        <f t="shared" ca="1" si="2"/>
        <v>45444</v>
      </c>
      <c r="G1857" s="7"/>
    </row>
    <row r="1858" spans="1:7" x14ac:dyDescent="0.2">
      <c r="A1858" s="3">
        <f ca="1">IFERROR(__xludf.DUMMYFUNCTION("""COMPUTED_VALUE"""),1979)</f>
        <v>1979</v>
      </c>
      <c r="B1858" s="6">
        <f ca="1">IFERROR(__xludf.DUMMYFUNCTION("""COMPUTED_VALUE"""),45466.7442013888)</f>
        <v>45466.744201388799</v>
      </c>
      <c r="C1858" s="3" t="str">
        <f ca="1">IFERROR(__xludf.DUMMYFUNCTION("""COMPUTED_VALUE"""),"purchase")</f>
        <v>purchase</v>
      </c>
      <c r="D1858" s="6">
        <f t="shared" ca="1" si="0"/>
        <v>45466</v>
      </c>
      <c r="E1858" s="6">
        <f t="shared" ca="1" si="1"/>
        <v>45460</v>
      </c>
      <c r="F1858" s="6">
        <f t="shared" ca="1" si="2"/>
        <v>45444</v>
      </c>
      <c r="G1858" s="7"/>
    </row>
    <row r="1859" spans="1:7" x14ac:dyDescent="0.2">
      <c r="A1859" s="3">
        <f ca="1">IFERROR(__xludf.DUMMYFUNCTION("""COMPUTED_VALUE"""),1154)</f>
        <v>1154</v>
      </c>
      <c r="B1859" s="6">
        <f ca="1">IFERROR(__xludf.DUMMYFUNCTION("""COMPUTED_VALUE"""),45466.9550694444)</f>
        <v>45466.955069444397</v>
      </c>
      <c r="C1859" s="3" t="str">
        <f ca="1">IFERROR(__xludf.DUMMYFUNCTION("""COMPUTED_VALUE"""),"purchase")</f>
        <v>purchase</v>
      </c>
      <c r="D1859" s="6">
        <f t="shared" ca="1" si="0"/>
        <v>45466</v>
      </c>
      <c r="E1859" s="6">
        <f t="shared" ca="1" si="1"/>
        <v>45460</v>
      </c>
      <c r="F1859" s="6">
        <f t="shared" ca="1" si="2"/>
        <v>45444</v>
      </c>
      <c r="G1859" s="7"/>
    </row>
    <row r="1860" spans="1:7" x14ac:dyDescent="0.2">
      <c r="A1860" s="3">
        <f ca="1">IFERROR(__xludf.DUMMYFUNCTION("""COMPUTED_VALUE"""),1193)</f>
        <v>1193</v>
      </c>
      <c r="B1860" s="6">
        <f ca="1">IFERROR(__xludf.DUMMYFUNCTION("""COMPUTED_VALUE"""),45466.9943402777)</f>
        <v>45466.994340277699</v>
      </c>
      <c r="C1860" s="3" t="str">
        <f ca="1">IFERROR(__xludf.DUMMYFUNCTION("""COMPUTED_VALUE"""),"purchase")</f>
        <v>purchase</v>
      </c>
      <c r="D1860" s="6">
        <f t="shared" ca="1" si="0"/>
        <v>45466</v>
      </c>
      <c r="E1860" s="6">
        <f t="shared" ca="1" si="1"/>
        <v>45460</v>
      </c>
      <c r="F1860" s="6">
        <f t="shared" ca="1" si="2"/>
        <v>45444</v>
      </c>
      <c r="G1860" s="7"/>
    </row>
    <row r="1861" spans="1:7" x14ac:dyDescent="0.2">
      <c r="A1861" s="3">
        <f ca="1">IFERROR(__xludf.DUMMYFUNCTION("""COMPUTED_VALUE"""),4732)</f>
        <v>4732</v>
      </c>
      <c r="B1861" s="6">
        <f ca="1">IFERROR(__xludf.DUMMYFUNCTION("""COMPUTED_VALUE"""),45467.0524074074)</f>
        <v>45467.052407407398</v>
      </c>
      <c r="C1861" s="3" t="str">
        <f ca="1">IFERROR(__xludf.DUMMYFUNCTION("""COMPUTED_VALUE"""),"purchase")</f>
        <v>purchase</v>
      </c>
      <c r="D1861" s="6">
        <f t="shared" ca="1" si="0"/>
        <v>45467</v>
      </c>
      <c r="E1861" s="6">
        <f t="shared" ca="1" si="1"/>
        <v>45467</v>
      </c>
      <c r="F1861" s="6">
        <f t="shared" ca="1" si="2"/>
        <v>45444</v>
      </c>
      <c r="G1861" s="7"/>
    </row>
    <row r="1862" spans="1:7" x14ac:dyDescent="0.2">
      <c r="A1862" s="3">
        <f ca="1">IFERROR(__xludf.DUMMYFUNCTION("""COMPUTED_VALUE"""),107)</f>
        <v>107</v>
      </c>
      <c r="B1862" s="6">
        <f ca="1">IFERROR(__xludf.DUMMYFUNCTION("""COMPUTED_VALUE"""),45467.0723611111)</f>
        <v>45467.072361111103</v>
      </c>
      <c r="C1862" s="3" t="str">
        <f ca="1">IFERROR(__xludf.DUMMYFUNCTION("""COMPUTED_VALUE"""),"purchase")</f>
        <v>purchase</v>
      </c>
      <c r="D1862" s="6">
        <f t="shared" ca="1" si="0"/>
        <v>45467</v>
      </c>
      <c r="E1862" s="6">
        <f t="shared" ca="1" si="1"/>
        <v>45467</v>
      </c>
      <c r="F1862" s="6">
        <f t="shared" ca="1" si="2"/>
        <v>45444</v>
      </c>
      <c r="G1862" s="7"/>
    </row>
    <row r="1863" spans="1:7" x14ac:dyDescent="0.2">
      <c r="A1863" s="3">
        <f ca="1">IFERROR(__xludf.DUMMYFUNCTION("""COMPUTED_VALUE"""),3150)</f>
        <v>3150</v>
      </c>
      <c r="B1863" s="6">
        <f ca="1">IFERROR(__xludf.DUMMYFUNCTION("""COMPUTED_VALUE"""),45467.2289236111)</f>
        <v>45467.228923611103</v>
      </c>
      <c r="C1863" s="3" t="str">
        <f ca="1">IFERROR(__xludf.DUMMYFUNCTION("""COMPUTED_VALUE"""),"purchase")</f>
        <v>purchase</v>
      </c>
      <c r="D1863" s="6">
        <f t="shared" ca="1" si="0"/>
        <v>45467</v>
      </c>
      <c r="E1863" s="6">
        <f t="shared" ca="1" si="1"/>
        <v>45467</v>
      </c>
      <c r="F1863" s="6">
        <f t="shared" ca="1" si="2"/>
        <v>45444</v>
      </c>
      <c r="G1863" s="7"/>
    </row>
    <row r="1864" spans="1:7" x14ac:dyDescent="0.2">
      <c r="A1864" s="3">
        <f ca="1">IFERROR(__xludf.DUMMYFUNCTION("""COMPUTED_VALUE"""),15)</f>
        <v>15</v>
      </c>
      <c r="B1864" s="6">
        <f ca="1">IFERROR(__xludf.DUMMYFUNCTION("""COMPUTED_VALUE"""),45467.239699074)</f>
        <v>45467.239699074002</v>
      </c>
      <c r="C1864" s="3" t="str">
        <f ca="1">IFERROR(__xludf.DUMMYFUNCTION("""COMPUTED_VALUE"""),"purchase")</f>
        <v>purchase</v>
      </c>
      <c r="D1864" s="6">
        <f t="shared" ca="1" si="0"/>
        <v>45467</v>
      </c>
      <c r="E1864" s="6">
        <f t="shared" ca="1" si="1"/>
        <v>45467</v>
      </c>
      <c r="F1864" s="6">
        <f t="shared" ca="1" si="2"/>
        <v>45444</v>
      </c>
      <c r="G1864" s="7"/>
    </row>
    <row r="1865" spans="1:7" x14ac:dyDescent="0.2">
      <c r="A1865" s="3">
        <f ca="1">IFERROR(__xludf.DUMMYFUNCTION("""COMPUTED_VALUE"""),4476)</f>
        <v>4476</v>
      </c>
      <c r="B1865" s="6">
        <f ca="1">IFERROR(__xludf.DUMMYFUNCTION("""COMPUTED_VALUE"""),45467.2997453703)</f>
        <v>45467.299745370299</v>
      </c>
      <c r="C1865" s="3" t="str">
        <f ca="1">IFERROR(__xludf.DUMMYFUNCTION("""COMPUTED_VALUE"""),"purchase")</f>
        <v>purchase</v>
      </c>
      <c r="D1865" s="6">
        <f t="shared" ca="1" si="0"/>
        <v>45467</v>
      </c>
      <c r="E1865" s="6">
        <f t="shared" ca="1" si="1"/>
        <v>45467</v>
      </c>
      <c r="F1865" s="6">
        <f t="shared" ca="1" si="2"/>
        <v>45444</v>
      </c>
      <c r="G1865" s="7"/>
    </row>
    <row r="1866" spans="1:7" x14ac:dyDescent="0.2">
      <c r="A1866" s="3">
        <f ca="1">IFERROR(__xludf.DUMMYFUNCTION("""COMPUTED_VALUE"""),4983)</f>
        <v>4983</v>
      </c>
      <c r="B1866" s="6">
        <f ca="1">IFERROR(__xludf.DUMMYFUNCTION("""COMPUTED_VALUE"""),45467.60375)</f>
        <v>45467.603750000002</v>
      </c>
      <c r="C1866" s="3" t="str">
        <f ca="1">IFERROR(__xludf.DUMMYFUNCTION("""COMPUTED_VALUE"""),"purchase")</f>
        <v>purchase</v>
      </c>
      <c r="D1866" s="6">
        <f t="shared" ca="1" si="0"/>
        <v>45467</v>
      </c>
      <c r="E1866" s="6">
        <f t="shared" ca="1" si="1"/>
        <v>45467</v>
      </c>
      <c r="F1866" s="6">
        <f t="shared" ca="1" si="2"/>
        <v>45444</v>
      </c>
      <c r="G1866" s="7"/>
    </row>
    <row r="1867" spans="1:7" x14ac:dyDescent="0.2">
      <c r="A1867" s="3">
        <f ca="1">IFERROR(__xludf.DUMMYFUNCTION("""COMPUTED_VALUE"""),6776)</f>
        <v>6776</v>
      </c>
      <c r="B1867" s="6">
        <f ca="1">IFERROR(__xludf.DUMMYFUNCTION("""COMPUTED_VALUE"""),45467.6390277777)</f>
        <v>45467.639027777703</v>
      </c>
      <c r="C1867" s="3" t="str">
        <f ca="1">IFERROR(__xludf.DUMMYFUNCTION("""COMPUTED_VALUE"""),"purchase")</f>
        <v>purchase</v>
      </c>
      <c r="D1867" s="6">
        <f t="shared" ca="1" si="0"/>
        <v>45467</v>
      </c>
      <c r="E1867" s="6">
        <f t="shared" ca="1" si="1"/>
        <v>45467</v>
      </c>
      <c r="F1867" s="6">
        <f t="shared" ca="1" si="2"/>
        <v>45444</v>
      </c>
      <c r="G1867" s="7"/>
    </row>
    <row r="1868" spans="1:7" x14ac:dyDescent="0.2">
      <c r="A1868" s="3">
        <f ca="1">IFERROR(__xludf.DUMMYFUNCTION("""COMPUTED_VALUE"""),4801)</f>
        <v>4801</v>
      </c>
      <c r="B1868" s="6">
        <f ca="1">IFERROR(__xludf.DUMMYFUNCTION("""COMPUTED_VALUE"""),45467.7567476851)</f>
        <v>45467.756747685104</v>
      </c>
      <c r="C1868" s="3" t="str">
        <f ca="1">IFERROR(__xludf.DUMMYFUNCTION("""COMPUTED_VALUE"""),"purchase")</f>
        <v>purchase</v>
      </c>
      <c r="D1868" s="6">
        <f t="shared" ca="1" si="0"/>
        <v>45467</v>
      </c>
      <c r="E1868" s="6">
        <f t="shared" ca="1" si="1"/>
        <v>45467</v>
      </c>
      <c r="F1868" s="6">
        <f t="shared" ca="1" si="2"/>
        <v>45444</v>
      </c>
      <c r="G1868" s="7"/>
    </row>
    <row r="1869" spans="1:7" x14ac:dyDescent="0.2">
      <c r="A1869" s="3">
        <f ca="1">IFERROR(__xludf.DUMMYFUNCTION("""COMPUTED_VALUE"""),1635)</f>
        <v>1635</v>
      </c>
      <c r="B1869" s="6">
        <f ca="1">IFERROR(__xludf.DUMMYFUNCTION("""COMPUTED_VALUE"""),45467.9854513888)</f>
        <v>45467.985451388799</v>
      </c>
      <c r="C1869" s="3" t="str">
        <f ca="1">IFERROR(__xludf.DUMMYFUNCTION("""COMPUTED_VALUE"""),"purchase")</f>
        <v>purchase</v>
      </c>
      <c r="D1869" s="6">
        <f t="shared" ca="1" si="0"/>
        <v>45467</v>
      </c>
      <c r="E1869" s="6">
        <f t="shared" ca="1" si="1"/>
        <v>45467</v>
      </c>
      <c r="F1869" s="6">
        <f t="shared" ca="1" si="2"/>
        <v>45444</v>
      </c>
      <c r="G1869" s="7"/>
    </row>
    <row r="1870" spans="1:7" x14ac:dyDescent="0.2">
      <c r="A1870" s="3">
        <f ca="1">IFERROR(__xludf.DUMMYFUNCTION("""COMPUTED_VALUE"""),6441)</f>
        <v>6441</v>
      </c>
      <c r="B1870" s="6">
        <f ca="1">IFERROR(__xludf.DUMMYFUNCTION("""COMPUTED_VALUE"""),45468.0571064813)</f>
        <v>45468.057106481399</v>
      </c>
      <c r="C1870" s="3" t="str">
        <f ca="1">IFERROR(__xludf.DUMMYFUNCTION("""COMPUTED_VALUE"""),"purchase")</f>
        <v>purchase</v>
      </c>
      <c r="D1870" s="6">
        <f t="shared" ca="1" si="0"/>
        <v>45468</v>
      </c>
      <c r="E1870" s="6">
        <f t="shared" ca="1" si="1"/>
        <v>45467</v>
      </c>
      <c r="F1870" s="6">
        <f t="shared" ca="1" si="2"/>
        <v>45444</v>
      </c>
      <c r="G1870" s="7"/>
    </row>
    <row r="1871" spans="1:7" x14ac:dyDescent="0.2">
      <c r="A1871" s="3">
        <f ca="1">IFERROR(__xludf.DUMMYFUNCTION("""COMPUTED_VALUE"""),653)</f>
        <v>653</v>
      </c>
      <c r="B1871" s="6">
        <f ca="1">IFERROR(__xludf.DUMMYFUNCTION("""COMPUTED_VALUE"""),45468.1713541666)</f>
        <v>45468.171354166603</v>
      </c>
      <c r="C1871" s="3" t="str">
        <f ca="1">IFERROR(__xludf.DUMMYFUNCTION("""COMPUTED_VALUE"""),"purchase")</f>
        <v>purchase</v>
      </c>
      <c r="D1871" s="6">
        <f t="shared" ca="1" si="0"/>
        <v>45468</v>
      </c>
      <c r="E1871" s="6">
        <f t="shared" ca="1" si="1"/>
        <v>45467</v>
      </c>
      <c r="F1871" s="6">
        <f t="shared" ca="1" si="2"/>
        <v>45444</v>
      </c>
      <c r="G1871" s="7"/>
    </row>
    <row r="1872" spans="1:7" x14ac:dyDescent="0.2">
      <c r="A1872" s="3">
        <f ca="1">IFERROR(__xludf.DUMMYFUNCTION("""COMPUTED_VALUE"""),539)</f>
        <v>539</v>
      </c>
      <c r="B1872" s="6">
        <f ca="1">IFERROR(__xludf.DUMMYFUNCTION("""COMPUTED_VALUE"""),45468.1925694444)</f>
        <v>45468.1925694444</v>
      </c>
      <c r="C1872" s="3" t="str">
        <f ca="1">IFERROR(__xludf.DUMMYFUNCTION("""COMPUTED_VALUE"""),"purchase")</f>
        <v>purchase</v>
      </c>
      <c r="D1872" s="6">
        <f t="shared" ca="1" si="0"/>
        <v>45468</v>
      </c>
      <c r="E1872" s="6">
        <f t="shared" ca="1" si="1"/>
        <v>45467</v>
      </c>
      <c r="F1872" s="6">
        <f t="shared" ca="1" si="2"/>
        <v>45444</v>
      </c>
      <c r="G1872" s="7"/>
    </row>
    <row r="1873" spans="1:7" x14ac:dyDescent="0.2">
      <c r="A1873" s="3">
        <f ca="1">IFERROR(__xludf.DUMMYFUNCTION("""COMPUTED_VALUE"""),941)</f>
        <v>941</v>
      </c>
      <c r="B1873" s="6">
        <f ca="1">IFERROR(__xludf.DUMMYFUNCTION("""COMPUTED_VALUE"""),45468.2856134259)</f>
        <v>45468.285613425898</v>
      </c>
      <c r="C1873" s="3" t="str">
        <f ca="1">IFERROR(__xludf.DUMMYFUNCTION("""COMPUTED_VALUE"""),"purchase")</f>
        <v>purchase</v>
      </c>
      <c r="D1873" s="6">
        <f t="shared" ca="1" si="0"/>
        <v>45468</v>
      </c>
      <c r="E1873" s="6">
        <f t="shared" ca="1" si="1"/>
        <v>45467</v>
      </c>
      <c r="F1873" s="6">
        <f t="shared" ca="1" si="2"/>
        <v>45444</v>
      </c>
      <c r="G1873" s="7"/>
    </row>
    <row r="1874" spans="1:7" x14ac:dyDescent="0.2">
      <c r="A1874" s="3">
        <f ca="1">IFERROR(__xludf.DUMMYFUNCTION("""COMPUTED_VALUE"""),42)</f>
        <v>42</v>
      </c>
      <c r="B1874" s="6">
        <f ca="1">IFERROR(__xludf.DUMMYFUNCTION("""COMPUTED_VALUE"""),45468.3015277777)</f>
        <v>45468.301527777701</v>
      </c>
      <c r="C1874" s="3" t="str">
        <f ca="1">IFERROR(__xludf.DUMMYFUNCTION("""COMPUTED_VALUE"""),"purchase")</f>
        <v>purchase</v>
      </c>
      <c r="D1874" s="6">
        <f t="shared" ca="1" si="0"/>
        <v>45468</v>
      </c>
      <c r="E1874" s="6">
        <f t="shared" ca="1" si="1"/>
        <v>45467</v>
      </c>
      <c r="F1874" s="6">
        <f t="shared" ca="1" si="2"/>
        <v>45444</v>
      </c>
      <c r="G1874" s="7"/>
    </row>
    <row r="1875" spans="1:7" x14ac:dyDescent="0.2">
      <c r="A1875" s="3">
        <f ca="1">IFERROR(__xludf.DUMMYFUNCTION("""COMPUTED_VALUE"""),5133)</f>
        <v>5133</v>
      </c>
      <c r="B1875" s="6">
        <f ca="1">IFERROR(__xludf.DUMMYFUNCTION("""COMPUTED_VALUE"""),45468.3619212962)</f>
        <v>45468.3619212962</v>
      </c>
      <c r="C1875" s="3" t="str">
        <f ca="1">IFERROR(__xludf.DUMMYFUNCTION("""COMPUTED_VALUE"""),"purchase")</f>
        <v>purchase</v>
      </c>
      <c r="D1875" s="6">
        <f t="shared" ca="1" si="0"/>
        <v>45468</v>
      </c>
      <c r="E1875" s="6">
        <f t="shared" ca="1" si="1"/>
        <v>45467</v>
      </c>
      <c r="F1875" s="6">
        <f t="shared" ca="1" si="2"/>
        <v>45444</v>
      </c>
      <c r="G1875" s="7"/>
    </row>
    <row r="1876" spans="1:7" x14ac:dyDescent="0.2">
      <c r="A1876" s="3">
        <f ca="1">IFERROR(__xludf.DUMMYFUNCTION("""COMPUTED_VALUE"""),3520)</f>
        <v>3520</v>
      </c>
      <c r="B1876" s="6">
        <f ca="1">IFERROR(__xludf.DUMMYFUNCTION("""COMPUTED_VALUE"""),45468.4814814814)</f>
        <v>45468.481481481402</v>
      </c>
      <c r="C1876" s="3" t="str">
        <f ca="1">IFERROR(__xludf.DUMMYFUNCTION("""COMPUTED_VALUE"""),"purchase")</f>
        <v>purchase</v>
      </c>
      <c r="D1876" s="6">
        <f t="shared" ca="1" si="0"/>
        <v>45468</v>
      </c>
      <c r="E1876" s="6">
        <f t="shared" ca="1" si="1"/>
        <v>45467</v>
      </c>
      <c r="F1876" s="6">
        <f t="shared" ca="1" si="2"/>
        <v>45444</v>
      </c>
      <c r="G1876" s="7"/>
    </row>
    <row r="1877" spans="1:7" x14ac:dyDescent="0.2">
      <c r="A1877" s="3">
        <f ca="1">IFERROR(__xludf.DUMMYFUNCTION("""COMPUTED_VALUE"""),419)</f>
        <v>419</v>
      </c>
      <c r="B1877" s="6">
        <f ca="1">IFERROR(__xludf.DUMMYFUNCTION("""COMPUTED_VALUE"""),45468.5647453702)</f>
        <v>45468.564745370299</v>
      </c>
      <c r="C1877" s="3" t="str">
        <f ca="1">IFERROR(__xludf.DUMMYFUNCTION("""COMPUTED_VALUE"""),"purchase")</f>
        <v>purchase</v>
      </c>
      <c r="D1877" s="6">
        <f t="shared" ca="1" si="0"/>
        <v>45468</v>
      </c>
      <c r="E1877" s="6">
        <f t="shared" ca="1" si="1"/>
        <v>45467</v>
      </c>
      <c r="F1877" s="6">
        <f t="shared" ca="1" si="2"/>
        <v>45444</v>
      </c>
      <c r="G1877" s="7"/>
    </row>
    <row r="1878" spans="1:7" x14ac:dyDescent="0.2">
      <c r="A1878" s="3">
        <f ca="1">IFERROR(__xludf.DUMMYFUNCTION("""COMPUTED_VALUE"""),859)</f>
        <v>859</v>
      </c>
      <c r="B1878" s="6">
        <f ca="1">IFERROR(__xludf.DUMMYFUNCTION("""COMPUTED_VALUE"""),45468.5687037037)</f>
        <v>45468.568703703699</v>
      </c>
      <c r="C1878" s="3" t="str">
        <f ca="1">IFERROR(__xludf.DUMMYFUNCTION("""COMPUTED_VALUE"""),"purchase")</f>
        <v>purchase</v>
      </c>
      <c r="D1878" s="6">
        <f t="shared" ca="1" si="0"/>
        <v>45468</v>
      </c>
      <c r="E1878" s="6">
        <f t="shared" ca="1" si="1"/>
        <v>45467</v>
      </c>
      <c r="F1878" s="6">
        <f t="shared" ca="1" si="2"/>
        <v>45444</v>
      </c>
      <c r="G1878" s="7"/>
    </row>
    <row r="1879" spans="1:7" x14ac:dyDescent="0.2">
      <c r="A1879" s="3">
        <f ca="1">IFERROR(__xludf.DUMMYFUNCTION("""COMPUTED_VALUE"""),7351)</f>
        <v>7351</v>
      </c>
      <c r="B1879" s="6">
        <f ca="1">IFERROR(__xludf.DUMMYFUNCTION("""COMPUTED_VALUE"""),45468.6244791666)</f>
        <v>45468.624479166603</v>
      </c>
      <c r="C1879" s="3" t="str">
        <f ca="1">IFERROR(__xludf.DUMMYFUNCTION("""COMPUTED_VALUE"""),"purchase")</f>
        <v>purchase</v>
      </c>
      <c r="D1879" s="6">
        <f t="shared" ca="1" si="0"/>
        <v>45468</v>
      </c>
      <c r="E1879" s="6">
        <f t="shared" ca="1" si="1"/>
        <v>45467</v>
      </c>
      <c r="F1879" s="6">
        <f t="shared" ca="1" si="2"/>
        <v>45444</v>
      </c>
      <c r="G1879" s="7"/>
    </row>
    <row r="1880" spans="1:7" x14ac:dyDescent="0.2">
      <c r="A1880" s="3">
        <f ca="1">IFERROR(__xludf.DUMMYFUNCTION("""COMPUTED_VALUE"""),5734)</f>
        <v>5734</v>
      </c>
      <c r="B1880" s="6">
        <f ca="1">IFERROR(__xludf.DUMMYFUNCTION("""COMPUTED_VALUE"""),45468.6388078703)</f>
        <v>45468.638807870302</v>
      </c>
      <c r="C1880" s="3" t="str">
        <f ca="1">IFERROR(__xludf.DUMMYFUNCTION("""COMPUTED_VALUE"""),"purchase")</f>
        <v>purchase</v>
      </c>
      <c r="D1880" s="6">
        <f t="shared" ca="1" si="0"/>
        <v>45468</v>
      </c>
      <c r="E1880" s="6">
        <f t="shared" ca="1" si="1"/>
        <v>45467</v>
      </c>
      <c r="F1880" s="6">
        <f t="shared" ca="1" si="2"/>
        <v>45444</v>
      </c>
      <c r="G1880" s="7"/>
    </row>
    <row r="1881" spans="1:7" x14ac:dyDescent="0.2">
      <c r="A1881" s="3">
        <f ca="1">IFERROR(__xludf.DUMMYFUNCTION("""COMPUTED_VALUE"""),46)</f>
        <v>46</v>
      </c>
      <c r="B1881" s="6">
        <f ca="1">IFERROR(__xludf.DUMMYFUNCTION("""COMPUTED_VALUE"""),45468.6524421296)</f>
        <v>45468.652442129598</v>
      </c>
      <c r="C1881" s="3" t="str">
        <f ca="1">IFERROR(__xludf.DUMMYFUNCTION("""COMPUTED_VALUE"""),"purchase")</f>
        <v>purchase</v>
      </c>
      <c r="D1881" s="6">
        <f t="shared" ca="1" si="0"/>
        <v>45468</v>
      </c>
      <c r="E1881" s="6">
        <f t="shared" ca="1" si="1"/>
        <v>45467</v>
      </c>
      <c r="F1881" s="6">
        <f t="shared" ca="1" si="2"/>
        <v>45444</v>
      </c>
      <c r="G1881" s="7"/>
    </row>
    <row r="1882" spans="1:7" x14ac:dyDescent="0.2">
      <c r="A1882" s="3">
        <f ca="1">IFERROR(__xludf.DUMMYFUNCTION("""COMPUTED_VALUE"""),1075)</f>
        <v>1075</v>
      </c>
      <c r="B1882" s="6">
        <f ca="1">IFERROR(__xludf.DUMMYFUNCTION("""COMPUTED_VALUE"""),45468.7038194444)</f>
        <v>45468.703819444403</v>
      </c>
      <c r="C1882" s="3" t="str">
        <f ca="1">IFERROR(__xludf.DUMMYFUNCTION("""COMPUTED_VALUE"""),"purchase")</f>
        <v>purchase</v>
      </c>
      <c r="D1882" s="6">
        <f t="shared" ca="1" si="0"/>
        <v>45468</v>
      </c>
      <c r="E1882" s="6">
        <f t="shared" ca="1" si="1"/>
        <v>45467</v>
      </c>
      <c r="F1882" s="6">
        <f t="shared" ca="1" si="2"/>
        <v>45444</v>
      </c>
      <c r="G1882" s="7"/>
    </row>
    <row r="1883" spans="1:7" x14ac:dyDescent="0.2">
      <c r="A1883" s="3">
        <f ca="1">IFERROR(__xludf.DUMMYFUNCTION("""COMPUTED_VALUE"""),7558)</f>
        <v>7558</v>
      </c>
      <c r="B1883" s="6">
        <f ca="1">IFERROR(__xludf.DUMMYFUNCTION("""COMPUTED_VALUE"""),45468.8173032407)</f>
        <v>45468.817303240699</v>
      </c>
      <c r="C1883" s="3" t="str">
        <f ca="1">IFERROR(__xludf.DUMMYFUNCTION("""COMPUTED_VALUE"""),"purchase")</f>
        <v>purchase</v>
      </c>
      <c r="D1883" s="6">
        <f t="shared" ca="1" si="0"/>
        <v>45468</v>
      </c>
      <c r="E1883" s="6">
        <f t="shared" ca="1" si="1"/>
        <v>45467</v>
      </c>
      <c r="F1883" s="6">
        <f t="shared" ca="1" si="2"/>
        <v>45444</v>
      </c>
      <c r="G1883" s="7"/>
    </row>
    <row r="1884" spans="1:7" x14ac:dyDescent="0.2">
      <c r="A1884" s="3">
        <f ca="1">IFERROR(__xludf.DUMMYFUNCTION("""COMPUTED_VALUE"""),6754)</f>
        <v>6754</v>
      </c>
      <c r="B1884" s="6">
        <f ca="1">IFERROR(__xludf.DUMMYFUNCTION("""COMPUTED_VALUE"""),45468.8443287037)</f>
        <v>45468.844328703701</v>
      </c>
      <c r="C1884" s="3" t="str">
        <f ca="1">IFERROR(__xludf.DUMMYFUNCTION("""COMPUTED_VALUE"""),"purchase")</f>
        <v>purchase</v>
      </c>
      <c r="D1884" s="6">
        <f t="shared" ca="1" si="0"/>
        <v>45468</v>
      </c>
      <c r="E1884" s="6">
        <f t="shared" ca="1" si="1"/>
        <v>45467</v>
      </c>
      <c r="F1884" s="6">
        <f t="shared" ca="1" si="2"/>
        <v>45444</v>
      </c>
      <c r="G1884" s="7"/>
    </row>
    <row r="1885" spans="1:7" x14ac:dyDescent="0.2">
      <c r="A1885" s="3">
        <f ca="1">IFERROR(__xludf.DUMMYFUNCTION("""COMPUTED_VALUE"""),7505)</f>
        <v>7505</v>
      </c>
      <c r="B1885" s="6">
        <f ca="1">IFERROR(__xludf.DUMMYFUNCTION("""COMPUTED_VALUE"""),45468.9316087962)</f>
        <v>45468.9316087962</v>
      </c>
      <c r="C1885" s="3" t="str">
        <f ca="1">IFERROR(__xludf.DUMMYFUNCTION("""COMPUTED_VALUE"""),"purchase")</f>
        <v>purchase</v>
      </c>
      <c r="D1885" s="6">
        <f t="shared" ca="1" si="0"/>
        <v>45468</v>
      </c>
      <c r="E1885" s="6">
        <f t="shared" ca="1" si="1"/>
        <v>45467</v>
      </c>
      <c r="F1885" s="6">
        <f t="shared" ca="1" si="2"/>
        <v>45444</v>
      </c>
      <c r="G1885" s="7"/>
    </row>
    <row r="1886" spans="1:7" x14ac:dyDescent="0.2">
      <c r="A1886" s="3">
        <f ca="1">IFERROR(__xludf.DUMMYFUNCTION("""COMPUTED_VALUE"""),340)</f>
        <v>340</v>
      </c>
      <c r="B1886" s="6">
        <f ca="1">IFERROR(__xludf.DUMMYFUNCTION("""COMPUTED_VALUE"""),45468.9989004629)</f>
        <v>45468.998900462902</v>
      </c>
      <c r="C1886" s="3" t="str">
        <f ca="1">IFERROR(__xludf.DUMMYFUNCTION("""COMPUTED_VALUE"""),"purchase")</f>
        <v>purchase</v>
      </c>
      <c r="D1886" s="6">
        <f t="shared" ca="1" si="0"/>
        <v>45468</v>
      </c>
      <c r="E1886" s="6">
        <f t="shared" ca="1" si="1"/>
        <v>45467</v>
      </c>
      <c r="F1886" s="6">
        <f t="shared" ca="1" si="2"/>
        <v>45444</v>
      </c>
      <c r="G1886" s="7"/>
    </row>
    <row r="1887" spans="1:7" x14ac:dyDescent="0.2">
      <c r="A1887" s="3">
        <f ca="1">IFERROR(__xludf.DUMMYFUNCTION("""COMPUTED_VALUE"""),4217)</f>
        <v>4217</v>
      </c>
      <c r="B1887" s="6">
        <f ca="1">IFERROR(__xludf.DUMMYFUNCTION("""COMPUTED_VALUE"""),45469.1777662037)</f>
        <v>45469.177766203698</v>
      </c>
      <c r="C1887" s="3" t="str">
        <f ca="1">IFERROR(__xludf.DUMMYFUNCTION("""COMPUTED_VALUE"""),"purchase")</f>
        <v>purchase</v>
      </c>
      <c r="D1887" s="6">
        <f t="shared" ca="1" si="0"/>
        <v>45469</v>
      </c>
      <c r="E1887" s="6">
        <f t="shared" ca="1" si="1"/>
        <v>45467</v>
      </c>
      <c r="F1887" s="6">
        <f t="shared" ca="1" si="2"/>
        <v>45444</v>
      </c>
      <c r="G1887" s="7"/>
    </row>
    <row r="1888" spans="1:7" x14ac:dyDescent="0.2">
      <c r="A1888" s="3">
        <f ca="1">IFERROR(__xludf.DUMMYFUNCTION("""COMPUTED_VALUE"""),7593)</f>
        <v>7593</v>
      </c>
      <c r="B1888" s="6">
        <f ca="1">IFERROR(__xludf.DUMMYFUNCTION("""COMPUTED_VALUE"""),45469.2481597222)</f>
        <v>45469.248159722199</v>
      </c>
      <c r="C1888" s="3" t="str">
        <f ca="1">IFERROR(__xludf.DUMMYFUNCTION("""COMPUTED_VALUE"""),"purchase")</f>
        <v>purchase</v>
      </c>
      <c r="D1888" s="6">
        <f t="shared" ca="1" si="0"/>
        <v>45469</v>
      </c>
      <c r="E1888" s="6">
        <f t="shared" ca="1" si="1"/>
        <v>45467</v>
      </c>
      <c r="F1888" s="6">
        <f t="shared" ca="1" si="2"/>
        <v>45444</v>
      </c>
      <c r="G1888" s="7"/>
    </row>
    <row r="1889" spans="1:7" x14ac:dyDescent="0.2">
      <c r="A1889" s="3">
        <f ca="1">IFERROR(__xludf.DUMMYFUNCTION("""COMPUTED_VALUE"""),5723)</f>
        <v>5723</v>
      </c>
      <c r="B1889" s="6">
        <f ca="1">IFERROR(__xludf.DUMMYFUNCTION("""COMPUTED_VALUE"""),45469.5492939813)</f>
        <v>45469.549293981399</v>
      </c>
      <c r="C1889" s="3" t="str">
        <f ca="1">IFERROR(__xludf.DUMMYFUNCTION("""COMPUTED_VALUE"""),"purchase")</f>
        <v>purchase</v>
      </c>
      <c r="D1889" s="6">
        <f t="shared" ca="1" si="0"/>
        <v>45469</v>
      </c>
      <c r="E1889" s="6">
        <f t="shared" ca="1" si="1"/>
        <v>45467</v>
      </c>
      <c r="F1889" s="6">
        <f t="shared" ca="1" si="2"/>
        <v>45444</v>
      </c>
      <c r="G1889" s="7"/>
    </row>
    <row r="1890" spans="1:7" x14ac:dyDescent="0.2">
      <c r="A1890" s="3">
        <f ca="1">IFERROR(__xludf.DUMMYFUNCTION("""COMPUTED_VALUE"""),6661)</f>
        <v>6661</v>
      </c>
      <c r="B1890" s="6">
        <f ca="1">IFERROR(__xludf.DUMMYFUNCTION("""COMPUTED_VALUE"""),45469.6205555555)</f>
        <v>45469.620555555499</v>
      </c>
      <c r="C1890" s="3" t="str">
        <f ca="1">IFERROR(__xludf.DUMMYFUNCTION("""COMPUTED_VALUE"""),"purchase")</f>
        <v>purchase</v>
      </c>
      <c r="D1890" s="6">
        <f t="shared" ca="1" si="0"/>
        <v>45469</v>
      </c>
      <c r="E1890" s="6">
        <f t="shared" ca="1" si="1"/>
        <v>45467</v>
      </c>
      <c r="F1890" s="6">
        <f t="shared" ca="1" si="2"/>
        <v>45444</v>
      </c>
      <c r="G1890" s="7"/>
    </row>
    <row r="1891" spans="1:7" x14ac:dyDescent="0.2">
      <c r="A1891" s="3">
        <f ca="1">IFERROR(__xludf.DUMMYFUNCTION("""COMPUTED_VALUE"""),4527)</f>
        <v>4527</v>
      </c>
      <c r="B1891" s="6">
        <f ca="1">IFERROR(__xludf.DUMMYFUNCTION("""COMPUTED_VALUE"""),45469.8790046296)</f>
        <v>45469.879004629598</v>
      </c>
      <c r="C1891" s="3" t="str">
        <f ca="1">IFERROR(__xludf.DUMMYFUNCTION("""COMPUTED_VALUE"""),"purchase")</f>
        <v>purchase</v>
      </c>
      <c r="D1891" s="6">
        <f t="shared" ca="1" si="0"/>
        <v>45469</v>
      </c>
      <c r="E1891" s="6">
        <f t="shared" ca="1" si="1"/>
        <v>45467</v>
      </c>
      <c r="F1891" s="6">
        <f t="shared" ca="1" si="2"/>
        <v>45444</v>
      </c>
      <c r="G1891" s="7"/>
    </row>
    <row r="1892" spans="1:7" x14ac:dyDescent="0.2">
      <c r="A1892" s="3">
        <f ca="1">IFERROR(__xludf.DUMMYFUNCTION("""COMPUTED_VALUE"""),2747)</f>
        <v>2747</v>
      </c>
      <c r="B1892" s="6">
        <f ca="1">IFERROR(__xludf.DUMMYFUNCTION("""COMPUTED_VALUE"""),45469.903125)</f>
        <v>45469.903124999997</v>
      </c>
      <c r="C1892" s="3" t="str">
        <f ca="1">IFERROR(__xludf.DUMMYFUNCTION("""COMPUTED_VALUE"""),"purchase")</f>
        <v>purchase</v>
      </c>
      <c r="D1892" s="6">
        <f t="shared" ca="1" si="0"/>
        <v>45469</v>
      </c>
      <c r="E1892" s="6">
        <f t="shared" ca="1" si="1"/>
        <v>45467</v>
      </c>
      <c r="F1892" s="6">
        <f t="shared" ca="1" si="2"/>
        <v>45444</v>
      </c>
      <c r="G1892" s="7"/>
    </row>
    <row r="1893" spans="1:7" x14ac:dyDescent="0.2">
      <c r="A1893" s="3">
        <f ca="1">IFERROR(__xludf.DUMMYFUNCTION("""COMPUTED_VALUE"""),2252)</f>
        <v>2252</v>
      </c>
      <c r="B1893" s="6">
        <f ca="1">IFERROR(__xludf.DUMMYFUNCTION("""COMPUTED_VALUE"""),45469.9224074074)</f>
        <v>45469.922407407401</v>
      </c>
      <c r="C1893" s="3" t="str">
        <f ca="1">IFERROR(__xludf.DUMMYFUNCTION("""COMPUTED_VALUE"""),"purchase")</f>
        <v>purchase</v>
      </c>
      <c r="D1893" s="6">
        <f t="shared" ca="1" si="0"/>
        <v>45469</v>
      </c>
      <c r="E1893" s="6">
        <f t="shared" ca="1" si="1"/>
        <v>45467</v>
      </c>
      <c r="F1893" s="6">
        <f t="shared" ca="1" si="2"/>
        <v>45444</v>
      </c>
      <c r="G1893" s="7"/>
    </row>
    <row r="1894" spans="1:7" x14ac:dyDescent="0.2">
      <c r="A1894" s="3">
        <f ca="1">IFERROR(__xludf.DUMMYFUNCTION("""COMPUTED_VALUE"""),4099)</f>
        <v>4099</v>
      </c>
      <c r="B1894" s="6">
        <f ca="1">IFERROR(__xludf.DUMMYFUNCTION("""COMPUTED_VALUE"""),45469.9625347222)</f>
        <v>45469.962534722203</v>
      </c>
      <c r="C1894" s="3" t="str">
        <f ca="1">IFERROR(__xludf.DUMMYFUNCTION("""COMPUTED_VALUE"""),"purchase")</f>
        <v>purchase</v>
      </c>
      <c r="D1894" s="6">
        <f t="shared" ca="1" si="0"/>
        <v>45469</v>
      </c>
      <c r="E1894" s="6">
        <f t="shared" ca="1" si="1"/>
        <v>45467</v>
      </c>
      <c r="F1894" s="6">
        <f t="shared" ca="1" si="2"/>
        <v>45444</v>
      </c>
      <c r="G1894" s="7"/>
    </row>
    <row r="1895" spans="1:7" x14ac:dyDescent="0.2">
      <c r="A1895" s="3">
        <f ca="1">IFERROR(__xludf.DUMMYFUNCTION("""COMPUTED_VALUE"""),7214)</f>
        <v>7214</v>
      </c>
      <c r="B1895" s="6">
        <f ca="1">IFERROR(__xludf.DUMMYFUNCTION("""COMPUTED_VALUE"""),45470.3529398148)</f>
        <v>45470.352939814802</v>
      </c>
      <c r="C1895" s="3" t="str">
        <f ca="1">IFERROR(__xludf.DUMMYFUNCTION("""COMPUTED_VALUE"""),"purchase")</f>
        <v>purchase</v>
      </c>
      <c r="D1895" s="6">
        <f t="shared" ca="1" si="0"/>
        <v>45470</v>
      </c>
      <c r="E1895" s="6">
        <f t="shared" ca="1" si="1"/>
        <v>45467</v>
      </c>
      <c r="F1895" s="6">
        <f t="shared" ca="1" si="2"/>
        <v>45444</v>
      </c>
      <c r="G1895" s="7"/>
    </row>
    <row r="1896" spans="1:7" x14ac:dyDescent="0.2">
      <c r="A1896" s="3">
        <f ca="1">IFERROR(__xludf.DUMMYFUNCTION("""COMPUTED_VALUE"""),894)</f>
        <v>894</v>
      </c>
      <c r="B1896" s="6">
        <f ca="1">IFERROR(__xludf.DUMMYFUNCTION("""COMPUTED_VALUE"""),45470.4237384259)</f>
        <v>45470.423738425903</v>
      </c>
      <c r="C1896" s="3" t="str">
        <f ca="1">IFERROR(__xludf.DUMMYFUNCTION("""COMPUTED_VALUE"""),"purchase")</f>
        <v>purchase</v>
      </c>
      <c r="D1896" s="6">
        <f t="shared" ca="1" si="0"/>
        <v>45470</v>
      </c>
      <c r="E1896" s="6">
        <f t="shared" ca="1" si="1"/>
        <v>45467</v>
      </c>
      <c r="F1896" s="6">
        <f t="shared" ca="1" si="2"/>
        <v>45444</v>
      </c>
      <c r="G1896" s="7"/>
    </row>
    <row r="1897" spans="1:7" x14ac:dyDescent="0.2">
      <c r="A1897" s="3">
        <f ca="1">IFERROR(__xludf.DUMMYFUNCTION("""COMPUTED_VALUE"""),3909)</f>
        <v>3909</v>
      </c>
      <c r="B1897" s="6">
        <f ca="1">IFERROR(__xludf.DUMMYFUNCTION("""COMPUTED_VALUE"""),45470.4789814813)</f>
        <v>45470.478981481399</v>
      </c>
      <c r="C1897" s="3" t="str">
        <f ca="1">IFERROR(__xludf.DUMMYFUNCTION("""COMPUTED_VALUE"""),"purchase")</f>
        <v>purchase</v>
      </c>
      <c r="D1897" s="6">
        <f t="shared" ca="1" si="0"/>
        <v>45470</v>
      </c>
      <c r="E1897" s="6">
        <f t="shared" ca="1" si="1"/>
        <v>45467</v>
      </c>
      <c r="F1897" s="6">
        <f t="shared" ca="1" si="2"/>
        <v>45444</v>
      </c>
      <c r="G1897" s="7"/>
    </row>
    <row r="1898" spans="1:7" x14ac:dyDescent="0.2">
      <c r="A1898" s="3">
        <f ca="1">IFERROR(__xludf.DUMMYFUNCTION("""COMPUTED_VALUE"""),5827)</f>
        <v>5827</v>
      </c>
      <c r="B1898" s="6">
        <f ca="1">IFERROR(__xludf.DUMMYFUNCTION("""COMPUTED_VALUE"""),45470.6058101851)</f>
        <v>45470.605810185101</v>
      </c>
      <c r="C1898" s="3" t="str">
        <f ca="1">IFERROR(__xludf.DUMMYFUNCTION("""COMPUTED_VALUE"""),"purchase")</f>
        <v>purchase</v>
      </c>
      <c r="D1898" s="6">
        <f t="shared" ca="1" si="0"/>
        <v>45470</v>
      </c>
      <c r="E1898" s="6">
        <f t="shared" ca="1" si="1"/>
        <v>45467</v>
      </c>
      <c r="F1898" s="6">
        <f t="shared" ca="1" si="2"/>
        <v>45444</v>
      </c>
      <c r="G1898" s="7"/>
    </row>
    <row r="1899" spans="1:7" x14ac:dyDescent="0.2">
      <c r="A1899" s="3">
        <f ca="1">IFERROR(__xludf.DUMMYFUNCTION("""COMPUTED_VALUE"""),737)</f>
        <v>737</v>
      </c>
      <c r="B1899" s="6">
        <f ca="1">IFERROR(__xludf.DUMMYFUNCTION("""COMPUTED_VALUE"""),45470.693761574)</f>
        <v>45470.693761574003</v>
      </c>
      <c r="C1899" s="3" t="str">
        <f ca="1">IFERROR(__xludf.DUMMYFUNCTION("""COMPUTED_VALUE"""),"purchase")</f>
        <v>purchase</v>
      </c>
      <c r="D1899" s="6">
        <f t="shared" ca="1" si="0"/>
        <v>45470</v>
      </c>
      <c r="E1899" s="6">
        <f t="shared" ca="1" si="1"/>
        <v>45467</v>
      </c>
      <c r="F1899" s="6">
        <f t="shared" ca="1" si="2"/>
        <v>45444</v>
      </c>
      <c r="G1899" s="7"/>
    </row>
    <row r="1900" spans="1:7" x14ac:dyDescent="0.2">
      <c r="A1900" s="3">
        <f ca="1">IFERROR(__xludf.DUMMYFUNCTION("""COMPUTED_VALUE"""),2133)</f>
        <v>2133</v>
      </c>
      <c r="B1900" s="6">
        <f ca="1">IFERROR(__xludf.DUMMYFUNCTION("""COMPUTED_VALUE"""),45470.7843055555)</f>
        <v>45470.784305555499</v>
      </c>
      <c r="C1900" s="3" t="str">
        <f ca="1">IFERROR(__xludf.DUMMYFUNCTION("""COMPUTED_VALUE"""),"purchase")</f>
        <v>purchase</v>
      </c>
      <c r="D1900" s="6">
        <f t="shared" ca="1" si="0"/>
        <v>45470</v>
      </c>
      <c r="E1900" s="6">
        <f t="shared" ca="1" si="1"/>
        <v>45467</v>
      </c>
      <c r="F1900" s="6">
        <f t="shared" ca="1" si="2"/>
        <v>45444</v>
      </c>
      <c r="G1900" s="7"/>
    </row>
    <row r="1901" spans="1:7" x14ac:dyDescent="0.2">
      <c r="A1901" s="3">
        <f ca="1">IFERROR(__xludf.DUMMYFUNCTION("""COMPUTED_VALUE"""),7529)</f>
        <v>7529</v>
      </c>
      <c r="B1901" s="6">
        <f ca="1">IFERROR(__xludf.DUMMYFUNCTION("""COMPUTED_VALUE"""),45470.8513310185)</f>
        <v>45470.851331018501</v>
      </c>
      <c r="C1901" s="3" t="str">
        <f ca="1">IFERROR(__xludf.DUMMYFUNCTION("""COMPUTED_VALUE"""),"purchase")</f>
        <v>purchase</v>
      </c>
      <c r="D1901" s="6">
        <f t="shared" ca="1" si="0"/>
        <v>45470</v>
      </c>
      <c r="E1901" s="6">
        <f t="shared" ca="1" si="1"/>
        <v>45467</v>
      </c>
      <c r="F1901" s="6">
        <f t="shared" ca="1" si="2"/>
        <v>45444</v>
      </c>
      <c r="G1901" s="7"/>
    </row>
    <row r="1902" spans="1:7" x14ac:dyDescent="0.2">
      <c r="A1902" s="3">
        <f ca="1">IFERROR(__xludf.DUMMYFUNCTION("""COMPUTED_VALUE"""),6583)</f>
        <v>6583</v>
      </c>
      <c r="B1902" s="6">
        <f ca="1">IFERROR(__xludf.DUMMYFUNCTION("""COMPUTED_VALUE"""),45470.9474537037)</f>
        <v>45470.947453703702</v>
      </c>
      <c r="C1902" s="3" t="str">
        <f ca="1">IFERROR(__xludf.DUMMYFUNCTION("""COMPUTED_VALUE"""),"purchase")</f>
        <v>purchase</v>
      </c>
      <c r="D1902" s="6">
        <f t="shared" ca="1" si="0"/>
        <v>45470</v>
      </c>
      <c r="E1902" s="6">
        <f t="shared" ca="1" si="1"/>
        <v>45467</v>
      </c>
      <c r="F1902" s="6">
        <f t="shared" ca="1" si="2"/>
        <v>45444</v>
      </c>
      <c r="G1902" s="7"/>
    </row>
    <row r="1903" spans="1:7" x14ac:dyDescent="0.2">
      <c r="A1903" s="3">
        <f ca="1">IFERROR(__xludf.DUMMYFUNCTION("""COMPUTED_VALUE"""),7021)</f>
        <v>7021</v>
      </c>
      <c r="B1903" s="6">
        <f ca="1">IFERROR(__xludf.DUMMYFUNCTION("""COMPUTED_VALUE"""),45471.2350925925)</f>
        <v>45471.235092592498</v>
      </c>
      <c r="C1903" s="3" t="str">
        <f ca="1">IFERROR(__xludf.DUMMYFUNCTION("""COMPUTED_VALUE"""),"purchase")</f>
        <v>purchase</v>
      </c>
      <c r="D1903" s="6">
        <f t="shared" ca="1" si="0"/>
        <v>45471</v>
      </c>
      <c r="E1903" s="6">
        <f t="shared" ca="1" si="1"/>
        <v>45467</v>
      </c>
      <c r="F1903" s="6">
        <f t="shared" ca="1" si="2"/>
        <v>45444</v>
      </c>
      <c r="G1903" s="7"/>
    </row>
    <row r="1904" spans="1:7" x14ac:dyDescent="0.2">
      <c r="A1904" s="3">
        <f ca="1">IFERROR(__xludf.DUMMYFUNCTION("""COMPUTED_VALUE"""),6981)</f>
        <v>6981</v>
      </c>
      <c r="B1904" s="6">
        <f ca="1">IFERROR(__xludf.DUMMYFUNCTION("""COMPUTED_VALUE"""),45471.3946064814)</f>
        <v>45471.394606481401</v>
      </c>
      <c r="C1904" s="3" t="str">
        <f ca="1">IFERROR(__xludf.DUMMYFUNCTION("""COMPUTED_VALUE"""),"purchase")</f>
        <v>purchase</v>
      </c>
      <c r="D1904" s="6">
        <f t="shared" ca="1" si="0"/>
        <v>45471</v>
      </c>
      <c r="E1904" s="6">
        <f t="shared" ca="1" si="1"/>
        <v>45467</v>
      </c>
      <c r="F1904" s="6">
        <f t="shared" ca="1" si="2"/>
        <v>45444</v>
      </c>
      <c r="G1904" s="7"/>
    </row>
    <row r="1905" spans="1:7" x14ac:dyDescent="0.2">
      <c r="A1905" s="3">
        <f ca="1">IFERROR(__xludf.DUMMYFUNCTION("""COMPUTED_VALUE"""),502)</f>
        <v>502</v>
      </c>
      <c r="B1905" s="6">
        <f ca="1">IFERROR(__xludf.DUMMYFUNCTION("""COMPUTED_VALUE"""),45471.5553009259)</f>
        <v>45471.555300925902</v>
      </c>
      <c r="C1905" s="3" t="str">
        <f ca="1">IFERROR(__xludf.DUMMYFUNCTION("""COMPUTED_VALUE"""),"purchase")</f>
        <v>purchase</v>
      </c>
      <c r="D1905" s="6">
        <f t="shared" ca="1" si="0"/>
        <v>45471</v>
      </c>
      <c r="E1905" s="6">
        <f t="shared" ca="1" si="1"/>
        <v>45467</v>
      </c>
      <c r="F1905" s="6">
        <f t="shared" ca="1" si="2"/>
        <v>45444</v>
      </c>
      <c r="G1905" s="7"/>
    </row>
    <row r="1906" spans="1:7" x14ac:dyDescent="0.2">
      <c r="A1906" s="3">
        <f ca="1">IFERROR(__xludf.DUMMYFUNCTION("""COMPUTED_VALUE"""),246)</f>
        <v>246</v>
      </c>
      <c r="B1906" s="6">
        <f ca="1">IFERROR(__xludf.DUMMYFUNCTION("""COMPUTED_VALUE"""),45471.5589930555)</f>
        <v>45471.5589930555</v>
      </c>
      <c r="C1906" s="3" t="str">
        <f ca="1">IFERROR(__xludf.DUMMYFUNCTION("""COMPUTED_VALUE"""),"purchase")</f>
        <v>purchase</v>
      </c>
      <c r="D1906" s="6">
        <f t="shared" ca="1" si="0"/>
        <v>45471</v>
      </c>
      <c r="E1906" s="6">
        <f t="shared" ca="1" si="1"/>
        <v>45467</v>
      </c>
      <c r="F1906" s="6">
        <f t="shared" ca="1" si="2"/>
        <v>45444</v>
      </c>
      <c r="G1906" s="7"/>
    </row>
    <row r="1907" spans="1:7" x14ac:dyDescent="0.2">
      <c r="A1907" s="3">
        <f ca="1">IFERROR(__xludf.DUMMYFUNCTION("""COMPUTED_VALUE"""),2345)</f>
        <v>2345</v>
      </c>
      <c r="B1907" s="6">
        <f ca="1">IFERROR(__xludf.DUMMYFUNCTION("""COMPUTED_VALUE"""),45471.6935648148)</f>
        <v>45471.693564814799</v>
      </c>
      <c r="C1907" s="3" t="str">
        <f ca="1">IFERROR(__xludf.DUMMYFUNCTION("""COMPUTED_VALUE"""),"purchase")</f>
        <v>purchase</v>
      </c>
      <c r="D1907" s="6">
        <f t="shared" ca="1" si="0"/>
        <v>45471</v>
      </c>
      <c r="E1907" s="6">
        <f t="shared" ca="1" si="1"/>
        <v>45467</v>
      </c>
      <c r="F1907" s="6">
        <f t="shared" ca="1" si="2"/>
        <v>45444</v>
      </c>
      <c r="G1907" s="7"/>
    </row>
    <row r="1908" spans="1:7" x14ac:dyDescent="0.2">
      <c r="A1908" s="3">
        <f ca="1">IFERROR(__xludf.DUMMYFUNCTION("""COMPUTED_VALUE"""),2111)</f>
        <v>2111</v>
      </c>
      <c r="B1908" s="6">
        <f ca="1">IFERROR(__xludf.DUMMYFUNCTION("""COMPUTED_VALUE"""),45471.7445949074)</f>
        <v>45471.744594907403</v>
      </c>
      <c r="C1908" s="3" t="str">
        <f ca="1">IFERROR(__xludf.DUMMYFUNCTION("""COMPUTED_VALUE"""),"purchase")</f>
        <v>purchase</v>
      </c>
      <c r="D1908" s="6">
        <f t="shared" ca="1" si="0"/>
        <v>45471</v>
      </c>
      <c r="E1908" s="6">
        <f t="shared" ca="1" si="1"/>
        <v>45467</v>
      </c>
      <c r="F1908" s="6">
        <f t="shared" ca="1" si="2"/>
        <v>45444</v>
      </c>
      <c r="G1908" s="7"/>
    </row>
    <row r="1909" spans="1:7" x14ac:dyDescent="0.2">
      <c r="A1909" s="3">
        <f ca="1">IFERROR(__xludf.DUMMYFUNCTION("""COMPUTED_VALUE"""),5754)</f>
        <v>5754</v>
      </c>
      <c r="B1909" s="6">
        <f ca="1">IFERROR(__xludf.DUMMYFUNCTION("""COMPUTED_VALUE"""),45471.7533101851)</f>
        <v>45471.7533101851</v>
      </c>
      <c r="C1909" s="3" t="str">
        <f ca="1">IFERROR(__xludf.DUMMYFUNCTION("""COMPUTED_VALUE"""),"purchase")</f>
        <v>purchase</v>
      </c>
      <c r="D1909" s="6">
        <f t="shared" ca="1" si="0"/>
        <v>45471</v>
      </c>
      <c r="E1909" s="6">
        <f t="shared" ca="1" si="1"/>
        <v>45467</v>
      </c>
      <c r="F1909" s="6">
        <f t="shared" ca="1" si="2"/>
        <v>45444</v>
      </c>
      <c r="G1909" s="7"/>
    </row>
    <row r="1910" spans="1:7" x14ac:dyDescent="0.2">
      <c r="A1910" s="3">
        <f ca="1">IFERROR(__xludf.DUMMYFUNCTION("""COMPUTED_VALUE"""),4455)</f>
        <v>4455</v>
      </c>
      <c r="B1910" s="6">
        <f ca="1">IFERROR(__xludf.DUMMYFUNCTION("""COMPUTED_VALUE"""),45471.8507638887)</f>
        <v>45471.850763888797</v>
      </c>
      <c r="C1910" s="3" t="str">
        <f ca="1">IFERROR(__xludf.DUMMYFUNCTION("""COMPUTED_VALUE"""),"purchase")</f>
        <v>purchase</v>
      </c>
      <c r="D1910" s="6">
        <f t="shared" ca="1" si="0"/>
        <v>45471</v>
      </c>
      <c r="E1910" s="6">
        <f t="shared" ca="1" si="1"/>
        <v>45467</v>
      </c>
      <c r="F1910" s="6">
        <f t="shared" ca="1" si="2"/>
        <v>45444</v>
      </c>
      <c r="G1910" s="7"/>
    </row>
    <row r="1911" spans="1:7" x14ac:dyDescent="0.2">
      <c r="A1911" s="3">
        <f ca="1">IFERROR(__xludf.DUMMYFUNCTION("""COMPUTED_VALUE"""),3514)</f>
        <v>3514</v>
      </c>
      <c r="B1911" s="6">
        <f ca="1">IFERROR(__xludf.DUMMYFUNCTION("""COMPUTED_VALUE"""),45471.8675694444)</f>
        <v>45471.867569444403</v>
      </c>
      <c r="C1911" s="3" t="str">
        <f ca="1">IFERROR(__xludf.DUMMYFUNCTION("""COMPUTED_VALUE"""),"purchase")</f>
        <v>purchase</v>
      </c>
      <c r="D1911" s="6">
        <f t="shared" ca="1" si="0"/>
        <v>45471</v>
      </c>
      <c r="E1911" s="6">
        <f t="shared" ca="1" si="1"/>
        <v>45467</v>
      </c>
      <c r="F1911" s="6">
        <f t="shared" ca="1" si="2"/>
        <v>45444</v>
      </c>
      <c r="G1911" s="7"/>
    </row>
    <row r="1912" spans="1:7" x14ac:dyDescent="0.2">
      <c r="A1912" s="3">
        <f ca="1">IFERROR(__xludf.DUMMYFUNCTION("""COMPUTED_VALUE"""),7657)</f>
        <v>7657</v>
      </c>
      <c r="B1912" s="6">
        <f ca="1">IFERROR(__xludf.DUMMYFUNCTION("""COMPUTED_VALUE"""),45471.8733333333)</f>
        <v>45471.8733333333</v>
      </c>
      <c r="C1912" s="3" t="str">
        <f ca="1">IFERROR(__xludf.DUMMYFUNCTION("""COMPUTED_VALUE"""),"purchase")</f>
        <v>purchase</v>
      </c>
      <c r="D1912" s="6">
        <f t="shared" ca="1" si="0"/>
        <v>45471</v>
      </c>
      <c r="E1912" s="6">
        <f t="shared" ca="1" si="1"/>
        <v>45467</v>
      </c>
      <c r="F1912" s="6">
        <f t="shared" ca="1" si="2"/>
        <v>45444</v>
      </c>
      <c r="G1912" s="7"/>
    </row>
    <row r="1913" spans="1:7" x14ac:dyDescent="0.2">
      <c r="A1913" s="3">
        <f ca="1">IFERROR(__xludf.DUMMYFUNCTION("""COMPUTED_VALUE"""),2923)</f>
        <v>2923</v>
      </c>
      <c r="B1913" s="6">
        <f ca="1">IFERROR(__xludf.DUMMYFUNCTION("""COMPUTED_VALUE"""),45471.9799537037)</f>
        <v>45471.979953703703</v>
      </c>
      <c r="C1913" s="3" t="str">
        <f ca="1">IFERROR(__xludf.DUMMYFUNCTION("""COMPUTED_VALUE"""),"purchase")</f>
        <v>purchase</v>
      </c>
      <c r="D1913" s="6">
        <f t="shared" ca="1" si="0"/>
        <v>45471</v>
      </c>
      <c r="E1913" s="6">
        <f t="shared" ca="1" si="1"/>
        <v>45467</v>
      </c>
      <c r="F1913" s="6">
        <f t="shared" ca="1" si="2"/>
        <v>45444</v>
      </c>
      <c r="G1913" s="7"/>
    </row>
    <row r="1914" spans="1:7" x14ac:dyDescent="0.2">
      <c r="A1914" s="3">
        <f ca="1">IFERROR(__xludf.DUMMYFUNCTION("""COMPUTED_VALUE"""),3430)</f>
        <v>3430</v>
      </c>
      <c r="B1914" s="6">
        <f ca="1">IFERROR(__xludf.DUMMYFUNCTION("""COMPUTED_VALUE"""),45472.0304861111)</f>
        <v>45472.0304861111</v>
      </c>
      <c r="C1914" s="3" t="str">
        <f ca="1">IFERROR(__xludf.DUMMYFUNCTION("""COMPUTED_VALUE"""),"purchase")</f>
        <v>purchase</v>
      </c>
      <c r="D1914" s="6">
        <f t="shared" ca="1" si="0"/>
        <v>45472</v>
      </c>
      <c r="E1914" s="6">
        <f t="shared" ca="1" si="1"/>
        <v>45467</v>
      </c>
      <c r="F1914" s="6">
        <f t="shared" ca="1" si="2"/>
        <v>45444</v>
      </c>
      <c r="G1914" s="7"/>
    </row>
    <row r="1915" spans="1:7" x14ac:dyDescent="0.2">
      <c r="A1915" s="3">
        <f ca="1">IFERROR(__xludf.DUMMYFUNCTION("""COMPUTED_VALUE"""),4329)</f>
        <v>4329</v>
      </c>
      <c r="B1915" s="6">
        <f ca="1">IFERROR(__xludf.DUMMYFUNCTION("""COMPUTED_VALUE"""),45472.155324074)</f>
        <v>45472.155324074003</v>
      </c>
      <c r="C1915" s="3" t="str">
        <f ca="1">IFERROR(__xludf.DUMMYFUNCTION("""COMPUTED_VALUE"""),"purchase")</f>
        <v>purchase</v>
      </c>
      <c r="D1915" s="6">
        <f t="shared" ca="1" si="0"/>
        <v>45472</v>
      </c>
      <c r="E1915" s="6">
        <f t="shared" ca="1" si="1"/>
        <v>45467</v>
      </c>
      <c r="F1915" s="6">
        <f t="shared" ca="1" si="2"/>
        <v>45444</v>
      </c>
      <c r="G1915" s="7"/>
    </row>
    <row r="1916" spans="1:7" x14ac:dyDescent="0.2">
      <c r="A1916" s="3">
        <f ca="1">IFERROR(__xludf.DUMMYFUNCTION("""COMPUTED_VALUE"""),3333)</f>
        <v>3333</v>
      </c>
      <c r="B1916" s="6">
        <f ca="1">IFERROR(__xludf.DUMMYFUNCTION("""COMPUTED_VALUE"""),45472.2063078703)</f>
        <v>45472.206307870299</v>
      </c>
      <c r="C1916" s="3" t="str">
        <f ca="1">IFERROR(__xludf.DUMMYFUNCTION("""COMPUTED_VALUE"""),"purchase")</f>
        <v>purchase</v>
      </c>
      <c r="D1916" s="6">
        <f t="shared" ca="1" si="0"/>
        <v>45472</v>
      </c>
      <c r="E1916" s="6">
        <f t="shared" ca="1" si="1"/>
        <v>45467</v>
      </c>
      <c r="F1916" s="6">
        <f t="shared" ca="1" si="2"/>
        <v>45444</v>
      </c>
      <c r="G1916" s="7"/>
    </row>
    <row r="1917" spans="1:7" x14ac:dyDescent="0.2">
      <c r="A1917" s="3">
        <f ca="1">IFERROR(__xludf.DUMMYFUNCTION("""COMPUTED_VALUE"""),1562)</f>
        <v>1562</v>
      </c>
      <c r="B1917" s="6">
        <f ca="1">IFERROR(__xludf.DUMMYFUNCTION("""COMPUTED_VALUE"""),45472.2141087962)</f>
        <v>45472.214108796201</v>
      </c>
      <c r="C1917" s="3" t="str">
        <f ca="1">IFERROR(__xludf.DUMMYFUNCTION("""COMPUTED_VALUE"""),"purchase")</f>
        <v>purchase</v>
      </c>
      <c r="D1917" s="6">
        <f t="shared" ca="1" si="0"/>
        <v>45472</v>
      </c>
      <c r="E1917" s="6">
        <f t="shared" ca="1" si="1"/>
        <v>45467</v>
      </c>
      <c r="F1917" s="6">
        <f t="shared" ca="1" si="2"/>
        <v>45444</v>
      </c>
      <c r="G1917" s="7"/>
    </row>
    <row r="1918" spans="1:7" x14ac:dyDescent="0.2">
      <c r="A1918" s="3">
        <f ca="1">IFERROR(__xludf.DUMMYFUNCTION("""COMPUTED_VALUE"""),3211)</f>
        <v>3211</v>
      </c>
      <c r="B1918" s="6">
        <f ca="1">IFERROR(__xludf.DUMMYFUNCTION("""COMPUTED_VALUE"""),45472.2360879629)</f>
        <v>45472.236087962898</v>
      </c>
      <c r="C1918" s="3" t="str">
        <f ca="1">IFERROR(__xludf.DUMMYFUNCTION("""COMPUTED_VALUE"""),"purchase")</f>
        <v>purchase</v>
      </c>
      <c r="D1918" s="6">
        <f t="shared" ca="1" si="0"/>
        <v>45472</v>
      </c>
      <c r="E1918" s="6">
        <f t="shared" ca="1" si="1"/>
        <v>45467</v>
      </c>
      <c r="F1918" s="6">
        <f t="shared" ca="1" si="2"/>
        <v>45444</v>
      </c>
      <c r="G1918" s="7"/>
    </row>
    <row r="1919" spans="1:7" x14ac:dyDescent="0.2">
      <c r="A1919" s="3">
        <f ca="1">IFERROR(__xludf.DUMMYFUNCTION("""COMPUTED_VALUE"""),549)</f>
        <v>549</v>
      </c>
      <c r="B1919" s="6">
        <f ca="1">IFERROR(__xludf.DUMMYFUNCTION("""COMPUTED_VALUE"""),45472.2387962962)</f>
        <v>45472.238796296297</v>
      </c>
      <c r="C1919" s="3" t="str">
        <f ca="1">IFERROR(__xludf.DUMMYFUNCTION("""COMPUTED_VALUE"""),"purchase")</f>
        <v>purchase</v>
      </c>
      <c r="D1919" s="6">
        <f t="shared" ca="1" si="0"/>
        <v>45472</v>
      </c>
      <c r="E1919" s="6">
        <f t="shared" ca="1" si="1"/>
        <v>45467</v>
      </c>
      <c r="F1919" s="6">
        <f t="shared" ca="1" si="2"/>
        <v>45444</v>
      </c>
      <c r="G1919" s="7"/>
    </row>
    <row r="1920" spans="1:7" x14ac:dyDescent="0.2">
      <c r="A1920" s="3">
        <f ca="1">IFERROR(__xludf.DUMMYFUNCTION("""COMPUTED_VALUE"""),5993)</f>
        <v>5993</v>
      </c>
      <c r="B1920" s="6">
        <f ca="1">IFERROR(__xludf.DUMMYFUNCTION("""COMPUTED_VALUE"""),45472.2472800925)</f>
        <v>45472.247280092502</v>
      </c>
      <c r="C1920" s="3" t="str">
        <f ca="1">IFERROR(__xludf.DUMMYFUNCTION("""COMPUTED_VALUE"""),"purchase")</f>
        <v>purchase</v>
      </c>
      <c r="D1920" s="6">
        <f t="shared" ca="1" si="0"/>
        <v>45472</v>
      </c>
      <c r="E1920" s="6">
        <f t="shared" ca="1" si="1"/>
        <v>45467</v>
      </c>
      <c r="F1920" s="6">
        <f t="shared" ca="1" si="2"/>
        <v>45444</v>
      </c>
      <c r="G1920" s="7"/>
    </row>
    <row r="1921" spans="1:7" x14ac:dyDescent="0.2">
      <c r="A1921" s="3">
        <f ca="1">IFERROR(__xludf.DUMMYFUNCTION("""COMPUTED_VALUE"""),1445)</f>
        <v>1445</v>
      </c>
      <c r="B1921" s="6">
        <f ca="1">IFERROR(__xludf.DUMMYFUNCTION("""COMPUTED_VALUE"""),45472.2526273148)</f>
        <v>45472.252627314803</v>
      </c>
      <c r="C1921" s="3" t="str">
        <f ca="1">IFERROR(__xludf.DUMMYFUNCTION("""COMPUTED_VALUE"""),"purchase")</f>
        <v>purchase</v>
      </c>
      <c r="D1921" s="6">
        <f t="shared" ca="1" si="0"/>
        <v>45472</v>
      </c>
      <c r="E1921" s="6">
        <f t="shared" ca="1" si="1"/>
        <v>45467</v>
      </c>
      <c r="F1921" s="6">
        <f t="shared" ca="1" si="2"/>
        <v>45444</v>
      </c>
      <c r="G1921" s="7"/>
    </row>
    <row r="1922" spans="1:7" x14ac:dyDescent="0.2">
      <c r="A1922" s="3">
        <f ca="1">IFERROR(__xludf.DUMMYFUNCTION("""COMPUTED_VALUE"""),7836)</f>
        <v>7836</v>
      </c>
      <c r="B1922" s="6">
        <f ca="1">IFERROR(__xludf.DUMMYFUNCTION("""COMPUTED_VALUE"""),45472.2688078703)</f>
        <v>45472.268807870299</v>
      </c>
      <c r="C1922" s="3" t="str">
        <f ca="1">IFERROR(__xludf.DUMMYFUNCTION("""COMPUTED_VALUE"""),"purchase")</f>
        <v>purchase</v>
      </c>
      <c r="D1922" s="6">
        <f t="shared" ca="1" si="0"/>
        <v>45472</v>
      </c>
      <c r="E1922" s="6">
        <f t="shared" ca="1" si="1"/>
        <v>45467</v>
      </c>
      <c r="F1922" s="6">
        <f t="shared" ca="1" si="2"/>
        <v>45444</v>
      </c>
      <c r="G1922" s="7"/>
    </row>
    <row r="1923" spans="1:7" x14ac:dyDescent="0.2">
      <c r="A1923" s="3">
        <f ca="1">IFERROR(__xludf.DUMMYFUNCTION("""COMPUTED_VALUE"""),7384)</f>
        <v>7384</v>
      </c>
      <c r="B1923" s="6">
        <f ca="1">IFERROR(__xludf.DUMMYFUNCTION("""COMPUTED_VALUE"""),45472.4200925925)</f>
        <v>45472.420092592503</v>
      </c>
      <c r="C1923" s="3" t="str">
        <f ca="1">IFERROR(__xludf.DUMMYFUNCTION("""COMPUTED_VALUE"""),"purchase")</f>
        <v>purchase</v>
      </c>
      <c r="D1923" s="6">
        <f t="shared" ca="1" si="0"/>
        <v>45472</v>
      </c>
      <c r="E1923" s="6">
        <f t="shared" ca="1" si="1"/>
        <v>45467</v>
      </c>
      <c r="F1923" s="6">
        <f t="shared" ca="1" si="2"/>
        <v>45444</v>
      </c>
      <c r="G1923" s="7"/>
    </row>
    <row r="1924" spans="1:7" x14ac:dyDescent="0.2">
      <c r="A1924" s="3">
        <f ca="1">IFERROR(__xludf.DUMMYFUNCTION("""COMPUTED_VALUE"""),1439)</f>
        <v>1439</v>
      </c>
      <c r="B1924" s="6">
        <f ca="1">IFERROR(__xludf.DUMMYFUNCTION("""COMPUTED_VALUE"""),45472.6031828703)</f>
        <v>45472.603182870298</v>
      </c>
      <c r="C1924" s="3" t="str">
        <f ca="1">IFERROR(__xludf.DUMMYFUNCTION("""COMPUTED_VALUE"""),"purchase")</f>
        <v>purchase</v>
      </c>
      <c r="D1924" s="6">
        <f t="shared" ca="1" si="0"/>
        <v>45472</v>
      </c>
      <c r="E1924" s="6">
        <f t="shared" ca="1" si="1"/>
        <v>45467</v>
      </c>
      <c r="F1924" s="6">
        <f t="shared" ca="1" si="2"/>
        <v>45444</v>
      </c>
      <c r="G1924" s="7"/>
    </row>
    <row r="1925" spans="1:7" x14ac:dyDescent="0.2">
      <c r="A1925" s="3">
        <f ca="1">IFERROR(__xludf.DUMMYFUNCTION("""COMPUTED_VALUE"""),1181)</f>
        <v>1181</v>
      </c>
      <c r="B1925" s="6">
        <f ca="1">IFERROR(__xludf.DUMMYFUNCTION("""COMPUTED_VALUE"""),45472.6422453703)</f>
        <v>45472.642245370298</v>
      </c>
      <c r="C1925" s="3" t="str">
        <f ca="1">IFERROR(__xludf.DUMMYFUNCTION("""COMPUTED_VALUE"""),"purchase")</f>
        <v>purchase</v>
      </c>
      <c r="D1925" s="6">
        <f t="shared" ca="1" si="0"/>
        <v>45472</v>
      </c>
      <c r="E1925" s="6">
        <f t="shared" ca="1" si="1"/>
        <v>45467</v>
      </c>
      <c r="F1925" s="6">
        <f t="shared" ca="1" si="2"/>
        <v>45444</v>
      </c>
      <c r="G1925" s="7"/>
    </row>
    <row r="1926" spans="1:7" x14ac:dyDescent="0.2">
      <c r="A1926" s="3">
        <f ca="1">IFERROR(__xludf.DUMMYFUNCTION("""COMPUTED_VALUE"""),426)</f>
        <v>426</v>
      </c>
      <c r="B1926" s="6">
        <f ca="1">IFERROR(__xludf.DUMMYFUNCTION("""COMPUTED_VALUE"""),45473.0788888888)</f>
        <v>45473.078888888798</v>
      </c>
      <c r="C1926" s="3" t="str">
        <f ca="1">IFERROR(__xludf.DUMMYFUNCTION("""COMPUTED_VALUE"""),"purchase")</f>
        <v>purchase</v>
      </c>
      <c r="D1926" s="6">
        <f t="shared" ca="1" si="0"/>
        <v>45473</v>
      </c>
      <c r="E1926" s="6">
        <f t="shared" ca="1" si="1"/>
        <v>45467</v>
      </c>
      <c r="F1926" s="6">
        <f t="shared" ca="1" si="2"/>
        <v>45444</v>
      </c>
      <c r="G1926" s="7"/>
    </row>
    <row r="1927" spans="1:7" x14ac:dyDescent="0.2">
      <c r="A1927" s="3">
        <f ca="1">IFERROR(__xludf.DUMMYFUNCTION("""COMPUTED_VALUE"""),6638)</f>
        <v>6638</v>
      </c>
      <c r="B1927" s="6">
        <f ca="1">IFERROR(__xludf.DUMMYFUNCTION("""COMPUTED_VALUE"""),45473.3596412037)</f>
        <v>45473.3596412037</v>
      </c>
      <c r="C1927" s="3" t="str">
        <f ca="1">IFERROR(__xludf.DUMMYFUNCTION("""COMPUTED_VALUE"""),"purchase")</f>
        <v>purchase</v>
      </c>
      <c r="D1927" s="6">
        <f t="shared" ca="1" si="0"/>
        <v>45473</v>
      </c>
      <c r="E1927" s="6">
        <f t="shared" ca="1" si="1"/>
        <v>45467</v>
      </c>
      <c r="F1927" s="6">
        <f t="shared" ca="1" si="2"/>
        <v>45444</v>
      </c>
      <c r="G1927" s="7"/>
    </row>
    <row r="1928" spans="1:7" x14ac:dyDescent="0.2">
      <c r="A1928" s="3">
        <f ca="1">IFERROR(__xludf.DUMMYFUNCTION("""COMPUTED_VALUE"""),1941)</f>
        <v>1941</v>
      </c>
      <c r="B1928" s="6">
        <f ca="1">IFERROR(__xludf.DUMMYFUNCTION("""COMPUTED_VALUE"""),45473.5373726851)</f>
        <v>45473.537372685103</v>
      </c>
      <c r="C1928" s="3" t="str">
        <f ca="1">IFERROR(__xludf.DUMMYFUNCTION("""COMPUTED_VALUE"""),"purchase")</f>
        <v>purchase</v>
      </c>
      <c r="D1928" s="6">
        <f t="shared" ca="1" si="0"/>
        <v>45473</v>
      </c>
      <c r="E1928" s="6">
        <f t="shared" ca="1" si="1"/>
        <v>45467</v>
      </c>
      <c r="F1928" s="6">
        <f t="shared" ca="1" si="2"/>
        <v>45444</v>
      </c>
      <c r="G1928" s="7"/>
    </row>
    <row r="1929" spans="1:7" x14ac:dyDescent="0.2">
      <c r="A1929" s="3">
        <f ca="1">IFERROR(__xludf.DUMMYFUNCTION("""COMPUTED_VALUE"""),409)</f>
        <v>409</v>
      </c>
      <c r="B1929" s="6">
        <f ca="1">IFERROR(__xludf.DUMMYFUNCTION("""COMPUTED_VALUE"""),45473.6092824074)</f>
        <v>45473.6092824074</v>
      </c>
      <c r="C1929" s="3" t="str">
        <f ca="1">IFERROR(__xludf.DUMMYFUNCTION("""COMPUTED_VALUE"""),"purchase")</f>
        <v>purchase</v>
      </c>
      <c r="D1929" s="6">
        <f t="shared" ca="1" si="0"/>
        <v>45473</v>
      </c>
      <c r="E1929" s="6">
        <f t="shared" ca="1" si="1"/>
        <v>45467</v>
      </c>
      <c r="F1929" s="6">
        <f t="shared" ca="1" si="2"/>
        <v>45444</v>
      </c>
      <c r="G1929" s="7"/>
    </row>
    <row r="1930" spans="1:7" x14ac:dyDescent="0.2">
      <c r="A1930" s="3">
        <f ca="1">IFERROR(__xludf.DUMMYFUNCTION("""COMPUTED_VALUE"""),6813)</f>
        <v>6813</v>
      </c>
      <c r="B1930" s="6">
        <f ca="1">IFERROR(__xludf.DUMMYFUNCTION("""COMPUTED_VALUE"""),45473.6613888888)</f>
        <v>45473.661388888802</v>
      </c>
      <c r="C1930" s="3" t="str">
        <f ca="1">IFERROR(__xludf.DUMMYFUNCTION("""COMPUTED_VALUE"""),"purchase")</f>
        <v>purchase</v>
      </c>
      <c r="D1930" s="6">
        <f t="shared" ca="1" si="0"/>
        <v>45473</v>
      </c>
      <c r="E1930" s="6">
        <f t="shared" ca="1" si="1"/>
        <v>45467</v>
      </c>
      <c r="F1930" s="6">
        <f t="shared" ca="1" si="2"/>
        <v>45444</v>
      </c>
      <c r="G1930" s="7"/>
    </row>
    <row r="1931" spans="1:7" x14ac:dyDescent="0.2">
      <c r="A1931" s="3">
        <f ca="1">IFERROR(__xludf.DUMMYFUNCTION("""COMPUTED_VALUE"""),1371)</f>
        <v>1371</v>
      </c>
      <c r="B1931" s="6">
        <f ca="1">IFERROR(__xludf.DUMMYFUNCTION("""COMPUTED_VALUE"""),45473.9978472222)</f>
        <v>45473.997847222199</v>
      </c>
      <c r="C1931" s="3" t="str">
        <f ca="1">IFERROR(__xludf.DUMMYFUNCTION("""COMPUTED_VALUE"""),"purchase")</f>
        <v>purchase</v>
      </c>
      <c r="D1931" s="6">
        <f t="shared" ca="1" si="0"/>
        <v>45473</v>
      </c>
      <c r="E1931" s="6">
        <f t="shared" ca="1" si="1"/>
        <v>45467</v>
      </c>
      <c r="F1931" s="6">
        <f t="shared" ca="1" si="2"/>
        <v>45444</v>
      </c>
      <c r="G1931" s="7"/>
    </row>
    <row r="1932" spans="1:7" x14ac:dyDescent="0.2">
      <c r="A1932" s="3">
        <f ca="1">IFERROR(__xludf.DUMMYFUNCTION("""COMPUTED_VALUE"""),1719)</f>
        <v>1719</v>
      </c>
      <c r="B1932" s="6">
        <f ca="1">IFERROR(__xludf.DUMMYFUNCTION("""COMPUTED_VALUE"""),45474.0494791666)</f>
        <v>45474.049479166599</v>
      </c>
      <c r="C1932" s="3" t="str">
        <f ca="1">IFERROR(__xludf.DUMMYFUNCTION("""COMPUTED_VALUE"""),"purchase")</f>
        <v>purchase</v>
      </c>
      <c r="D1932" s="6">
        <f t="shared" ca="1" si="0"/>
        <v>45474</v>
      </c>
      <c r="E1932" s="6">
        <f t="shared" ca="1" si="1"/>
        <v>45474</v>
      </c>
      <c r="F1932" s="6">
        <f t="shared" ca="1" si="2"/>
        <v>45474</v>
      </c>
      <c r="G1932" s="7"/>
    </row>
    <row r="1933" spans="1:7" x14ac:dyDescent="0.2">
      <c r="A1933" s="3">
        <f ca="1">IFERROR(__xludf.DUMMYFUNCTION("""COMPUTED_VALUE"""),3263)</f>
        <v>3263</v>
      </c>
      <c r="B1933" s="6">
        <f ca="1">IFERROR(__xludf.DUMMYFUNCTION("""COMPUTED_VALUE"""),45474.2786574074)</f>
        <v>45474.278657407398</v>
      </c>
      <c r="C1933" s="3" t="str">
        <f ca="1">IFERROR(__xludf.DUMMYFUNCTION("""COMPUTED_VALUE"""),"purchase")</f>
        <v>purchase</v>
      </c>
      <c r="D1933" s="6">
        <f t="shared" ca="1" si="0"/>
        <v>45474</v>
      </c>
      <c r="E1933" s="6">
        <f t="shared" ca="1" si="1"/>
        <v>45474</v>
      </c>
      <c r="F1933" s="6">
        <f t="shared" ca="1" si="2"/>
        <v>45474</v>
      </c>
      <c r="G1933" s="7"/>
    </row>
    <row r="1934" spans="1:7" x14ac:dyDescent="0.2">
      <c r="A1934" s="3">
        <f ca="1">IFERROR(__xludf.DUMMYFUNCTION("""COMPUTED_VALUE"""),1220)</f>
        <v>1220</v>
      </c>
      <c r="B1934" s="6">
        <f ca="1">IFERROR(__xludf.DUMMYFUNCTION("""COMPUTED_VALUE"""),45474.3094791666)</f>
        <v>45474.309479166601</v>
      </c>
      <c r="C1934" s="3" t="str">
        <f ca="1">IFERROR(__xludf.DUMMYFUNCTION("""COMPUTED_VALUE"""),"purchase")</f>
        <v>purchase</v>
      </c>
      <c r="D1934" s="6">
        <f t="shared" ca="1" si="0"/>
        <v>45474</v>
      </c>
      <c r="E1934" s="6">
        <f t="shared" ca="1" si="1"/>
        <v>45474</v>
      </c>
      <c r="F1934" s="6">
        <f t="shared" ca="1" si="2"/>
        <v>45474</v>
      </c>
      <c r="G1934" s="7"/>
    </row>
    <row r="1935" spans="1:7" x14ac:dyDescent="0.2">
      <c r="A1935" s="3">
        <f ca="1">IFERROR(__xludf.DUMMYFUNCTION("""COMPUTED_VALUE"""),2192)</f>
        <v>2192</v>
      </c>
      <c r="B1935" s="6">
        <f ca="1">IFERROR(__xludf.DUMMYFUNCTION("""COMPUTED_VALUE"""),45474.3603009259)</f>
        <v>45474.360300925902</v>
      </c>
      <c r="C1935" s="3" t="str">
        <f ca="1">IFERROR(__xludf.DUMMYFUNCTION("""COMPUTED_VALUE"""),"purchase")</f>
        <v>purchase</v>
      </c>
      <c r="D1935" s="6">
        <f t="shared" ca="1" si="0"/>
        <v>45474</v>
      </c>
      <c r="E1935" s="6">
        <f t="shared" ca="1" si="1"/>
        <v>45474</v>
      </c>
      <c r="F1935" s="6">
        <f t="shared" ca="1" si="2"/>
        <v>45474</v>
      </c>
      <c r="G1935" s="7"/>
    </row>
    <row r="1936" spans="1:7" x14ac:dyDescent="0.2">
      <c r="A1936" s="3">
        <f ca="1">IFERROR(__xludf.DUMMYFUNCTION("""COMPUTED_VALUE"""),7711)</f>
        <v>7711</v>
      </c>
      <c r="B1936" s="6">
        <f ca="1">IFERROR(__xludf.DUMMYFUNCTION("""COMPUTED_VALUE"""),45474.4435763888)</f>
        <v>45474.443576388803</v>
      </c>
      <c r="C1936" s="3" t="str">
        <f ca="1">IFERROR(__xludf.DUMMYFUNCTION("""COMPUTED_VALUE"""),"purchase")</f>
        <v>purchase</v>
      </c>
      <c r="D1936" s="6">
        <f t="shared" ca="1" si="0"/>
        <v>45474</v>
      </c>
      <c r="E1936" s="6">
        <f t="shared" ca="1" si="1"/>
        <v>45474</v>
      </c>
      <c r="F1936" s="6">
        <f t="shared" ca="1" si="2"/>
        <v>45474</v>
      </c>
      <c r="G1936" s="7"/>
    </row>
    <row r="1937" spans="1:7" x14ac:dyDescent="0.2">
      <c r="A1937" s="3">
        <f ca="1">IFERROR(__xludf.DUMMYFUNCTION("""COMPUTED_VALUE"""),4672)</f>
        <v>4672</v>
      </c>
      <c r="B1937" s="6">
        <f ca="1">IFERROR(__xludf.DUMMYFUNCTION("""COMPUTED_VALUE"""),45474.4550462962)</f>
        <v>45474.4550462962</v>
      </c>
      <c r="C1937" s="3" t="str">
        <f ca="1">IFERROR(__xludf.DUMMYFUNCTION("""COMPUTED_VALUE"""),"purchase")</f>
        <v>purchase</v>
      </c>
      <c r="D1937" s="6">
        <f t="shared" ca="1" si="0"/>
        <v>45474</v>
      </c>
      <c r="E1937" s="6">
        <f t="shared" ca="1" si="1"/>
        <v>45474</v>
      </c>
      <c r="F1937" s="6">
        <f t="shared" ca="1" si="2"/>
        <v>45474</v>
      </c>
      <c r="G1937" s="7"/>
    </row>
    <row r="1938" spans="1:7" x14ac:dyDescent="0.2">
      <c r="A1938" s="3">
        <f ca="1">IFERROR(__xludf.DUMMYFUNCTION("""COMPUTED_VALUE"""),1159)</f>
        <v>1159</v>
      </c>
      <c r="B1938" s="6">
        <f ca="1">IFERROR(__xludf.DUMMYFUNCTION("""COMPUTED_VALUE"""),45474.5182175925)</f>
        <v>45474.5182175925</v>
      </c>
      <c r="C1938" s="3" t="str">
        <f ca="1">IFERROR(__xludf.DUMMYFUNCTION("""COMPUTED_VALUE"""),"purchase")</f>
        <v>purchase</v>
      </c>
      <c r="D1938" s="6">
        <f t="shared" ca="1" si="0"/>
        <v>45474</v>
      </c>
      <c r="E1938" s="6">
        <f t="shared" ca="1" si="1"/>
        <v>45474</v>
      </c>
      <c r="F1938" s="6">
        <f t="shared" ca="1" si="2"/>
        <v>45474</v>
      </c>
      <c r="G1938" s="7"/>
    </row>
    <row r="1939" spans="1:7" x14ac:dyDescent="0.2">
      <c r="A1939" s="3">
        <f ca="1">IFERROR(__xludf.DUMMYFUNCTION("""COMPUTED_VALUE"""),3916)</f>
        <v>3916</v>
      </c>
      <c r="B1939" s="6">
        <f ca="1">IFERROR(__xludf.DUMMYFUNCTION("""COMPUTED_VALUE"""),45474.6373958333)</f>
        <v>45474.637395833299</v>
      </c>
      <c r="C1939" s="3" t="str">
        <f ca="1">IFERROR(__xludf.DUMMYFUNCTION("""COMPUTED_VALUE"""),"purchase")</f>
        <v>purchase</v>
      </c>
      <c r="D1939" s="6">
        <f t="shared" ca="1" si="0"/>
        <v>45474</v>
      </c>
      <c r="E1939" s="6">
        <f t="shared" ca="1" si="1"/>
        <v>45474</v>
      </c>
      <c r="F1939" s="6">
        <f t="shared" ca="1" si="2"/>
        <v>45474</v>
      </c>
      <c r="G1939" s="7"/>
    </row>
    <row r="1940" spans="1:7" x14ac:dyDescent="0.2">
      <c r="A1940" s="3">
        <f ca="1">IFERROR(__xludf.DUMMYFUNCTION("""COMPUTED_VALUE"""),1594)</f>
        <v>1594</v>
      </c>
      <c r="B1940" s="6">
        <f ca="1">IFERROR(__xludf.DUMMYFUNCTION("""COMPUTED_VALUE"""),45474.6624074074)</f>
        <v>45474.662407407399</v>
      </c>
      <c r="C1940" s="3" t="str">
        <f ca="1">IFERROR(__xludf.DUMMYFUNCTION("""COMPUTED_VALUE"""),"purchase")</f>
        <v>purchase</v>
      </c>
      <c r="D1940" s="6">
        <f t="shared" ca="1" si="0"/>
        <v>45474</v>
      </c>
      <c r="E1940" s="6">
        <f t="shared" ca="1" si="1"/>
        <v>45474</v>
      </c>
      <c r="F1940" s="6">
        <f t="shared" ca="1" si="2"/>
        <v>45474</v>
      </c>
      <c r="G1940" s="7"/>
    </row>
    <row r="1941" spans="1:7" x14ac:dyDescent="0.2">
      <c r="A1941" s="3">
        <f ca="1">IFERROR(__xludf.DUMMYFUNCTION("""COMPUTED_VALUE"""),6853)</f>
        <v>6853</v>
      </c>
      <c r="B1941" s="6">
        <f ca="1">IFERROR(__xludf.DUMMYFUNCTION("""COMPUTED_VALUE"""),45474.7519791666)</f>
        <v>45474.751979166598</v>
      </c>
      <c r="C1941" s="3" t="str">
        <f ca="1">IFERROR(__xludf.DUMMYFUNCTION("""COMPUTED_VALUE"""),"purchase")</f>
        <v>purchase</v>
      </c>
      <c r="D1941" s="6">
        <f t="shared" ca="1" si="0"/>
        <v>45474</v>
      </c>
      <c r="E1941" s="6">
        <f t="shared" ca="1" si="1"/>
        <v>45474</v>
      </c>
      <c r="F1941" s="6">
        <f t="shared" ca="1" si="2"/>
        <v>45474</v>
      </c>
      <c r="G1941" s="7"/>
    </row>
    <row r="1942" spans="1:7" x14ac:dyDescent="0.2">
      <c r="A1942" s="3">
        <f ca="1">IFERROR(__xludf.DUMMYFUNCTION("""COMPUTED_VALUE"""),7417)</f>
        <v>7417</v>
      </c>
      <c r="B1942" s="6">
        <f ca="1">IFERROR(__xludf.DUMMYFUNCTION("""COMPUTED_VALUE"""),45474.7921064814)</f>
        <v>45474.7921064814</v>
      </c>
      <c r="C1942" s="3" t="str">
        <f ca="1">IFERROR(__xludf.DUMMYFUNCTION("""COMPUTED_VALUE"""),"purchase")</f>
        <v>purchase</v>
      </c>
      <c r="D1942" s="6">
        <f t="shared" ca="1" si="0"/>
        <v>45474</v>
      </c>
      <c r="E1942" s="6">
        <f t="shared" ca="1" si="1"/>
        <v>45474</v>
      </c>
      <c r="F1942" s="6">
        <f t="shared" ca="1" si="2"/>
        <v>45474</v>
      </c>
      <c r="G1942" s="7"/>
    </row>
    <row r="1943" spans="1:7" x14ac:dyDescent="0.2">
      <c r="A1943" s="3">
        <f ca="1">IFERROR(__xludf.DUMMYFUNCTION("""COMPUTED_VALUE"""),5235)</f>
        <v>5235</v>
      </c>
      <c r="B1943" s="6">
        <f ca="1">IFERROR(__xludf.DUMMYFUNCTION("""COMPUTED_VALUE"""),45474.8386342592)</f>
        <v>45474.838634259198</v>
      </c>
      <c r="C1943" s="3" t="str">
        <f ca="1">IFERROR(__xludf.DUMMYFUNCTION("""COMPUTED_VALUE"""),"purchase")</f>
        <v>purchase</v>
      </c>
      <c r="D1943" s="6">
        <f t="shared" ca="1" si="0"/>
        <v>45474</v>
      </c>
      <c r="E1943" s="6">
        <f t="shared" ca="1" si="1"/>
        <v>45474</v>
      </c>
      <c r="F1943" s="6">
        <f t="shared" ca="1" si="2"/>
        <v>45474</v>
      </c>
      <c r="G1943" s="7"/>
    </row>
    <row r="1944" spans="1:7" x14ac:dyDescent="0.2">
      <c r="A1944" s="3">
        <f ca="1">IFERROR(__xludf.DUMMYFUNCTION("""COMPUTED_VALUE"""),4467)</f>
        <v>4467</v>
      </c>
      <c r="B1944" s="6">
        <f ca="1">IFERROR(__xludf.DUMMYFUNCTION("""COMPUTED_VALUE"""),45474.8395138888)</f>
        <v>45474.839513888801</v>
      </c>
      <c r="C1944" s="3" t="str">
        <f ca="1">IFERROR(__xludf.DUMMYFUNCTION("""COMPUTED_VALUE"""),"purchase")</f>
        <v>purchase</v>
      </c>
      <c r="D1944" s="6">
        <f t="shared" ca="1" si="0"/>
        <v>45474</v>
      </c>
      <c r="E1944" s="6">
        <f t="shared" ca="1" si="1"/>
        <v>45474</v>
      </c>
      <c r="F1944" s="6">
        <f t="shared" ca="1" si="2"/>
        <v>45474</v>
      </c>
      <c r="G1944" s="7"/>
    </row>
    <row r="1945" spans="1:7" x14ac:dyDescent="0.2">
      <c r="A1945" s="3">
        <f ca="1">IFERROR(__xludf.DUMMYFUNCTION("""COMPUTED_VALUE"""),7692)</f>
        <v>7692</v>
      </c>
      <c r="B1945" s="6">
        <f ca="1">IFERROR(__xludf.DUMMYFUNCTION("""COMPUTED_VALUE"""),45474.8926851851)</f>
        <v>45474.892685185099</v>
      </c>
      <c r="C1945" s="3" t="str">
        <f ca="1">IFERROR(__xludf.DUMMYFUNCTION("""COMPUTED_VALUE"""),"purchase")</f>
        <v>purchase</v>
      </c>
      <c r="D1945" s="6">
        <f t="shared" ca="1" si="0"/>
        <v>45474</v>
      </c>
      <c r="E1945" s="6">
        <f t="shared" ca="1" si="1"/>
        <v>45474</v>
      </c>
      <c r="F1945" s="6">
        <f t="shared" ca="1" si="2"/>
        <v>45474</v>
      </c>
      <c r="G1945" s="7"/>
    </row>
    <row r="1946" spans="1:7" x14ac:dyDescent="0.2">
      <c r="A1946" s="3">
        <f ca="1">IFERROR(__xludf.DUMMYFUNCTION("""COMPUTED_VALUE"""),2885)</f>
        <v>2885</v>
      </c>
      <c r="B1946" s="6">
        <f ca="1">IFERROR(__xludf.DUMMYFUNCTION("""COMPUTED_VALUE"""),45474.9002083333)</f>
        <v>45474.900208333303</v>
      </c>
      <c r="C1946" s="3" t="str">
        <f ca="1">IFERROR(__xludf.DUMMYFUNCTION("""COMPUTED_VALUE"""),"purchase")</f>
        <v>purchase</v>
      </c>
      <c r="D1946" s="6">
        <f t="shared" ca="1" si="0"/>
        <v>45474</v>
      </c>
      <c r="E1946" s="6">
        <f t="shared" ca="1" si="1"/>
        <v>45474</v>
      </c>
      <c r="F1946" s="6">
        <f t="shared" ca="1" si="2"/>
        <v>45474</v>
      </c>
      <c r="G1946" s="7"/>
    </row>
    <row r="1947" spans="1:7" x14ac:dyDescent="0.2">
      <c r="A1947" s="3">
        <f ca="1">IFERROR(__xludf.DUMMYFUNCTION("""COMPUTED_VALUE"""),1198)</f>
        <v>1198</v>
      </c>
      <c r="B1947" s="6">
        <f ca="1">IFERROR(__xludf.DUMMYFUNCTION("""COMPUTED_VALUE"""),45474.9868402777)</f>
        <v>45474.986840277699</v>
      </c>
      <c r="C1947" s="3" t="str">
        <f ca="1">IFERROR(__xludf.DUMMYFUNCTION("""COMPUTED_VALUE"""),"purchase")</f>
        <v>purchase</v>
      </c>
      <c r="D1947" s="6">
        <f t="shared" ca="1" si="0"/>
        <v>45474</v>
      </c>
      <c r="E1947" s="6">
        <f t="shared" ca="1" si="1"/>
        <v>45474</v>
      </c>
      <c r="F1947" s="6">
        <f t="shared" ca="1" si="2"/>
        <v>45474</v>
      </c>
      <c r="G1947" s="7"/>
    </row>
    <row r="1948" spans="1:7" x14ac:dyDescent="0.2">
      <c r="A1948" s="3">
        <f ca="1">IFERROR(__xludf.DUMMYFUNCTION("""COMPUTED_VALUE"""),2070)</f>
        <v>2070</v>
      </c>
      <c r="B1948" s="6">
        <f ca="1">IFERROR(__xludf.DUMMYFUNCTION("""COMPUTED_VALUE"""),45475.0123263888)</f>
        <v>45475.012326388802</v>
      </c>
      <c r="C1948" s="3" t="str">
        <f ca="1">IFERROR(__xludf.DUMMYFUNCTION("""COMPUTED_VALUE"""),"purchase")</f>
        <v>purchase</v>
      </c>
      <c r="D1948" s="6">
        <f t="shared" ca="1" si="0"/>
        <v>45475</v>
      </c>
      <c r="E1948" s="6">
        <f t="shared" ca="1" si="1"/>
        <v>45474</v>
      </c>
      <c r="F1948" s="6">
        <f t="shared" ca="1" si="2"/>
        <v>45474</v>
      </c>
      <c r="G1948" s="7"/>
    </row>
    <row r="1949" spans="1:7" x14ac:dyDescent="0.2">
      <c r="A1949" s="3">
        <f ca="1">IFERROR(__xludf.DUMMYFUNCTION("""COMPUTED_VALUE"""),6956)</f>
        <v>6956</v>
      </c>
      <c r="B1949" s="6">
        <f ca="1">IFERROR(__xludf.DUMMYFUNCTION("""COMPUTED_VALUE"""),45475.0391319444)</f>
        <v>45475.039131944402</v>
      </c>
      <c r="C1949" s="3" t="str">
        <f ca="1">IFERROR(__xludf.DUMMYFUNCTION("""COMPUTED_VALUE"""),"purchase")</f>
        <v>purchase</v>
      </c>
      <c r="D1949" s="6">
        <f t="shared" ca="1" si="0"/>
        <v>45475</v>
      </c>
      <c r="E1949" s="6">
        <f t="shared" ca="1" si="1"/>
        <v>45474</v>
      </c>
      <c r="F1949" s="6">
        <f t="shared" ca="1" si="2"/>
        <v>45474</v>
      </c>
      <c r="G1949" s="7"/>
    </row>
    <row r="1950" spans="1:7" x14ac:dyDescent="0.2">
      <c r="A1950" s="3">
        <f ca="1">IFERROR(__xludf.DUMMYFUNCTION("""COMPUTED_VALUE"""),402)</f>
        <v>402</v>
      </c>
      <c r="B1950" s="6">
        <f ca="1">IFERROR(__xludf.DUMMYFUNCTION("""COMPUTED_VALUE"""),45475.1115856481)</f>
        <v>45475.111585648097</v>
      </c>
      <c r="C1950" s="3" t="str">
        <f ca="1">IFERROR(__xludf.DUMMYFUNCTION("""COMPUTED_VALUE"""),"purchase")</f>
        <v>purchase</v>
      </c>
      <c r="D1950" s="6">
        <f t="shared" ca="1" si="0"/>
        <v>45475</v>
      </c>
      <c r="E1950" s="6">
        <f t="shared" ca="1" si="1"/>
        <v>45474</v>
      </c>
      <c r="F1950" s="6">
        <f t="shared" ca="1" si="2"/>
        <v>45474</v>
      </c>
      <c r="G1950" s="7"/>
    </row>
    <row r="1951" spans="1:7" x14ac:dyDescent="0.2">
      <c r="A1951" s="3">
        <f ca="1">IFERROR(__xludf.DUMMYFUNCTION("""COMPUTED_VALUE"""),4839)</f>
        <v>4839</v>
      </c>
      <c r="B1951" s="6">
        <f ca="1">IFERROR(__xludf.DUMMYFUNCTION("""COMPUTED_VALUE"""),45475.1276157407)</f>
        <v>45475.127615740697</v>
      </c>
      <c r="C1951" s="3" t="str">
        <f ca="1">IFERROR(__xludf.DUMMYFUNCTION("""COMPUTED_VALUE"""),"purchase")</f>
        <v>purchase</v>
      </c>
      <c r="D1951" s="6">
        <f t="shared" ca="1" si="0"/>
        <v>45475</v>
      </c>
      <c r="E1951" s="6">
        <f t="shared" ca="1" si="1"/>
        <v>45474</v>
      </c>
      <c r="F1951" s="6">
        <f t="shared" ca="1" si="2"/>
        <v>45474</v>
      </c>
      <c r="G1951" s="7"/>
    </row>
    <row r="1952" spans="1:7" x14ac:dyDescent="0.2">
      <c r="A1952" s="3">
        <f ca="1">IFERROR(__xludf.DUMMYFUNCTION("""COMPUTED_VALUE"""),4520)</f>
        <v>4520</v>
      </c>
      <c r="B1952" s="6">
        <f ca="1">IFERROR(__xludf.DUMMYFUNCTION("""COMPUTED_VALUE"""),45475.1310763888)</f>
        <v>45475.131076388803</v>
      </c>
      <c r="C1952" s="3" t="str">
        <f ca="1">IFERROR(__xludf.DUMMYFUNCTION("""COMPUTED_VALUE"""),"purchase")</f>
        <v>purchase</v>
      </c>
      <c r="D1952" s="6">
        <f t="shared" ca="1" si="0"/>
        <v>45475</v>
      </c>
      <c r="E1952" s="6">
        <f t="shared" ca="1" si="1"/>
        <v>45474</v>
      </c>
      <c r="F1952" s="6">
        <f t="shared" ca="1" si="2"/>
        <v>45474</v>
      </c>
      <c r="G1952" s="7"/>
    </row>
    <row r="1953" spans="1:7" x14ac:dyDescent="0.2">
      <c r="A1953" s="3">
        <f ca="1">IFERROR(__xludf.DUMMYFUNCTION("""COMPUTED_VALUE"""),1466)</f>
        <v>1466</v>
      </c>
      <c r="B1953" s="6">
        <f ca="1">IFERROR(__xludf.DUMMYFUNCTION("""COMPUTED_VALUE"""),45475.1423958333)</f>
        <v>45475.142395833303</v>
      </c>
      <c r="C1953" s="3" t="str">
        <f ca="1">IFERROR(__xludf.DUMMYFUNCTION("""COMPUTED_VALUE"""),"purchase")</f>
        <v>purchase</v>
      </c>
      <c r="D1953" s="6">
        <f t="shared" ca="1" si="0"/>
        <v>45475</v>
      </c>
      <c r="E1953" s="6">
        <f t="shared" ca="1" si="1"/>
        <v>45474</v>
      </c>
      <c r="F1953" s="6">
        <f t="shared" ca="1" si="2"/>
        <v>45474</v>
      </c>
      <c r="G1953" s="7"/>
    </row>
    <row r="1954" spans="1:7" x14ac:dyDescent="0.2">
      <c r="A1954" s="3">
        <f ca="1">IFERROR(__xludf.DUMMYFUNCTION("""COMPUTED_VALUE"""),938)</f>
        <v>938</v>
      </c>
      <c r="B1954" s="6">
        <f ca="1">IFERROR(__xludf.DUMMYFUNCTION("""COMPUTED_VALUE"""),45475.2511111111)</f>
        <v>45475.251111111102</v>
      </c>
      <c r="C1954" s="3" t="str">
        <f ca="1">IFERROR(__xludf.DUMMYFUNCTION("""COMPUTED_VALUE"""),"purchase")</f>
        <v>purchase</v>
      </c>
      <c r="D1954" s="6">
        <f t="shared" ca="1" si="0"/>
        <v>45475</v>
      </c>
      <c r="E1954" s="6">
        <f t="shared" ca="1" si="1"/>
        <v>45474</v>
      </c>
      <c r="F1954" s="6">
        <f t="shared" ca="1" si="2"/>
        <v>45474</v>
      </c>
      <c r="G1954" s="7"/>
    </row>
    <row r="1955" spans="1:7" x14ac:dyDescent="0.2">
      <c r="A1955" s="3">
        <f ca="1">IFERROR(__xludf.DUMMYFUNCTION("""COMPUTED_VALUE"""),1426)</f>
        <v>1426</v>
      </c>
      <c r="B1955" s="6">
        <f ca="1">IFERROR(__xludf.DUMMYFUNCTION("""COMPUTED_VALUE"""),45475.4548148148)</f>
        <v>45475.454814814802</v>
      </c>
      <c r="C1955" s="3" t="str">
        <f ca="1">IFERROR(__xludf.DUMMYFUNCTION("""COMPUTED_VALUE"""),"purchase")</f>
        <v>purchase</v>
      </c>
      <c r="D1955" s="6">
        <f t="shared" ca="1" si="0"/>
        <v>45475</v>
      </c>
      <c r="E1955" s="6">
        <f t="shared" ca="1" si="1"/>
        <v>45474</v>
      </c>
      <c r="F1955" s="6">
        <f t="shared" ca="1" si="2"/>
        <v>45474</v>
      </c>
      <c r="G1955" s="7"/>
    </row>
    <row r="1956" spans="1:7" x14ac:dyDescent="0.2">
      <c r="A1956" s="3">
        <f ca="1">IFERROR(__xludf.DUMMYFUNCTION("""COMPUTED_VALUE"""),2586)</f>
        <v>2586</v>
      </c>
      <c r="B1956" s="6">
        <f ca="1">IFERROR(__xludf.DUMMYFUNCTION("""COMPUTED_VALUE"""),45475.6670949074)</f>
        <v>45475.667094907403</v>
      </c>
      <c r="C1956" s="3" t="str">
        <f ca="1">IFERROR(__xludf.DUMMYFUNCTION("""COMPUTED_VALUE"""),"purchase")</f>
        <v>purchase</v>
      </c>
      <c r="D1956" s="6">
        <f t="shared" ca="1" si="0"/>
        <v>45475</v>
      </c>
      <c r="E1956" s="6">
        <f t="shared" ca="1" si="1"/>
        <v>45474</v>
      </c>
      <c r="F1956" s="6">
        <f t="shared" ca="1" si="2"/>
        <v>45474</v>
      </c>
      <c r="G1956" s="7"/>
    </row>
    <row r="1957" spans="1:7" x14ac:dyDescent="0.2">
      <c r="A1957" s="3">
        <f ca="1">IFERROR(__xludf.DUMMYFUNCTION("""COMPUTED_VALUE"""),4906)</f>
        <v>4906</v>
      </c>
      <c r="B1957" s="6">
        <f ca="1">IFERROR(__xludf.DUMMYFUNCTION("""COMPUTED_VALUE"""),45475.6717708333)</f>
        <v>45475.671770833302</v>
      </c>
      <c r="C1957" s="3" t="str">
        <f ca="1">IFERROR(__xludf.DUMMYFUNCTION("""COMPUTED_VALUE"""),"purchase")</f>
        <v>purchase</v>
      </c>
      <c r="D1957" s="6">
        <f t="shared" ca="1" si="0"/>
        <v>45475</v>
      </c>
      <c r="E1957" s="6">
        <f t="shared" ca="1" si="1"/>
        <v>45474</v>
      </c>
      <c r="F1957" s="6">
        <f t="shared" ca="1" si="2"/>
        <v>45474</v>
      </c>
      <c r="G1957" s="7"/>
    </row>
    <row r="1958" spans="1:7" x14ac:dyDescent="0.2">
      <c r="A1958" s="3">
        <f ca="1">IFERROR(__xludf.DUMMYFUNCTION("""COMPUTED_VALUE"""),7312)</f>
        <v>7312</v>
      </c>
      <c r="B1958" s="6">
        <f ca="1">IFERROR(__xludf.DUMMYFUNCTION("""COMPUTED_VALUE"""),45475.7361226851)</f>
        <v>45475.736122685099</v>
      </c>
      <c r="C1958" s="3" t="str">
        <f ca="1">IFERROR(__xludf.DUMMYFUNCTION("""COMPUTED_VALUE"""),"purchase")</f>
        <v>purchase</v>
      </c>
      <c r="D1958" s="6">
        <f t="shared" ca="1" si="0"/>
        <v>45475</v>
      </c>
      <c r="E1958" s="6">
        <f t="shared" ca="1" si="1"/>
        <v>45474</v>
      </c>
      <c r="F1958" s="6">
        <f t="shared" ca="1" si="2"/>
        <v>45474</v>
      </c>
      <c r="G1958" s="7"/>
    </row>
    <row r="1959" spans="1:7" x14ac:dyDescent="0.2">
      <c r="A1959" s="3">
        <f ca="1">IFERROR(__xludf.DUMMYFUNCTION("""COMPUTED_VALUE"""),5150)</f>
        <v>5150</v>
      </c>
      <c r="B1959" s="6">
        <f ca="1">IFERROR(__xludf.DUMMYFUNCTION("""COMPUTED_VALUE"""),45475.8242476851)</f>
        <v>45475.824247685101</v>
      </c>
      <c r="C1959" s="3" t="str">
        <f ca="1">IFERROR(__xludf.DUMMYFUNCTION("""COMPUTED_VALUE"""),"purchase")</f>
        <v>purchase</v>
      </c>
      <c r="D1959" s="6">
        <f t="shared" ca="1" si="0"/>
        <v>45475</v>
      </c>
      <c r="E1959" s="6">
        <f t="shared" ca="1" si="1"/>
        <v>45474</v>
      </c>
      <c r="F1959" s="6">
        <f t="shared" ca="1" si="2"/>
        <v>45474</v>
      </c>
      <c r="G1959" s="7"/>
    </row>
    <row r="1960" spans="1:7" x14ac:dyDescent="0.2">
      <c r="A1960" s="3">
        <f ca="1">IFERROR(__xludf.DUMMYFUNCTION("""COMPUTED_VALUE"""),4081)</f>
        <v>4081</v>
      </c>
      <c r="B1960" s="6">
        <f ca="1">IFERROR(__xludf.DUMMYFUNCTION("""COMPUTED_VALUE"""),45475.9486342592)</f>
        <v>45475.948634259199</v>
      </c>
      <c r="C1960" s="3" t="str">
        <f ca="1">IFERROR(__xludf.DUMMYFUNCTION("""COMPUTED_VALUE"""),"purchase")</f>
        <v>purchase</v>
      </c>
      <c r="D1960" s="6">
        <f t="shared" ca="1" si="0"/>
        <v>45475</v>
      </c>
      <c r="E1960" s="6">
        <f t="shared" ca="1" si="1"/>
        <v>45474</v>
      </c>
      <c r="F1960" s="6">
        <f t="shared" ca="1" si="2"/>
        <v>45474</v>
      </c>
      <c r="G1960" s="7"/>
    </row>
    <row r="1961" spans="1:7" x14ac:dyDescent="0.2">
      <c r="A1961" s="3">
        <f ca="1">IFERROR(__xludf.DUMMYFUNCTION("""COMPUTED_VALUE"""),4794)</f>
        <v>4794</v>
      </c>
      <c r="B1961" s="6">
        <f ca="1">IFERROR(__xludf.DUMMYFUNCTION("""COMPUTED_VALUE"""),45476.0885069444)</f>
        <v>45476.088506944398</v>
      </c>
      <c r="C1961" s="3" t="str">
        <f ca="1">IFERROR(__xludf.DUMMYFUNCTION("""COMPUTED_VALUE"""),"purchase")</f>
        <v>purchase</v>
      </c>
      <c r="D1961" s="6">
        <f t="shared" ca="1" si="0"/>
        <v>45476</v>
      </c>
      <c r="E1961" s="6">
        <f t="shared" ca="1" si="1"/>
        <v>45474</v>
      </c>
      <c r="F1961" s="6">
        <f t="shared" ca="1" si="2"/>
        <v>45474</v>
      </c>
      <c r="G1961" s="7"/>
    </row>
    <row r="1962" spans="1:7" x14ac:dyDescent="0.2">
      <c r="A1962" s="3">
        <f ca="1">IFERROR(__xludf.DUMMYFUNCTION("""COMPUTED_VALUE"""),474)</f>
        <v>474</v>
      </c>
      <c r="B1962" s="6">
        <f ca="1">IFERROR(__xludf.DUMMYFUNCTION("""COMPUTED_VALUE"""),45476.1823263888)</f>
        <v>45476.1823263888</v>
      </c>
      <c r="C1962" s="3" t="str">
        <f ca="1">IFERROR(__xludf.DUMMYFUNCTION("""COMPUTED_VALUE"""),"purchase")</f>
        <v>purchase</v>
      </c>
      <c r="D1962" s="6">
        <f t="shared" ca="1" si="0"/>
        <v>45476</v>
      </c>
      <c r="E1962" s="6">
        <f t="shared" ca="1" si="1"/>
        <v>45474</v>
      </c>
      <c r="F1962" s="6">
        <f t="shared" ca="1" si="2"/>
        <v>45474</v>
      </c>
      <c r="G1962" s="7"/>
    </row>
    <row r="1963" spans="1:7" x14ac:dyDescent="0.2">
      <c r="A1963" s="3">
        <f ca="1">IFERROR(__xludf.DUMMYFUNCTION("""COMPUTED_VALUE"""),6430)</f>
        <v>6430</v>
      </c>
      <c r="B1963" s="6">
        <f ca="1">IFERROR(__xludf.DUMMYFUNCTION("""COMPUTED_VALUE"""),45476.2639004629)</f>
        <v>45476.263900462902</v>
      </c>
      <c r="C1963" s="3" t="str">
        <f ca="1">IFERROR(__xludf.DUMMYFUNCTION("""COMPUTED_VALUE"""),"purchase")</f>
        <v>purchase</v>
      </c>
      <c r="D1963" s="6">
        <f t="shared" ca="1" si="0"/>
        <v>45476</v>
      </c>
      <c r="E1963" s="6">
        <f t="shared" ca="1" si="1"/>
        <v>45474</v>
      </c>
      <c r="F1963" s="6">
        <f t="shared" ca="1" si="2"/>
        <v>45474</v>
      </c>
      <c r="G1963" s="7"/>
    </row>
    <row r="1964" spans="1:7" x14ac:dyDescent="0.2">
      <c r="A1964" s="3">
        <f ca="1">IFERROR(__xludf.DUMMYFUNCTION("""COMPUTED_VALUE"""),3040)</f>
        <v>3040</v>
      </c>
      <c r="B1964" s="6">
        <f ca="1">IFERROR(__xludf.DUMMYFUNCTION("""COMPUTED_VALUE"""),45476.425636574)</f>
        <v>45476.425636574</v>
      </c>
      <c r="C1964" s="3" t="str">
        <f ca="1">IFERROR(__xludf.DUMMYFUNCTION("""COMPUTED_VALUE"""),"purchase")</f>
        <v>purchase</v>
      </c>
      <c r="D1964" s="6">
        <f t="shared" ca="1" si="0"/>
        <v>45476</v>
      </c>
      <c r="E1964" s="6">
        <f t="shared" ca="1" si="1"/>
        <v>45474</v>
      </c>
      <c r="F1964" s="6">
        <f t="shared" ca="1" si="2"/>
        <v>45474</v>
      </c>
      <c r="G1964" s="7"/>
    </row>
    <row r="1965" spans="1:7" x14ac:dyDescent="0.2">
      <c r="A1965" s="3">
        <f ca="1">IFERROR(__xludf.DUMMYFUNCTION("""COMPUTED_VALUE"""),6527)</f>
        <v>6527</v>
      </c>
      <c r="B1965" s="6">
        <f ca="1">IFERROR(__xludf.DUMMYFUNCTION("""COMPUTED_VALUE"""),45476.4438194444)</f>
        <v>45476.443819444401</v>
      </c>
      <c r="C1965" s="3" t="str">
        <f ca="1">IFERROR(__xludf.DUMMYFUNCTION("""COMPUTED_VALUE"""),"purchase")</f>
        <v>purchase</v>
      </c>
      <c r="D1965" s="6">
        <f t="shared" ca="1" si="0"/>
        <v>45476</v>
      </c>
      <c r="E1965" s="6">
        <f t="shared" ca="1" si="1"/>
        <v>45474</v>
      </c>
      <c r="F1965" s="6">
        <f t="shared" ca="1" si="2"/>
        <v>45474</v>
      </c>
      <c r="G1965" s="7"/>
    </row>
    <row r="1966" spans="1:7" x14ac:dyDescent="0.2">
      <c r="A1966" s="3">
        <f ca="1">IFERROR(__xludf.DUMMYFUNCTION("""COMPUTED_VALUE"""),2437)</f>
        <v>2437</v>
      </c>
      <c r="B1966" s="6">
        <f ca="1">IFERROR(__xludf.DUMMYFUNCTION("""COMPUTED_VALUE"""),45476.4778935185)</f>
        <v>45476.477893518502</v>
      </c>
      <c r="C1966" s="3" t="str">
        <f ca="1">IFERROR(__xludf.DUMMYFUNCTION("""COMPUTED_VALUE"""),"purchase")</f>
        <v>purchase</v>
      </c>
      <c r="D1966" s="6">
        <f t="shared" ca="1" si="0"/>
        <v>45476</v>
      </c>
      <c r="E1966" s="6">
        <f t="shared" ca="1" si="1"/>
        <v>45474</v>
      </c>
      <c r="F1966" s="6">
        <f t="shared" ca="1" si="2"/>
        <v>45474</v>
      </c>
      <c r="G1966" s="7"/>
    </row>
    <row r="1967" spans="1:7" x14ac:dyDescent="0.2">
      <c r="A1967" s="3">
        <f ca="1">IFERROR(__xludf.DUMMYFUNCTION("""COMPUTED_VALUE"""),7963)</f>
        <v>7963</v>
      </c>
      <c r="B1967" s="6">
        <f ca="1">IFERROR(__xludf.DUMMYFUNCTION("""COMPUTED_VALUE"""),45476.5383333333)</f>
        <v>45476.538333333301</v>
      </c>
      <c r="C1967" s="3" t="str">
        <f ca="1">IFERROR(__xludf.DUMMYFUNCTION("""COMPUTED_VALUE"""),"purchase")</f>
        <v>purchase</v>
      </c>
      <c r="D1967" s="6">
        <f t="shared" ca="1" si="0"/>
        <v>45476</v>
      </c>
      <c r="E1967" s="6">
        <f t="shared" ca="1" si="1"/>
        <v>45474</v>
      </c>
      <c r="F1967" s="6">
        <f t="shared" ca="1" si="2"/>
        <v>45474</v>
      </c>
      <c r="G1967" s="7"/>
    </row>
    <row r="1968" spans="1:7" x14ac:dyDescent="0.2">
      <c r="A1968" s="3">
        <f ca="1">IFERROR(__xludf.DUMMYFUNCTION("""COMPUTED_VALUE"""),5217)</f>
        <v>5217</v>
      </c>
      <c r="B1968" s="6">
        <f ca="1">IFERROR(__xludf.DUMMYFUNCTION("""COMPUTED_VALUE"""),45476.6513310185)</f>
        <v>45476.651331018496</v>
      </c>
      <c r="C1968" s="3" t="str">
        <f ca="1">IFERROR(__xludf.DUMMYFUNCTION("""COMPUTED_VALUE"""),"purchase")</f>
        <v>purchase</v>
      </c>
      <c r="D1968" s="6">
        <f t="shared" ca="1" si="0"/>
        <v>45476</v>
      </c>
      <c r="E1968" s="6">
        <f t="shared" ca="1" si="1"/>
        <v>45474</v>
      </c>
      <c r="F1968" s="6">
        <f t="shared" ca="1" si="2"/>
        <v>45474</v>
      </c>
      <c r="G1968" s="7"/>
    </row>
    <row r="1969" spans="1:7" x14ac:dyDescent="0.2">
      <c r="A1969" s="3">
        <f ca="1">IFERROR(__xludf.DUMMYFUNCTION("""COMPUTED_VALUE"""),2355)</f>
        <v>2355</v>
      </c>
      <c r="B1969" s="6">
        <f ca="1">IFERROR(__xludf.DUMMYFUNCTION("""COMPUTED_VALUE"""),45476.6820717592)</f>
        <v>45476.682071759198</v>
      </c>
      <c r="C1969" s="3" t="str">
        <f ca="1">IFERROR(__xludf.DUMMYFUNCTION("""COMPUTED_VALUE"""),"purchase")</f>
        <v>purchase</v>
      </c>
      <c r="D1969" s="6">
        <f t="shared" ca="1" si="0"/>
        <v>45476</v>
      </c>
      <c r="E1969" s="6">
        <f t="shared" ca="1" si="1"/>
        <v>45474</v>
      </c>
      <c r="F1969" s="6">
        <f t="shared" ca="1" si="2"/>
        <v>45474</v>
      </c>
      <c r="G1969" s="7"/>
    </row>
    <row r="1970" spans="1:7" x14ac:dyDescent="0.2">
      <c r="A1970" s="3">
        <f ca="1">IFERROR(__xludf.DUMMYFUNCTION("""COMPUTED_VALUE"""),961)</f>
        <v>961</v>
      </c>
      <c r="B1970" s="6">
        <f ca="1">IFERROR(__xludf.DUMMYFUNCTION("""COMPUTED_VALUE"""),45476.9527893518)</f>
        <v>45476.952789351802</v>
      </c>
      <c r="C1970" s="3" t="str">
        <f ca="1">IFERROR(__xludf.DUMMYFUNCTION("""COMPUTED_VALUE"""),"purchase")</f>
        <v>purchase</v>
      </c>
      <c r="D1970" s="6">
        <f t="shared" ca="1" si="0"/>
        <v>45476</v>
      </c>
      <c r="E1970" s="6">
        <f t="shared" ca="1" si="1"/>
        <v>45474</v>
      </c>
      <c r="F1970" s="6">
        <f t="shared" ca="1" si="2"/>
        <v>45474</v>
      </c>
      <c r="G1970" s="7"/>
    </row>
    <row r="1971" spans="1:7" x14ac:dyDescent="0.2">
      <c r="A1971" s="3">
        <f ca="1">IFERROR(__xludf.DUMMYFUNCTION("""COMPUTED_VALUE"""),4961)</f>
        <v>4961</v>
      </c>
      <c r="B1971" s="6">
        <f ca="1">IFERROR(__xludf.DUMMYFUNCTION("""COMPUTED_VALUE"""),45477.4012847222)</f>
        <v>45477.401284722197</v>
      </c>
      <c r="C1971" s="3" t="str">
        <f ca="1">IFERROR(__xludf.DUMMYFUNCTION("""COMPUTED_VALUE"""),"purchase")</f>
        <v>purchase</v>
      </c>
      <c r="D1971" s="6">
        <f t="shared" ca="1" si="0"/>
        <v>45477</v>
      </c>
      <c r="E1971" s="6">
        <f t="shared" ca="1" si="1"/>
        <v>45474</v>
      </c>
      <c r="F1971" s="6">
        <f t="shared" ca="1" si="2"/>
        <v>45474</v>
      </c>
      <c r="G1971" s="7"/>
    </row>
    <row r="1972" spans="1:7" x14ac:dyDescent="0.2">
      <c r="A1972" s="3">
        <f ca="1">IFERROR(__xludf.DUMMYFUNCTION("""COMPUTED_VALUE"""),6396)</f>
        <v>6396</v>
      </c>
      <c r="B1972" s="6">
        <f ca="1">IFERROR(__xludf.DUMMYFUNCTION("""COMPUTED_VALUE"""),45477.5203356481)</f>
        <v>45477.5203356481</v>
      </c>
      <c r="C1972" s="3" t="str">
        <f ca="1">IFERROR(__xludf.DUMMYFUNCTION("""COMPUTED_VALUE"""),"purchase")</f>
        <v>purchase</v>
      </c>
      <c r="D1972" s="6">
        <f t="shared" ca="1" si="0"/>
        <v>45477</v>
      </c>
      <c r="E1972" s="6">
        <f t="shared" ca="1" si="1"/>
        <v>45474</v>
      </c>
      <c r="F1972" s="6">
        <f t="shared" ca="1" si="2"/>
        <v>45474</v>
      </c>
      <c r="G1972" s="7"/>
    </row>
    <row r="1973" spans="1:7" x14ac:dyDescent="0.2">
      <c r="A1973" s="3">
        <f ca="1">IFERROR(__xludf.DUMMYFUNCTION("""COMPUTED_VALUE"""),7288)</f>
        <v>7288</v>
      </c>
      <c r="B1973" s="6">
        <f ca="1">IFERROR(__xludf.DUMMYFUNCTION("""COMPUTED_VALUE"""),45477.6198379629)</f>
        <v>45477.619837962899</v>
      </c>
      <c r="C1973" s="3" t="str">
        <f ca="1">IFERROR(__xludf.DUMMYFUNCTION("""COMPUTED_VALUE"""),"purchase")</f>
        <v>purchase</v>
      </c>
      <c r="D1973" s="6">
        <f t="shared" ca="1" si="0"/>
        <v>45477</v>
      </c>
      <c r="E1973" s="6">
        <f t="shared" ca="1" si="1"/>
        <v>45474</v>
      </c>
      <c r="F1973" s="6">
        <f t="shared" ca="1" si="2"/>
        <v>45474</v>
      </c>
      <c r="G1973" s="7"/>
    </row>
    <row r="1974" spans="1:7" x14ac:dyDescent="0.2">
      <c r="A1974" s="3">
        <f ca="1">IFERROR(__xludf.DUMMYFUNCTION("""COMPUTED_VALUE"""),3079)</f>
        <v>3079</v>
      </c>
      <c r="B1974" s="6">
        <f ca="1">IFERROR(__xludf.DUMMYFUNCTION("""COMPUTED_VALUE"""),45477.6256018518)</f>
        <v>45477.625601851803</v>
      </c>
      <c r="C1974" s="3" t="str">
        <f ca="1">IFERROR(__xludf.DUMMYFUNCTION("""COMPUTED_VALUE"""),"purchase")</f>
        <v>purchase</v>
      </c>
      <c r="D1974" s="6">
        <f t="shared" ca="1" si="0"/>
        <v>45477</v>
      </c>
      <c r="E1974" s="6">
        <f t="shared" ca="1" si="1"/>
        <v>45474</v>
      </c>
      <c r="F1974" s="6">
        <f t="shared" ca="1" si="2"/>
        <v>45474</v>
      </c>
      <c r="G1974" s="7"/>
    </row>
    <row r="1975" spans="1:7" x14ac:dyDescent="0.2">
      <c r="A1975" s="3">
        <f ca="1">IFERROR(__xludf.DUMMYFUNCTION("""COMPUTED_VALUE"""),231)</f>
        <v>231</v>
      </c>
      <c r="B1975" s="6">
        <f ca="1">IFERROR(__xludf.DUMMYFUNCTION("""COMPUTED_VALUE"""),45477.9914699074)</f>
        <v>45477.9914699074</v>
      </c>
      <c r="C1975" s="3" t="str">
        <f ca="1">IFERROR(__xludf.DUMMYFUNCTION("""COMPUTED_VALUE"""),"purchase")</f>
        <v>purchase</v>
      </c>
      <c r="D1975" s="6">
        <f t="shared" ca="1" si="0"/>
        <v>45477</v>
      </c>
      <c r="E1975" s="6">
        <f t="shared" ca="1" si="1"/>
        <v>45474</v>
      </c>
      <c r="F1975" s="6">
        <f t="shared" ca="1" si="2"/>
        <v>45474</v>
      </c>
      <c r="G1975" s="7"/>
    </row>
    <row r="1976" spans="1:7" x14ac:dyDescent="0.2">
      <c r="A1976" s="3">
        <f ca="1">IFERROR(__xludf.DUMMYFUNCTION("""COMPUTED_VALUE"""),6142)</f>
        <v>6142</v>
      </c>
      <c r="B1976" s="6">
        <f ca="1">IFERROR(__xludf.DUMMYFUNCTION("""COMPUTED_VALUE"""),45477.9970486111)</f>
        <v>45477.997048611098</v>
      </c>
      <c r="C1976" s="3" t="str">
        <f ca="1">IFERROR(__xludf.DUMMYFUNCTION("""COMPUTED_VALUE"""),"purchase")</f>
        <v>purchase</v>
      </c>
      <c r="D1976" s="6">
        <f t="shared" ca="1" si="0"/>
        <v>45477</v>
      </c>
      <c r="E1976" s="6">
        <f t="shared" ca="1" si="1"/>
        <v>45474</v>
      </c>
      <c r="F1976" s="6">
        <f t="shared" ca="1" si="2"/>
        <v>45474</v>
      </c>
      <c r="G1976" s="7"/>
    </row>
    <row r="1977" spans="1:7" x14ac:dyDescent="0.2">
      <c r="A1977" s="3">
        <f ca="1">IFERROR(__xludf.DUMMYFUNCTION("""COMPUTED_VALUE"""),1488)</f>
        <v>1488</v>
      </c>
      <c r="B1977" s="6">
        <f ca="1">IFERROR(__xludf.DUMMYFUNCTION("""COMPUTED_VALUE"""),45478.1737268518)</f>
        <v>45478.173726851797</v>
      </c>
      <c r="C1977" s="3" t="str">
        <f ca="1">IFERROR(__xludf.DUMMYFUNCTION("""COMPUTED_VALUE"""),"purchase")</f>
        <v>purchase</v>
      </c>
      <c r="D1977" s="6">
        <f t="shared" ca="1" si="0"/>
        <v>45478</v>
      </c>
      <c r="E1977" s="6">
        <f t="shared" ca="1" si="1"/>
        <v>45474</v>
      </c>
      <c r="F1977" s="6">
        <f t="shared" ca="1" si="2"/>
        <v>45474</v>
      </c>
      <c r="G1977" s="7"/>
    </row>
    <row r="1978" spans="1:7" x14ac:dyDescent="0.2">
      <c r="A1978" s="3">
        <f ca="1">IFERROR(__xludf.DUMMYFUNCTION("""COMPUTED_VALUE"""),621)</f>
        <v>621</v>
      </c>
      <c r="B1978" s="6">
        <f ca="1">IFERROR(__xludf.DUMMYFUNCTION("""COMPUTED_VALUE"""),45478.2070254629)</f>
        <v>45478.2070254629</v>
      </c>
      <c r="C1978" s="3" t="str">
        <f ca="1">IFERROR(__xludf.DUMMYFUNCTION("""COMPUTED_VALUE"""),"purchase")</f>
        <v>purchase</v>
      </c>
      <c r="D1978" s="6">
        <f t="shared" ca="1" si="0"/>
        <v>45478</v>
      </c>
      <c r="E1978" s="6">
        <f t="shared" ca="1" si="1"/>
        <v>45474</v>
      </c>
      <c r="F1978" s="6">
        <f t="shared" ca="1" si="2"/>
        <v>45474</v>
      </c>
      <c r="G1978" s="7"/>
    </row>
    <row r="1979" spans="1:7" x14ac:dyDescent="0.2">
      <c r="A1979" s="3">
        <f ca="1">IFERROR(__xludf.DUMMYFUNCTION("""COMPUTED_VALUE"""),7936)</f>
        <v>7936</v>
      </c>
      <c r="B1979" s="6">
        <f ca="1">IFERROR(__xludf.DUMMYFUNCTION("""COMPUTED_VALUE"""),45478.2260300925)</f>
        <v>45478.226030092497</v>
      </c>
      <c r="C1979" s="3" t="str">
        <f ca="1">IFERROR(__xludf.DUMMYFUNCTION("""COMPUTED_VALUE"""),"purchase")</f>
        <v>purchase</v>
      </c>
      <c r="D1979" s="6">
        <f t="shared" ca="1" si="0"/>
        <v>45478</v>
      </c>
      <c r="E1979" s="6">
        <f t="shared" ca="1" si="1"/>
        <v>45474</v>
      </c>
      <c r="F1979" s="6">
        <f t="shared" ca="1" si="2"/>
        <v>45474</v>
      </c>
      <c r="G1979" s="7"/>
    </row>
    <row r="1980" spans="1:7" x14ac:dyDescent="0.2">
      <c r="A1980" s="3">
        <f ca="1">IFERROR(__xludf.DUMMYFUNCTION("""COMPUTED_VALUE"""),7043)</f>
        <v>7043</v>
      </c>
      <c r="B1980" s="6">
        <f ca="1">IFERROR(__xludf.DUMMYFUNCTION("""COMPUTED_VALUE"""),45478.2488310185)</f>
        <v>45478.2488310185</v>
      </c>
      <c r="C1980" s="3" t="str">
        <f ca="1">IFERROR(__xludf.DUMMYFUNCTION("""COMPUTED_VALUE"""),"purchase")</f>
        <v>purchase</v>
      </c>
      <c r="D1980" s="6">
        <f t="shared" ca="1" si="0"/>
        <v>45478</v>
      </c>
      <c r="E1980" s="6">
        <f t="shared" ca="1" si="1"/>
        <v>45474</v>
      </c>
      <c r="F1980" s="6">
        <f t="shared" ca="1" si="2"/>
        <v>45474</v>
      </c>
      <c r="G1980" s="7"/>
    </row>
    <row r="1981" spans="1:7" x14ac:dyDescent="0.2">
      <c r="A1981" s="3">
        <f ca="1">IFERROR(__xludf.DUMMYFUNCTION("""COMPUTED_VALUE"""),1040)</f>
        <v>1040</v>
      </c>
      <c r="B1981" s="6">
        <f ca="1">IFERROR(__xludf.DUMMYFUNCTION("""COMPUTED_VALUE"""),45478.2648032407)</f>
        <v>45478.264803240701</v>
      </c>
      <c r="C1981" s="3" t="str">
        <f ca="1">IFERROR(__xludf.DUMMYFUNCTION("""COMPUTED_VALUE"""),"purchase")</f>
        <v>purchase</v>
      </c>
      <c r="D1981" s="6">
        <f t="shared" ca="1" si="0"/>
        <v>45478</v>
      </c>
      <c r="E1981" s="6">
        <f t="shared" ca="1" si="1"/>
        <v>45474</v>
      </c>
      <c r="F1981" s="6">
        <f t="shared" ca="1" si="2"/>
        <v>45474</v>
      </c>
      <c r="G1981" s="7"/>
    </row>
    <row r="1982" spans="1:7" x14ac:dyDescent="0.2">
      <c r="A1982" s="3">
        <f ca="1">IFERROR(__xludf.DUMMYFUNCTION("""COMPUTED_VALUE"""),3300)</f>
        <v>3300</v>
      </c>
      <c r="B1982" s="6">
        <f ca="1">IFERROR(__xludf.DUMMYFUNCTION("""COMPUTED_VALUE"""),45478.3527430555)</f>
        <v>45478.352743055497</v>
      </c>
      <c r="C1982" s="3" t="str">
        <f ca="1">IFERROR(__xludf.DUMMYFUNCTION("""COMPUTED_VALUE"""),"purchase")</f>
        <v>purchase</v>
      </c>
      <c r="D1982" s="6">
        <f t="shared" ca="1" si="0"/>
        <v>45478</v>
      </c>
      <c r="E1982" s="6">
        <f t="shared" ca="1" si="1"/>
        <v>45474</v>
      </c>
      <c r="F1982" s="6">
        <f t="shared" ca="1" si="2"/>
        <v>45474</v>
      </c>
      <c r="G1982" s="7"/>
    </row>
    <row r="1983" spans="1:7" x14ac:dyDescent="0.2">
      <c r="A1983" s="3">
        <f ca="1">IFERROR(__xludf.DUMMYFUNCTION("""COMPUTED_VALUE"""),1996)</f>
        <v>1996</v>
      </c>
      <c r="B1983" s="6">
        <f ca="1">IFERROR(__xludf.DUMMYFUNCTION("""COMPUTED_VALUE"""),45478.5061342592)</f>
        <v>45478.506134259202</v>
      </c>
      <c r="C1983" s="3" t="str">
        <f ca="1">IFERROR(__xludf.DUMMYFUNCTION("""COMPUTED_VALUE"""),"purchase")</f>
        <v>purchase</v>
      </c>
      <c r="D1983" s="6">
        <f t="shared" ca="1" si="0"/>
        <v>45478</v>
      </c>
      <c r="E1983" s="6">
        <f t="shared" ca="1" si="1"/>
        <v>45474</v>
      </c>
      <c r="F1983" s="6">
        <f t="shared" ca="1" si="2"/>
        <v>45474</v>
      </c>
      <c r="G1983" s="7"/>
    </row>
    <row r="1984" spans="1:7" x14ac:dyDescent="0.2">
      <c r="A1984" s="3">
        <f ca="1">IFERROR(__xludf.DUMMYFUNCTION("""COMPUTED_VALUE"""),5328)</f>
        <v>5328</v>
      </c>
      <c r="B1984" s="6">
        <f ca="1">IFERROR(__xludf.DUMMYFUNCTION("""COMPUTED_VALUE"""),45478.5723148148)</f>
        <v>45478.572314814803</v>
      </c>
      <c r="C1984" s="3" t="str">
        <f ca="1">IFERROR(__xludf.DUMMYFUNCTION("""COMPUTED_VALUE"""),"purchase")</f>
        <v>purchase</v>
      </c>
      <c r="D1984" s="6">
        <f t="shared" ca="1" si="0"/>
        <v>45478</v>
      </c>
      <c r="E1984" s="6">
        <f t="shared" ca="1" si="1"/>
        <v>45474</v>
      </c>
      <c r="F1984" s="6">
        <f t="shared" ca="1" si="2"/>
        <v>45474</v>
      </c>
      <c r="G1984" s="7"/>
    </row>
    <row r="1985" spans="1:7" x14ac:dyDescent="0.2">
      <c r="A1985" s="3">
        <f ca="1">IFERROR(__xludf.DUMMYFUNCTION("""COMPUTED_VALUE"""),1021)</f>
        <v>1021</v>
      </c>
      <c r="B1985" s="6">
        <f ca="1">IFERROR(__xludf.DUMMYFUNCTION("""COMPUTED_VALUE"""),45478.5802199074)</f>
        <v>45478.580219907402</v>
      </c>
      <c r="C1985" s="3" t="str">
        <f ca="1">IFERROR(__xludf.DUMMYFUNCTION("""COMPUTED_VALUE"""),"purchase")</f>
        <v>purchase</v>
      </c>
      <c r="D1985" s="6">
        <f t="shared" ca="1" si="0"/>
        <v>45478</v>
      </c>
      <c r="E1985" s="6">
        <f t="shared" ca="1" si="1"/>
        <v>45474</v>
      </c>
      <c r="F1985" s="6">
        <f t="shared" ca="1" si="2"/>
        <v>45474</v>
      </c>
      <c r="G1985" s="7"/>
    </row>
    <row r="1986" spans="1:7" x14ac:dyDescent="0.2">
      <c r="A1986" s="3">
        <f ca="1">IFERROR(__xludf.DUMMYFUNCTION("""COMPUTED_VALUE"""),6636)</f>
        <v>6636</v>
      </c>
      <c r="B1986" s="6">
        <f ca="1">IFERROR(__xludf.DUMMYFUNCTION("""COMPUTED_VALUE"""),45478.6771412037)</f>
        <v>45478.677141203698</v>
      </c>
      <c r="C1986" s="3" t="str">
        <f ca="1">IFERROR(__xludf.DUMMYFUNCTION("""COMPUTED_VALUE"""),"purchase")</f>
        <v>purchase</v>
      </c>
      <c r="D1986" s="6">
        <f t="shared" ca="1" si="0"/>
        <v>45478</v>
      </c>
      <c r="E1986" s="6">
        <f t="shared" ca="1" si="1"/>
        <v>45474</v>
      </c>
      <c r="F1986" s="6">
        <f t="shared" ca="1" si="2"/>
        <v>45474</v>
      </c>
      <c r="G1986" s="7"/>
    </row>
    <row r="1987" spans="1:7" x14ac:dyDescent="0.2">
      <c r="A1987" s="3">
        <f ca="1">IFERROR(__xludf.DUMMYFUNCTION("""COMPUTED_VALUE"""),5236)</f>
        <v>5236</v>
      </c>
      <c r="B1987" s="6">
        <f ca="1">IFERROR(__xludf.DUMMYFUNCTION("""COMPUTED_VALUE"""),45478.696099537)</f>
        <v>45478.696099537003</v>
      </c>
      <c r="C1987" s="3" t="str">
        <f ca="1">IFERROR(__xludf.DUMMYFUNCTION("""COMPUTED_VALUE"""),"purchase")</f>
        <v>purchase</v>
      </c>
      <c r="D1987" s="6">
        <f t="shared" ca="1" si="0"/>
        <v>45478</v>
      </c>
      <c r="E1987" s="6">
        <f t="shared" ca="1" si="1"/>
        <v>45474</v>
      </c>
      <c r="F1987" s="6">
        <f t="shared" ca="1" si="2"/>
        <v>45474</v>
      </c>
      <c r="G1987" s="7"/>
    </row>
    <row r="1988" spans="1:7" x14ac:dyDescent="0.2">
      <c r="A1988" s="3">
        <f ca="1">IFERROR(__xludf.DUMMYFUNCTION("""COMPUTED_VALUE"""),6207)</f>
        <v>6207</v>
      </c>
      <c r="B1988" s="6">
        <f ca="1">IFERROR(__xludf.DUMMYFUNCTION("""COMPUTED_VALUE"""),45478.7654050925)</f>
        <v>45478.765405092498</v>
      </c>
      <c r="C1988" s="3" t="str">
        <f ca="1">IFERROR(__xludf.DUMMYFUNCTION("""COMPUTED_VALUE"""),"purchase")</f>
        <v>purchase</v>
      </c>
      <c r="D1988" s="6">
        <f t="shared" ca="1" si="0"/>
        <v>45478</v>
      </c>
      <c r="E1988" s="6">
        <f t="shared" ca="1" si="1"/>
        <v>45474</v>
      </c>
      <c r="F1988" s="6">
        <f t="shared" ca="1" si="2"/>
        <v>45474</v>
      </c>
      <c r="G1988" s="7"/>
    </row>
    <row r="1989" spans="1:7" x14ac:dyDescent="0.2">
      <c r="A1989" s="3">
        <f ca="1">IFERROR(__xludf.DUMMYFUNCTION("""COMPUTED_VALUE"""),297)</f>
        <v>297</v>
      </c>
      <c r="B1989" s="6">
        <f ca="1">IFERROR(__xludf.DUMMYFUNCTION("""COMPUTED_VALUE"""),45479.2374537037)</f>
        <v>45479.237453703703</v>
      </c>
      <c r="C1989" s="3" t="str">
        <f ca="1">IFERROR(__xludf.DUMMYFUNCTION("""COMPUTED_VALUE"""),"purchase")</f>
        <v>purchase</v>
      </c>
      <c r="D1989" s="6">
        <f t="shared" ca="1" si="0"/>
        <v>45479</v>
      </c>
      <c r="E1989" s="6">
        <f t="shared" ca="1" si="1"/>
        <v>45474</v>
      </c>
      <c r="F1989" s="6">
        <f t="shared" ca="1" si="2"/>
        <v>45474</v>
      </c>
      <c r="G1989" s="7"/>
    </row>
    <row r="1990" spans="1:7" x14ac:dyDescent="0.2">
      <c r="A1990" s="3">
        <f ca="1">IFERROR(__xludf.DUMMYFUNCTION("""COMPUTED_VALUE"""),2587)</f>
        <v>2587</v>
      </c>
      <c r="B1990" s="6">
        <f ca="1">IFERROR(__xludf.DUMMYFUNCTION("""COMPUTED_VALUE"""),45479.6340509259)</f>
        <v>45479.634050925903</v>
      </c>
      <c r="C1990" s="3" t="str">
        <f ca="1">IFERROR(__xludf.DUMMYFUNCTION("""COMPUTED_VALUE"""),"purchase")</f>
        <v>purchase</v>
      </c>
      <c r="D1990" s="6">
        <f t="shared" ca="1" si="0"/>
        <v>45479</v>
      </c>
      <c r="E1990" s="6">
        <f t="shared" ca="1" si="1"/>
        <v>45474</v>
      </c>
      <c r="F1990" s="6">
        <f t="shared" ca="1" si="2"/>
        <v>45474</v>
      </c>
      <c r="G1990" s="7"/>
    </row>
    <row r="1991" spans="1:7" x14ac:dyDescent="0.2">
      <c r="A1991" s="3">
        <f ca="1">IFERROR(__xludf.DUMMYFUNCTION("""COMPUTED_VALUE"""),1740)</f>
        <v>1740</v>
      </c>
      <c r="B1991" s="6">
        <f ca="1">IFERROR(__xludf.DUMMYFUNCTION("""COMPUTED_VALUE"""),45479.7029050925)</f>
        <v>45479.702905092498</v>
      </c>
      <c r="C1991" s="3" t="str">
        <f ca="1">IFERROR(__xludf.DUMMYFUNCTION("""COMPUTED_VALUE"""),"purchase")</f>
        <v>purchase</v>
      </c>
      <c r="D1991" s="6">
        <f t="shared" ca="1" si="0"/>
        <v>45479</v>
      </c>
      <c r="E1991" s="6">
        <f t="shared" ca="1" si="1"/>
        <v>45474</v>
      </c>
      <c r="F1991" s="6">
        <f t="shared" ca="1" si="2"/>
        <v>45474</v>
      </c>
      <c r="G1991" s="7"/>
    </row>
    <row r="1992" spans="1:7" x14ac:dyDescent="0.2">
      <c r="A1992" s="3">
        <f ca="1">IFERROR(__xludf.DUMMYFUNCTION("""COMPUTED_VALUE"""),4082)</f>
        <v>4082</v>
      </c>
      <c r="B1992" s="6">
        <f ca="1">IFERROR(__xludf.DUMMYFUNCTION("""COMPUTED_VALUE"""),45479.7133101851)</f>
        <v>45479.7133101851</v>
      </c>
      <c r="C1992" s="3" t="str">
        <f ca="1">IFERROR(__xludf.DUMMYFUNCTION("""COMPUTED_VALUE"""),"purchase")</f>
        <v>purchase</v>
      </c>
      <c r="D1992" s="6">
        <f t="shared" ca="1" si="0"/>
        <v>45479</v>
      </c>
      <c r="E1992" s="6">
        <f t="shared" ca="1" si="1"/>
        <v>45474</v>
      </c>
      <c r="F1992" s="6">
        <f t="shared" ca="1" si="2"/>
        <v>45474</v>
      </c>
      <c r="G1992" s="7"/>
    </row>
    <row r="1993" spans="1:7" x14ac:dyDescent="0.2">
      <c r="A1993" s="3">
        <f ca="1">IFERROR(__xludf.DUMMYFUNCTION("""COMPUTED_VALUE"""),5913)</f>
        <v>5913</v>
      </c>
      <c r="B1993" s="6">
        <f ca="1">IFERROR(__xludf.DUMMYFUNCTION("""COMPUTED_VALUE"""),45480.2830439814)</f>
        <v>45480.283043981399</v>
      </c>
      <c r="C1993" s="3" t="str">
        <f ca="1">IFERROR(__xludf.DUMMYFUNCTION("""COMPUTED_VALUE"""),"purchase")</f>
        <v>purchase</v>
      </c>
      <c r="D1993" s="6">
        <f t="shared" ca="1" si="0"/>
        <v>45480</v>
      </c>
      <c r="E1993" s="6">
        <f t="shared" ca="1" si="1"/>
        <v>45474</v>
      </c>
      <c r="F1993" s="6">
        <f t="shared" ca="1" si="2"/>
        <v>45474</v>
      </c>
      <c r="G1993" s="7"/>
    </row>
    <row r="1994" spans="1:7" x14ac:dyDescent="0.2">
      <c r="A1994" s="3">
        <f ca="1">IFERROR(__xludf.DUMMYFUNCTION("""COMPUTED_VALUE"""),5980)</f>
        <v>5980</v>
      </c>
      <c r="B1994" s="6">
        <f ca="1">IFERROR(__xludf.DUMMYFUNCTION("""COMPUTED_VALUE"""),45480.3873148148)</f>
        <v>45480.387314814798</v>
      </c>
      <c r="C1994" s="3" t="str">
        <f ca="1">IFERROR(__xludf.DUMMYFUNCTION("""COMPUTED_VALUE"""),"purchase")</f>
        <v>purchase</v>
      </c>
      <c r="D1994" s="6">
        <f t="shared" ca="1" si="0"/>
        <v>45480</v>
      </c>
      <c r="E1994" s="6">
        <f t="shared" ca="1" si="1"/>
        <v>45474</v>
      </c>
      <c r="F1994" s="6">
        <f t="shared" ca="1" si="2"/>
        <v>45474</v>
      </c>
      <c r="G1994" s="7"/>
    </row>
    <row r="1995" spans="1:7" x14ac:dyDescent="0.2">
      <c r="A1995" s="3">
        <f ca="1">IFERROR(__xludf.DUMMYFUNCTION("""COMPUTED_VALUE"""),7051)</f>
        <v>7051</v>
      </c>
      <c r="B1995" s="6">
        <f ca="1">IFERROR(__xludf.DUMMYFUNCTION("""COMPUTED_VALUE"""),45480.5473148148)</f>
        <v>45480.547314814801</v>
      </c>
      <c r="C1995" s="3" t="str">
        <f ca="1">IFERROR(__xludf.DUMMYFUNCTION("""COMPUTED_VALUE"""),"purchase")</f>
        <v>purchase</v>
      </c>
      <c r="D1995" s="6">
        <f t="shared" ca="1" si="0"/>
        <v>45480</v>
      </c>
      <c r="E1995" s="6">
        <f t="shared" ca="1" si="1"/>
        <v>45474</v>
      </c>
      <c r="F1995" s="6">
        <f t="shared" ca="1" si="2"/>
        <v>45474</v>
      </c>
      <c r="G1995" s="7"/>
    </row>
    <row r="1996" spans="1:7" x14ac:dyDescent="0.2">
      <c r="A1996" s="3">
        <f ca="1">IFERROR(__xludf.DUMMYFUNCTION("""COMPUTED_VALUE"""),97)</f>
        <v>97</v>
      </c>
      <c r="B1996" s="6">
        <f ca="1">IFERROR(__xludf.DUMMYFUNCTION("""COMPUTED_VALUE"""),45480.590474537)</f>
        <v>45480.590474536999</v>
      </c>
      <c r="C1996" s="3" t="str">
        <f ca="1">IFERROR(__xludf.DUMMYFUNCTION("""COMPUTED_VALUE"""),"purchase")</f>
        <v>purchase</v>
      </c>
      <c r="D1996" s="6">
        <f t="shared" ca="1" si="0"/>
        <v>45480</v>
      </c>
      <c r="E1996" s="6">
        <f t="shared" ca="1" si="1"/>
        <v>45474</v>
      </c>
      <c r="F1996" s="6">
        <f t="shared" ca="1" si="2"/>
        <v>45474</v>
      </c>
      <c r="G1996" s="7"/>
    </row>
    <row r="1997" spans="1:7" x14ac:dyDescent="0.2">
      <c r="A1997" s="3">
        <f ca="1">IFERROR(__xludf.DUMMYFUNCTION("""COMPUTED_VALUE"""),1955)</f>
        <v>1955</v>
      </c>
      <c r="B1997" s="6">
        <f ca="1">IFERROR(__xludf.DUMMYFUNCTION("""COMPUTED_VALUE"""),45480.9626388888)</f>
        <v>45480.962638888799</v>
      </c>
      <c r="C1997" s="3" t="str">
        <f ca="1">IFERROR(__xludf.DUMMYFUNCTION("""COMPUTED_VALUE"""),"purchase")</f>
        <v>purchase</v>
      </c>
      <c r="D1997" s="6">
        <f t="shared" ca="1" si="0"/>
        <v>45480</v>
      </c>
      <c r="E1997" s="6">
        <f t="shared" ca="1" si="1"/>
        <v>45474</v>
      </c>
      <c r="F1997" s="6">
        <f t="shared" ca="1" si="2"/>
        <v>45474</v>
      </c>
      <c r="G1997" s="7"/>
    </row>
    <row r="1998" spans="1:7" x14ac:dyDescent="0.2">
      <c r="A1998" s="3">
        <f ca="1">IFERROR(__xludf.DUMMYFUNCTION("""COMPUTED_VALUE"""),1742)</f>
        <v>1742</v>
      </c>
      <c r="B1998" s="6">
        <f ca="1">IFERROR(__xludf.DUMMYFUNCTION("""COMPUTED_VALUE"""),45480.9712037037)</f>
        <v>45480.971203703702</v>
      </c>
      <c r="C1998" s="3" t="str">
        <f ca="1">IFERROR(__xludf.DUMMYFUNCTION("""COMPUTED_VALUE"""),"purchase")</f>
        <v>purchase</v>
      </c>
      <c r="D1998" s="6">
        <f t="shared" ca="1" si="0"/>
        <v>45480</v>
      </c>
      <c r="E1998" s="6">
        <f t="shared" ca="1" si="1"/>
        <v>45474</v>
      </c>
      <c r="F1998" s="6">
        <f t="shared" ca="1" si="2"/>
        <v>45474</v>
      </c>
      <c r="G1998" s="7"/>
    </row>
    <row r="1999" spans="1:7" x14ac:dyDescent="0.2">
      <c r="A1999" s="3">
        <f ca="1">IFERROR(__xludf.DUMMYFUNCTION("""COMPUTED_VALUE"""),422)</f>
        <v>422</v>
      </c>
      <c r="B1999" s="6">
        <f ca="1">IFERROR(__xludf.DUMMYFUNCTION("""COMPUTED_VALUE"""),45482.0219212963)</f>
        <v>45482.021921296298</v>
      </c>
      <c r="C1999" s="3" t="str">
        <f ca="1">IFERROR(__xludf.DUMMYFUNCTION("""COMPUTED_VALUE"""),"purchase")</f>
        <v>purchase</v>
      </c>
      <c r="D1999" s="6">
        <f t="shared" ca="1" si="0"/>
        <v>45482</v>
      </c>
      <c r="E1999" s="6">
        <f t="shared" ca="1" si="1"/>
        <v>45481</v>
      </c>
      <c r="F1999" s="6">
        <f t="shared" ca="1" si="2"/>
        <v>45474</v>
      </c>
      <c r="G1999" s="7"/>
    </row>
    <row r="2000" spans="1:7" x14ac:dyDescent="0.2">
      <c r="A2000" s="3">
        <f ca="1">IFERROR(__xludf.DUMMYFUNCTION("""COMPUTED_VALUE"""),4367)</f>
        <v>4367</v>
      </c>
      <c r="B2000" s="6">
        <f ca="1">IFERROR(__xludf.DUMMYFUNCTION("""COMPUTED_VALUE"""),45482.6496875)</f>
        <v>45482.649687500001</v>
      </c>
      <c r="C2000" s="3" t="str">
        <f ca="1">IFERROR(__xludf.DUMMYFUNCTION("""COMPUTED_VALUE"""),"purchase")</f>
        <v>purchase</v>
      </c>
      <c r="D2000" s="6">
        <f t="shared" ca="1" si="0"/>
        <v>45482</v>
      </c>
      <c r="E2000" s="6">
        <f t="shared" ca="1" si="1"/>
        <v>45481</v>
      </c>
      <c r="F2000" s="6">
        <f t="shared" ca="1" si="2"/>
        <v>45474</v>
      </c>
      <c r="G2000" s="7"/>
    </row>
    <row r="2001" spans="1:7" x14ac:dyDescent="0.2">
      <c r="A2001" s="3">
        <f ca="1">IFERROR(__xludf.DUMMYFUNCTION("""COMPUTED_VALUE"""),7616)</f>
        <v>7616</v>
      </c>
      <c r="B2001" s="6">
        <f ca="1">IFERROR(__xludf.DUMMYFUNCTION("""COMPUTED_VALUE"""),45482.7054976851)</f>
        <v>45482.7054976851</v>
      </c>
      <c r="C2001" s="3" t="str">
        <f ca="1">IFERROR(__xludf.DUMMYFUNCTION("""COMPUTED_VALUE"""),"purchase")</f>
        <v>purchase</v>
      </c>
      <c r="D2001" s="6">
        <f t="shared" ca="1" si="0"/>
        <v>45482</v>
      </c>
      <c r="E2001" s="6">
        <f t="shared" ca="1" si="1"/>
        <v>45481</v>
      </c>
      <c r="F2001" s="6">
        <f t="shared" ca="1" si="2"/>
        <v>45474</v>
      </c>
      <c r="G2001" s="7"/>
    </row>
    <row r="2002" spans="1:7" x14ac:dyDescent="0.2">
      <c r="A2002" s="3"/>
      <c r="B2002" s="6"/>
      <c r="C2002" s="3"/>
      <c r="D2002" s="6"/>
      <c r="E2002" s="6"/>
      <c r="F2002" s="6"/>
      <c r="G2002" s="7"/>
    </row>
    <row r="2003" spans="1:7" x14ac:dyDescent="0.2">
      <c r="A2003" s="3"/>
      <c r="B2003" s="6"/>
      <c r="C2003" s="3"/>
      <c r="D2003" s="6"/>
      <c r="E2003" s="6"/>
      <c r="F2003" s="6"/>
      <c r="G2003" s="7"/>
    </row>
    <row r="2004" spans="1:7" x14ac:dyDescent="0.2">
      <c r="A2004" s="3"/>
      <c r="B2004" s="6"/>
      <c r="C2004" s="3"/>
      <c r="D2004" s="6"/>
      <c r="E2004" s="6"/>
      <c r="F2004" s="6"/>
      <c r="G2004" s="7"/>
    </row>
    <row r="2005" spans="1:7" x14ac:dyDescent="0.2">
      <c r="A2005" s="3"/>
      <c r="B2005" s="6"/>
      <c r="C2005" s="3"/>
      <c r="D2005" s="6"/>
      <c r="E2005" s="6"/>
      <c r="F2005" s="6"/>
      <c r="G2005" s="7"/>
    </row>
    <row r="2006" spans="1:7" x14ac:dyDescent="0.2">
      <c r="A2006" s="3"/>
      <c r="B2006" s="6"/>
      <c r="C2006" s="3"/>
      <c r="D2006" s="6"/>
      <c r="E2006" s="6"/>
      <c r="F2006" s="6"/>
      <c r="G2006" s="7"/>
    </row>
    <row r="2007" spans="1:7" x14ac:dyDescent="0.2">
      <c r="A2007" s="3"/>
      <c r="B2007" s="6"/>
      <c r="C2007" s="3"/>
      <c r="D2007" s="6"/>
      <c r="E2007" s="6"/>
      <c r="F2007" s="6"/>
      <c r="G2007" s="7"/>
    </row>
    <row r="2008" spans="1:7" x14ac:dyDescent="0.2">
      <c r="A2008" s="3"/>
      <c r="B2008" s="6"/>
      <c r="C2008" s="3"/>
      <c r="D2008" s="6"/>
      <c r="E2008" s="6"/>
      <c r="F2008" s="6"/>
      <c r="G2008" s="7"/>
    </row>
    <row r="2009" spans="1:7" x14ac:dyDescent="0.2">
      <c r="A2009" s="3"/>
      <c r="B2009" s="6"/>
      <c r="C2009" s="3"/>
      <c r="D2009" s="6"/>
      <c r="E2009" s="6"/>
      <c r="F2009" s="6"/>
      <c r="G2009" s="7"/>
    </row>
    <row r="2010" spans="1:7" x14ac:dyDescent="0.2">
      <c r="A2010" s="3"/>
      <c r="B2010" s="6"/>
      <c r="C2010" s="3"/>
      <c r="D2010" s="6"/>
      <c r="E2010" s="6"/>
      <c r="F2010" s="6"/>
      <c r="G2010" s="7"/>
    </row>
    <row r="2011" spans="1:7" x14ac:dyDescent="0.2">
      <c r="A2011" s="3"/>
      <c r="B2011" s="6"/>
      <c r="C2011" s="3"/>
      <c r="D2011" s="6"/>
      <c r="E2011" s="6"/>
      <c r="F2011" s="6"/>
      <c r="G2011" s="7"/>
    </row>
    <row r="2012" spans="1:7" x14ac:dyDescent="0.2">
      <c r="A2012" s="3"/>
      <c r="B2012" s="6"/>
      <c r="C2012" s="3"/>
      <c r="D2012" s="6"/>
      <c r="E2012" s="6"/>
      <c r="F2012" s="6"/>
      <c r="G2012" s="7"/>
    </row>
    <row r="2013" spans="1:7" x14ac:dyDescent="0.2">
      <c r="A2013" s="3"/>
      <c r="B2013" s="6"/>
      <c r="C2013" s="3"/>
      <c r="D2013" s="6"/>
      <c r="E2013" s="6"/>
      <c r="F2013" s="6"/>
      <c r="G2013" s="7"/>
    </row>
    <row r="2014" spans="1:7" x14ac:dyDescent="0.2">
      <c r="A2014" s="3"/>
      <c r="B2014" s="6"/>
      <c r="C2014" s="3"/>
      <c r="D2014" s="6"/>
      <c r="E2014" s="6"/>
      <c r="F2014" s="6"/>
      <c r="G2014" s="7"/>
    </row>
    <row r="2015" spans="1:7" x14ac:dyDescent="0.2">
      <c r="A2015" s="3"/>
      <c r="B2015" s="6"/>
      <c r="C2015" s="3"/>
      <c r="D2015" s="6"/>
      <c r="E2015" s="6"/>
      <c r="F2015" s="6"/>
      <c r="G2015" s="7"/>
    </row>
    <row r="2016" spans="1:7" x14ac:dyDescent="0.2">
      <c r="A2016" s="3"/>
      <c r="B2016" s="6"/>
      <c r="C2016" s="3"/>
      <c r="D2016" s="6"/>
      <c r="E2016" s="6"/>
      <c r="F2016" s="6"/>
      <c r="G2016" s="7"/>
    </row>
    <row r="2017" spans="1:7" x14ac:dyDescent="0.2">
      <c r="A2017" s="3"/>
      <c r="B2017" s="6"/>
      <c r="C2017" s="3"/>
      <c r="D2017" s="6"/>
      <c r="E2017" s="6"/>
      <c r="F2017" s="6"/>
      <c r="G2017" s="7"/>
    </row>
    <row r="2018" spans="1:7" x14ac:dyDescent="0.2">
      <c r="A2018" s="3"/>
      <c r="B2018" s="6"/>
      <c r="C2018" s="3"/>
      <c r="D2018" s="6"/>
      <c r="E2018" s="6"/>
      <c r="F2018" s="6"/>
      <c r="G2018" s="7"/>
    </row>
    <row r="2019" spans="1:7" x14ac:dyDescent="0.2">
      <c r="A2019" s="3"/>
      <c r="B2019" s="6"/>
      <c r="C2019" s="3"/>
      <c r="D2019" s="6"/>
      <c r="E2019" s="6"/>
      <c r="F2019" s="6"/>
      <c r="G2019" s="7"/>
    </row>
    <row r="2020" spans="1:7" x14ac:dyDescent="0.2">
      <c r="A2020" s="3"/>
      <c r="B2020" s="6"/>
      <c r="C2020" s="3"/>
      <c r="D2020" s="6"/>
      <c r="E2020" s="6"/>
      <c r="F2020" s="6"/>
      <c r="G2020" s="7"/>
    </row>
    <row r="2021" spans="1:7" x14ac:dyDescent="0.2">
      <c r="A2021" s="3"/>
      <c r="B2021" s="6"/>
      <c r="C2021" s="3"/>
      <c r="D2021" s="6"/>
      <c r="E2021" s="6"/>
      <c r="F2021" s="6"/>
      <c r="G2021" s="7"/>
    </row>
    <row r="2022" spans="1:7" x14ac:dyDescent="0.2">
      <c r="A2022" s="3"/>
      <c r="B2022" s="6"/>
      <c r="C2022" s="3"/>
      <c r="D2022" s="6"/>
      <c r="E2022" s="6"/>
      <c r="F2022" s="6"/>
      <c r="G2022" s="7"/>
    </row>
    <row r="2023" spans="1:7" x14ac:dyDescent="0.2">
      <c r="A2023" s="3"/>
      <c r="B2023" s="6"/>
      <c r="C2023" s="3"/>
      <c r="D2023" s="6"/>
      <c r="E2023" s="6"/>
      <c r="F2023" s="6"/>
      <c r="G2023" s="7"/>
    </row>
    <row r="2024" spans="1:7" x14ac:dyDescent="0.2">
      <c r="A2024" s="3"/>
      <c r="B2024" s="6"/>
      <c r="C2024" s="3"/>
      <c r="D2024" s="6"/>
      <c r="E2024" s="6"/>
      <c r="F2024" s="6"/>
      <c r="G2024" s="7"/>
    </row>
    <row r="2025" spans="1:7" x14ac:dyDescent="0.2">
      <c r="A2025" s="3"/>
      <c r="B2025" s="6"/>
      <c r="C2025" s="3"/>
      <c r="D2025" s="6"/>
      <c r="E2025" s="6"/>
      <c r="F2025" s="6"/>
      <c r="G2025" s="7"/>
    </row>
    <row r="2026" spans="1:7" x14ac:dyDescent="0.2">
      <c r="A2026" s="3"/>
      <c r="B2026" s="6"/>
      <c r="C2026" s="3"/>
      <c r="D2026" s="6"/>
      <c r="E2026" s="6"/>
      <c r="F2026" s="6"/>
      <c r="G2026" s="7"/>
    </row>
    <row r="2027" spans="1:7" x14ac:dyDescent="0.2">
      <c r="A2027" s="3"/>
      <c r="B2027" s="6"/>
      <c r="C2027" s="3"/>
      <c r="D2027" s="6"/>
      <c r="E2027" s="6"/>
      <c r="F2027" s="6"/>
      <c r="G2027" s="7"/>
    </row>
    <row r="2028" spans="1:7" x14ac:dyDescent="0.2">
      <c r="A2028" s="3"/>
      <c r="B2028" s="6"/>
      <c r="C2028" s="3"/>
      <c r="D2028" s="6"/>
      <c r="E2028" s="6"/>
      <c r="F2028" s="6"/>
      <c r="G2028" s="7"/>
    </row>
    <row r="2029" spans="1:7" x14ac:dyDescent="0.2">
      <c r="A2029" s="3"/>
      <c r="B2029" s="6"/>
      <c r="C2029" s="3"/>
      <c r="D2029" s="6"/>
      <c r="E2029" s="6"/>
      <c r="F2029" s="6"/>
      <c r="G2029" s="7"/>
    </row>
    <row r="2030" spans="1:7" x14ac:dyDescent="0.2">
      <c r="A2030" s="3"/>
      <c r="B2030" s="6"/>
      <c r="C2030" s="3"/>
      <c r="D2030" s="6"/>
      <c r="E2030" s="6"/>
      <c r="F2030" s="6"/>
      <c r="G2030" s="7"/>
    </row>
    <row r="2031" spans="1:7" x14ac:dyDescent="0.2">
      <c r="A2031" s="3"/>
      <c r="B2031" s="6"/>
      <c r="C2031" s="3"/>
      <c r="D2031" s="6"/>
      <c r="E2031" s="6"/>
      <c r="F2031" s="6"/>
      <c r="G2031" s="7"/>
    </row>
    <row r="2032" spans="1:7" x14ac:dyDescent="0.2">
      <c r="A2032" s="3"/>
      <c r="B2032" s="6"/>
      <c r="C2032" s="3"/>
      <c r="D2032" s="6"/>
      <c r="E2032" s="6"/>
      <c r="F2032" s="6"/>
      <c r="G2032" s="7"/>
    </row>
    <row r="2033" spans="1:7" x14ac:dyDescent="0.2">
      <c r="A2033" s="3"/>
      <c r="B2033" s="6"/>
      <c r="C2033" s="3"/>
      <c r="D2033" s="6"/>
      <c r="E2033" s="6"/>
      <c r="F2033" s="6"/>
      <c r="G2033" s="7"/>
    </row>
    <row r="2034" spans="1:7" x14ac:dyDescent="0.2">
      <c r="A2034" s="3"/>
      <c r="B2034" s="6"/>
      <c r="C2034" s="3"/>
      <c r="D2034" s="6"/>
      <c r="E2034" s="6"/>
      <c r="F2034" s="6"/>
      <c r="G2034" s="7"/>
    </row>
    <row r="2035" spans="1:7" x14ac:dyDescent="0.2">
      <c r="A2035" s="3"/>
      <c r="B2035" s="6"/>
      <c r="C2035" s="3"/>
      <c r="D2035" s="6"/>
      <c r="E2035" s="6"/>
      <c r="F2035" s="6"/>
      <c r="G2035" s="7"/>
    </row>
    <row r="2036" spans="1:7" x14ac:dyDescent="0.2">
      <c r="A2036" s="3"/>
      <c r="B2036" s="6"/>
      <c r="C2036" s="3"/>
      <c r="D2036" s="6"/>
      <c r="E2036" s="6"/>
      <c r="F2036" s="6"/>
      <c r="G2036" s="7"/>
    </row>
    <row r="2037" spans="1:7" x14ac:dyDescent="0.2">
      <c r="A2037" s="3"/>
      <c r="B2037" s="6"/>
      <c r="C2037" s="3"/>
      <c r="D2037" s="6"/>
      <c r="E2037" s="6"/>
      <c r="F2037" s="6"/>
      <c r="G2037" s="7"/>
    </row>
    <row r="2038" spans="1:7" x14ac:dyDescent="0.2">
      <c r="A2038" s="3"/>
      <c r="B2038" s="6"/>
      <c r="C2038" s="3"/>
      <c r="D2038" s="6"/>
      <c r="E2038" s="6"/>
      <c r="F2038" s="6"/>
      <c r="G2038" s="7"/>
    </row>
    <row r="2039" spans="1:7" x14ac:dyDescent="0.2">
      <c r="A2039" s="3"/>
      <c r="B2039" s="6"/>
      <c r="C2039" s="3"/>
      <c r="D2039" s="6"/>
      <c r="E2039" s="6"/>
      <c r="F2039" s="6"/>
      <c r="G2039" s="7"/>
    </row>
    <row r="2040" spans="1:7" x14ac:dyDescent="0.2">
      <c r="A2040" s="3"/>
      <c r="B2040" s="6"/>
      <c r="C2040" s="3"/>
      <c r="D2040" s="6"/>
      <c r="E2040" s="6"/>
      <c r="F2040" s="6"/>
      <c r="G2040" s="7"/>
    </row>
    <row r="2041" spans="1:7" x14ac:dyDescent="0.2">
      <c r="A2041" s="3"/>
      <c r="B2041" s="6"/>
      <c r="C2041" s="3"/>
      <c r="D2041" s="6"/>
      <c r="E2041" s="6"/>
      <c r="F2041" s="6"/>
      <c r="G2041" s="7"/>
    </row>
    <row r="2042" spans="1:7" x14ac:dyDescent="0.2">
      <c r="A2042" s="3"/>
      <c r="B2042" s="6"/>
      <c r="C2042" s="3"/>
      <c r="D2042" s="6"/>
      <c r="E2042" s="6"/>
      <c r="F2042" s="6"/>
      <c r="G2042" s="7"/>
    </row>
    <row r="2043" spans="1:7" x14ac:dyDescent="0.2">
      <c r="A2043" s="3"/>
      <c r="B2043" s="6"/>
      <c r="C2043" s="3"/>
      <c r="D2043" s="6"/>
      <c r="E2043" s="6"/>
      <c r="F2043" s="6"/>
      <c r="G2043" s="7"/>
    </row>
    <row r="2044" spans="1:7" x14ac:dyDescent="0.2">
      <c r="A2044" s="3"/>
      <c r="B2044" s="6"/>
      <c r="C2044" s="3"/>
      <c r="D2044" s="6"/>
      <c r="E2044" s="6"/>
      <c r="F2044" s="6"/>
      <c r="G2044" s="7"/>
    </row>
    <row r="2045" spans="1:7" x14ac:dyDescent="0.2">
      <c r="A2045" s="3"/>
      <c r="B2045" s="6"/>
      <c r="C2045" s="3"/>
      <c r="D2045" s="6"/>
      <c r="E2045" s="6"/>
      <c r="F2045" s="6"/>
      <c r="G2045" s="7"/>
    </row>
    <row r="2046" spans="1:7" x14ac:dyDescent="0.2">
      <c r="A2046" s="3"/>
      <c r="B2046" s="6"/>
      <c r="C2046" s="3"/>
      <c r="D2046" s="6"/>
      <c r="E2046" s="6"/>
      <c r="F2046" s="6"/>
      <c r="G2046" s="7"/>
    </row>
    <row r="2047" spans="1:7" x14ac:dyDescent="0.2">
      <c r="A2047" s="3"/>
      <c r="B2047" s="6"/>
      <c r="C2047" s="3"/>
      <c r="D2047" s="6"/>
      <c r="E2047" s="6"/>
      <c r="F2047" s="6"/>
      <c r="G2047" s="7"/>
    </row>
    <row r="2048" spans="1:7" x14ac:dyDescent="0.2">
      <c r="A2048" s="3"/>
      <c r="B2048" s="6"/>
      <c r="C2048" s="3"/>
      <c r="D2048" s="6"/>
      <c r="E2048" s="6"/>
      <c r="F2048" s="6"/>
      <c r="G2048" s="7"/>
    </row>
    <row r="2049" spans="1:7" x14ac:dyDescent="0.2">
      <c r="A2049" s="3"/>
      <c r="B2049" s="6"/>
      <c r="C2049" s="3"/>
      <c r="D2049" s="6"/>
      <c r="E2049" s="6"/>
      <c r="F2049" s="6"/>
      <c r="G2049" s="7"/>
    </row>
    <row r="2050" spans="1:7" x14ac:dyDescent="0.2">
      <c r="A2050" s="3"/>
      <c r="B2050" s="6"/>
      <c r="C2050" s="3"/>
      <c r="D2050" s="6"/>
      <c r="E2050" s="6"/>
      <c r="F2050" s="6"/>
      <c r="G2050" s="7"/>
    </row>
    <row r="2051" spans="1:7" x14ac:dyDescent="0.2">
      <c r="A2051" s="3"/>
      <c r="B2051" s="6"/>
      <c r="C2051" s="3"/>
      <c r="D2051" s="6"/>
      <c r="E2051" s="6"/>
      <c r="F2051" s="6"/>
      <c r="G2051" s="7"/>
    </row>
    <row r="2052" spans="1:7" x14ac:dyDescent="0.2">
      <c r="A2052" s="3"/>
      <c r="B2052" s="6"/>
      <c r="C2052" s="3"/>
      <c r="D2052" s="6"/>
      <c r="E2052" s="6"/>
      <c r="F2052" s="6"/>
      <c r="G2052" s="7"/>
    </row>
    <row r="2053" spans="1:7" x14ac:dyDescent="0.2">
      <c r="A2053" s="3"/>
      <c r="B2053" s="6"/>
      <c r="C2053" s="3"/>
      <c r="D2053" s="6"/>
      <c r="E2053" s="6"/>
      <c r="F2053" s="6"/>
      <c r="G2053" s="7"/>
    </row>
    <row r="2054" spans="1:7" x14ac:dyDescent="0.2">
      <c r="A2054" s="3"/>
      <c r="B2054" s="6"/>
      <c r="C2054" s="3"/>
      <c r="D2054" s="6"/>
      <c r="E2054" s="6"/>
      <c r="F2054" s="6"/>
      <c r="G2054" s="7"/>
    </row>
    <row r="2055" spans="1:7" x14ac:dyDescent="0.2">
      <c r="A2055" s="3"/>
      <c r="B2055" s="6"/>
      <c r="C2055" s="3"/>
      <c r="D2055" s="6"/>
      <c r="E2055" s="6"/>
      <c r="F2055" s="6"/>
      <c r="G2055" s="7"/>
    </row>
    <row r="2056" spans="1:7" x14ac:dyDescent="0.2">
      <c r="A2056" s="3"/>
      <c r="B2056" s="6"/>
      <c r="C2056" s="3"/>
      <c r="D2056" s="6"/>
      <c r="E2056" s="6"/>
      <c r="F2056" s="6"/>
      <c r="G2056" s="7"/>
    </row>
    <row r="2057" spans="1:7" x14ac:dyDescent="0.2">
      <c r="A2057" s="3"/>
      <c r="B2057" s="6"/>
      <c r="C2057" s="3"/>
      <c r="D2057" s="6"/>
      <c r="E2057" s="6"/>
      <c r="F2057" s="6"/>
      <c r="G2057" s="7"/>
    </row>
    <row r="2058" spans="1:7" x14ac:dyDescent="0.2">
      <c r="A2058" s="3"/>
      <c r="B2058" s="6"/>
      <c r="C2058" s="3"/>
      <c r="D2058" s="6"/>
      <c r="E2058" s="6"/>
      <c r="F2058" s="6"/>
      <c r="G2058" s="7"/>
    </row>
    <row r="2059" spans="1:7" x14ac:dyDescent="0.2">
      <c r="A2059" s="3"/>
      <c r="B2059" s="6"/>
      <c r="C2059" s="3"/>
      <c r="D2059" s="6"/>
      <c r="E2059" s="6"/>
      <c r="F2059" s="6"/>
      <c r="G2059" s="7"/>
    </row>
    <row r="2060" spans="1:7" x14ac:dyDescent="0.2">
      <c r="A2060" s="3"/>
      <c r="B2060" s="6"/>
      <c r="C2060" s="3"/>
      <c r="D2060" s="6"/>
      <c r="E2060" s="6"/>
      <c r="F2060" s="6"/>
      <c r="G2060" s="7"/>
    </row>
    <row r="2061" spans="1:7" x14ac:dyDescent="0.2">
      <c r="A2061" s="3"/>
      <c r="B2061" s="6"/>
      <c r="C2061" s="3"/>
      <c r="D2061" s="6"/>
      <c r="E2061" s="6"/>
      <c r="F2061" s="6"/>
      <c r="G2061" s="7"/>
    </row>
    <row r="2062" spans="1:7" x14ac:dyDescent="0.2">
      <c r="A2062" s="3"/>
      <c r="B2062" s="6"/>
      <c r="C2062" s="3"/>
      <c r="D2062" s="6"/>
      <c r="E2062" s="6"/>
      <c r="F2062" s="6"/>
      <c r="G2062" s="7"/>
    </row>
    <row r="2063" spans="1:7" x14ac:dyDescent="0.2">
      <c r="A2063" s="3"/>
      <c r="B2063" s="6"/>
      <c r="C2063" s="3"/>
      <c r="D2063" s="6"/>
      <c r="E2063" s="6"/>
      <c r="F2063" s="6"/>
      <c r="G2063" s="7"/>
    </row>
    <row r="2064" spans="1:7" x14ac:dyDescent="0.2">
      <c r="A2064" s="3"/>
      <c r="B2064" s="6"/>
      <c r="C2064" s="3"/>
      <c r="D2064" s="6"/>
      <c r="E2064" s="6"/>
      <c r="F2064" s="6"/>
      <c r="G2064" s="7"/>
    </row>
    <row r="2065" spans="1:7" x14ac:dyDescent="0.2">
      <c r="A2065" s="3"/>
      <c r="B2065" s="6"/>
      <c r="C2065" s="3"/>
      <c r="D2065" s="6"/>
      <c r="E2065" s="6"/>
      <c r="F2065" s="6"/>
      <c r="G2065" s="7"/>
    </row>
    <row r="2066" spans="1:7" x14ac:dyDescent="0.2">
      <c r="A2066" s="3"/>
      <c r="B2066" s="6"/>
      <c r="C2066" s="3"/>
      <c r="D2066" s="6"/>
      <c r="E2066" s="6"/>
      <c r="F2066" s="6"/>
      <c r="G2066" s="7"/>
    </row>
    <row r="2067" spans="1:7" x14ac:dyDescent="0.2">
      <c r="A2067" s="3"/>
      <c r="B2067" s="6"/>
      <c r="C2067" s="3"/>
      <c r="D2067" s="6"/>
      <c r="E2067" s="6"/>
      <c r="F2067" s="6"/>
      <c r="G2067" s="7"/>
    </row>
    <row r="2068" spans="1:7" x14ac:dyDescent="0.2">
      <c r="A2068" s="3"/>
      <c r="B2068" s="6"/>
      <c r="C2068" s="3"/>
      <c r="D2068" s="6"/>
      <c r="E2068" s="6"/>
      <c r="F2068" s="6"/>
      <c r="G2068" s="7"/>
    </row>
    <row r="2069" spans="1:7" x14ac:dyDescent="0.2">
      <c r="A2069" s="3"/>
      <c r="B2069" s="6"/>
      <c r="C2069" s="3"/>
      <c r="D2069" s="6"/>
      <c r="E2069" s="6"/>
      <c r="F2069" s="6"/>
      <c r="G2069" s="7"/>
    </row>
    <row r="2070" spans="1:7" x14ac:dyDescent="0.2">
      <c r="A2070" s="3"/>
      <c r="B2070" s="6"/>
      <c r="C2070" s="3"/>
      <c r="D2070" s="6"/>
      <c r="E2070" s="6"/>
      <c r="F2070" s="6"/>
      <c r="G2070" s="7"/>
    </row>
    <row r="2071" spans="1:7" x14ac:dyDescent="0.2">
      <c r="A2071" s="3"/>
      <c r="B2071" s="6"/>
      <c r="C2071" s="3"/>
      <c r="D2071" s="6"/>
      <c r="E2071" s="6"/>
      <c r="F2071" s="6"/>
      <c r="G2071" s="7"/>
    </row>
    <row r="2072" spans="1:7" x14ac:dyDescent="0.2">
      <c r="A2072" s="3"/>
      <c r="B2072" s="6"/>
      <c r="C2072" s="3"/>
      <c r="D2072" s="6"/>
      <c r="E2072" s="6"/>
      <c r="F2072" s="6"/>
      <c r="G2072" s="7"/>
    </row>
    <row r="2073" spans="1:7" x14ac:dyDescent="0.2">
      <c r="A2073" s="3"/>
      <c r="B2073" s="6"/>
      <c r="C2073" s="3"/>
      <c r="D2073" s="6"/>
      <c r="E2073" s="6"/>
      <c r="F2073" s="6"/>
      <c r="G2073" s="7"/>
    </row>
    <row r="2074" spans="1:7" x14ac:dyDescent="0.2">
      <c r="A2074" s="3"/>
      <c r="B2074" s="6"/>
      <c r="C2074" s="3"/>
      <c r="D2074" s="6"/>
      <c r="E2074" s="6"/>
      <c r="F2074" s="6"/>
      <c r="G2074" s="7"/>
    </row>
    <row r="2075" spans="1:7" x14ac:dyDescent="0.2">
      <c r="A2075" s="3"/>
      <c r="B2075" s="6"/>
      <c r="C2075" s="3"/>
      <c r="D2075" s="6"/>
      <c r="E2075" s="6"/>
      <c r="F2075" s="6"/>
      <c r="G2075" s="7"/>
    </row>
    <row r="2076" spans="1:7" x14ac:dyDescent="0.2">
      <c r="A2076" s="3"/>
      <c r="B2076" s="6"/>
      <c r="C2076" s="3"/>
      <c r="D2076" s="6"/>
      <c r="E2076" s="6"/>
      <c r="F2076" s="6"/>
      <c r="G2076" s="7"/>
    </row>
    <row r="2077" spans="1:7" x14ac:dyDescent="0.2">
      <c r="A2077" s="3"/>
      <c r="B2077" s="6"/>
      <c r="C2077" s="3"/>
      <c r="D2077" s="6"/>
      <c r="E2077" s="6"/>
      <c r="F2077" s="6"/>
      <c r="G2077" s="7"/>
    </row>
    <row r="2078" spans="1:7" x14ac:dyDescent="0.2">
      <c r="A2078" s="3"/>
      <c r="B2078" s="6"/>
      <c r="C2078" s="3"/>
      <c r="D2078" s="6"/>
      <c r="E2078" s="6"/>
      <c r="F2078" s="6"/>
      <c r="G2078" s="7"/>
    </row>
    <row r="2079" spans="1:7" x14ac:dyDescent="0.2">
      <c r="A2079" s="3"/>
      <c r="B2079" s="6"/>
      <c r="C2079" s="3"/>
      <c r="D2079" s="6"/>
      <c r="E2079" s="6"/>
      <c r="F2079" s="6"/>
      <c r="G2079" s="7"/>
    </row>
    <row r="2080" spans="1:7" x14ac:dyDescent="0.2">
      <c r="A2080" s="3"/>
      <c r="B2080" s="6"/>
      <c r="C2080" s="3"/>
      <c r="D2080" s="6"/>
      <c r="E2080" s="6"/>
      <c r="F2080" s="6"/>
      <c r="G2080" s="7"/>
    </row>
    <row r="2081" spans="1:7" x14ac:dyDescent="0.2">
      <c r="A2081" s="3"/>
      <c r="B2081" s="6"/>
      <c r="C2081" s="3"/>
      <c r="D2081" s="6"/>
      <c r="E2081" s="6"/>
      <c r="F2081" s="6"/>
      <c r="G2081" s="7"/>
    </row>
    <row r="2082" spans="1:7" x14ac:dyDescent="0.2">
      <c r="A2082" s="3"/>
      <c r="B2082" s="6"/>
      <c r="C2082" s="3"/>
      <c r="D2082" s="6"/>
      <c r="E2082" s="6"/>
      <c r="F2082" s="6"/>
      <c r="G2082" s="7"/>
    </row>
    <row r="2083" spans="1:7" x14ac:dyDescent="0.2">
      <c r="A2083" s="3"/>
      <c r="B2083" s="6"/>
      <c r="C2083" s="3"/>
      <c r="D2083" s="6"/>
      <c r="E2083" s="6"/>
      <c r="F2083" s="6"/>
      <c r="G2083" s="7"/>
    </row>
    <row r="2084" spans="1:7" x14ac:dyDescent="0.2">
      <c r="A2084" s="3"/>
      <c r="B2084" s="6"/>
      <c r="C2084" s="3"/>
      <c r="D2084" s="6"/>
      <c r="E2084" s="6"/>
      <c r="F2084" s="6"/>
      <c r="G2084" s="7"/>
    </row>
    <row r="2085" spans="1:7" x14ac:dyDescent="0.2">
      <c r="A2085" s="3"/>
      <c r="B2085" s="6"/>
      <c r="C2085" s="3"/>
      <c r="D2085" s="6"/>
      <c r="E2085" s="6"/>
      <c r="F2085" s="6"/>
      <c r="G2085" s="7"/>
    </row>
    <row r="2086" spans="1:7" x14ac:dyDescent="0.2">
      <c r="A2086" s="3"/>
      <c r="B2086" s="6"/>
      <c r="C2086" s="3"/>
      <c r="D2086" s="6"/>
      <c r="E2086" s="6"/>
      <c r="F2086" s="6"/>
      <c r="G2086" s="7"/>
    </row>
    <row r="2087" spans="1:7" x14ac:dyDescent="0.2">
      <c r="A2087" s="3"/>
      <c r="B2087" s="6"/>
      <c r="C2087" s="3"/>
      <c r="D2087" s="6"/>
      <c r="E2087" s="6"/>
      <c r="F2087" s="6"/>
      <c r="G2087" s="7"/>
    </row>
    <row r="2088" spans="1:7" x14ac:dyDescent="0.2">
      <c r="A2088" s="3"/>
      <c r="B2088" s="6"/>
      <c r="C2088" s="3"/>
      <c r="D2088" s="6"/>
      <c r="E2088" s="6"/>
      <c r="F2088" s="6"/>
      <c r="G2088" s="7"/>
    </row>
    <row r="2089" spans="1:7" x14ac:dyDescent="0.2">
      <c r="A2089" s="3"/>
      <c r="B2089" s="6"/>
      <c r="C2089" s="3"/>
      <c r="D2089" s="6"/>
      <c r="E2089" s="6"/>
      <c r="F2089" s="6"/>
      <c r="G2089" s="7"/>
    </row>
    <row r="2090" spans="1:7" x14ac:dyDescent="0.2">
      <c r="A2090" s="3"/>
      <c r="B2090" s="6"/>
      <c r="C2090" s="3"/>
      <c r="D2090" s="6"/>
      <c r="E2090" s="6"/>
      <c r="F2090" s="6"/>
      <c r="G2090" s="7"/>
    </row>
    <row r="2091" spans="1:7" x14ac:dyDescent="0.2">
      <c r="A2091" s="3"/>
      <c r="B2091" s="6"/>
      <c r="C2091" s="3"/>
      <c r="D2091" s="6"/>
      <c r="E2091" s="6"/>
      <c r="F2091" s="6"/>
      <c r="G2091" s="7"/>
    </row>
    <row r="2092" spans="1:7" x14ac:dyDescent="0.2">
      <c r="A2092" s="3"/>
      <c r="B2092" s="6"/>
      <c r="C2092" s="3"/>
      <c r="D2092" s="6"/>
      <c r="E2092" s="6"/>
      <c r="F2092" s="6"/>
      <c r="G2092" s="7"/>
    </row>
    <row r="2093" spans="1:7" x14ac:dyDescent="0.2">
      <c r="A2093" s="3"/>
      <c r="B2093" s="6"/>
      <c r="C2093" s="3"/>
      <c r="D2093" s="6"/>
      <c r="E2093" s="6"/>
      <c r="F2093" s="6"/>
      <c r="G2093" s="7"/>
    </row>
    <row r="2094" spans="1:7" x14ac:dyDescent="0.2">
      <c r="A2094" s="3"/>
      <c r="B2094" s="6"/>
      <c r="C2094" s="3"/>
      <c r="D2094" s="6"/>
      <c r="E2094" s="6"/>
      <c r="F2094" s="6"/>
      <c r="G2094" s="7"/>
    </row>
    <row r="2095" spans="1:7" x14ac:dyDescent="0.2">
      <c r="A2095" s="3"/>
      <c r="B2095" s="6"/>
      <c r="C2095" s="3"/>
      <c r="D2095" s="6"/>
      <c r="E2095" s="6"/>
      <c r="F2095" s="6"/>
      <c r="G2095" s="7"/>
    </row>
    <row r="2096" spans="1:7" x14ac:dyDescent="0.2">
      <c r="A2096" s="3"/>
      <c r="B2096" s="6"/>
      <c r="C2096" s="3"/>
      <c r="D2096" s="6"/>
      <c r="E2096" s="6"/>
      <c r="F2096" s="6"/>
      <c r="G2096" s="7"/>
    </row>
    <row r="2097" spans="1:7" x14ac:dyDescent="0.2">
      <c r="A2097" s="3"/>
      <c r="B2097" s="6"/>
      <c r="C2097" s="3"/>
      <c r="D2097" s="6"/>
      <c r="E2097" s="6"/>
      <c r="F2097" s="6"/>
      <c r="G2097" s="7"/>
    </row>
    <row r="2098" spans="1:7" x14ac:dyDescent="0.2">
      <c r="A2098" s="3"/>
      <c r="B2098" s="6"/>
      <c r="C2098" s="3"/>
      <c r="D2098" s="6"/>
      <c r="E2098" s="6"/>
      <c r="F2098" s="6"/>
      <c r="G2098" s="7"/>
    </row>
    <row r="2099" spans="1:7" x14ac:dyDescent="0.2">
      <c r="A2099" s="3"/>
      <c r="B2099" s="6"/>
      <c r="C2099" s="3"/>
      <c r="D2099" s="6"/>
      <c r="E2099" s="6"/>
      <c r="F2099" s="6"/>
      <c r="G2099" s="7"/>
    </row>
    <row r="2100" spans="1:7" x14ac:dyDescent="0.2">
      <c r="A2100" s="3"/>
      <c r="B2100" s="6"/>
      <c r="C2100" s="3"/>
      <c r="D2100" s="6"/>
      <c r="E2100" s="6"/>
      <c r="F2100" s="6"/>
      <c r="G2100" s="7"/>
    </row>
    <row r="2101" spans="1:7" x14ac:dyDescent="0.2">
      <c r="A2101" s="3"/>
      <c r="B2101" s="6"/>
      <c r="C2101" s="3"/>
      <c r="D2101" s="6"/>
      <c r="E2101" s="6"/>
      <c r="F2101" s="6"/>
      <c r="G2101" s="7"/>
    </row>
    <row r="2102" spans="1:7" x14ac:dyDescent="0.2">
      <c r="A2102" s="3"/>
      <c r="B2102" s="6"/>
      <c r="C2102" s="3"/>
      <c r="D2102" s="6"/>
      <c r="E2102" s="6"/>
      <c r="F2102" s="6"/>
      <c r="G2102" s="7"/>
    </row>
    <row r="2103" spans="1:7" x14ac:dyDescent="0.2">
      <c r="A2103" s="3"/>
      <c r="B2103" s="6"/>
      <c r="C2103" s="3"/>
      <c r="D2103" s="6"/>
      <c r="E2103" s="6"/>
      <c r="F2103" s="6"/>
      <c r="G2103" s="7"/>
    </row>
    <row r="2104" spans="1:7" x14ac:dyDescent="0.2">
      <c r="A2104" s="3"/>
      <c r="B2104" s="6"/>
      <c r="C2104" s="3"/>
      <c r="D2104" s="6"/>
      <c r="E2104" s="6"/>
      <c r="F2104" s="6"/>
      <c r="G2104" s="7"/>
    </row>
    <row r="2105" spans="1:7" x14ac:dyDescent="0.2">
      <c r="A2105" s="3"/>
      <c r="B2105" s="6"/>
      <c r="C2105" s="3"/>
      <c r="D2105" s="6"/>
      <c r="E2105" s="6"/>
      <c r="F2105" s="6"/>
      <c r="G2105" s="7"/>
    </row>
    <row r="2106" spans="1:7" x14ac:dyDescent="0.2">
      <c r="A2106" s="3"/>
      <c r="B2106" s="6"/>
      <c r="C2106" s="3"/>
      <c r="D2106" s="6"/>
      <c r="E2106" s="6"/>
      <c r="F2106" s="6"/>
      <c r="G2106" s="7"/>
    </row>
    <row r="2107" spans="1:7" x14ac:dyDescent="0.2">
      <c r="A2107" s="3"/>
      <c r="B2107" s="6"/>
      <c r="C2107" s="3"/>
      <c r="D2107" s="6"/>
      <c r="E2107" s="6"/>
      <c r="F2107" s="6"/>
      <c r="G2107" s="7"/>
    </row>
    <row r="2108" spans="1:7" x14ac:dyDescent="0.2">
      <c r="A2108" s="3"/>
      <c r="B2108" s="6"/>
      <c r="C2108" s="3"/>
      <c r="D2108" s="6"/>
      <c r="E2108" s="6"/>
      <c r="F2108" s="6"/>
      <c r="G2108" s="7"/>
    </row>
    <row r="2109" spans="1:7" x14ac:dyDescent="0.2">
      <c r="A2109" s="3"/>
      <c r="B2109" s="6"/>
      <c r="C2109" s="3"/>
      <c r="D2109" s="6"/>
      <c r="E2109" s="6"/>
      <c r="F2109" s="6"/>
      <c r="G2109" s="7"/>
    </row>
    <row r="2110" spans="1:7" x14ac:dyDescent="0.2">
      <c r="A2110" s="3"/>
      <c r="B2110" s="6"/>
      <c r="C2110" s="3"/>
      <c r="D2110" s="6"/>
      <c r="E2110" s="6"/>
      <c r="F2110" s="6"/>
      <c r="G2110" s="7"/>
    </row>
    <row r="2111" spans="1:7" x14ac:dyDescent="0.2">
      <c r="A2111" s="3"/>
      <c r="B2111" s="6"/>
      <c r="C2111" s="3"/>
      <c r="D2111" s="6"/>
      <c r="E2111" s="6"/>
      <c r="F2111" s="6"/>
      <c r="G2111" s="7"/>
    </row>
    <row r="2112" spans="1:7" x14ac:dyDescent="0.2">
      <c r="A2112" s="3"/>
      <c r="B2112" s="6"/>
      <c r="C2112" s="3"/>
      <c r="D2112" s="6"/>
      <c r="E2112" s="6"/>
      <c r="F2112" s="6"/>
      <c r="G2112" s="7"/>
    </row>
    <row r="2113" spans="1:7" x14ac:dyDescent="0.2">
      <c r="A2113" s="3"/>
      <c r="B2113" s="6"/>
      <c r="C2113" s="3"/>
      <c r="D2113" s="6"/>
      <c r="E2113" s="6"/>
      <c r="F2113" s="6"/>
      <c r="G2113" s="7"/>
    </row>
    <row r="2114" spans="1:7" x14ac:dyDescent="0.2">
      <c r="A2114" s="3"/>
      <c r="B2114" s="6"/>
      <c r="C2114" s="3"/>
      <c r="D2114" s="6"/>
      <c r="E2114" s="6"/>
      <c r="F2114" s="6"/>
      <c r="G2114" s="7"/>
    </row>
    <row r="2115" spans="1:7" x14ac:dyDescent="0.2">
      <c r="A2115" s="3"/>
      <c r="B2115" s="6"/>
      <c r="C2115" s="3"/>
      <c r="D2115" s="6"/>
      <c r="E2115" s="6"/>
      <c r="F2115" s="6"/>
      <c r="G2115" s="7"/>
    </row>
    <row r="2116" spans="1:7" x14ac:dyDescent="0.2">
      <c r="A2116" s="3"/>
      <c r="B2116" s="6"/>
      <c r="C2116" s="3"/>
      <c r="D2116" s="6"/>
      <c r="E2116" s="6"/>
      <c r="F2116" s="6"/>
      <c r="G2116" s="7"/>
    </row>
    <row r="2117" spans="1:7" x14ac:dyDescent="0.2">
      <c r="A2117" s="3"/>
      <c r="B2117" s="6"/>
      <c r="C2117" s="3"/>
      <c r="D2117" s="6"/>
      <c r="E2117" s="6"/>
      <c r="F2117" s="6"/>
      <c r="G2117" s="7"/>
    </row>
    <row r="2118" spans="1:7" x14ac:dyDescent="0.2">
      <c r="A2118" s="3"/>
      <c r="B2118" s="6"/>
      <c r="C2118" s="3"/>
      <c r="D2118" s="6"/>
      <c r="E2118" s="6"/>
      <c r="F2118" s="6"/>
      <c r="G2118" s="7"/>
    </row>
    <row r="2119" spans="1:7" x14ac:dyDescent="0.2">
      <c r="A2119" s="3"/>
      <c r="B2119" s="6"/>
      <c r="C2119" s="3"/>
      <c r="D2119" s="6"/>
      <c r="E2119" s="6"/>
      <c r="F2119" s="6"/>
      <c r="G2119" s="7"/>
    </row>
    <row r="2120" spans="1:7" x14ac:dyDescent="0.2">
      <c r="A2120" s="3"/>
      <c r="B2120" s="6"/>
      <c r="C2120" s="3"/>
      <c r="D2120" s="6"/>
      <c r="E2120" s="6"/>
      <c r="F2120" s="6"/>
      <c r="G2120" s="7"/>
    </row>
    <row r="2121" spans="1:7" x14ac:dyDescent="0.2">
      <c r="A2121" s="3"/>
      <c r="B2121" s="6"/>
      <c r="C2121" s="3"/>
      <c r="D2121" s="6"/>
      <c r="E2121" s="6"/>
      <c r="F2121" s="6"/>
      <c r="G2121" s="7"/>
    </row>
    <row r="2122" spans="1:7" x14ac:dyDescent="0.2">
      <c r="A2122" s="3"/>
      <c r="B2122" s="6"/>
      <c r="C2122" s="3"/>
      <c r="D2122" s="6"/>
      <c r="E2122" s="6"/>
      <c r="F2122" s="6"/>
      <c r="G2122" s="7"/>
    </row>
    <row r="2123" spans="1:7" x14ac:dyDescent="0.2">
      <c r="A2123" s="3"/>
      <c r="B2123" s="6"/>
      <c r="C2123" s="3"/>
      <c r="D2123" s="6"/>
      <c r="E2123" s="6"/>
      <c r="F2123" s="6"/>
      <c r="G2123" s="7"/>
    </row>
    <row r="2124" spans="1:7" x14ac:dyDescent="0.2">
      <c r="A2124" s="3"/>
      <c r="B2124" s="6"/>
      <c r="C2124" s="3"/>
      <c r="D2124" s="6"/>
      <c r="E2124" s="6"/>
      <c r="F2124" s="6"/>
      <c r="G2124" s="7"/>
    </row>
    <row r="2125" spans="1:7" x14ac:dyDescent="0.2">
      <c r="A2125" s="3"/>
      <c r="B2125" s="6"/>
      <c r="C2125" s="3"/>
      <c r="D2125" s="6"/>
      <c r="E2125" s="6"/>
      <c r="F2125" s="6"/>
      <c r="G2125" s="7"/>
    </row>
    <row r="2126" spans="1:7" x14ac:dyDescent="0.2">
      <c r="A2126" s="3"/>
      <c r="B2126" s="6"/>
      <c r="C2126" s="3"/>
      <c r="D2126" s="6"/>
      <c r="E2126" s="6"/>
      <c r="F2126" s="6"/>
      <c r="G2126" s="7"/>
    </row>
    <row r="2127" spans="1:7" x14ac:dyDescent="0.2">
      <c r="A2127" s="3"/>
      <c r="B2127" s="6"/>
      <c r="C2127" s="3"/>
      <c r="D2127" s="6"/>
      <c r="E2127" s="6"/>
      <c r="F2127" s="6"/>
      <c r="G2127" s="7"/>
    </row>
    <row r="2128" spans="1:7" x14ac:dyDescent="0.2">
      <c r="A2128" s="3"/>
      <c r="B2128" s="6"/>
      <c r="C2128" s="3"/>
      <c r="D2128" s="6"/>
      <c r="E2128" s="6"/>
      <c r="F2128" s="6"/>
      <c r="G2128" s="7"/>
    </row>
    <row r="2129" spans="1:7" x14ac:dyDescent="0.2">
      <c r="A2129" s="3"/>
      <c r="B2129" s="6"/>
      <c r="C2129" s="3"/>
      <c r="D2129" s="6"/>
      <c r="E2129" s="6"/>
      <c r="F2129" s="6"/>
      <c r="G2129" s="7"/>
    </row>
    <row r="2130" spans="1:7" x14ac:dyDescent="0.2">
      <c r="A2130" s="3"/>
      <c r="B2130" s="6"/>
      <c r="C2130" s="3"/>
      <c r="D2130" s="6"/>
      <c r="E2130" s="6"/>
      <c r="F2130" s="6"/>
      <c r="G2130" s="7"/>
    </row>
    <row r="2131" spans="1:7" x14ac:dyDescent="0.2">
      <c r="A2131" s="3"/>
      <c r="B2131" s="6"/>
      <c r="C2131" s="3"/>
      <c r="D2131" s="6"/>
      <c r="E2131" s="6"/>
      <c r="F2131" s="6"/>
      <c r="G2131" s="7"/>
    </row>
    <row r="2132" spans="1:7" x14ac:dyDescent="0.2">
      <c r="A2132" s="3"/>
      <c r="B2132" s="6"/>
      <c r="C2132" s="3"/>
      <c r="D2132" s="6"/>
      <c r="E2132" s="6"/>
      <c r="F2132" s="6"/>
      <c r="G2132" s="7"/>
    </row>
    <row r="2133" spans="1:7" x14ac:dyDescent="0.2">
      <c r="A2133" s="3"/>
      <c r="B2133" s="6"/>
      <c r="C2133" s="3"/>
      <c r="D2133" s="6"/>
      <c r="E2133" s="6"/>
      <c r="F2133" s="6"/>
      <c r="G2133" s="7"/>
    </row>
    <row r="2134" spans="1:7" x14ac:dyDescent="0.2">
      <c r="A2134" s="3"/>
      <c r="B2134" s="6"/>
      <c r="C2134" s="3"/>
      <c r="D2134" s="6"/>
      <c r="E2134" s="6"/>
      <c r="F2134" s="6"/>
      <c r="G2134" s="7"/>
    </row>
    <row r="2135" spans="1:7" x14ac:dyDescent="0.2">
      <c r="A2135" s="3"/>
      <c r="B2135" s="6"/>
      <c r="C2135" s="3"/>
      <c r="D2135" s="6"/>
      <c r="E2135" s="6"/>
      <c r="F2135" s="6"/>
      <c r="G2135" s="7"/>
    </row>
    <row r="2136" spans="1:7" x14ac:dyDescent="0.2">
      <c r="A2136" s="3"/>
      <c r="B2136" s="6"/>
      <c r="C2136" s="3"/>
      <c r="D2136" s="6"/>
      <c r="E2136" s="6"/>
      <c r="F2136" s="6"/>
      <c r="G2136" s="7"/>
    </row>
    <row r="2137" spans="1:7" x14ac:dyDescent="0.2">
      <c r="A2137" s="3"/>
      <c r="B2137" s="6"/>
      <c r="C2137" s="3"/>
      <c r="D2137" s="6"/>
      <c r="E2137" s="6"/>
      <c r="F2137" s="6"/>
      <c r="G2137" s="7"/>
    </row>
    <row r="2138" spans="1:7" x14ac:dyDescent="0.2">
      <c r="A2138" s="3"/>
      <c r="B2138" s="6"/>
      <c r="C2138" s="3"/>
      <c r="D2138" s="6"/>
      <c r="E2138" s="6"/>
      <c r="F2138" s="6"/>
      <c r="G2138" s="7"/>
    </row>
    <row r="2139" spans="1:7" x14ac:dyDescent="0.2">
      <c r="A2139" s="3"/>
      <c r="B2139" s="6"/>
      <c r="C2139" s="3"/>
      <c r="D2139" s="6"/>
      <c r="E2139" s="6"/>
      <c r="F2139" s="6"/>
      <c r="G2139" s="7"/>
    </row>
    <row r="2140" spans="1:7" x14ac:dyDescent="0.2">
      <c r="A2140" s="3"/>
      <c r="B2140" s="6"/>
      <c r="C2140" s="3"/>
      <c r="D2140" s="6"/>
      <c r="E2140" s="6"/>
      <c r="F2140" s="6"/>
      <c r="G2140" s="7"/>
    </row>
    <row r="2141" spans="1:7" x14ac:dyDescent="0.2">
      <c r="A2141" s="3"/>
      <c r="B2141" s="6"/>
      <c r="C2141" s="3"/>
      <c r="D2141" s="6"/>
      <c r="E2141" s="6"/>
      <c r="F2141" s="6"/>
      <c r="G2141" s="7"/>
    </row>
    <row r="2142" spans="1:7" x14ac:dyDescent="0.2">
      <c r="A2142" s="3"/>
      <c r="B2142" s="6"/>
      <c r="C2142" s="3"/>
      <c r="D2142" s="6"/>
      <c r="E2142" s="6"/>
      <c r="F2142" s="6"/>
      <c r="G2142" s="7"/>
    </row>
    <row r="2143" spans="1:7" x14ac:dyDescent="0.2">
      <c r="A2143" s="3"/>
      <c r="B2143" s="6"/>
      <c r="C2143" s="3"/>
      <c r="D2143" s="6"/>
      <c r="E2143" s="6"/>
      <c r="F2143" s="6"/>
      <c r="G2143" s="7"/>
    </row>
    <row r="2144" spans="1:7" x14ac:dyDescent="0.2">
      <c r="A2144" s="3"/>
      <c r="B2144" s="6"/>
      <c r="C2144" s="3"/>
      <c r="D2144" s="6"/>
      <c r="E2144" s="6"/>
      <c r="F2144" s="6"/>
      <c r="G2144" s="7"/>
    </row>
    <row r="2145" spans="1:7" x14ac:dyDescent="0.2">
      <c r="A2145" s="3"/>
      <c r="B2145" s="6"/>
      <c r="C2145" s="3"/>
      <c r="D2145" s="6"/>
      <c r="E2145" s="6"/>
      <c r="F2145" s="6"/>
      <c r="G2145" s="7"/>
    </row>
    <row r="2146" spans="1:7" x14ac:dyDescent="0.2">
      <c r="A2146" s="3"/>
      <c r="B2146" s="6"/>
      <c r="C2146" s="3"/>
      <c r="D2146" s="6"/>
      <c r="E2146" s="6"/>
      <c r="F2146" s="6"/>
      <c r="G2146" s="7"/>
    </row>
    <row r="2147" spans="1:7" x14ac:dyDescent="0.2">
      <c r="A2147" s="3"/>
      <c r="B2147" s="6"/>
      <c r="C2147" s="3"/>
      <c r="D2147" s="6"/>
      <c r="E2147" s="6"/>
      <c r="F2147" s="6"/>
      <c r="G2147" s="7"/>
    </row>
    <row r="2148" spans="1:7" x14ac:dyDescent="0.2">
      <c r="A2148" s="3"/>
      <c r="B2148" s="6"/>
      <c r="C2148" s="3"/>
      <c r="D2148" s="6"/>
      <c r="E2148" s="6"/>
      <c r="F2148" s="6"/>
      <c r="G2148" s="7"/>
    </row>
    <row r="2149" spans="1:7" x14ac:dyDescent="0.2">
      <c r="A2149" s="3"/>
      <c r="B2149" s="6"/>
      <c r="C2149" s="3"/>
      <c r="D2149" s="6"/>
      <c r="E2149" s="6"/>
      <c r="F2149" s="6"/>
      <c r="G2149" s="7"/>
    </row>
    <row r="2150" spans="1:7" x14ac:dyDescent="0.2">
      <c r="A2150" s="3"/>
      <c r="B2150" s="6"/>
      <c r="C2150" s="3"/>
      <c r="D2150" s="6"/>
      <c r="E2150" s="6"/>
      <c r="F2150" s="6"/>
      <c r="G2150" s="7"/>
    </row>
    <row r="2151" spans="1:7" x14ac:dyDescent="0.2">
      <c r="A2151" s="3"/>
      <c r="B2151" s="6"/>
      <c r="C2151" s="3"/>
      <c r="D2151" s="6"/>
      <c r="E2151" s="6"/>
      <c r="F2151" s="6"/>
      <c r="G2151" s="7"/>
    </row>
    <row r="2152" spans="1:7" x14ac:dyDescent="0.2">
      <c r="A2152" s="3"/>
      <c r="B2152" s="6"/>
      <c r="C2152" s="3"/>
      <c r="D2152" s="6"/>
      <c r="E2152" s="6"/>
      <c r="F2152" s="6"/>
      <c r="G2152" s="7"/>
    </row>
    <row r="2153" spans="1:7" x14ac:dyDescent="0.2">
      <c r="A2153" s="3"/>
      <c r="B2153" s="6"/>
      <c r="C2153" s="3"/>
      <c r="D2153" s="6"/>
      <c r="E2153" s="6"/>
      <c r="F2153" s="6"/>
      <c r="G2153" s="7"/>
    </row>
    <row r="2154" spans="1:7" x14ac:dyDescent="0.2">
      <c r="A2154" s="3"/>
      <c r="B2154" s="6"/>
      <c r="C2154" s="3"/>
      <c r="D2154" s="6"/>
      <c r="E2154" s="6"/>
      <c r="F2154" s="6"/>
      <c r="G2154" s="7"/>
    </row>
    <row r="2155" spans="1:7" x14ac:dyDescent="0.2">
      <c r="A2155" s="3"/>
      <c r="B2155" s="6"/>
      <c r="C2155" s="3"/>
      <c r="D2155" s="6"/>
      <c r="E2155" s="6"/>
      <c r="F2155" s="6"/>
      <c r="G2155" s="7"/>
    </row>
    <row r="2156" spans="1:7" x14ac:dyDescent="0.2">
      <c r="A2156" s="3"/>
      <c r="B2156" s="6"/>
      <c r="C2156" s="3"/>
      <c r="D2156" s="6"/>
      <c r="E2156" s="6"/>
      <c r="F2156" s="6"/>
      <c r="G2156" s="7"/>
    </row>
    <row r="2157" spans="1:7" x14ac:dyDescent="0.2">
      <c r="A2157" s="3"/>
      <c r="B2157" s="6"/>
      <c r="C2157" s="3"/>
      <c r="D2157" s="6"/>
      <c r="E2157" s="6"/>
      <c r="F2157" s="6"/>
      <c r="G2157" s="7"/>
    </row>
    <row r="2158" spans="1:7" x14ac:dyDescent="0.2">
      <c r="A2158" s="3"/>
      <c r="B2158" s="6"/>
      <c r="C2158" s="3"/>
      <c r="D2158" s="6"/>
      <c r="E2158" s="6"/>
      <c r="F2158" s="6"/>
      <c r="G2158" s="7"/>
    </row>
    <row r="2159" spans="1:7" x14ac:dyDescent="0.2">
      <c r="A2159" s="3"/>
      <c r="B2159" s="6"/>
      <c r="C2159" s="3"/>
      <c r="D2159" s="6"/>
      <c r="E2159" s="6"/>
      <c r="F2159" s="6"/>
      <c r="G2159" s="7"/>
    </row>
    <row r="2160" spans="1:7" x14ac:dyDescent="0.2">
      <c r="A2160" s="3"/>
      <c r="B2160" s="6"/>
      <c r="C2160" s="3"/>
      <c r="D2160" s="6"/>
      <c r="E2160" s="6"/>
      <c r="F2160" s="6"/>
      <c r="G2160" s="7"/>
    </row>
    <row r="2161" spans="1:7" x14ac:dyDescent="0.2">
      <c r="A2161" s="3"/>
      <c r="B2161" s="6"/>
      <c r="C2161" s="3"/>
      <c r="D2161" s="6"/>
      <c r="E2161" s="6"/>
      <c r="F2161" s="6"/>
      <c r="G2161" s="7"/>
    </row>
    <row r="2162" spans="1:7" x14ac:dyDescent="0.2">
      <c r="A2162" s="3"/>
      <c r="B2162" s="6"/>
      <c r="C2162" s="3"/>
      <c r="D2162" s="6"/>
      <c r="E2162" s="6"/>
      <c r="F2162" s="6"/>
      <c r="G2162" s="7"/>
    </row>
    <row r="2163" spans="1:7" x14ac:dyDescent="0.2">
      <c r="A2163" s="3"/>
      <c r="B2163" s="6"/>
      <c r="C2163" s="3"/>
      <c r="D2163" s="6"/>
      <c r="E2163" s="6"/>
      <c r="F2163" s="6"/>
      <c r="G2163" s="7"/>
    </row>
    <row r="2164" spans="1:7" x14ac:dyDescent="0.2">
      <c r="A2164" s="3"/>
      <c r="B2164" s="6"/>
      <c r="C2164" s="3"/>
      <c r="D2164" s="6"/>
      <c r="E2164" s="6"/>
      <c r="F2164" s="6"/>
      <c r="G2164" s="7"/>
    </row>
    <row r="2165" spans="1:7" x14ac:dyDescent="0.2">
      <c r="A2165" s="3"/>
      <c r="B2165" s="6"/>
      <c r="C2165" s="3"/>
      <c r="D2165" s="6"/>
      <c r="E2165" s="6"/>
      <c r="F2165" s="6"/>
      <c r="G2165" s="7"/>
    </row>
    <row r="2166" spans="1:7" x14ac:dyDescent="0.2">
      <c r="A2166" s="3"/>
      <c r="B2166" s="6"/>
      <c r="C2166" s="3"/>
      <c r="D2166" s="6"/>
      <c r="E2166" s="6"/>
      <c r="F2166" s="6"/>
      <c r="G2166" s="7"/>
    </row>
    <row r="2167" spans="1:7" x14ac:dyDescent="0.2">
      <c r="A2167" s="3"/>
      <c r="B2167" s="6"/>
      <c r="C2167" s="3"/>
      <c r="D2167" s="6"/>
      <c r="E2167" s="6"/>
      <c r="F2167" s="6"/>
      <c r="G2167" s="7"/>
    </row>
    <row r="2168" spans="1:7" x14ac:dyDescent="0.2">
      <c r="A2168" s="3"/>
      <c r="B2168" s="6"/>
      <c r="C2168" s="3"/>
      <c r="D2168" s="6"/>
      <c r="E2168" s="6"/>
      <c r="F2168" s="6"/>
      <c r="G2168" s="7"/>
    </row>
    <row r="2169" spans="1:7" x14ac:dyDescent="0.2">
      <c r="A2169" s="3"/>
      <c r="B2169" s="6"/>
      <c r="C2169" s="3"/>
      <c r="D2169" s="6"/>
      <c r="E2169" s="6"/>
      <c r="F2169" s="6"/>
      <c r="G2169" s="7"/>
    </row>
    <row r="2170" spans="1:7" x14ac:dyDescent="0.2">
      <c r="A2170" s="3"/>
      <c r="B2170" s="6"/>
      <c r="C2170" s="3"/>
      <c r="D2170" s="6"/>
      <c r="E2170" s="6"/>
      <c r="F2170" s="6"/>
      <c r="G2170" s="7"/>
    </row>
    <row r="2171" spans="1:7" x14ac:dyDescent="0.2">
      <c r="A2171" s="3"/>
      <c r="B2171" s="6"/>
      <c r="C2171" s="3"/>
      <c r="D2171" s="6"/>
      <c r="E2171" s="6"/>
      <c r="F2171" s="6"/>
      <c r="G2171" s="7"/>
    </row>
    <row r="2172" spans="1:7" x14ac:dyDescent="0.2">
      <c r="A2172" s="3"/>
      <c r="B2172" s="6"/>
      <c r="C2172" s="3"/>
      <c r="D2172" s="6"/>
      <c r="E2172" s="6"/>
      <c r="F2172" s="6"/>
      <c r="G2172" s="7"/>
    </row>
    <row r="2173" spans="1:7" x14ac:dyDescent="0.2">
      <c r="A2173" s="3"/>
      <c r="B2173" s="6"/>
      <c r="C2173" s="3"/>
      <c r="D2173" s="6"/>
      <c r="E2173" s="6"/>
      <c r="F2173" s="6"/>
      <c r="G2173" s="7"/>
    </row>
    <row r="2174" spans="1:7" x14ac:dyDescent="0.2">
      <c r="A2174" s="3"/>
      <c r="B2174" s="6"/>
      <c r="C2174" s="3"/>
      <c r="D2174" s="6"/>
      <c r="E2174" s="6"/>
      <c r="F2174" s="6"/>
      <c r="G2174" s="7"/>
    </row>
    <row r="2175" spans="1:7" x14ac:dyDescent="0.2">
      <c r="A2175" s="3"/>
      <c r="B2175" s="6"/>
      <c r="C2175" s="3"/>
      <c r="D2175" s="6"/>
      <c r="E2175" s="6"/>
      <c r="F2175" s="6"/>
      <c r="G2175" s="7"/>
    </row>
    <row r="2176" spans="1:7" x14ac:dyDescent="0.2">
      <c r="A2176" s="3"/>
      <c r="B2176" s="6"/>
      <c r="C2176" s="3"/>
      <c r="D2176" s="6"/>
      <c r="E2176" s="6"/>
      <c r="F2176" s="6"/>
      <c r="G2176" s="7"/>
    </row>
    <row r="2177" spans="1:7" x14ac:dyDescent="0.2">
      <c r="A2177" s="3"/>
      <c r="B2177" s="6"/>
      <c r="C2177" s="3"/>
      <c r="D2177" s="6"/>
      <c r="E2177" s="6"/>
      <c r="F2177" s="6"/>
      <c r="G2177" s="7"/>
    </row>
    <row r="2178" spans="1:7" x14ac:dyDescent="0.2">
      <c r="A2178" s="3"/>
      <c r="B2178" s="6"/>
      <c r="C2178" s="3"/>
      <c r="D2178" s="6"/>
      <c r="E2178" s="6"/>
      <c r="F2178" s="6"/>
      <c r="G2178" s="7"/>
    </row>
    <row r="2179" spans="1:7" x14ac:dyDescent="0.2">
      <c r="A2179" s="3"/>
      <c r="B2179" s="6"/>
      <c r="C2179" s="3"/>
      <c r="D2179" s="6"/>
      <c r="E2179" s="6"/>
      <c r="F2179" s="6"/>
      <c r="G2179" s="7"/>
    </row>
    <row r="2180" spans="1:7" x14ac:dyDescent="0.2">
      <c r="A2180" s="3"/>
      <c r="B2180" s="6"/>
      <c r="C2180" s="3"/>
      <c r="D2180" s="6"/>
      <c r="E2180" s="6"/>
      <c r="F2180" s="6"/>
      <c r="G2180" s="7"/>
    </row>
    <row r="2181" spans="1:7" x14ac:dyDescent="0.2">
      <c r="A2181" s="3"/>
      <c r="B2181" s="6"/>
      <c r="C2181" s="3"/>
      <c r="D2181" s="6"/>
      <c r="E2181" s="6"/>
      <c r="F2181" s="6"/>
      <c r="G2181" s="7"/>
    </row>
    <row r="2182" spans="1:7" x14ac:dyDescent="0.2">
      <c r="A2182" s="3"/>
      <c r="B2182" s="6"/>
      <c r="C2182" s="3"/>
      <c r="D2182" s="6"/>
      <c r="E2182" s="6"/>
      <c r="F2182" s="6"/>
      <c r="G2182" s="7"/>
    </row>
    <row r="2183" spans="1:7" x14ac:dyDescent="0.2">
      <c r="A2183" s="3"/>
      <c r="B2183" s="6"/>
      <c r="C2183" s="3"/>
      <c r="D2183" s="6"/>
      <c r="E2183" s="6"/>
      <c r="F2183" s="6"/>
      <c r="G2183" s="7"/>
    </row>
    <row r="2184" spans="1:7" x14ac:dyDescent="0.2">
      <c r="A2184" s="3"/>
      <c r="B2184" s="6"/>
      <c r="C2184" s="3"/>
      <c r="D2184" s="6"/>
      <c r="E2184" s="6"/>
      <c r="F2184" s="6"/>
      <c r="G2184" s="7"/>
    </row>
    <row r="2185" spans="1:7" x14ac:dyDescent="0.2">
      <c r="A2185" s="3"/>
      <c r="B2185" s="6"/>
      <c r="C2185" s="3"/>
      <c r="D2185" s="6"/>
      <c r="E2185" s="6"/>
      <c r="F2185" s="6"/>
      <c r="G2185" s="7"/>
    </row>
    <row r="2186" spans="1:7" x14ac:dyDescent="0.2">
      <c r="A2186" s="3"/>
      <c r="B2186" s="6"/>
      <c r="C2186" s="3"/>
      <c r="D2186" s="6"/>
      <c r="E2186" s="6"/>
      <c r="F2186" s="6"/>
      <c r="G2186" s="7"/>
    </row>
    <row r="2187" spans="1:7" x14ac:dyDescent="0.2">
      <c r="A2187" s="3"/>
      <c r="B2187" s="6"/>
      <c r="C2187" s="3"/>
      <c r="D2187" s="6"/>
      <c r="E2187" s="6"/>
      <c r="F2187" s="6"/>
      <c r="G2187" s="7"/>
    </row>
    <row r="2188" spans="1:7" x14ac:dyDescent="0.2">
      <c r="A2188" s="3"/>
      <c r="B2188" s="6"/>
      <c r="C2188" s="3"/>
      <c r="D2188" s="6"/>
      <c r="E2188" s="6"/>
      <c r="F2188" s="6"/>
      <c r="G2188" s="7"/>
    </row>
    <row r="2189" spans="1:7" x14ac:dyDescent="0.2">
      <c r="A2189" s="3"/>
      <c r="B2189" s="6"/>
      <c r="C2189" s="3"/>
      <c r="D2189" s="6"/>
      <c r="E2189" s="6"/>
      <c r="F2189" s="6"/>
      <c r="G2189" s="7"/>
    </row>
    <row r="2190" spans="1:7" x14ac:dyDescent="0.2">
      <c r="A2190" s="3"/>
      <c r="B2190" s="6"/>
      <c r="C2190" s="3"/>
      <c r="D2190" s="6"/>
      <c r="E2190" s="6"/>
      <c r="F2190" s="6"/>
      <c r="G2190" s="7"/>
    </row>
    <row r="2191" spans="1:7" x14ac:dyDescent="0.2">
      <c r="A2191" s="3"/>
      <c r="B2191" s="6"/>
      <c r="C2191" s="3"/>
      <c r="D2191" s="6"/>
      <c r="E2191" s="6"/>
      <c r="F2191" s="6"/>
      <c r="G2191" s="7"/>
    </row>
    <row r="2192" spans="1:7" x14ac:dyDescent="0.2">
      <c r="A2192" s="3"/>
      <c r="B2192" s="6"/>
      <c r="C2192" s="3"/>
      <c r="D2192" s="6"/>
      <c r="E2192" s="6"/>
      <c r="F2192" s="6"/>
      <c r="G2192" s="7"/>
    </row>
    <row r="2193" spans="1:7" x14ac:dyDescent="0.2">
      <c r="A2193" s="3"/>
      <c r="B2193" s="6"/>
      <c r="C2193" s="3"/>
      <c r="D2193" s="6"/>
      <c r="E2193" s="6"/>
      <c r="F2193" s="6"/>
      <c r="G2193" s="7"/>
    </row>
    <row r="2194" spans="1:7" x14ac:dyDescent="0.2">
      <c r="A2194" s="3"/>
      <c r="B2194" s="6"/>
      <c r="C2194" s="3"/>
      <c r="D2194" s="6"/>
      <c r="E2194" s="6"/>
      <c r="F2194" s="6"/>
      <c r="G2194" s="7"/>
    </row>
    <row r="2195" spans="1:7" x14ac:dyDescent="0.2">
      <c r="A2195" s="3"/>
      <c r="B2195" s="6"/>
      <c r="C2195" s="3"/>
      <c r="D2195" s="6"/>
      <c r="E2195" s="6"/>
      <c r="F2195" s="6"/>
      <c r="G2195" s="7"/>
    </row>
    <row r="2196" spans="1:7" x14ac:dyDescent="0.2">
      <c r="A2196" s="3"/>
      <c r="B2196" s="6"/>
      <c r="C2196" s="3"/>
      <c r="D2196" s="6"/>
      <c r="E2196" s="6"/>
      <c r="F2196" s="6"/>
      <c r="G2196" s="7"/>
    </row>
    <row r="2197" spans="1:7" x14ac:dyDescent="0.2">
      <c r="A2197" s="3"/>
      <c r="B2197" s="6"/>
      <c r="C2197" s="3"/>
      <c r="D2197" s="6"/>
      <c r="E2197" s="6"/>
      <c r="F2197" s="6"/>
      <c r="G2197" s="7"/>
    </row>
    <row r="2198" spans="1:7" x14ac:dyDescent="0.2">
      <c r="A2198" s="3"/>
      <c r="B2198" s="6"/>
      <c r="C2198" s="3"/>
      <c r="D2198" s="6"/>
      <c r="E2198" s="6"/>
      <c r="F2198" s="6"/>
      <c r="G2198" s="7"/>
    </row>
    <row r="2199" spans="1:7" x14ac:dyDescent="0.2">
      <c r="A2199" s="3"/>
      <c r="B2199" s="6"/>
      <c r="C2199" s="3"/>
      <c r="D2199" s="6"/>
      <c r="E2199" s="6"/>
      <c r="F2199" s="6"/>
      <c r="G2199" s="7"/>
    </row>
    <row r="2200" spans="1:7" x14ac:dyDescent="0.2">
      <c r="A2200" s="3"/>
      <c r="B2200" s="6"/>
      <c r="C2200" s="3"/>
      <c r="D2200" s="6"/>
      <c r="E2200" s="6"/>
      <c r="F2200" s="6"/>
      <c r="G2200" s="7"/>
    </row>
    <row r="2201" spans="1:7" x14ac:dyDescent="0.2">
      <c r="A2201" s="3"/>
      <c r="B2201" s="6"/>
      <c r="C2201" s="3"/>
      <c r="D2201" s="6"/>
      <c r="E2201" s="6"/>
      <c r="F2201" s="6"/>
      <c r="G2201" s="7"/>
    </row>
    <row r="2202" spans="1:7" x14ac:dyDescent="0.2">
      <c r="A2202" s="3"/>
      <c r="B2202" s="6"/>
      <c r="C2202" s="3"/>
      <c r="D2202" s="6"/>
      <c r="E2202" s="6"/>
      <c r="F2202" s="6"/>
      <c r="G2202" s="7"/>
    </row>
    <row r="2203" spans="1:7" x14ac:dyDescent="0.2">
      <c r="A2203" s="3"/>
      <c r="B2203" s="6"/>
      <c r="C2203" s="3"/>
      <c r="D2203" s="6"/>
      <c r="E2203" s="6"/>
      <c r="F2203" s="6"/>
      <c r="G2203" s="7"/>
    </row>
    <row r="2204" spans="1:7" x14ac:dyDescent="0.2">
      <c r="A2204" s="3"/>
      <c r="B2204" s="6"/>
      <c r="C2204" s="3"/>
      <c r="D2204" s="6"/>
      <c r="E2204" s="6"/>
      <c r="F2204" s="6"/>
      <c r="G2204" s="7"/>
    </row>
    <row r="2205" spans="1:7" x14ac:dyDescent="0.2">
      <c r="A2205" s="3"/>
      <c r="B2205" s="6"/>
      <c r="C2205" s="3"/>
      <c r="D2205" s="6"/>
      <c r="E2205" s="6"/>
      <c r="F2205" s="6"/>
      <c r="G2205" s="7"/>
    </row>
    <row r="2206" spans="1:7" x14ac:dyDescent="0.2">
      <c r="A2206" s="3"/>
      <c r="B2206" s="6"/>
      <c r="C2206" s="3"/>
      <c r="D2206" s="6"/>
      <c r="E2206" s="6"/>
      <c r="F2206" s="6"/>
      <c r="G2206" s="7"/>
    </row>
    <row r="2207" spans="1:7" x14ac:dyDescent="0.2">
      <c r="A2207" s="3"/>
      <c r="B2207" s="6"/>
      <c r="C2207" s="3"/>
      <c r="D2207" s="6"/>
      <c r="E2207" s="6"/>
      <c r="F2207" s="6"/>
      <c r="G2207" s="7"/>
    </row>
    <row r="2208" spans="1:7" x14ac:dyDescent="0.2">
      <c r="A2208" s="3"/>
      <c r="B2208" s="6"/>
      <c r="C2208" s="3"/>
      <c r="D2208" s="6"/>
      <c r="E2208" s="6"/>
      <c r="F2208" s="6"/>
      <c r="G2208" s="7"/>
    </row>
    <row r="2209" spans="1:7" x14ac:dyDescent="0.2">
      <c r="A2209" s="3"/>
      <c r="B2209" s="6"/>
      <c r="C2209" s="3"/>
      <c r="D2209" s="6"/>
      <c r="E2209" s="6"/>
      <c r="F2209" s="6"/>
      <c r="G2209" s="7"/>
    </row>
    <row r="2210" spans="1:7" x14ac:dyDescent="0.2">
      <c r="A2210" s="3"/>
      <c r="B2210" s="6"/>
      <c r="C2210" s="3"/>
      <c r="D2210" s="6"/>
      <c r="E2210" s="6"/>
      <c r="F2210" s="6"/>
      <c r="G2210" s="7"/>
    </row>
    <row r="2211" spans="1:7" x14ac:dyDescent="0.2">
      <c r="A2211" s="3"/>
      <c r="B2211" s="6"/>
      <c r="C2211" s="3"/>
      <c r="D2211" s="6"/>
      <c r="E2211" s="6"/>
      <c r="F2211" s="6"/>
      <c r="G2211" s="7"/>
    </row>
    <row r="2212" spans="1:7" x14ac:dyDescent="0.2">
      <c r="A2212" s="3"/>
      <c r="B2212" s="6"/>
      <c r="C2212" s="3"/>
      <c r="D2212" s="6"/>
      <c r="E2212" s="6"/>
      <c r="F2212" s="6"/>
      <c r="G2212" s="7"/>
    </row>
    <row r="2213" spans="1:7" x14ac:dyDescent="0.2">
      <c r="A2213" s="3"/>
      <c r="B2213" s="6"/>
      <c r="C2213" s="3"/>
      <c r="D2213" s="6"/>
      <c r="E2213" s="6"/>
      <c r="F2213" s="6"/>
      <c r="G2213" s="7"/>
    </row>
    <row r="2214" spans="1:7" x14ac:dyDescent="0.2">
      <c r="A2214" s="3"/>
      <c r="B2214" s="6"/>
      <c r="C2214" s="3"/>
      <c r="D2214" s="6"/>
      <c r="E2214" s="6"/>
      <c r="F2214" s="6"/>
      <c r="G2214" s="7"/>
    </row>
    <row r="2215" spans="1:7" x14ac:dyDescent="0.2">
      <c r="A2215" s="3"/>
      <c r="B2215" s="6"/>
      <c r="C2215" s="3"/>
      <c r="D2215" s="6"/>
      <c r="E2215" s="6"/>
      <c r="F2215" s="6"/>
      <c r="G2215" s="7"/>
    </row>
    <row r="2216" spans="1:7" x14ac:dyDescent="0.2">
      <c r="A2216" s="3"/>
      <c r="B2216" s="6"/>
      <c r="C2216" s="3"/>
      <c r="D2216" s="6"/>
      <c r="E2216" s="6"/>
      <c r="F2216" s="6"/>
      <c r="G2216" s="7"/>
    </row>
    <row r="2217" spans="1:7" x14ac:dyDescent="0.2">
      <c r="A2217" s="3"/>
      <c r="B2217" s="6"/>
      <c r="C2217" s="3"/>
      <c r="D2217" s="6"/>
      <c r="E2217" s="6"/>
      <c r="F2217" s="6"/>
      <c r="G2217" s="7"/>
    </row>
    <row r="2218" spans="1:7" x14ac:dyDescent="0.2">
      <c r="A2218" s="3"/>
      <c r="B2218" s="6"/>
      <c r="C2218" s="3"/>
      <c r="D2218" s="6"/>
      <c r="E2218" s="6"/>
      <c r="F2218" s="6"/>
      <c r="G2218" s="7"/>
    </row>
    <row r="2219" spans="1:7" x14ac:dyDescent="0.2">
      <c r="A2219" s="3"/>
      <c r="B2219" s="6"/>
      <c r="C2219" s="3"/>
      <c r="D2219" s="6"/>
      <c r="E2219" s="6"/>
      <c r="F2219" s="6"/>
      <c r="G2219" s="7"/>
    </row>
    <row r="2220" spans="1:7" x14ac:dyDescent="0.2">
      <c r="A2220" s="3"/>
      <c r="B2220" s="6"/>
      <c r="C2220" s="3"/>
      <c r="D2220" s="6"/>
      <c r="E2220" s="6"/>
      <c r="F2220" s="6"/>
      <c r="G2220" s="7"/>
    </row>
    <row r="2221" spans="1:7" x14ac:dyDescent="0.2">
      <c r="A2221" s="3"/>
      <c r="B2221" s="6"/>
      <c r="C2221" s="3"/>
      <c r="D2221" s="6"/>
      <c r="E2221" s="6"/>
      <c r="F2221" s="6"/>
      <c r="G2221" s="7"/>
    </row>
    <row r="2222" spans="1:7" x14ac:dyDescent="0.2">
      <c r="A2222" s="3"/>
      <c r="B2222" s="6"/>
      <c r="C2222" s="3"/>
      <c r="D2222" s="6"/>
      <c r="E2222" s="6"/>
      <c r="F2222" s="6"/>
      <c r="G2222" s="7"/>
    </row>
    <row r="2223" spans="1:7" x14ac:dyDescent="0.2">
      <c r="A2223" s="3"/>
      <c r="B2223" s="6"/>
      <c r="C2223" s="3"/>
      <c r="D2223" s="6"/>
      <c r="E2223" s="6"/>
      <c r="F2223" s="6"/>
      <c r="G2223" s="7"/>
    </row>
    <row r="2224" spans="1:7" x14ac:dyDescent="0.2">
      <c r="A2224" s="3"/>
      <c r="B2224" s="6"/>
      <c r="C2224" s="3"/>
      <c r="D2224" s="6"/>
      <c r="E2224" s="6"/>
      <c r="F2224" s="6"/>
      <c r="G2224" s="7"/>
    </row>
    <row r="2225" spans="1:7" x14ac:dyDescent="0.2">
      <c r="A2225" s="3"/>
      <c r="B2225" s="6"/>
      <c r="C2225" s="3"/>
      <c r="D2225" s="6"/>
      <c r="E2225" s="6"/>
      <c r="F2225" s="6"/>
      <c r="G2225" s="7"/>
    </row>
    <row r="2226" spans="1:7" x14ac:dyDescent="0.2">
      <c r="A2226" s="3"/>
      <c r="B2226" s="6"/>
      <c r="C2226" s="3"/>
      <c r="D2226" s="6"/>
      <c r="E2226" s="6"/>
      <c r="F2226" s="6"/>
      <c r="G2226" s="7"/>
    </row>
    <row r="2227" spans="1:7" x14ac:dyDescent="0.2">
      <c r="A2227" s="3"/>
      <c r="B2227" s="6"/>
      <c r="C2227" s="3"/>
      <c r="D2227" s="6"/>
      <c r="E2227" s="6"/>
      <c r="F2227" s="6"/>
      <c r="G2227" s="7"/>
    </row>
    <row r="2228" spans="1:7" x14ac:dyDescent="0.2">
      <c r="A2228" s="3"/>
      <c r="B2228" s="6"/>
      <c r="C2228" s="3"/>
      <c r="D2228" s="6"/>
      <c r="E2228" s="6"/>
      <c r="F2228" s="6"/>
      <c r="G2228" s="7"/>
    </row>
    <row r="2229" spans="1:7" x14ac:dyDescent="0.2">
      <c r="A2229" s="3"/>
      <c r="B2229" s="6"/>
      <c r="C2229" s="3"/>
      <c r="D2229" s="6"/>
      <c r="E2229" s="6"/>
      <c r="F2229" s="6"/>
      <c r="G2229" s="7"/>
    </row>
    <row r="2230" spans="1:7" x14ac:dyDescent="0.2">
      <c r="A2230" s="3"/>
      <c r="B2230" s="6"/>
      <c r="C2230" s="3"/>
      <c r="D2230" s="6"/>
      <c r="E2230" s="6"/>
      <c r="F2230" s="6"/>
      <c r="G2230" s="7"/>
    </row>
    <row r="2231" spans="1:7" x14ac:dyDescent="0.2">
      <c r="A2231" s="3"/>
      <c r="B2231" s="6"/>
      <c r="C2231" s="3"/>
      <c r="D2231" s="6"/>
      <c r="E2231" s="6"/>
      <c r="F2231" s="6"/>
      <c r="G2231" s="7"/>
    </row>
    <row r="2232" spans="1:7" x14ac:dyDescent="0.2">
      <c r="A2232" s="3"/>
      <c r="B2232" s="6"/>
      <c r="C2232" s="3"/>
      <c r="D2232" s="6"/>
      <c r="E2232" s="6"/>
      <c r="F2232" s="6"/>
      <c r="G2232" s="7"/>
    </row>
    <row r="2233" spans="1:7" x14ac:dyDescent="0.2">
      <c r="A2233" s="3"/>
      <c r="B2233" s="6"/>
      <c r="C2233" s="3"/>
      <c r="D2233" s="6"/>
      <c r="E2233" s="6"/>
      <c r="F2233" s="6"/>
      <c r="G2233" s="7"/>
    </row>
    <row r="2234" spans="1:7" x14ac:dyDescent="0.2">
      <c r="A2234" s="3"/>
      <c r="B2234" s="6"/>
      <c r="C2234" s="3"/>
      <c r="D2234" s="6"/>
      <c r="E2234" s="6"/>
      <c r="F2234" s="6"/>
      <c r="G2234" s="7"/>
    </row>
    <row r="2235" spans="1:7" x14ac:dyDescent="0.2">
      <c r="A2235" s="3"/>
      <c r="B2235" s="6"/>
      <c r="C2235" s="3"/>
      <c r="D2235" s="6"/>
      <c r="E2235" s="6"/>
      <c r="F2235" s="6"/>
      <c r="G2235" s="7"/>
    </row>
    <row r="2236" spans="1:7" x14ac:dyDescent="0.2">
      <c r="A2236" s="3"/>
      <c r="B2236" s="6"/>
      <c r="C2236" s="3"/>
      <c r="D2236" s="6"/>
      <c r="E2236" s="6"/>
      <c r="F2236" s="6"/>
      <c r="G2236" s="7"/>
    </row>
    <row r="2237" spans="1:7" x14ac:dyDescent="0.2">
      <c r="A2237" s="3"/>
      <c r="B2237" s="6"/>
      <c r="C2237" s="3"/>
      <c r="D2237" s="6"/>
      <c r="E2237" s="6"/>
      <c r="F2237" s="6"/>
      <c r="G2237" s="7"/>
    </row>
    <row r="2238" spans="1:7" x14ac:dyDescent="0.2">
      <c r="A2238" s="3"/>
      <c r="B2238" s="6"/>
      <c r="C2238" s="3"/>
      <c r="D2238" s="6"/>
      <c r="E2238" s="6"/>
      <c r="F2238" s="6"/>
      <c r="G2238" s="7"/>
    </row>
    <row r="2239" spans="1:7" x14ac:dyDescent="0.2">
      <c r="A2239" s="3"/>
      <c r="B2239" s="6"/>
      <c r="C2239" s="3"/>
      <c r="D2239" s="6"/>
      <c r="E2239" s="6"/>
      <c r="F2239" s="6"/>
      <c r="G2239" s="7"/>
    </row>
    <row r="2240" spans="1:7" x14ac:dyDescent="0.2">
      <c r="A2240" s="3"/>
      <c r="B2240" s="6"/>
      <c r="C2240" s="3"/>
      <c r="D2240" s="6"/>
      <c r="E2240" s="6"/>
      <c r="F2240" s="6"/>
      <c r="G2240" s="7"/>
    </row>
    <row r="2241" spans="1:7" x14ac:dyDescent="0.2">
      <c r="A2241" s="3"/>
      <c r="B2241" s="6"/>
      <c r="C2241" s="3"/>
      <c r="D2241" s="6"/>
      <c r="E2241" s="6"/>
      <c r="F2241" s="6"/>
      <c r="G2241" s="7"/>
    </row>
    <row r="2242" spans="1:7" x14ac:dyDescent="0.2">
      <c r="A2242" s="3"/>
      <c r="B2242" s="6"/>
      <c r="C2242" s="3"/>
      <c r="D2242" s="6"/>
      <c r="E2242" s="6"/>
      <c r="F2242" s="6"/>
      <c r="G2242" s="7"/>
    </row>
    <row r="2243" spans="1:7" x14ac:dyDescent="0.2">
      <c r="A2243" s="3"/>
      <c r="B2243" s="6"/>
      <c r="C2243" s="3"/>
      <c r="D2243" s="6"/>
      <c r="E2243" s="6"/>
      <c r="F2243" s="6"/>
      <c r="G2243" s="7"/>
    </row>
    <row r="2244" spans="1:7" x14ac:dyDescent="0.2">
      <c r="A2244" s="3"/>
      <c r="B2244" s="6"/>
      <c r="C2244" s="3"/>
      <c r="D2244" s="6"/>
      <c r="E2244" s="6"/>
      <c r="F2244" s="6"/>
      <c r="G2244" s="7"/>
    </row>
    <row r="2245" spans="1:7" x14ac:dyDescent="0.2">
      <c r="A2245" s="3"/>
      <c r="B2245" s="6"/>
      <c r="C2245" s="3"/>
      <c r="D2245" s="6"/>
      <c r="E2245" s="6"/>
      <c r="F2245" s="6"/>
      <c r="G2245" s="7"/>
    </row>
    <row r="2246" spans="1:7" x14ac:dyDescent="0.2">
      <c r="A2246" s="3"/>
      <c r="B2246" s="6"/>
      <c r="C2246" s="3"/>
      <c r="D2246" s="6"/>
      <c r="E2246" s="6"/>
      <c r="F2246" s="6"/>
      <c r="G2246" s="7"/>
    </row>
    <row r="2247" spans="1:7" x14ac:dyDescent="0.2">
      <c r="A2247" s="3"/>
      <c r="B2247" s="6"/>
      <c r="C2247" s="3"/>
      <c r="D2247" s="6"/>
      <c r="E2247" s="6"/>
      <c r="F2247" s="6"/>
      <c r="G2247" s="7"/>
    </row>
    <row r="2248" spans="1:7" x14ac:dyDescent="0.2">
      <c r="A2248" s="3"/>
      <c r="B2248" s="6"/>
      <c r="C2248" s="3"/>
      <c r="D2248" s="6"/>
      <c r="E2248" s="6"/>
      <c r="F2248" s="6"/>
      <c r="G2248" s="7"/>
    </row>
    <row r="2249" spans="1:7" x14ac:dyDescent="0.2">
      <c r="A2249" s="3"/>
      <c r="B2249" s="6"/>
      <c r="C2249" s="3"/>
      <c r="D2249" s="6"/>
      <c r="E2249" s="6"/>
      <c r="F2249" s="6"/>
      <c r="G2249" s="7"/>
    </row>
    <row r="2250" spans="1:7" x14ac:dyDescent="0.2">
      <c r="A2250" s="3"/>
      <c r="B2250" s="6"/>
      <c r="C2250" s="3"/>
      <c r="D2250" s="6"/>
      <c r="E2250" s="6"/>
      <c r="F2250" s="6"/>
      <c r="G2250" s="7"/>
    </row>
    <row r="2251" spans="1:7" x14ac:dyDescent="0.2">
      <c r="A2251" s="3"/>
      <c r="B2251" s="6"/>
      <c r="C2251" s="3"/>
      <c r="D2251" s="6"/>
      <c r="E2251" s="6"/>
      <c r="F2251" s="6"/>
      <c r="G2251" s="7"/>
    </row>
    <row r="2252" spans="1:7" x14ac:dyDescent="0.2">
      <c r="A2252" s="3"/>
      <c r="B2252" s="6"/>
      <c r="C2252" s="3"/>
      <c r="D2252" s="6"/>
      <c r="E2252" s="6"/>
      <c r="F2252" s="6"/>
      <c r="G2252" s="7"/>
    </row>
    <row r="2253" spans="1:7" x14ac:dyDescent="0.2">
      <c r="A2253" s="3"/>
      <c r="B2253" s="6"/>
      <c r="C2253" s="3"/>
      <c r="D2253" s="6"/>
      <c r="E2253" s="6"/>
      <c r="F2253" s="6"/>
      <c r="G2253" s="7"/>
    </row>
    <row r="2254" spans="1:7" x14ac:dyDescent="0.2">
      <c r="A2254" s="3"/>
      <c r="B2254" s="6"/>
      <c r="C2254" s="3"/>
      <c r="D2254" s="6"/>
      <c r="E2254" s="6"/>
      <c r="F2254" s="6"/>
      <c r="G2254" s="7"/>
    </row>
    <row r="2255" spans="1:7" x14ac:dyDescent="0.2">
      <c r="A2255" s="3"/>
      <c r="B2255" s="6"/>
      <c r="C2255" s="3"/>
      <c r="D2255" s="6"/>
      <c r="E2255" s="6"/>
      <c r="F2255" s="6"/>
      <c r="G2255" s="7"/>
    </row>
    <row r="2256" spans="1:7" x14ac:dyDescent="0.2">
      <c r="A2256" s="3"/>
      <c r="B2256" s="6"/>
      <c r="C2256" s="3"/>
      <c r="D2256" s="6"/>
      <c r="E2256" s="6"/>
      <c r="F2256" s="6"/>
      <c r="G2256" s="7"/>
    </row>
    <row r="2257" spans="1:7" x14ac:dyDescent="0.2">
      <c r="A2257" s="3"/>
      <c r="B2257" s="6"/>
      <c r="C2257" s="3"/>
      <c r="D2257" s="6"/>
      <c r="E2257" s="6"/>
      <c r="F2257" s="6"/>
      <c r="G2257" s="7"/>
    </row>
    <row r="2258" spans="1:7" x14ac:dyDescent="0.2">
      <c r="A2258" s="3"/>
      <c r="B2258" s="6"/>
      <c r="C2258" s="3"/>
      <c r="D2258" s="6"/>
      <c r="E2258" s="6"/>
      <c r="F2258" s="6"/>
      <c r="G2258" s="7"/>
    </row>
    <row r="2259" spans="1:7" x14ac:dyDescent="0.2">
      <c r="A2259" s="3"/>
      <c r="B2259" s="6"/>
      <c r="C2259" s="3"/>
      <c r="D2259" s="6"/>
      <c r="E2259" s="6"/>
      <c r="F2259" s="6"/>
      <c r="G2259" s="7"/>
    </row>
    <row r="2260" spans="1:7" x14ac:dyDescent="0.2">
      <c r="A2260" s="3"/>
      <c r="B2260" s="6"/>
      <c r="C2260" s="3"/>
      <c r="D2260" s="6"/>
      <c r="E2260" s="6"/>
      <c r="F2260" s="6"/>
      <c r="G2260" s="7"/>
    </row>
    <row r="2261" spans="1:7" x14ac:dyDescent="0.2">
      <c r="A2261" s="3"/>
      <c r="B2261" s="6"/>
      <c r="C2261" s="3"/>
      <c r="D2261" s="6"/>
      <c r="E2261" s="6"/>
      <c r="F2261" s="6"/>
      <c r="G2261" s="7"/>
    </row>
    <row r="2262" spans="1:7" x14ac:dyDescent="0.2">
      <c r="A2262" s="3"/>
      <c r="B2262" s="6"/>
      <c r="C2262" s="3"/>
      <c r="D2262" s="6"/>
      <c r="E2262" s="6"/>
      <c r="F2262" s="6"/>
      <c r="G2262" s="7"/>
    </row>
    <row r="2263" spans="1:7" x14ac:dyDescent="0.2">
      <c r="A2263" s="3"/>
      <c r="B2263" s="6"/>
      <c r="C2263" s="3"/>
      <c r="D2263" s="6"/>
      <c r="E2263" s="6"/>
      <c r="F2263" s="6"/>
      <c r="G2263" s="7"/>
    </row>
    <row r="2264" spans="1:7" x14ac:dyDescent="0.2">
      <c r="A2264" s="3"/>
      <c r="B2264" s="6"/>
      <c r="C2264" s="3"/>
      <c r="D2264" s="6"/>
      <c r="E2264" s="6"/>
      <c r="F2264" s="6"/>
      <c r="G2264" s="7"/>
    </row>
    <row r="2265" spans="1:7" x14ac:dyDescent="0.2">
      <c r="A2265" s="3"/>
      <c r="B2265" s="6"/>
      <c r="C2265" s="3"/>
      <c r="D2265" s="6"/>
      <c r="E2265" s="6"/>
      <c r="F2265" s="6"/>
      <c r="G2265" s="7"/>
    </row>
    <row r="2266" spans="1:7" x14ac:dyDescent="0.2">
      <c r="A2266" s="3"/>
      <c r="B2266" s="6"/>
      <c r="C2266" s="3"/>
      <c r="D2266" s="6"/>
      <c r="E2266" s="6"/>
      <c r="F2266" s="6"/>
      <c r="G2266" s="7"/>
    </row>
    <row r="2267" spans="1:7" x14ac:dyDescent="0.2">
      <c r="A2267" s="3"/>
      <c r="B2267" s="6"/>
      <c r="C2267" s="3"/>
      <c r="D2267" s="6"/>
      <c r="E2267" s="6"/>
      <c r="F2267" s="6"/>
      <c r="G2267" s="7"/>
    </row>
    <row r="2268" spans="1:7" x14ac:dyDescent="0.2">
      <c r="A2268" s="3"/>
      <c r="B2268" s="6"/>
      <c r="C2268" s="3"/>
      <c r="D2268" s="6"/>
      <c r="E2268" s="6"/>
      <c r="F2268" s="6"/>
      <c r="G2268" s="7"/>
    </row>
    <row r="2269" spans="1:7" x14ac:dyDescent="0.2">
      <c r="A2269" s="3"/>
      <c r="B2269" s="6"/>
      <c r="C2269" s="3"/>
      <c r="D2269" s="6"/>
      <c r="E2269" s="6"/>
      <c r="F2269" s="6"/>
      <c r="G2269" s="7"/>
    </row>
    <row r="2270" spans="1:7" x14ac:dyDescent="0.2">
      <c r="A2270" s="3"/>
      <c r="B2270" s="6"/>
      <c r="C2270" s="3"/>
      <c r="D2270" s="6"/>
      <c r="E2270" s="6"/>
      <c r="F2270" s="6"/>
      <c r="G2270" s="7"/>
    </row>
    <row r="2271" spans="1:7" x14ac:dyDescent="0.2">
      <c r="A2271" s="3"/>
      <c r="B2271" s="6"/>
      <c r="C2271" s="3"/>
      <c r="D2271" s="6"/>
      <c r="E2271" s="6"/>
      <c r="F2271" s="6"/>
      <c r="G2271" s="7"/>
    </row>
    <row r="2272" spans="1:7" x14ac:dyDescent="0.2">
      <c r="A2272" s="3"/>
      <c r="B2272" s="6"/>
      <c r="C2272" s="3"/>
      <c r="D2272" s="6"/>
      <c r="E2272" s="6"/>
      <c r="F2272" s="6"/>
      <c r="G2272" s="7"/>
    </row>
    <row r="2273" spans="1:7" x14ac:dyDescent="0.2">
      <c r="A2273" s="3"/>
      <c r="B2273" s="6"/>
      <c r="C2273" s="3"/>
      <c r="D2273" s="6"/>
      <c r="E2273" s="6"/>
      <c r="F2273" s="6"/>
      <c r="G2273" s="7"/>
    </row>
    <row r="2274" spans="1:7" x14ac:dyDescent="0.2">
      <c r="A2274" s="3"/>
      <c r="B2274" s="6"/>
      <c r="C2274" s="3"/>
      <c r="D2274" s="6"/>
      <c r="E2274" s="6"/>
      <c r="F2274" s="6"/>
      <c r="G2274" s="7"/>
    </row>
    <row r="2275" spans="1:7" x14ac:dyDescent="0.2">
      <c r="A2275" s="3"/>
      <c r="B2275" s="6"/>
      <c r="C2275" s="3"/>
      <c r="D2275" s="6"/>
      <c r="E2275" s="6"/>
      <c r="F2275" s="6"/>
      <c r="G2275" s="7"/>
    </row>
    <row r="2276" spans="1:7" x14ac:dyDescent="0.2">
      <c r="A2276" s="3"/>
      <c r="B2276" s="6"/>
      <c r="C2276" s="3"/>
      <c r="D2276" s="6"/>
      <c r="E2276" s="6"/>
      <c r="F2276" s="6"/>
      <c r="G2276" s="7"/>
    </row>
    <row r="2277" spans="1:7" x14ac:dyDescent="0.2">
      <c r="A2277" s="3"/>
      <c r="B2277" s="6"/>
      <c r="C2277" s="3"/>
      <c r="D2277" s="6"/>
      <c r="E2277" s="6"/>
      <c r="F2277" s="6"/>
      <c r="G2277" s="7"/>
    </row>
    <row r="2278" spans="1:7" x14ac:dyDescent="0.2">
      <c r="A2278" s="3"/>
      <c r="B2278" s="6"/>
      <c r="C2278" s="3"/>
      <c r="D2278" s="6"/>
      <c r="E2278" s="6"/>
      <c r="F2278" s="6"/>
      <c r="G2278" s="7"/>
    </row>
    <row r="2279" spans="1:7" x14ac:dyDescent="0.2">
      <c r="A2279" s="3"/>
      <c r="B2279" s="6"/>
      <c r="C2279" s="3"/>
      <c r="D2279" s="6"/>
      <c r="E2279" s="6"/>
      <c r="F2279" s="6"/>
      <c r="G2279" s="7"/>
    </row>
    <row r="2280" spans="1:7" x14ac:dyDescent="0.2">
      <c r="A2280" s="3"/>
      <c r="B2280" s="6"/>
      <c r="C2280" s="3"/>
      <c r="D2280" s="6"/>
      <c r="E2280" s="6"/>
      <c r="F2280" s="6"/>
      <c r="G2280" s="7"/>
    </row>
    <row r="2281" spans="1:7" x14ac:dyDescent="0.2">
      <c r="A2281" s="3"/>
      <c r="B2281" s="6"/>
      <c r="C2281" s="3"/>
      <c r="D2281" s="6"/>
      <c r="E2281" s="6"/>
      <c r="F2281" s="6"/>
      <c r="G2281" s="7"/>
    </row>
    <row r="2282" spans="1:7" x14ac:dyDescent="0.2">
      <c r="A2282" s="3"/>
      <c r="B2282" s="6"/>
      <c r="C2282" s="3"/>
      <c r="D2282" s="6"/>
      <c r="E2282" s="6"/>
      <c r="F2282" s="6"/>
      <c r="G2282" s="7"/>
    </row>
    <row r="2283" spans="1:7" x14ac:dyDescent="0.2">
      <c r="A2283" s="3"/>
      <c r="B2283" s="6"/>
      <c r="C2283" s="3"/>
      <c r="D2283" s="6"/>
      <c r="E2283" s="6"/>
      <c r="F2283" s="6"/>
      <c r="G2283" s="7"/>
    </row>
    <row r="2284" spans="1:7" x14ac:dyDescent="0.2">
      <c r="A2284" s="3"/>
      <c r="B2284" s="6"/>
      <c r="C2284" s="3"/>
      <c r="D2284" s="6"/>
      <c r="E2284" s="6"/>
      <c r="F2284" s="6"/>
      <c r="G2284" s="7"/>
    </row>
    <row r="2285" spans="1:7" x14ac:dyDescent="0.2">
      <c r="A2285" s="3"/>
      <c r="B2285" s="6"/>
      <c r="C2285" s="3"/>
      <c r="D2285" s="6"/>
      <c r="E2285" s="6"/>
      <c r="F2285" s="6"/>
      <c r="G2285" s="7"/>
    </row>
    <row r="2286" spans="1:7" x14ac:dyDescent="0.2">
      <c r="A2286" s="3"/>
      <c r="B2286" s="6"/>
      <c r="C2286" s="3"/>
      <c r="D2286" s="6"/>
      <c r="E2286" s="6"/>
      <c r="F2286" s="6"/>
      <c r="G2286" s="7"/>
    </row>
    <row r="2287" spans="1:7" x14ac:dyDescent="0.2">
      <c r="A2287" s="3"/>
      <c r="B2287" s="6"/>
      <c r="C2287" s="3"/>
      <c r="D2287" s="6"/>
      <c r="E2287" s="6"/>
      <c r="F2287" s="6"/>
      <c r="G2287" s="7"/>
    </row>
    <row r="2288" spans="1:7" x14ac:dyDescent="0.2">
      <c r="A2288" s="3"/>
      <c r="B2288" s="6"/>
      <c r="C2288" s="3"/>
      <c r="D2288" s="6"/>
      <c r="E2288" s="6"/>
      <c r="F2288" s="6"/>
      <c r="G2288" s="7"/>
    </row>
    <row r="2289" spans="1:7" x14ac:dyDescent="0.2">
      <c r="A2289" s="3"/>
      <c r="B2289" s="6"/>
      <c r="C2289" s="3"/>
      <c r="D2289" s="6"/>
      <c r="E2289" s="6"/>
      <c r="F2289" s="6"/>
      <c r="G2289" s="7"/>
    </row>
    <row r="2290" spans="1:7" x14ac:dyDescent="0.2">
      <c r="A2290" s="3"/>
      <c r="B2290" s="6"/>
      <c r="C2290" s="3"/>
      <c r="D2290" s="6"/>
      <c r="E2290" s="6"/>
      <c r="F2290" s="6"/>
      <c r="G2290" s="7"/>
    </row>
    <row r="2291" spans="1:7" x14ac:dyDescent="0.2">
      <c r="A2291" s="3"/>
      <c r="B2291" s="6"/>
      <c r="C2291" s="3"/>
      <c r="D2291" s="6"/>
      <c r="E2291" s="6"/>
      <c r="F2291" s="6"/>
      <c r="G2291" s="7"/>
    </row>
    <row r="2292" spans="1:7" x14ac:dyDescent="0.2">
      <c r="A2292" s="3"/>
      <c r="B2292" s="6"/>
      <c r="C2292" s="3"/>
      <c r="D2292" s="6"/>
      <c r="E2292" s="6"/>
      <c r="F2292" s="6"/>
      <c r="G2292" s="7"/>
    </row>
    <row r="2293" spans="1:7" x14ac:dyDescent="0.2">
      <c r="A2293" s="3"/>
      <c r="B2293" s="6"/>
      <c r="C2293" s="3"/>
      <c r="D2293" s="6"/>
      <c r="E2293" s="6"/>
      <c r="F2293" s="6"/>
      <c r="G2293" s="7"/>
    </row>
    <row r="2294" spans="1:7" x14ac:dyDescent="0.2">
      <c r="A2294" s="3"/>
      <c r="B2294" s="6"/>
      <c r="C2294" s="3"/>
      <c r="D2294" s="6"/>
      <c r="E2294" s="6"/>
      <c r="F2294" s="6"/>
      <c r="G2294" s="7"/>
    </row>
    <row r="2295" spans="1:7" x14ac:dyDescent="0.2">
      <c r="A2295" s="3"/>
      <c r="B2295" s="6"/>
      <c r="C2295" s="3"/>
      <c r="D2295" s="6"/>
      <c r="E2295" s="6"/>
      <c r="F2295" s="6"/>
      <c r="G2295" s="7"/>
    </row>
    <row r="2296" spans="1:7" x14ac:dyDescent="0.2">
      <c r="A2296" s="3"/>
      <c r="B2296" s="6"/>
      <c r="C2296" s="3"/>
      <c r="D2296" s="6"/>
      <c r="E2296" s="6"/>
      <c r="F2296" s="6"/>
      <c r="G2296" s="7"/>
    </row>
    <row r="2297" spans="1:7" x14ac:dyDescent="0.2">
      <c r="A2297" s="3"/>
      <c r="B2297" s="6"/>
      <c r="C2297" s="3"/>
      <c r="D2297" s="6"/>
      <c r="E2297" s="6"/>
      <c r="F2297" s="6"/>
      <c r="G2297" s="7"/>
    </row>
    <row r="2298" spans="1:7" x14ac:dyDescent="0.2">
      <c r="A2298" s="3"/>
      <c r="B2298" s="6"/>
      <c r="C2298" s="3"/>
      <c r="D2298" s="6"/>
      <c r="E2298" s="6"/>
      <c r="F2298" s="6"/>
      <c r="G2298" s="7"/>
    </row>
    <row r="2299" spans="1:7" x14ac:dyDescent="0.2">
      <c r="A2299" s="3"/>
      <c r="B2299" s="6"/>
      <c r="C2299" s="3"/>
      <c r="D2299" s="6"/>
      <c r="E2299" s="6"/>
      <c r="F2299" s="6"/>
      <c r="G2299" s="7"/>
    </row>
    <row r="2300" spans="1:7" x14ac:dyDescent="0.2">
      <c r="A2300" s="3"/>
      <c r="B2300" s="6"/>
      <c r="C2300" s="3"/>
      <c r="D2300" s="6"/>
      <c r="E2300" s="6"/>
      <c r="F2300" s="6"/>
      <c r="G2300" s="7"/>
    </row>
    <row r="2301" spans="1:7" x14ac:dyDescent="0.2">
      <c r="A2301" s="3"/>
      <c r="B2301" s="6"/>
      <c r="C2301" s="3"/>
      <c r="D2301" s="6"/>
      <c r="E2301" s="6"/>
      <c r="F2301" s="6"/>
      <c r="G2301" s="7"/>
    </row>
    <row r="2302" spans="1:7" x14ac:dyDescent="0.2">
      <c r="A2302" s="3"/>
      <c r="B2302" s="6"/>
      <c r="C2302" s="3"/>
      <c r="D2302" s="6"/>
      <c r="E2302" s="6"/>
      <c r="F2302" s="6"/>
      <c r="G2302" s="7"/>
    </row>
    <row r="2303" spans="1:7" x14ac:dyDescent="0.2">
      <c r="A2303" s="3"/>
      <c r="B2303" s="6"/>
      <c r="C2303" s="3"/>
      <c r="D2303" s="6"/>
      <c r="E2303" s="6"/>
      <c r="F2303" s="6"/>
      <c r="G2303" s="7"/>
    </row>
    <row r="2304" spans="1:7" x14ac:dyDescent="0.2">
      <c r="A2304" s="3"/>
      <c r="B2304" s="6"/>
      <c r="C2304" s="3"/>
      <c r="D2304" s="6"/>
      <c r="E2304" s="6"/>
      <c r="F2304" s="6"/>
      <c r="G2304" s="7"/>
    </row>
    <row r="2305" spans="1:7" x14ac:dyDescent="0.2">
      <c r="A2305" s="3"/>
      <c r="B2305" s="6"/>
      <c r="C2305" s="3"/>
      <c r="D2305" s="6"/>
      <c r="E2305" s="6"/>
      <c r="F2305" s="6"/>
      <c r="G2305" s="7"/>
    </row>
    <row r="2306" spans="1:7" x14ac:dyDescent="0.2">
      <c r="A2306" s="3"/>
      <c r="B2306" s="6"/>
      <c r="C2306" s="3"/>
      <c r="D2306" s="6"/>
      <c r="E2306" s="6"/>
      <c r="F2306" s="6"/>
      <c r="G2306" s="7"/>
    </row>
    <row r="2307" spans="1:7" x14ac:dyDescent="0.2">
      <c r="A2307" s="3"/>
      <c r="B2307" s="6"/>
      <c r="C2307" s="3"/>
      <c r="D2307" s="6"/>
      <c r="E2307" s="6"/>
      <c r="F2307" s="6"/>
      <c r="G2307" s="7"/>
    </row>
    <row r="2308" spans="1:7" x14ac:dyDescent="0.2">
      <c r="A2308" s="3"/>
      <c r="B2308" s="6"/>
      <c r="C2308" s="3"/>
      <c r="D2308" s="6"/>
      <c r="E2308" s="6"/>
      <c r="F2308" s="6"/>
      <c r="G2308" s="7"/>
    </row>
    <row r="2309" spans="1:7" x14ac:dyDescent="0.2">
      <c r="A2309" s="3"/>
      <c r="B2309" s="6"/>
      <c r="C2309" s="3"/>
      <c r="D2309" s="6"/>
      <c r="E2309" s="6"/>
      <c r="F2309" s="6"/>
      <c r="G2309" s="7"/>
    </row>
    <row r="2310" spans="1:7" x14ac:dyDescent="0.2">
      <c r="A2310" s="3"/>
      <c r="B2310" s="6"/>
      <c r="C2310" s="3"/>
      <c r="D2310" s="6"/>
      <c r="E2310" s="6"/>
      <c r="F2310" s="6"/>
      <c r="G2310" s="7"/>
    </row>
    <row r="2311" spans="1:7" x14ac:dyDescent="0.2">
      <c r="A2311" s="3"/>
      <c r="B2311" s="6"/>
      <c r="C2311" s="3"/>
      <c r="D2311" s="6"/>
      <c r="E2311" s="6"/>
      <c r="F2311" s="6"/>
      <c r="G2311" s="7"/>
    </row>
    <row r="2312" spans="1:7" x14ac:dyDescent="0.2">
      <c r="A2312" s="3"/>
      <c r="B2312" s="6"/>
      <c r="C2312" s="3"/>
      <c r="D2312" s="6"/>
      <c r="E2312" s="6"/>
      <c r="F2312" s="6"/>
      <c r="G2312" s="7"/>
    </row>
    <row r="2313" spans="1:7" x14ac:dyDescent="0.2">
      <c r="A2313" s="3"/>
      <c r="B2313" s="6"/>
      <c r="C2313" s="3"/>
      <c r="D2313" s="6"/>
      <c r="E2313" s="6"/>
      <c r="F2313" s="6"/>
      <c r="G2313" s="7"/>
    </row>
    <row r="2314" spans="1:7" x14ac:dyDescent="0.2">
      <c r="A2314" s="3"/>
      <c r="B2314" s="6"/>
      <c r="C2314" s="3"/>
      <c r="D2314" s="6"/>
      <c r="E2314" s="6"/>
      <c r="F2314" s="6"/>
      <c r="G2314" s="7"/>
    </row>
    <row r="2315" spans="1:7" x14ac:dyDescent="0.2">
      <c r="A2315" s="3"/>
      <c r="B2315" s="6"/>
      <c r="C2315" s="3"/>
      <c r="D2315" s="6"/>
      <c r="E2315" s="6"/>
      <c r="F2315" s="6"/>
      <c r="G2315" s="7"/>
    </row>
    <row r="2316" spans="1:7" x14ac:dyDescent="0.2">
      <c r="A2316" s="3"/>
      <c r="B2316" s="6"/>
      <c r="C2316" s="3"/>
      <c r="D2316" s="6"/>
      <c r="E2316" s="6"/>
      <c r="F2316" s="6"/>
      <c r="G2316" s="7"/>
    </row>
    <row r="2317" spans="1:7" x14ac:dyDescent="0.2">
      <c r="A2317" s="3"/>
      <c r="B2317" s="6"/>
      <c r="C2317" s="3"/>
      <c r="D2317" s="6"/>
      <c r="E2317" s="6"/>
      <c r="F2317" s="6"/>
      <c r="G2317" s="7"/>
    </row>
    <row r="2318" spans="1:7" x14ac:dyDescent="0.2">
      <c r="A2318" s="3"/>
      <c r="B2318" s="6"/>
      <c r="C2318" s="3"/>
      <c r="D2318" s="6"/>
      <c r="E2318" s="6"/>
      <c r="F2318" s="6"/>
      <c r="G2318" s="7"/>
    </row>
    <row r="2319" spans="1:7" x14ac:dyDescent="0.2">
      <c r="A2319" s="3"/>
      <c r="B2319" s="6"/>
      <c r="C2319" s="3"/>
      <c r="D2319" s="6"/>
      <c r="E2319" s="6"/>
      <c r="F2319" s="6"/>
      <c r="G2319" s="7"/>
    </row>
    <row r="2320" spans="1:7" x14ac:dyDescent="0.2">
      <c r="A2320" s="3"/>
      <c r="B2320" s="6"/>
      <c r="C2320" s="3"/>
      <c r="D2320" s="6"/>
      <c r="E2320" s="6"/>
      <c r="F2320" s="6"/>
      <c r="G2320" s="7"/>
    </row>
    <row r="2321" spans="1:7" x14ac:dyDescent="0.2">
      <c r="A2321" s="3"/>
      <c r="B2321" s="6"/>
      <c r="C2321" s="3"/>
      <c r="D2321" s="6"/>
      <c r="E2321" s="6"/>
      <c r="F2321" s="6"/>
      <c r="G2321" s="7"/>
    </row>
    <row r="2322" spans="1:7" x14ac:dyDescent="0.2">
      <c r="A2322" s="3"/>
      <c r="B2322" s="6"/>
      <c r="C2322" s="3"/>
      <c r="D2322" s="6"/>
      <c r="E2322" s="6"/>
      <c r="F2322" s="6"/>
      <c r="G2322" s="7"/>
    </row>
    <row r="2323" spans="1:7" x14ac:dyDescent="0.2">
      <c r="A2323" s="3"/>
      <c r="B2323" s="6"/>
      <c r="C2323" s="3"/>
      <c r="D2323" s="6"/>
      <c r="E2323" s="6"/>
      <c r="F2323" s="6"/>
      <c r="G2323" s="7"/>
    </row>
    <row r="2324" spans="1:7" x14ac:dyDescent="0.2">
      <c r="A2324" s="3"/>
      <c r="B2324" s="6"/>
      <c r="C2324" s="3"/>
      <c r="D2324" s="6"/>
      <c r="E2324" s="6"/>
      <c r="F2324" s="6"/>
      <c r="G2324" s="7"/>
    </row>
    <row r="2325" spans="1:7" x14ac:dyDescent="0.2">
      <c r="A2325" s="3"/>
      <c r="B2325" s="6"/>
      <c r="C2325" s="3"/>
      <c r="D2325" s="6"/>
      <c r="E2325" s="6"/>
      <c r="F2325" s="6"/>
      <c r="G2325" s="7"/>
    </row>
    <row r="2326" spans="1:7" x14ac:dyDescent="0.2">
      <c r="A2326" s="3"/>
      <c r="B2326" s="6"/>
      <c r="C2326" s="3"/>
      <c r="D2326" s="6"/>
      <c r="E2326" s="6"/>
      <c r="F2326" s="6"/>
      <c r="G2326" s="7"/>
    </row>
    <row r="2327" spans="1:7" x14ac:dyDescent="0.2">
      <c r="A2327" s="3"/>
      <c r="B2327" s="6"/>
      <c r="C2327" s="3"/>
      <c r="D2327" s="6"/>
      <c r="E2327" s="6"/>
      <c r="F2327" s="6"/>
      <c r="G2327" s="7"/>
    </row>
    <row r="2328" spans="1:7" x14ac:dyDescent="0.2">
      <c r="A2328" s="3"/>
      <c r="B2328" s="6"/>
      <c r="C2328" s="3"/>
      <c r="D2328" s="6"/>
      <c r="E2328" s="6"/>
      <c r="F2328" s="6"/>
      <c r="G2328" s="7"/>
    </row>
    <row r="2329" spans="1:7" x14ac:dyDescent="0.2">
      <c r="A2329" s="3"/>
      <c r="B2329" s="6"/>
      <c r="C2329" s="3"/>
      <c r="D2329" s="6"/>
      <c r="E2329" s="6"/>
      <c r="F2329" s="6"/>
      <c r="G2329" s="7"/>
    </row>
    <row r="2330" spans="1:7" x14ac:dyDescent="0.2">
      <c r="A2330" s="3"/>
      <c r="B2330" s="6"/>
      <c r="C2330" s="3"/>
      <c r="D2330" s="6"/>
      <c r="E2330" s="6"/>
      <c r="F2330" s="6"/>
      <c r="G2330" s="7"/>
    </row>
    <row r="2331" spans="1:7" x14ac:dyDescent="0.2">
      <c r="A2331" s="3"/>
      <c r="B2331" s="6"/>
      <c r="C2331" s="3"/>
      <c r="D2331" s="6"/>
      <c r="E2331" s="6"/>
      <c r="F2331" s="6"/>
      <c r="G2331" s="7"/>
    </row>
    <row r="2332" spans="1:7" x14ac:dyDescent="0.2">
      <c r="A2332" s="3"/>
      <c r="B2332" s="6"/>
      <c r="C2332" s="3"/>
      <c r="D2332" s="6"/>
      <c r="E2332" s="6"/>
      <c r="F2332" s="6"/>
      <c r="G2332" s="7"/>
    </row>
    <row r="2333" spans="1:7" x14ac:dyDescent="0.2">
      <c r="A2333" s="3"/>
      <c r="B2333" s="6"/>
      <c r="C2333" s="3"/>
      <c r="D2333" s="6"/>
      <c r="E2333" s="6"/>
      <c r="F2333" s="6"/>
      <c r="G2333" s="7"/>
    </row>
    <row r="2334" spans="1:7" x14ac:dyDescent="0.2">
      <c r="A2334" s="3"/>
      <c r="B2334" s="6"/>
      <c r="C2334" s="3"/>
      <c r="D2334" s="6"/>
      <c r="E2334" s="6"/>
      <c r="F2334" s="6"/>
      <c r="G2334" s="7"/>
    </row>
    <row r="2335" spans="1:7" x14ac:dyDescent="0.2">
      <c r="A2335" s="3"/>
      <c r="B2335" s="6"/>
      <c r="C2335" s="3"/>
      <c r="D2335" s="6"/>
      <c r="E2335" s="6"/>
      <c r="F2335" s="6"/>
      <c r="G2335" s="7"/>
    </row>
    <row r="2336" spans="1:7" x14ac:dyDescent="0.2">
      <c r="A2336" s="3"/>
      <c r="B2336" s="6"/>
      <c r="C2336" s="3"/>
      <c r="D2336" s="6"/>
      <c r="E2336" s="6"/>
      <c r="F2336" s="6"/>
      <c r="G2336" s="7"/>
    </row>
    <row r="2337" spans="1:7" x14ac:dyDescent="0.2">
      <c r="A2337" s="3"/>
      <c r="B2337" s="6"/>
      <c r="C2337" s="3"/>
      <c r="D2337" s="6"/>
      <c r="E2337" s="6"/>
      <c r="F2337" s="6"/>
      <c r="G2337" s="7"/>
    </row>
    <row r="2338" spans="1:7" x14ac:dyDescent="0.2">
      <c r="A2338" s="3"/>
      <c r="B2338" s="6"/>
      <c r="C2338" s="3"/>
      <c r="D2338" s="6"/>
      <c r="E2338" s="6"/>
      <c r="F2338" s="6"/>
      <c r="G2338" s="7"/>
    </row>
    <row r="2339" spans="1:7" x14ac:dyDescent="0.2">
      <c r="A2339" s="3"/>
      <c r="B2339" s="6"/>
      <c r="C2339" s="3"/>
      <c r="D2339" s="6"/>
      <c r="E2339" s="6"/>
      <c r="F2339" s="6"/>
      <c r="G2339" s="7"/>
    </row>
    <row r="2340" spans="1:7" x14ac:dyDescent="0.2">
      <c r="A2340" s="3"/>
      <c r="B2340" s="6"/>
      <c r="C2340" s="3"/>
      <c r="D2340" s="6"/>
      <c r="E2340" s="6"/>
      <c r="F2340" s="6"/>
      <c r="G2340" s="7"/>
    </row>
    <row r="2341" spans="1:7" x14ac:dyDescent="0.2">
      <c r="A2341" s="3"/>
      <c r="B2341" s="6"/>
      <c r="C2341" s="3"/>
      <c r="D2341" s="6"/>
      <c r="E2341" s="6"/>
      <c r="F2341" s="6"/>
      <c r="G2341" s="7"/>
    </row>
    <row r="2342" spans="1:7" x14ac:dyDescent="0.2">
      <c r="A2342" s="3"/>
      <c r="B2342" s="6"/>
      <c r="C2342" s="3"/>
      <c r="D2342" s="6"/>
      <c r="E2342" s="6"/>
      <c r="F2342" s="6"/>
      <c r="G2342" s="7"/>
    </row>
    <row r="2343" spans="1:7" x14ac:dyDescent="0.2">
      <c r="A2343" s="3"/>
      <c r="B2343" s="6"/>
      <c r="C2343" s="3"/>
      <c r="D2343" s="6"/>
      <c r="E2343" s="6"/>
      <c r="F2343" s="6"/>
      <c r="G2343" s="7"/>
    </row>
    <row r="2344" spans="1:7" x14ac:dyDescent="0.2">
      <c r="A2344" s="3"/>
      <c r="B2344" s="6"/>
      <c r="C2344" s="3"/>
      <c r="D2344" s="6"/>
      <c r="E2344" s="6"/>
      <c r="F2344" s="6"/>
      <c r="G2344" s="7"/>
    </row>
    <row r="2345" spans="1:7" x14ac:dyDescent="0.2">
      <c r="A2345" s="3"/>
      <c r="B2345" s="6"/>
      <c r="C2345" s="3"/>
      <c r="D2345" s="6"/>
      <c r="E2345" s="6"/>
      <c r="F2345" s="6"/>
      <c r="G2345" s="7"/>
    </row>
    <row r="2346" spans="1:7" x14ac:dyDescent="0.2">
      <c r="A2346" s="3"/>
      <c r="B2346" s="6"/>
      <c r="C2346" s="3"/>
      <c r="D2346" s="6"/>
      <c r="E2346" s="6"/>
      <c r="F2346" s="6"/>
      <c r="G2346" s="7"/>
    </row>
    <row r="2347" spans="1:7" x14ac:dyDescent="0.2">
      <c r="A2347" s="3"/>
      <c r="B2347" s="6"/>
      <c r="C2347" s="3"/>
      <c r="D2347" s="6"/>
      <c r="E2347" s="6"/>
      <c r="F2347" s="6"/>
      <c r="G2347" s="7"/>
    </row>
    <row r="2348" spans="1:7" x14ac:dyDescent="0.2">
      <c r="A2348" s="3"/>
      <c r="B2348" s="6"/>
      <c r="C2348" s="3"/>
      <c r="D2348" s="6"/>
      <c r="E2348" s="6"/>
      <c r="F2348" s="6"/>
      <c r="G2348" s="7"/>
    </row>
    <row r="2349" spans="1:7" x14ac:dyDescent="0.2">
      <c r="A2349" s="3"/>
      <c r="B2349" s="6"/>
      <c r="C2349" s="3"/>
      <c r="D2349" s="6"/>
      <c r="E2349" s="6"/>
      <c r="F2349" s="6"/>
      <c r="G2349" s="7"/>
    </row>
    <row r="2350" spans="1:7" x14ac:dyDescent="0.2">
      <c r="A2350" s="3"/>
      <c r="B2350" s="6"/>
      <c r="C2350" s="3"/>
      <c r="D2350" s="6"/>
      <c r="E2350" s="6"/>
      <c r="F2350" s="6"/>
      <c r="G2350" s="7"/>
    </row>
    <row r="2351" spans="1:7" x14ac:dyDescent="0.2">
      <c r="A2351" s="3"/>
      <c r="B2351" s="6"/>
      <c r="C2351" s="3"/>
      <c r="D2351" s="6"/>
      <c r="E2351" s="6"/>
      <c r="F2351" s="6"/>
      <c r="G2351" s="7"/>
    </row>
    <row r="2352" spans="1:7" x14ac:dyDescent="0.2">
      <c r="A2352" s="3"/>
      <c r="B2352" s="6"/>
      <c r="C2352" s="3"/>
      <c r="D2352" s="6"/>
      <c r="E2352" s="6"/>
      <c r="F2352" s="6"/>
      <c r="G2352" s="7"/>
    </row>
    <row r="2353" spans="1:7" x14ac:dyDescent="0.2">
      <c r="A2353" s="3"/>
      <c r="B2353" s="6"/>
      <c r="C2353" s="3"/>
      <c r="D2353" s="6"/>
      <c r="E2353" s="6"/>
      <c r="F2353" s="6"/>
      <c r="G2353" s="7"/>
    </row>
    <row r="2354" spans="1:7" x14ac:dyDescent="0.2">
      <c r="A2354" s="3"/>
      <c r="B2354" s="6"/>
      <c r="C2354" s="3"/>
      <c r="D2354" s="6"/>
      <c r="E2354" s="6"/>
      <c r="F2354" s="6"/>
      <c r="G2354" s="7"/>
    </row>
    <row r="2355" spans="1:7" x14ac:dyDescent="0.2">
      <c r="A2355" s="3"/>
      <c r="B2355" s="6"/>
      <c r="C2355" s="3"/>
      <c r="D2355" s="6"/>
      <c r="E2355" s="6"/>
      <c r="F2355" s="6"/>
      <c r="G2355" s="7"/>
    </row>
    <row r="2356" spans="1:7" x14ac:dyDescent="0.2">
      <c r="A2356" s="3"/>
      <c r="B2356" s="6"/>
      <c r="C2356" s="3"/>
      <c r="D2356" s="6"/>
      <c r="E2356" s="6"/>
      <c r="F2356" s="6"/>
      <c r="G2356" s="7"/>
    </row>
    <row r="2357" spans="1:7" x14ac:dyDescent="0.2">
      <c r="A2357" s="3"/>
      <c r="B2357" s="6"/>
      <c r="C2357" s="3"/>
      <c r="D2357" s="6"/>
      <c r="E2357" s="6"/>
      <c r="F2357" s="6"/>
      <c r="G2357" s="7"/>
    </row>
    <row r="2358" spans="1:7" x14ac:dyDescent="0.2">
      <c r="A2358" s="3"/>
      <c r="B2358" s="6"/>
      <c r="C2358" s="3"/>
      <c r="D2358" s="6"/>
      <c r="E2358" s="6"/>
      <c r="F2358" s="6"/>
      <c r="G2358" s="7"/>
    </row>
    <row r="2359" spans="1:7" x14ac:dyDescent="0.2">
      <c r="A2359" s="3"/>
      <c r="B2359" s="6"/>
      <c r="C2359" s="3"/>
      <c r="D2359" s="6"/>
      <c r="E2359" s="6"/>
      <c r="F2359" s="6"/>
      <c r="G2359" s="7"/>
    </row>
    <row r="2360" spans="1:7" x14ac:dyDescent="0.2">
      <c r="A2360" s="3"/>
      <c r="B2360" s="6"/>
      <c r="C2360" s="3"/>
      <c r="D2360" s="6"/>
      <c r="E2360" s="6"/>
      <c r="F2360" s="6"/>
      <c r="G2360" s="7"/>
    </row>
    <row r="2361" spans="1:7" x14ac:dyDescent="0.2">
      <c r="A2361" s="3"/>
      <c r="B2361" s="6"/>
      <c r="C2361" s="3"/>
      <c r="D2361" s="6"/>
      <c r="E2361" s="6"/>
      <c r="F2361" s="6"/>
      <c r="G2361" s="7"/>
    </row>
    <row r="2362" spans="1:7" x14ac:dyDescent="0.2">
      <c r="A2362" s="3"/>
      <c r="B2362" s="6"/>
      <c r="C2362" s="3"/>
      <c r="D2362" s="6"/>
      <c r="E2362" s="6"/>
      <c r="F2362" s="6"/>
      <c r="G2362" s="7"/>
    </row>
    <row r="2363" spans="1:7" x14ac:dyDescent="0.2">
      <c r="A2363" s="3"/>
      <c r="B2363" s="6"/>
      <c r="C2363" s="3"/>
      <c r="D2363" s="6"/>
      <c r="E2363" s="6"/>
      <c r="F2363" s="6"/>
      <c r="G2363" s="7"/>
    </row>
    <row r="2364" spans="1:7" x14ac:dyDescent="0.2">
      <c r="A2364" s="3"/>
      <c r="B2364" s="6"/>
      <c r="C2364" s="3"/>
      <c r="D2364" s="6"/>
      <c r="E2364" s="6"/>
      <c r="F2364" s="6"/>
      <c r="G2364" s="7"/>
    </row>
    <row r="2365" spans="1:7" x14ac:dyDescent="0.2">
      <c r="A2365" s="3"/>
      <c r="B2365" s="6"/>
      <c r="C2365" s="3"/>
      <c r="D2365" s="6"/>
      <c r="E2365" s="6"/>
      <c r="F2365" s="6"/>
      <c r="G2365" s="7"/>
    </row>
    <row r="2366" spans="1:7" x14ac:dyDescent="0.2">
      <c r="A2366" s="3"/>
      <c r="B2366" s="6"/>
      <c r="C2366" s="3"/>
      <c r="D2366" s="6"/>
      <c r="E2366" s="6"/>
      <c r="F2366" s="6"/>
      <c r="G2366" s="7"/>
    </row>
    <row r="2367" spans="1:7" x14ac:dyDescent="0.2">
      <c r="A2367" s="3"/>
      <c r="B2367" s="6"/>
      <c r="C2367" s="3"/>
      <c r="D2367" s="6"/>
      <c r="E2367" s="6"/>
      <c r="F2367" s="6"/>
      <c r="G2367" s="7"/>
    </row>
    <row r="2368" spans="1:7" x14ac:dyDescent="0.2">
      <c r="A2368" s="3"/>
      <c r="B2368" s="6"/>
      <c r="C2368" s="3"/>
      <c r="D2368" s="6"/>
      <c r="E2368" s="6"/>
      <c r="F2368" s="6"/>
      <c r="G2368" s="7"/>
    </row>
    <row r="2369" spans="1:7" x14ac:dyDescent="0.2">
      <c r="A2369" s="3"/>
      <c r="B2369" s="6"/>
      <c r="C2369" s="3"/>
      <c r="D2369" s="6"/>
      <c r="E2369" s="6"/>
      <c r="F2369" s="6"/>
      <c r="G2369" s="7"/>
    </row>
    <row r="2370" spans="1:7" x14ac:dyDescent="0.2">
      <c r="A2370" s="3"/>
      <c r="B2370" s="6"/>
      <c r="C2370" s="3"/>
      <c r="D2370" s="6"/>
      <c r="E2370" s="6"/>
      <c r="F2370" s="6"/>
      <c r="G2370" s="7"/>
    </row>
    <row r="2371" spans="1:7" x14ac:dyDescent="0.2">
      <c r="A2371" s="3"/>
      <c r="B2371" s="6"/>
      <c r="C2371" s="3"/>
      <c r="D2371" s="6"/>
      <c r="E2371" s="6"/>
      <c r="F2371" s="6"/>
      <c r="G2371" s="7"/>
    </row>
    <row r="2372" spans="1:7" x14ac:dyDescent="0.2">
      <c r="A2372" s="3"/>
      <c r="B2372" s="6"/>
      <c r="C2372" s="3"/>
      <c r="D2372" s="6"/>
      <c r="E2372" s="6"/>
      <c r="F2372" s="6"/>
      <c r="G2372" s="7"/>
    </row>
    <row r="2373" spans="1:7" x14ac:dyDescent="0.2">
      <c r="A2373" s="3"/>
      <c r="B2373" s="6"/>
      <c r="C2373" s="3"/>
      <c r="D2373" s="6"/>
      <c r="E2373" s="6"/>
      <c r="F2373" s="6"/>
      <c r="G2373" s="7"/>
    </row>
    <row r="2374" spans="1:7" x14ac:dyDescent="0.2">
      <c r="A2374" s="3"/>
      <c r="B2374" s="6"/>
      <c r="C2374" s="3"/>
      <c r="D2374" s="6"/>
      <c r="E2374" s="6"/>
      <c r="F2374" s="6"/>
      <c r="G2374" s="7"/>
    </row>
    <row r="2375" spans="1:7" x14ac:dyDescent="0.2">
      <c r="A2375" s="3"/>
      <c r="B2375" s="6"/>
      <c r="C2375" s="3"/>
      <c r="D2375" s="6"/>
      <c r="E2375" s="6"/>
      <c r="F2375" s="6"/>
      <c r="G2375" s="7"/>
    </row>
    <row r="2376" spans="1:7" x14ac:dyDescent="0.2">
      <c r="A2376" s="3"/>
      <c r="B2376" s="6"/>
      <c r="C2376" s="3"/>
      <c r="D2376" s="6"/>
      <c r="E2376" s="6"/>
      <c r="F2376" s="6"/>
      <c r="G2376" s="7"/>
    </row>
    <row r="2377" spans="1:7" x14ac:dyDescent="0.2">
      <c r="A2377" s="3"/>
      <c r="B2377" s="6"/>
      <c r="C2377" s="3"/>
      <c r="D2377" s="6"/>
      <c r="E2377" s="6"/>
      <c r="F2377" s="6"/>
      <c r="G2377" s="7"/>
    </row>
    <row r="2378" spans="1:7" x14ac:dyDescent="0.2">
      <c r="A2378" s="3"/>
      <c r="B2378" s="6"/>
      <c r="C2378" s="3"/>
      <c r="D2378" s="6"/>
      <c r="E2378" s="6"/>
      <c r="F2378" s="6"/>
      <c r="G2378" s="7"/>
    </row>
    <row r="2379" spans="1:7" x14ac:dyDescent="0.2">
      <c r="A2379" s="3"/>
      <c r="B2379" s="6"/>
      <c r="C2379" s="3"/>
      <c r="D2379" s="6"/>
      <c r="E2379" s="6"/>
      <c r="F2379" s="6"/>
      <c r="G2379" s="7"/>
    </row>
    <row r="2380" spans="1:7" x14ac:dyDescent="0.2">
      <c r="A2380" s="3"/>
      <c r="B2380" s="6"/>
      <c r="C2380" s="3"/>
      <c r="D2380" s="6"/>
      <c r="E2380" s="6"/>
      <c r="F2380" s="6"/>
      <c r="G2380" s="7"/>
    </row>
    <row r="2381" spans="1:7" x14ac:dyDescent="0.2">
      <c r="A2381" s="3"/>
      <c r="B2381" s="6"/>
      <c r="C2381" s="3"/>
      <c r="D2381" s="6"/>
      <c r="E2381" s="6"/>
      <c r="F2381" s="6"/>
      <c r="G2381" s="7"/>
    </row>
    <row r="2382" spans="1:7" x14ac:dyDescent="0.2">
      <c r="A2382" s="3"/>
      <c r="B2382" s="6"/>
      <c r="C2382" s="3"/>
      <c r="D2382" s="6"/>
      <c r="E2382" s="6"/>
      <c r="F2382" s="6"/>
      <c r="G2382" s="7"/>
    </row>
    <row r="2383" spans="1:7" x14ac:dyDescent="0.2">
      <c r="A2383" s="3"/>
      <c r="B2383" s="6"/>
      <c r="C2383" s="3"/>
      <c r="D2383" s="6"/>
      <c r="E2383" s="6"/>
      <c r="F2383" s="6"/>
      <c r="G2383" s="7"/>
    </row>
    <row r="2384" spans="1:7" x14ac:dyDescent="0.2">
      <c r="A2384" s="3"/>
      <c r="B2384" s="6"/>
      <c r="C2384" s="3"/>
      <c r="D2384" s="6"/>
      <c r="E2384" s="6"/>
      <c r="F2384" s="6"/>
      <c r="G2384" s="7"/>
    </row>
    <row r="2385" spans="1:7" x14ac:dyDescent="0.2">
      <c r="A2385" s="3"/>
      <c r="B2385" s="6"/>
      <c r="C2385" s="3"/>
      <c r="D2385" s="6"/>
      <c r="E2385" s="6"/>
      <c r="F2385" s="6"/>
      <c r="G2385" s="7"/>
    </row>
    <row r="2386" spans="1:7" x14ac:dyDescent="0.2">
      <c r="A2386" s="3"/>
      <c r="B2386" s="6"/>
      <c r="C2386" s="3"/>
      <c r="D2386" s="6"/>
      <c r="E2386" s="6"/>
      <c r="F2386" s="6"/>
      <c r="G2386" s="7"/>
    </row>
    <row r="2387" spans="1:7" x14ac:dyDescent="0.2">
      <c r="A2387" s="3"/>
      <c r="B2387" s="6"/>
      <c r="C2387" s="3"/>
      <c r="D2387" s="6"/>
      <c r="E2387" s="6"/>
      <c r="F2387" s="6"/>
      <c r="G2387" s="7"/>
    </row>
    <row r="2388" spans="1:7" x14ac:dyDescent="0.2">
      <c r="A2388" s="3"/>
      <c r="B2388" s="6"/>
      <c r="C2388" s="3"/>
      <c r="D2388" s="6"/>
      <c r="E2388" s="6"/>
      <c r="F2388" s="6"/>
      <c r="G2388" s="7"/>
    </row>
    <row r="2389" spans="1:7" x14ac:dyDescent="0.2">
      <c r="A2389" s="3"/>
      <c r="B2389" s="6"/>
      <c r="C2389" s="3"/>
      <c r="D2389" s="6"/>
      <c r="E2389" s="6"/>
      <c r="F2389" s="6"/>
      <c r="G2389" s="7"/>
    </row>
    <row r="2390" spans="1:7" x14ac:dyDescent="0.2">
      <c r="A2390" s="3"/>
      <c r="B2390" s="6"/>
      <c r="C2390" s="3"/>
      <c r="D2390" s="6"/>
      <c r="E2390" s="6"/>
      <c r="F2390" s="6"/>
      <c r="G2390" s="7"/>
    </row>
    <row r="2391" spans="1:7" x14ac:dyDescent="0.2">
      <c r="A2391" s="3"/>
      <c r="B2391" s="6"/>
      <c r="C2391" s="3"/>
      <c r="D2391" s="6"/>
      <c r="E2391" s="6"/>
      <c r="F2391" s="6"/>
      <c r="G2391" s="7"/>
    </row>
    <row r="2392" spans="1:7" x14ac:dyDescent="0.2">
      <c r="A2392" s="3"/>
      <c r="B2392" s="6"/>
      <c r="C2392" s="3"/>
      <c r="D2392" s="6"/>
      <c r="E2392" s="6"/>
      <c r="F2392" s="6"/>
      <c r="G2392" s="7"/>
    </row>
    <row r="2393" spans="1:7" x14ac:dyDescent="0.2">
      <c r="A2393" s="3"/>
      <c r="B2393" s="6"/>
      <c r="C2393" s="3"/>
      <c r="D2393" s="6"/>
      <c r="E2393" s="6"/>
      <c r="F2393" s="6"/>
      <c r="G2393" s="7"/>
    </row>
    <row r="2394" spans="1:7" x14ac:dyDescent="0.2">
      <c r="A2394" s="3"/>
      <c r="B2394" s="6"/>
      <c r="C2394" s="3"/>
      <c r="D2394" s="6"/>
      <c r="E2394" s="6"/>
      <c r="F2394" s="6"/>
      <c r="G2394" s="7"/>
    </row>
    <row r="2395" spans="1:7" x14ac:dyDescent="0.2">
      <c r="A2395" s="3"/>
      <c r="B2395" s="6"/>
      <c r="C2395" s="3"/>
      <c r="D2395" s="6"/>
      <c r="E2395" s="6"/>
      <c r="F2395" s="6"/>
      <c r="G2395" s="7"/>
    </row>
    <row r="2396" spans="1:7" x14ac:dyDescent="0.2">
      <c r="A2396" s="3"/>
      <c r="B2396" s="6"/>
      <c r="C2396" s="3"/>
      <c r="D2396" s="6"/>
      <c r="E2396" s="6"/>
      <c r="F2396" s="6"/>
      <c r="G2396" s="7"/>
    </row>
    <row r="2397" spans="1:7" x14ac:dyDescent="0.2">
      <c r="A2397" s="3"/>
      <c r="B2397" s="6"/>
      <c r="C2397" s="3"/>
      <c r="D2397" s="6"/>
      <c r="E2397" s="6"/>
      <c r="F2397" s="6"/>
      <c r="G2397" s="7"/>
    </row>
    <row r="2398" spans="1:7" x14ac:dyDescent="0.2">
      <c r="A2398" s="3"/>
      <c r="B2398" s="6"/>
      <c r="C2398" s="3"/>
      <c r="D2398" s="6"/>
      <c r="E2398" s="6"/>
      <c r="F2398" s="6"/>
      <c r="G2398" s="7"/>
    </row>
    <row r="2399" spans="1:7" x14ac:dyDescent="0.2">
      <c r="A2399" s="3"/>
      <c r="B2399" s="6"/>
      <c r="C2399" s="3"/>
      <c r="D2399" s="6"/>
      <c r="E2399" s="6"/>
      <c r="F2399" s="6"/>
      <c r="G2399" s="7"/>
    </row>
    <row r="2400" spans="1:7" x14ac:dyDescent="0.2">
      <c r="A2400" s="3"/>
      <c r="B2400" s="6"/>
      <c r="C2400" s="3"/>
      <c r="D2400" s="6"/>
      <c r="E2400" s="6"/>
      <c r="F2400" s="6"/>
      <c r="G2400" s="7"/>
    </row>
    <row r="2401" spans="1:7" x14ac:dyDescent="0.2">
      <c r="A2401" s="3"/>
      <c r="B2401" s="6"/>
      <c r="C2401" s="3"/>
      <c r="D2401" s="6"/>
      <c r="E2401" s="6"/>
      <c r="F2401" s="6"/>
      <c r="G2401" s="7"/>
    </row>
    <row r="2402" spans="1:7" x14ac:dyDescent="0.2">
      <c r="A2402" s="3"/>
      <c r="B2402" s="6"/>
      <c r="C2402" s="3"/>
      <c r="D2402" s="6"/>
      <c r="E2402" s="6"/>
      <c r="F2402" s="6"/>
      <c r="G2402" s="7"/>
    </row>
    <row r="2403" spans="1:7" x14ac:dyDescent="0.2">
      <c r="A2403" s="3"/>
      <c r="B2403" s="6"/>
      <c r="C2403" s="3"/>
      <c r="D2403" s="6"/>
      <c r="E2403" s="6"/>
      <c r="F2403" s="6"/>
      <c r="G2403" s="7"/>
    </row>
    <row r="2404" spans="1:7" x14ac:dyDescent="0.2">
      <c r="A2404" s="3"/>
      <c r="B2404" s="6"/>
      <c r="C2404" s="3"/>
      <c r="D2404" s="6"/>
      <c r="E2404" s="6"/>
      <c r="F2404" s="6"/>
      <c r="G2404" s="7"/>
    </row>
    <row r="2405" spans="1:7" x14ac:dyDescent="0.2">
      <c r="A2405" s="3"/>
      <c r="B2405" s="6"/>
      <c r="C2405" s="3"/>
      <c r="D2405" s="6"/>
      <c r="E2405" s="6"/>
      <c r="F2405" s="6"/>
      <c r="G2405" s="7"/>
    </row>
    <row r="2406" spans="1:7" x14ac:dyDescent="0.2">
      <c r="A2406" s="3"/>
      <c r="B2406" s="6"/>
      <c r="C2406" s="3"/>
      <c r="D2406" s="6"/>
      <c r="E2406" s="6"/>
      <c r="F2406" s="6"/>
      <c r="G2406" s="7"/>
    </row>
    <row r="2407" spans="1:7" x14ac:dyDescent="0.2">
      <c r="A2407" s="3"/>
      <c r="B2407" s="6"/>
      <c r="C2407" s="3"/>
      <c r="D2407" s="6"/>
      <c r="E2407" s="6"/>
      <c r="F2407" s="6"/>
      <c r="G2407" s="7"/>
    </row>
    <row r="2408" spans="1:7" x14ac:dyDescent="0.2">
      <c r="A2408" s="3"/>
      <c r="B2408" s="6"/>
      <c r="C2408" s="3"/>
      <c r="D2408" s="6"/>
      <c r="E2408" s="6"/>
      <c r="F2408" s="6"/>
      <c r="G2408" s="7"/>
    </row>
    <row r="2409" spans="1:7" x14ac:dyDescent="0.2">
      <c r="A2409" s="3"/>
      <c r="B2409" s="6"/>
      <c r="C2409" s="3"/>
      <c r="D2409" s="6"/>
      <c r="E2409" s="6"/>
      <c r="F2409" s="6"/>
      <c r="G2409" s="7"/>
    </row>
    <row r="2410" spans="1:7" x14ac:dyDescent="0.2">
      <c r="A2410" s="3"/>
      <c r="B2410" s="6"/>
      <c r="C2410" s="3"/>
      <c r="D2410" s="6"/>
      <c r="E2410" s="6"/>
      <c r="F2410" s="6"/>
      <c r="G2410" s="7"/>
    </row>
    <row r="2411" spans="1:7" x14ac:dyDescent="0.2">
      <c r="A2411" s="3"/>
      <c r="B2411" s="6"/>
      <c r="C2411" s="3"/>
      <c r="D2411" s="6"/>
      <c r="E2411" s="6"/>
      <c r="F2411" s="6"/>
      <c r="G2411" s="7"/>
    </row>
    <row r="2412" spans="1:7" x14ac:dyDescent="0.2">
      <c r="A2412" s="3"/>
      <c r="B2412" s="6"/>
      <c r="C2412" s="3"/>
      <c r="D2412" s="6"/>
      <c r="E2412" s="6"/>
      <c r="F2412" s="6"/>
      <c r="G2412" s="7"/>
    </row>
    <row r="2413" spans="1:7" x14ac:dyDescent="0.2">
      <c r="A2413" s="3"/>
      <c r="B2413" s="6"/>
      <c r="C2413" s="3"/>
      <c r="D2413" s="6"/>
      <c r="E2413" s="6"/>
      <c r="F2413" s="6"/>
      <c r="G2413" s="7"/>
    </row>
    <row r="2414" spans="1:7" x14ac:dyDescent="0.2">
      <c r="A2414" s="3"/>
      <c r="B2414" s="6"/>
      <c r="C2414" s="3"/>
      <c r="D2414" s="6"/>
      <c r="E2414" s="6"/>
      <c r="F2414" s="6"/>
      <c r="G2414" s="7"/>
    </row>
    <row r="2415" spans="1:7" x14ac:dyDescent="0.2">
      <c r="A2415" s="3"/>
      <c r="B2415" s="6"/>
      <c r="C2415" s="3"/>
      <c r="D2415" s="6"/>
      <c r="E2415" s="6"/>
      <c r="F2415" s="6"/>
      <c r="G2415" s="7"/>
    </row>
    <row r="2416" spans="1:7" x14ac:dyDescent="0.2">
      <c r="A2416" s="3"/>
      <c r="B2416" s="6"/>
      <c r="C2416" s="3"/>
      <c r="D2416" s="6"/>
      <c r="E2416" s="6"/>
      <c r="F2416" s="6"/>
      <c r="G2416" s="7"/>
    </row>
    <row r="2417" spans="1:7" x14ac:dyDescent="0.2">
      <c r="A2417" s="3"/>
      <c r="B2417" s="6"/>
      <c r="C2417" s="3"/>
      <c r="D2417" s="6"/>
      <c r="E2417" s="6"/>
      <c r="F2417" s="6"/>
      <c r="G2417" s="7"/>
    </row>
    <row r="2418" spans="1:7" x14ac:dyDescent="0.2">
      <c r="A2418" s="3"/>
      <c r="B2418" s="6"/>
      <c r="C2418" s="3"/>
      <c r="D2418" s="6"/>
      <c r="E2418" s="6"/>
      <c r="F2418" s="6"/>
      <c r="G2418" s="7"/>
    </row>
    <row r="2419" spans="1:7" x14ac:dyDescent="0.2">
      <c r="A2419" s="3"/>
      <c r="B2419" s="6"/>
      <c r="C2419" s="3"/>
      <c r="D2419" s="6"/>
      <c r="E2419" s="6"/>
      <c r="F2419" s="6"/>
      <c r="G2419" s="7"/>
    </row>
    <row r="2420" spans="1:7" x14ac:dyDescent="0.2">
      <c r="A2420" s="3"/>
      <c r="B2420" s="6"/>
      <c r="C2420" s="3"/>
      <c r="D2420" s="6"/>
      <c r="E2420" s="6"/>
      <c r="F2420" s="6"/>
      <c r="G2420" s="7"/>
    </row>
    <row r="2421" spans="1:7" x14ac:dyDescent="0.2">
      <c r="A2421" s="3"/>
      <c r="B2421" s="6"/>
      <c r="C2421" s="3"/>
      <c r="D2421" s="6"/>
      <c r="E2421" s="6"/>
      <c r="F2421" s="6"/>
      <c r="G2421" s="7"/>
    </row>
    <row r="2422" spans="1:7" x14ac:dyDescent="0.2">
      <c r="A2422" s="3"/>
      <c r="B2422" s="6"/>
      <c r="C2422" s="3"/>
      <c r="D2422" s="6"/>
      <c r="E2422" s="6"/>
      <c r="F2422" s="6"/>
      <c r="G2422" s="7"/>
    </row>
    <row r="2423" spans="1:7" x14ac:dyDescent="0.2">
      <c r="A2423" s="3"/>
      <c r="B2423" s="6"/>
      <c r="C2423" s="3"/>
      <c r="D2423" s="6"/>
      <c r="E2423" s="6"/>
      <c r="F2423" s="6"/>
      <c r="G2423" s="7"/>
    </row>
    <row r="2424" spans="1:7" x14ac:dyDescent="0.2">
      <c r="A2424" s="3"/>
      <c r="B2424" s="6"/>
      <c r="C2424" s="3"/>
      <c r="D2424" s="6"/>
      <c r="E2424" s="6"/>
      <c r="F2424" s="6"/>
      <c r="G2424" s="7"/>
    </row>
    <row r="2425" spans="1:7" x14ac:dyDescent="0.2">
      <c r="A2425" s="3"/>
      <c r="B2425" s="6"/>
      <c r="C2425" s="3"/>
      <c r="D2425" s="6"/>
      <c r="E2425" s="6"/>
      <c r="F2425" s="6"/>
      <c r="G2425" s="7"/>
    </row>
    <row r="2426" spans="1:7" x14ac:dyDescent="0.2">
      <c r="A2426" s="3"/>
      <c r="B2426" s="6"/>
      <c r="C2426" s="3"/>
      <c r="D2426" s="6"/>
      <c r="E2426" s="6"/>
      <c r="F2426" s="6"/>
      <c r="G2426" s="7"/>
    </row>
    <row r="2427" spans="1:7" x14ac:dyDescent="0.2">
      <c r="A2427" s="3"/>
      <c r="B2427" s="6"/>
      <c r="C2427" s="3"/>
      <c r="D2427" s="6"/>
      <c r="E2427" s="6"/>
      <c r="F2427" s="6"/>
      <c r="G2427" s="7"/>
    </row>
    <row r="2428" spans="1:7" x14ac:dyDescent="0.2">
      <c r="A2428" s="3"/>
      <c r="B2428" s="6"/>
      <c r="C2428" s="3"/>
      <c r="D2428" s="6"/>
      <c r="E2428" s="6"/>
      <c r="F2428" s="6"/>
      <c r="G2428" s="7"/>
    </row>
    <row r="2429" spans="1:7" x14ac:dyDescent="0.2">
      <c r="A2429" s="3"/>
      <c r="B2429" s="6"/>
      <c r="C2429" s="3"/>
      <c r="D2429" s="6"/>
      <c r="E2429" s="6"/>
      <c r="F2429" s="6"/>
      <c r="G2429" s="7"/>
    </row>
    <row r="2430" spans="1:7" x14ac:dyDescent="0.2">
      <c r="A2430" s="3"/>
      <c r="B2430" s="6"/>
      <c r="C2430" s="3"/>
      <c r="D2430" s="6"/>
      <c r="E2430" s="6"/>
      <c r="F2430" s="6"/>
      <c r="G2430" s="7"/>
    </row>
    <row r="2431" spans="1:7" x14ac:dyDescent="0.2">
      <c r="A2431" s="3"/>
      <c r="B2431" s="6"/>
      <c r="C2431" s="3"/>
      <c r="D2431" s="6"/>
      <c r="E2431" s="6"/>
      <c r="F2431" s="6"/>
      <c r="G2431" s="7"/>
    </row>
    <row r="2432" spans="1:7" x14ac:dyDescent="0.2">
      <c r="A2432" s="3"/>
      <c r="B2432" s="6"/>
      <c r="C2432" s="3"/>
      <c r="D2432" s="6"/>
      <c r="E2432" s="6"/>
      <c r="F2432" s="6"/>
      <c r="G2432" s="7"/>
    </row>
    <row r="2433" spans="1:7" x14ac:dyDescent="0.2">
      <c r="A2433" s="3"/>
      <c r="B2433" s="6"/>
      <c r="C2433" s="3"/>
      <c r="D2433" s="6"/>
      <c r="E2433" s="6"/>
      <c r="F2433" s="6"/>
      <c r="G2433" s="7"/>
    </row>
    <row r="2434" spans="1:7" x14ac:dyDescent="0.2">
      <c r="A2434" s="3"/>
      <c r="B2434" s="6"/>
      <c r="C2434" s="3"/>
      <c r="D2434" s="6"/>
      <c r="E2434" s="6"/>
      <c r="F2434" s="6"/>
      <c r="G2434" s="7"/>
    </row>
    <row r="2435" spans="1:7" x14ac:dyDescent="0.2">
      <c r="A2435" s="3"/>
      <c r="B2435" s="6"/>
      <c r="C2435" s="3"/>
      <c r="D2435" s="6"/>
      <c r="E2435" s="6"/>
      <c r="F2435" s="6"/>
      <c r="G2435" s="7"/>
    </row>
    <row r="2436" spans="1:7" x14ac:dyDescent="0.2">
      <c r="A2436" s="3"/>
      <c r="B2436" s="6"/>
      <c r="C2436" s="3"/>
      <c r="D2436" s="6"/>
      <c r="E2436" s="6"/>
      <c r="F2436" s="6"/>
      <c r="G2436" s="7"/>
    </row>
    <row r="2437" spans="1:7" x14ac:dyDescent="0.2">
      <c r="A2437" s="3"/>
      <c r="B2437" s="6"/>
      <c r="C2437" s="3"/>
      <c r="D2437" s="6"/>
      <c r="E2437" s="6"/>
      <c r="F2437" s="6"/>
      <c r="G2437" s="7"/>
    </row>
    <row r="2438" spans="1:7" x14ac:dyDescent="0.2">
      <c r="A2438" s="3"/>
      <c r="B2438" s="6"/>
      <c r="C2438" s="3"/>
      <c r="D2438" s="6"/>
      <c r="E2438" s="6"/>
      <c r="F2438" s="6"/>
      <c r="G2438" s="7"/>
    </row>
    <row r="2439" spans="1:7" x14ac:dyDescent="0.2">
      <c r="A2439" s="3"/>
      <c r="B2439" s="6"/>
      <c r="C2439" s="3"/>
      <c r="D2439" s="6"/>
      <c r="E2439" s="6"/>
      <c r="F2439" s="6"/>
      <c r="G2439" s="7"/>
    </row>
    <row r="2440" spans="1:7" x14ac:dyDescent="0.2">
      <c r="A2440" s="3"/>
      <c r="B2440" s="6"/>
      <c r="C2440" s="3"/>
      <c r="D2440" s="6"/>
      <c r="E2440" s="6"/>
      <c r="F2440" s="6"/>
      <c r="G2440" s="7"/>
    </row>
    <row r="2441" spans="1:7" x14ac:dyDescent="0.2">
      <c r="A2441" s="3"/>
      <c r="B2441" s="6"/>
      <c r="C2441" s="3"/>
      <c r="D2441" s="6"/>
      <c r="E2441" s="6"/>
      <c r="F2441" s="6"/>
      <c r="G2441" s="7"/>
    </row>
    <row r="2442" spans="1:7" x14ac:dyDescent="0.2">
      <c r="A2442" s="3"/>
      <c r="B2442" s="6"/>
      <c r="C2442" s="3"/>
      <c r="D2442" s="6"/>
      <c r="E2442" s="6"/>
      <c r="F2442" s="6"/>
      <c r="G2442" s="7"/>
    </row>
    <row r="2443" spans="1:7" x14ac:dyDescent="0.2">
      <c r="A2443" s="3"/>
      <c r="B2443" s="6"/>
      <c r="C2443" s="3"/>
      <c r="D2443" s="6"/>
      <c r="E2443" s="6"/>
      <c r="F2443" s="6"/>
      <c r="G2443" s="7"/>
    </row>
    <row r="2444" spans="1:7" x14ac:dyDescent="0.2">
      <c r="A2444" s="3"/>
      <c r="B2444" s="6"/>
      <c r="C2444" s="3"/>
      <c r="D2444" s="6"/>
      <c r="E2444" s="6"/>
      <c r="F2444" s="6"/>
      <c r="G2444" s="7"/>
    </row>
    <row r="2445" spans="1:7" x14ac:dyDescent="0.2">
      <c r="A2445" s="3"/>
      <c r="B2445" s="6"/>
      <c r="C2445" s="3"/>
      <c r="D2445" s="6"/>
      <c r="E2445" s="6"/>
      <c r="F2445" s="6"/>
      <c r="G2445" s="7"/>
    </row>
    <row r="2446" spans="1:7" x14ac:dyDescent="0.2">
      <c r="A2446" s="3"/>
      <c r="B2446" s="6"/>
      <c r="C2446" s="3"/>
      <c r="D2446" s="6"/>
      <c r="E2446" s="6"/>
      <c r="F2446" s="6"/>
      <c r="G2446" s="7"/>
    </row>
    <row r="2447" spans="1:7" x14ac:dyDescent="0.2">
      <c r="A2447" s="3"/>
      <c r="B2447" s="6"/>
      <c r="C2447" s="3"/>
      <c r="D2447" s="6"/>
      <c r="E2447" s="6"/>
      <c r="F2447" s="6"/>
      <c r="G2447" s="7"/>
    </row>
    <row r="2448" spans="1:7" x14ac:dyDescent="0.2">
      <c r="A2448" s="3"/>
      <c r="B2448" s="6"/>
      <c r="C2448" s="3"/>
      <c r="D2448" s="6"/>
      <c r="E2448" s="6"/>
      <c r="F2448" s="6"/>
      <c r="G2448" s="7"/>
    </row>
    <row r="2449" spans="1:7" x14ac:dyDescent="0.2">
      <c r="A2449" s="3"/>
      <c r="B2449" s="6"/>
      <c r="C2449" s="3"/>
      <c r="D2449" s="6"/>
      <c r="E2449" s="6"/>
      <c r="F2449" s="6"/>
      <c r="G2449" s="7"/>
    </row>
    <row r="2450" spans="1:7" x14ac:dyDescent="0.2">
      <c r="A2450" s="3"/>
      <c r="B2450" s="6"/>
      <c r="C2450" s="3"/>
      <c r="D2450" s="6"/>
      <c r="E2450" s="6"/>
      <c r="F2450" s="6"/>
      <c r="G2450" s="7"/>
    </row>
    <row r="2451" spans="1:7" x14ac:dyDescent="0.2">
      <c r="A2451" s="3"/>
      <c r="B2451" s="6"/>
      <c r="C2451" s="3"/>
      <c r="D2451" s="6"/>
      <c r="E2451" s="6"/>
      <c r="F2451" s="6"/>
      <c r="G2451" s="7"/>
    </row>
    <row r="2452" spans="1:7" x14ac:dyDescent="0.2">
      <c r="A2452" s="3"/>
      <c r="B2452" s="6"/>
      <c r="C2452" s="3"/>
      <c r="D2452" s="6"/>
      <c r="E2452" s="6"/>
      <c r="F2452" s="6"/>
      <c r="G2452" s="7"/>
    </row>
    <row r="2453" spans="1:7" x14ac:dyDescent="0.2">
      <c r="A2453" s="3"/>
      <c r="B2453" s="6"/>
      <c r="C2453" s="3"/>
      <c r="D2453" s="6"/>
      <c r="E2453" s="6"/>
      <c r="F2453" s="6"/>
      <c r="G2453" s="7"/>
    </row>
    <row r="2454" spans="1:7" x14ac:dyDescent="0.2">
      <c r="A2454" s="3"/>
      <c r="B2454" s="6"/>
      <c r="C2454" s="3"/>
      <c r="D2454" s="6"/>
      <c r="E2454" s="6"/>
      <c r="F2454" s="6"/>
      <c r="G2454" s="7"/>
    </row>
    <row r="2455" spans="1:7" x14ac:dyDescent="0.2">
      <c r="A2455" s="3"/>
      <c r="B2455" s="6"/>
      <c r="C2455" s="3"/>
      <c r="D2455" s="6"/>
      <c r="E2455" s="6"/>
      <c r="F2455" s="6"/>
      <c r="G2455" s="7"/>
    </row>
    <row r="2456" spans="1:7" x14ac:dyDescent="0.2">
      <c r="A2456" s="3"/>
      <c r="B2456" s="6"/>
      <c r="C2456" s="3"/>
      <c r="D2456" s="6"/>
      <c r="E2456" s="6"/>
      <c r="F2456" s="6"/>
      <c r="G2456" s="7"/>
    </row>
    <row r="2457" spans="1:7" x14ac:dyDescent="0.2">
      <c r="A2457" s="3"/>
      <c r="B2457" s="6"/>
      <c r="C2457" s="3"/>
      <c r="D2457" s="6"/>
      <c r="E2457" s="6"/>
      <c r="F2457" s="6"/>
      <c r="G2457" s="7"/>
    </row>
    <row r="2458" spans="1:7" x14ac:dyDescent="0.2">
      <c r="A2458" s="3"/>
      <c r="B2458" s="6"/>
      <c r="C2458" s="3"/>
      <c r="D2458" s="6"/>
      <c r="E2458" s="6"/>
      <c r="F2458" s="6"/>
      <c r="G2458" s="7"/>
    </row>
    <row r="2459" spans="1:7" x14ac:dyDescent="0.2">
      <c r="A2459" s="3"/>
      <c r="B2459" s="6"/>
      <c r="C2459" s="3"/>
      <c r="D2459" s="6"/>
      <c r="E2459" s="6"/>
      <c r="F2459" s="6"/>
      <c r="G2459" s="7"/>
    </row>
    <row r="2460" spans="1:7" x14ac:dyDescent="0.2">
      <c r="A2460" s="3"/>
      <c r="B2460" s="6"/>
      <c r="C2460" s="3"/>
      <c r="D2460" s="6"/>
      <c r="E2460" s="6"/>
      <c r="F2460" s="6"/>
      <c r="G2460" s="7"/>
    </row>
    <row r="2461" spans="1:7" x14ac:dyDescent="0.2">
      <c r="A2461" s="3"/>
      <c r="B2461" s="6"/>
      <c r="C2461" s="3"/>
      <c r="D2461" s="6"/>
      <c r="E2461" s="6"/>
      <c r="F2461" s="6"/>
      <c r="G2461" s="7"/>
    </row>
    <row r="2462" spans="1:7" x14ac:dyDescent="0.2">
      <c r="A2462" s="3"/>
      <c r="B2462" s="6"/>
      <c r="C2462" s="3"/>
      <c r="D2462" s="6"/>
      <c r="E2462" s="6"/>
      <c r="F2462" s="6"/>
      <c r="G2462" s="7"/>
    </row>
    <row r="2463" spans="1:7" x14ac:dyDescent="0.2">
      <c r="A2463" s="3"/>
      <c r="B2463" s="6"/>
      <c r="C2463" s="3"/>
      <c r="D2463" s="6"/>
      <c r="E2463" s="6"/>
      <c r="F2463" s="6"/>
      <c r="G2463" s="7"/>
    </row>
    <row r="2464" spans="1:7" x14ac:dyDescent="0.2">
      <c r="A2464" s="3"/>
      <c r="B2464" s="6"/>
      <c r="C2464" s="3"/>
      <c r="D2464" s="6"/>
      <c r="E2464" s="6"/>
      <c r="F2464" s="6"/>
      <c r="G2464" s="7"/>
    </row>
    <row r="2465" spans="1:7" x14ac:dyDescent="0.2">
      <c r="A2465" s="3"/>
      <c r="B2465" s="6"/>
      <c r="C2465" s="3"/>
      <c r="D2465" s="6"/>
      <c r="E2465" s="6"/>
      <c r="F2465" s="6"/>
      <c r="G2465" s="7"/>
    </row>
    <row r="2466" spans="1:7" x14ac:dyDescent="0.2">
      <c r="A2466" s="3"/>
      <c r="B2466" s="6"/>
      <c r="C2466" s="3"/>
      <c r="D2466" s="6"/>
      <c r="E2466" s="6"/>
      <c r="F2466" s="6"/>
      <c r="G2466" s="7"/>
    </row>
    <row r="2467" spans="1:7" x14ac:dyDescent="0.2">
      <c r="A2467" s="3"/>
      <c r="B2467" s="6"/>
      <c r="C2467" s="3"/>
      <c r="D2467" s="6"/>
      <c r="E2467" s="6"/>
      <c r="F2467" s="6"/>
      <c r="G2467" s="7"/>
    </row>
    <row r="2468" spans="1:7" x14ac:dyDescent="0.2">
      <c r="A2468" s="3"/>
      <c r="B2468" s="6"/>
      <c r="C2468" s="3"/>
      <c r="D2468" s="6"/>
      <c r="E2468" s="6"/>
      <c r="F2468" s="6"/>
      <c r="G2468" s="7"/>
    </row>
    <row r="2469" spans="1:7" x14ac:dyDescent="0.2">
      <c r="A2469" s="3"/>
      <c r="B2469" s="6"/>
      <c r="C2469" s="3"/>
      <c r="D2469" s="6"/>
      <c r="E2469" s="6"/>
      <c r="F2469" s="6"/>
      <c r="G2469" s="7"/>
    </row>
    <row r="2470" spans="1:7" x14ac:dyDescent="0.2">
      <c r="A2470" s="3"/>
      <c r="B2470" s="6"/>
      <c r="C2470" s="3"/>
      <c r="D2470" s="6"/>
      <c r="E2470" s="6"/>
      <c r="F2470" s="6"/>
      <c r="G2470" s="7"/>
    </row>
    <row r="2471" spans="1:7" x14ac:dyDescent="0.2">
      <c r="A2471" s="3"/>
      <c r="B2471" s="6"/>
      <c r="C2471" s="3"/>
      <c r="D2471" s="6"/>
      <c r="E2471" s="6"/>
      <c r="F2471" s="6"/>
      <c r="G2471" s="7"/>
    </row>
    <row r="2472" spans="1:7" x14ac:dyDescent="0.2">
      <c r="A2472" s="3"/>
      <c r="B2472" s="6"/>
      <c r="C2472" s="3"/>
      <c r="D2472" s="6"/>
      <c r="E2472" s="6"/>
      <c r="F2472" s="6"/>
      <c r="G2472" s="7"/>
    </row>
    <row r="2473" spans="1:7" x14ac:dyDescent="0.2">
      <c r="A2473" s="3"/>
      <c r="B2473" s="6"/>
      <c r="C2473" s="3"/>
      <c r="D2473" s="6"/>
      <c r="E2473" s="6"/>
      <c r="F2473" s="6"/>
      <c r="G2473" s="7"/>
    </row>
    <row r="2474" spans="1:7" x14ac:dyDescent="0.2">
      <c r="A2474" s="3"/>
      <c r="B2474" s="6"/>
      <c r="C2474" s="3"/>
      <c r="D2474" s="6"/>
      <c r="E2474" s="6"/>
      <c r="F2474" s="6"/>
      <c r="G2474" s="7"/>
    </row>
    <row r="2475" spans="1:7" x14ac:dyDescent="0.2">
      <c r="A2475" s="3"/>
      <c r="B2475" s="6"/>
      <c r="C2475" s="3"/>
      <c r="D2475" s="6"/>
      <c r="E2475" s="6"/>
      <c r="F2475" s="6"/>
      <c r="G2475" s="7"/>
    </row>
    <row r="2476" spans="1:7" x14ac:dyDescent="0.2">
      <c r="A2476" s="3"/>
      <c r="B2476" s="6"/>
      <c r="C2476" s="3"/>
      <c r="D2476" s="6"/>
      <c r="E2476" s="6"/>
      <c r="F2476" s="6"/>
      <c r="G2476" s="7"/>
    </row>
    <row r="2477" spans="1:7" x14ac:dyDescent="0.2">
      <c r="A2477" s="3"/>
      <c r="B2477" s="6"/>
      <c r="C2477" s="3"/>
      <c r="D2477" s="6"/>
      <c r="E2477" s="6"/>
      <c r="F2477" s="6"/>
      <c r="G2477" s="7"/>
    </row>
    <row r="2478" spans="1:7" x14ac:dyDescent="0.2">
      <c r="A2478" s="3"/>
      <c r="B2478" s="6"/>
      <c r="C2478" s="3"/>
      <c r="D2478" s="6"/>
      <c r="E2478" s="6"/>
      <c r="F2478" s="6"/>
      <c r="G2478" s="7"/>
    </row>
    <row r="2479" spans="1:7" x14ac:dyDescent="0.2">
      <c r="A2479" s="3"/>
      <c r="B2479" s="6"/>
      <c r="C2479" s="3"/>
      <c r="D2479" s="6"/>
      <c r="E2479" s="6"/>
      <c r="F2479" s="6"/>
      <c r="G2479" s="7"/>
    </row>
    <row r="2480" spans="1:7" x14ac:dyDescent="0.2">
      <c r="A2480" s="3"/>
      <c r="B2480" s="6"/>
      <c r="C2480" s="3"/>
      <c r="D2480" s="6"/>
      <c r="E2480" s="6"/>
      <c r="F2480" s="6"/>
      <c r="G2480" s="7"/>
    </row>
    <row r="2481" spans="1:7" x14ac:dyDescent="0.2">
      <c r="A2481" s="3"/>
      <c r="B2481" s="6"/>
      <c r="C2481" s="3"/>
      <c r="D2481" s="6"/>
      <c r="E2481" s="6"/>
      <c r="F2481" s="6"/>
      <c r="G2481" s="7"/>
    </row>
    <row r="2482" spans="1:7" x14ac:dyDescent="0.2">
      <c r="A2482" s="3"/>
      <c r="B2482" s="6"/>
      <c r="C2482" s="3"/>
      <c r="D2482" s="6"/>
      <c r="E2482" s="6"/>
      <c r="F2482" s="6"/>
      <c r="G2482" s="7"/>
    </row>
    <row r="2483" spans="1:7" x14ac:dyDescent="0.2">
      <c r="A2483" s="3"/>
      <c r="B2483" s="6"/>
      <c r="C2483" s="3"/>
      <c r="D2483" s="6"/>
      <c r="E2483" s="6"/>
      <c r="F2483" s="6"/>
      <c r="G2483" s="7"/>
    </row>
    <row r="2484" spans="1:7" x14ac:dyDescent="0.2">
      <c r="A2484" s="3"/>
      <c r="B2484" s="6"/>
      <c r="C2484" s="3"/>
      <c r="D2484" s="6"/>
      <c r="E2484" s="6"/>
      <c r="F2484" s="6"/>
      <c r="G2484" s="7"/>
    </row>
    <row r="2485" spans="1:7" x14ac:dyDescent="0.2">
      <c r="A2485" s="3"/>
      <c r="B2485" s="6"/>
      <c r="C2485" s="3"/>
      <c r="D2485" s="6"/>
      <c r="E2485" s="6"/>
      <c r="F2485" s="6"/>
      <c r="G2485" s="7"/>
    </row>
    <row r="2486" spans="1:7" x14ac:dyDescent="0.2">
      <c r="A2486" s="3"/>
      <c r="B2486" s="6"/>
      <c r="C2486" s="3"/>
      <c r="D2486" s="6"/>
      <c r="E2486" s="6"/>
      <c r="F2486" s="6"/>
      <c r="G2486" s="7"/>
    </row>
    <row r="2487" spans="1:7" x14ac:dyDescent="0.2">
      <c r="A2487" s="3"/>
      <c r="B2487" s="6"/>
      <c r="C2487" s="3"/>
      <c r="D2487" s="6"/>
      <c r="E2487" s="6"/>
      <c r="F2487" s="6"/>
      <c r="G2487" s="7"/>
    </row>
    <row r="2488" spans="1:7" x14ac:dyDescent="0.2">
      <c r="A2488" s="3"/>
      <c r="B2488" s="6"/>
      <c r="C2488" s="3"/>
      <c r="D2488" s="6"/>
      <c r="E2488" s="6"/>
      <c r="F2488" s="6"/>
      <c r="G2488" s="7"/>
    </row>
    <row r="2489" spans="1:7" x14ac:dyDescent="0.2">
      <c r="A2489" s="3"/>
      <c r="B2489" s="6"/>
      <c r="C2489" s="3"/>
      <c r="D2489" s="6"/>
      <c r="E2489" s="6"/>
      <c r="F2489" s="6"/>
      <c r="G2489" s="7"/>
    </row>
    <row r="2490" spans="1:7" x14ac:dyDescent="0.2">
      <c r="A2490" s="3"/>
      <c r="B2490" s="6"/>
      <c r="C2490" s="3"/>
      <c r="D2490" s="6"/>
      <c r="E2490" s="6"/>
      <c r="F2490" s="6"/>
      <c r="G2490" s="7"/>
    </row>
    <row r="2491" spans="1:7" x14ac:dyDescent="0.2">
      <c r="A2491" s="3"/>
      <c r="B2491" s="6"/>
      <c r="C2491" s="3"/>
      <c r="D2491" s="6"/>
      <c r="E2491" s="6"/>
      <c r="F2491" s="6"/>
      <c r="G2491" s="7"/>
    </row>
    <row r="2492" spans="1:7" x14ac:dyDescent="0.2">
      <c r="A2492" s="3"/>
      <c r="B2492" s="6"/>
      <c r="C2492" s="3"/>
      <c r="D2492" s="6"/>
      <c r="E2492" s="6"/>
      <c r="F2492" s="6"/>
      <c r="G2492" s="7"/>
    </row>
    <row r="2493" spans="1:7" x14ac:dyDescent="0.2">
      <c r="A2493" s="3"/>
      <c r="B2493" s="6"/>
      <c r="C2493" s="3"/>
      <c r="D2493" s="6"/>
      <c r="E2493" s="6"/>
      <c r="F2493" s="6"/>
      <c r="G2493" s="7"/>
    </row>
    <row r="2494" spans="1:7" x14ac:dyDescent="0.2">
      <c r="A2494" s="3"/>
      <c r="B2494" s="6"/>
      <c r="C2494" s="3"/>
      <c r="D2494" s="6"/>
      <c r="E2494" s="6"/>
      <c r="F2494" s="6"/>
      <c r="G2494" s="7"/>
    </row>
    <row r="2495" spans="1:7" x14ac:dyDescent="0.2">
      <c r="A2495" s="3"/>
      <c r="B2495" s="6"/>
      <c r="C2495" s="3"/>
      <c r="D2495" s="6"/>
      <c r="E2495" s="6"/>
      <c r="F2495" s="6"/>
      <c r="G2495" s="7"/>
    </row>
    <row r="2496" spans="1:7" x14ac:dyDescent="0.2">
      <c r="A2496" s="3"/>
      <c r="B2496" s="6"/>
      <c r="C2496" s="3"/>
      <c r="D2496" s="6"/>
      <c r="E2496" s="6"/>
      <c r="F2496" s="6"/>
      <c r="G2496" s="7"/>
    </row>
    <row r="2497" spans="1:7" x14ac:dyDescent="0.2">
      <c r="A2497" s="3"/>
      <c r="B2497" s="6"/>
      <c r="C2497" s="3"/>
      <c r="D2497" s="6"/>
      <c r="E2497" s="6"/>
      <c r="F2497" s="6"/>
      <c r="G2497" s="7"/>
    </row>
    <row r="2498" spans="1:7" x14ac:dyDescent="0.2">
      <c r="A2498" s="3"/>
      <c r="B2498" s="6"/>
      <c r="C2498" s="3"/>
      <c r="D2498" s="6"/>
      <c r="E2498" s="6"/>
      <c r="F2498" s="6"/>
      <c r="G2498" s="7"/>
    </row>
    <row r="2499" spans="1:7" x14ac:dyDescent="0.2">
      <c r="A2499" s="3"/>
      <c r="B2499" s="6"/>
      <c r="C2499" s="3"/>
      <c r="D2499" s="6"/>
      <c r="E2499" s="6"/>
      <c r="F2499" s="6"/>
      <c r="G2499" s="7"/>
    </row>
    <row r="2500" spans="1:7" x14ac:dyDescent="0.2">
      <c r="A2500" s="3"/>
      <c r="B2500" s="6"/>
      <c r="C2500" s="3"/>
      <c r="D2500" s="6"/>
      <c r="E2500" s="6"/>
      <c r="F2500" s="6"/>
      <c r="G2500" s="7"/>
    </row>
    <row r="2501" spans="1:7" x14ac:dyDescent="0.2">
      <c r="A2501" s="3"/>
      <c r="B2501" s="6"/>
      <c r="C2501" s="3"/>
      <c r="D2501" s="6"/>
      <c r="E2501" s="6"/>
      <c r="F2501" s="6"/>
      <c r="G2501" s="7"/>
    </row>
    <row r="2502" spans="1:7" x14ac:dyDescent="0.2">
      <c r="A2502" s="3"/>
      <c r="B2502" s="6"/>
      <c r="C2502" s="3"/>
      <c r="D2502" s="6"/>
      <c r="E2502" s="6"/>
      <c r="F2502" s="6"/>
      <c r="G2502" s="7"/>
    </row>
    <row r="2503" spans="1:7" x14ac:dyDescent="0.2">
      <c r="A2503" s="3"/>
      <c r="B2503" s="6"/>
      <c r="C2503" s="3"/>
      <c r="D2503" s="6"/>
      <c r="E2503" s="6"/>
      <c r="F2503" s="6"/>
      <c r="G2503" s="7"/>
    </row>
    <row r="2504" spans="1:7" x14ac:dyDescent="0.2">
      <c r="A2504" s="3"/>
      <c r="B2504" s="6"/>
      <c r="C2504" s="3"/>
      <c r="D2504" s="6"/>
      <c r="E2504" s="6"/>
      <c r="F2504" s="6"/>
      <c r="G2504" s="7"/>
    </row>
    <row r="2505" spans="1:7" x14ac:dyDescent="0.2">
      <c r="A2505" s="3"/>
      <c r="B2505" s="6"/>
      <c r="C2505" s="3"/>
      <c r="D2505" s="6"/>
      <c r="E2505" s="6"/>
      <c r="F2505" s="6"/>
      <c r="G2505" s="7"/>
    </row>
    <row r="2506" spans="1:7" x14ac:dyDescent="0.2">
      <c r="A2506" s="3"/>
      <c r="B2506" s="6"/>
      <c r="C2506" s="3"/>
      <c r="D2506" s="6"/>
      <c r="E2506" s="6"/>
      <c r="F2506" s="6"/>
      <c r="G2506" s="7"/>
    </row>
    <row r="2507" spans="1:7" x14ac:dyDescent="0.2">
      <c r="A2507" s="3"/>
      <c r="B2507" s="6"/>
      <c r="C2507" s="3"/>
      <c r="D2507" s="6"/>
      <c r="E2507" s="6"/>
      <c r="F2507" s="6"/>
      <c r="G2507" s="7"/>
    </row>
    <row r="2508" spans="1:7" x14ac:dyDescent="0.2">
      <c r="A2508" s="3"/>
      <c r="B2508" s="6"/>
      <c r="C2508" s="3"/>
      <c r="D2508" s="6"/>
      <c r="E2508" s="6"/>
      <c r="F2508" s="6"/>
      <c r="G2508" s="7"/>
    </row>
    <row r="2509" spans="1:7" x14ac:dyDescent="0.2">
      <c r="A2509" s="3"/>
      <c r="B2509" s="6"/>
      <c r="C2509" s="3"/>
      <c r="D2509" s="6"/>
      <c r="E2509" s="6"/>
      <c r="F2509" s="6"/>
      <c r="G2509" s="7"/>
    </row>
    <row r="2510" spans="1:7" x14ac:dyDescent="0.2">
      <c r="A2510" s="3"/>
      <c r="B2510" s="6"/>
      <c r="C2510" s="3"/>
      <c r="D2510" s="6"/>
      <c r="E2510" s="6"/>
      <c r="F2510" s="6"/>
      <c r="G2510" s="7"/>
    </row>
    <row r="2511" spans="1:7" x14ac:dyDescent="0.2">
      <c r="A2511" s="3"/>
      <c r="B2511" s="6"/>
      <c r="C2511" s="3"/>
      <c r="D2511" s="6"/>
      <c r="E2511" s="6"/>
      <c r="F2511" s="6"/>
      <c r="G2511" s="7"/>
    </row>
    <row r="2512" spans="1:7" x14ac:dyDescent="0.2">
      <c r="A2512" s="3"/>
      <c r="B2512" s="6"/>
      <c r="C2512" s="3"/>
      <c r="D2512" s="6"/>
      <c r="E2512" s="6"/>
      <c r="F2512" s="6"/>
      <c r="G2512" s="7"/>
    </row>
    <row r="2513" spans="1:7" x14ac:dyDescent="0.2">
      <c r="A2513" s="3"/>
      <c r="B2513" s="6"/>
      <c r="C2513" s="3"/>
      <c r="D2513" s="6"/>
      <c r="E2513" s="6"/>
      <c r="F2513" s="6"/>
      <c r="G2513" s="7"/>
    </row>
    <row r="2514" spans="1:7" x14ac:dyDescent="0.2">
      <c r="A2514" s="3"/>
      <c r="B2514" s="6"/>
      <c r="C2514" s="3"/>
      <c r="D2514" s="6"/>
      <c r="E2514" s="6"/>
      <c r="F2514" s="6"/>
      <c r="G2514" s="7"/>
    </row>
    <row r="2515" spans="1:7" x14ac:dyDescent="0.2">
      <c r="A2515" s="3"/>
      <c r="B2515" s="6"/>
      <c r="C2515" s="3"/>
      <c r="D2515" s="6"/>
      <c r="E2515" s="6"/>
      <c r="F2515" s="6"/>
      <c r="G2515" s="7"/>
    </row>
    <row r="2516" spans="1:7" x14ac:dyDescent="0.2">
      <c r="A2516" s="3"/>
      <c r="B2516" s="6"/>
      <c r="C2516" s="3"/>
      <c r="D2516" s="6"/>
      <c r="E2516" s="6"/>
      <c r="F2516" s="6"/>
      <c r="G2516" s="7"/>
    </row>
    <row r="2517" spans="1:7" x14ac:dyDescent="0.2">
      <c r="A2517" s="3"/>
      <c r="B2517" s="6"/>
      <c r="C2517" s="3"/>
      <c r="D2517" s="6"/>
      <c r="E2517" s="6"/>
      <c r="F2517" s="6"/>
      <c r="G2517" s="7"/>
    </row>
    <row r="2518" spans="1:7" x14ac:dyDescent="0.2">
      <c r="A2518" s="3"/>
      <c r="B2518" s="6"/>
      <c r="C2518" s="3"/>
      <c r="D2518" s="6"/>
      <c r="E2518" s="6"/>
      <c r="F2518" s="6"/>
      <c r="G2518" s="7"/>
    </row>
    <row r="2519" spans="1:7" x14ac:dyDescent="0.2">
      <c r="A2519" s="3"/>
      <c r="B2519" s="6"/>
      <c r="C2519" s="3"/>
      <c r="D2519" s="6"/>
      <c r="E2519" s="6"/>
      <c r="F2519" s="6"/>
      <c r="G2519" s="7"/>
    </row>
    <row r="2520" spans="1:7" x14ac:dyDescent="0.2">
      <c r="A2520" s="3"/>
      <c r="B2520" s="6"/>
      <c r="C2520" s="3"/>
      <c r="D2520" s="6"/>
      <c r="E2520" s="6"/>
      <c r="F2520" s="6"/>
      <c r="G2520" s="7"/>
    </row>
    <row r="2521" spans="1:7" x14ac:dyDescent="0.2">
      <c r="A2521" s="3"/>
      <c r="B2521" s="6"/>
      <c r="C2521" s="3"/>
      <c r="D2521" s="6"/>
      <c r="E2521" s="6"/>
      <c r="F2521" s="6"/>
      <c r="G2521" s="7"/>
    </row>
    <row r="2522" spans="1:7" x14ac:dyDescent="0.2">
      <c r="A2522" s="3"/>
      <c r="B2522" s="6"/>
      <c r="C2522" s="3"/>
      <c r="D2522" s="6"/>
      <c r="E2522" s="6"/>
      <c r="F2522" s="6"/>
      <c r="G2522" s="7"/>
    </row>
    <row r="2523" spans="1:7" x14ac:dyDescent="0.2">
      <c r="A2523" s="3"/>
      <c r="B2523" s="6"/>
      <c r="C2523" s="3"/>
      <c r="D2523" s="6"/>
      <c r="E2523" s="6"/>
      <c r="F2523" s="6"/>
      <c r="G2523" s="7"/>
    </row>
    <row r="2524" spans="1:7" x14ac:dyDescent="0.2">
      <c r="A2524" s="3"/>
      <c r="B2524" s="6"/>
      <c r="C2524" s="3"/>
      <c r="D2524" s="6"/>
      <c r="E2524" s="6"/>
      <c r="F2524" s="6"/>
      <c r="G2524" s="7"/>
    </row>
    <row r="2525" spans="1:7" x14ac:dyDescent="0.2">
      <c r="A2525" s="3"/>
      <c r="B2525" s="6"/>
      <c r="C2525" s="3"/>
      <c r="D2525" s="6"/>
      <c r="E2525" s="6"/>
      <c r="F2525" s="6"/>
      <c r="G2525" s="7"/>
    </row>
    <row r="2526" spans="1:7" x14ac:dyDescent="0.2">
      <c r="A2526" s="3"/>
      <c r="B2526" s="6"/>
      <c r="C2526" s="3"/>
      <c r="D2526" s="6"/>
      <c r="E2526" s="6"/>
      <c r="F2526" s="6"/>
      <c r="G2526" s="7"/>
    </row>
    <row r="2527" spans="1:7" x14ac:dyDescent="0.2">
      <c r="A2527" s="3"/>
      <c r="B2527" s="6"/>
      <c r="C2527" s="3"/>
      <c r="D2527" s="6"/>
      <c r="E2527" s="6"/>
      <c r="F2527" s="6"/>
      <c r="G2527" s="7"/>
    </row>
    <row r="2528" spans="1:7" x14ac:dyDescent="0.2">
      <c r="A2528" s="3"/>
      <c r="B2528" s="6"/>
      <c r="C2528" s="3"/>
      <c r="D2528" s="6"/>
      <c r="E2528" s="6"/>
      <c r="F2528" s="6"/>
      <c r="G2528" s="7"/>
    </row>
    <row r="2529" spans="1:7" x14ac:dyDescent="0.2">
      <c r="A2529" s="3"/>
      <c r="B2529" s="6"/>
      <c r="C2529" s="3"/>
      <c r="D2529" s="6"/>
      <c r="E2529" s="6"/>
      <c r="F2529" s="6"/>
      <c r="G2529" s="7"/>
    </row>
    <row r="2530" spans="1:7" x14ac:dyDescent="0.2">
      <c r="A2530" s="3"/>
      <c r="B2530" s="6"/>
      <c r="C2530" s="3"/>
      <c r="D2530" s="6"/>
      <c r="E2530" s="6"/>
      <c r="F2530" s="6"/>
      <c r="G2530" s="7"/>
    </row>
    <row r="2531" spans="1:7" x14ac:dyDescent="0.2">
      <c r="A2531" s="3"/>
      <c r="B2531" s="6"/>
      <c r="C2531" s="3"/>
      <c r="D2531" s="6"/>
      <c r="E2531" s="6"/>
      <c r="F2531" s="6"/>
      <c r="G2531" s="7"/>
    </row>
    <row r="2532" spans="1:7" x14ac:dyDescent="0.2">
      <c r="A2532" s="3"/>
      <c r="B2532" s="6"/>
      <c r="C2532" s="3"/>
      <c r="D2532" s="6"/>
      <c r="E2532" s="6"/>
      <c r="F2532" s="6"/>
      <c r="G2532" s="7"/>
    </row>
    <row r="2533" spans="1:7" x14ac:dyDescent="0.2">
      <c r="A2533" s="3"/>
      <c r="B2533" s="6"/>
      <c r="C2533" s="3"/>
      <c r="D2533" s="6"/>
      <c r="E2533" s="6"/>
      <c r="F2533" s="6"/>
      <c r="G2533" s="7"/>
    </row>
    <row r="2534" spans="1:7" x14ac:dyDescent="0.2">
      <c r="A2534" s="3"/>
      <c r="B2534" s="6"/>
      <c r="C2534" s="3"/>
      <c r="D2534" s="6"/>
      <c r="E2534" s="6"/>
      <c r="F2534" s="6"/>
      <c r="G2534" s="7"/>
    </row>
    <row r="2535" spans="1:7" x14ac:dyDescent="0.2">
      <c r="A2535" s="3"/>
      <c r="B2535" s="6"/>
      <c r="C2535" s="3"/>
      <c r="D2535" s="6"/>
      <c r="E2535" s="6"/>
      <c r="F2535" s="6"/>
      <c r="G2535" s="7"/>
    </row>
    <row r="2536" spans="1:7" x14ac:dyDescent="0.2">
      <c r="A2536" s="3"/>
      <c r="B2536" s="6"/>
      <c r="C2536" s="3"/>
      <c r="D2536" s="6"/>
      <c r="E2536" s="6"/>
      <c r="F2536" s="6"/>
      <c r="G2536" s="7"/>
    </row>
    <row r="2537" spans="1:7" x14ac:dyDescent="0.2">
      <c r="A2537" s="3"/>
      <c r="B2537" s="6"/>
      <c r="C2537" s="3"/>
      <c r="D2537" s="6"/>
      <c r="E2537" s="6"/>
      <c r="F2537" s="6"/>
      <c r="G2537" s="7"/>
    </row>
    <row r="2538" spans="1:7" x14ac:dyDescent="0.2">
      <c r="A2538" s="3"/>
      <c r="B2538" s="6"/>
      <c r="C2538" s="3"/>
      <c r="D2538" s="6"/>
      <c r="E2538" s="6"/>
      <c r="F2538" s="6"/>
      <c r="G2538" s="7"/>
    </row>
    <row r="2539" spans="1:7" x14ac:dyDescent="0.2">
      <c r="A2539" s="3"/>
      <c r="B2539" s="6"/>
      <c r="C2539" s="3"/>
      <c r="D2539" s="6"/>
      <c r="E2539" s="6"/>
      <c r="F2539" s="6"/>
      <c r="G2539" s="7"/>
    </row>
    <row r="2540" spans="1:7" x14ac:dyDescent="0.2">
      <c r="A2540" s="3"/>
      <c r="B2540" s="6"/>
      <c r="C2540" s="3"/>
      <c r="D2540" s="6"/>
      <c r="E2540" s="6"/>
      <c r="F2540" s="6"/>
      <c r="G2540" s="7"/>
    </row>
    <row r="2541" spans="1:7" x14ac:dyDescent="0.2">
      <c r="A2541" s="3"/>
      <c r="B2541" s="6"/>
      <c r="C2541" s="3"/>
      <c r="D2541" s="6"/>
      <c r="E2541" s="6"/>
      <c r="F2541" s="6"/>
      <c r="G2541" s="7"/>
    </row>
    <row r="2542" spans="1:7" x14ac:dyDescent="0.2">
      <c r="A2542" s="3"/>
      <c r="B2542" s="6"/>
      <c r="C2542" s="3"/>
      <c r="D2542" s="6"/>
      <c r="E2542" s="6"/>
      <c r="F2542" s="6"/>
      <c r="G2542" s="7"/>
    </row>
    <row r="2543" spans="1:7" x14ac:dyDescent="0.2">
      <c r="A2543" s="3"/>
      <c r="B2543" s="6"/>
      <c r="C2543" s="3"/>
      <c r="D2543" s="6"/>
      <c r="E2543" s="6"/>
      <c r="F2543" s="6"/>
      <c r="G2543" s="7"/>
    </row>
    <row r="2544" spans="1:7" x14ac:dyDescent="0.2">
      <c r="A2544" s="3"/>
      <c r="B2544" s="6"/>
      <c r="C2544" s="3"/>
      <c r="D2544" s="6"/>
      <c r="E2544" s="6"/>
      <c r="F2544" s="6"/>
      <c r="G2544" s="7"/>
    </row>
    <row r="2545" spans="1:7" x14ac:dyDescent="0.2">
      <c r="A2545" s="3"/>
      <c r="B2545" s="6"/>
      <c r="C2545" s="3"/>
      <c r="D2545" s="6"/>
      <c r="E2545" s="6"/>
      <c r="F2545" s="6"/>
      <c r="G2545" s="7"/>
    </row>
    <row r="2546" spans="1:7" x14ac:dyDescent="0.2">
      <c r="A2546" s="3"/>
      <c r="B2546" s="6"/>
      <c r="C2546" s="3"/>
      <c r="D2546" s="6"/>
      <c r="E2546" s="6"/>
      <c r="F2546" s="6"/>
      <c r="G2546" s="7"/>
    </row>
    <row r="2547" spans="1:7" x14ac:dyDescent="0.2">
      <c r="A2547" s="3"/>
      <c r="B2547" s="6"/>
      <c r="C2547" s="3"/>
      <c r="D2547" s="6"/>
      <c r="E2547" s="6"/>
      <c r="F2547" s="6"/>
      <c r="G2547" s="7"/>
    </row>
    <row r="2548" spans="1:7" x14ac:dyDescent="0.2">
      <c r="A2548" s="3"/>
      <c r="B2548" s="6"/>
      <c r="C2548" s="3"/>
      <c r="D2548" s="6"/>
      <c r="E2548" s="6"/>
      <c r="F2548" s="6"/>
      <c r="G2548" s="7"/>
    </row>
    <row r="2549" spans="1:7" x14ac:dyDescent="0.2">
      <c r="A2549" s="3"/>
      <c r="B2549" s="6"/>
      <c r="C2549" s="3"/>
      <c r="D2549" s="6"/>
      <c r="E2549" s="6"/>
      <c r="F2549" s="6"/>
      <c r="G2549" s="7"/>
    </row>
    <row r="2550" spans="1:7" x14ac:dyDescent="0.2">
      <c r="A2550" s="3"/>
      <c r="B2550" s="6"/>
      <c r="C2550" s="3"/>
      <c r="D2550" s="6"/>
      <c r="E2550" s="6"/>
      <c r="F2550" s="6"/>
      <c r="G2550" s="7"/>
    </row>
    <row r="2551" spans="1:7" x14ac:dyDescent="0.2">
      <c r="A2551" s="3"/>
      <c r="B2551" s="6"/>
      <c r="C2551" s="3"/>
      <c r="D2551" s="6"/>
      <c r="E2551" s="6"/>
      <c r="F2551" s="6"/>
      <c r="G2551" s="7"/>
    </row>
    <row r="2552" spans="1:7" x14ac:dyDescent="0.2">
      <c r="A2552" s="3"/>
      <c r="B2552" s="6"/>
      <c r="C2552" s="3"/>
      <c r="D2552" s="6"/>
      <c r="E2552" s="6"/>
      <c r="F2552" s="6"/>
      <c r="G2552" s="7"/>
    </row>
    <row r="2553" spans="1:7" x14ac:dyDescent="0.2">
      <c r="A2553" s="3"/>
      <c r="B2553" s="6"/>
      <c r="C2553" s="3"/>
      <c r="D2553" s="6"/>
      <c r="E2553" s="6"/>
      <c r="F2553" s="6"/>
      <c r="G2553" s="7"/>
    </row>
    <row r="2554" spans="1:7" x14ac:dyDescent="0.2">
      <c r="A2554" s="3"/>
      <c r="B2554" s="6"/>
      <c r="C2554" s="3"/>
      <c r="D2554" s="6"/>
      <c r="E2554" s="6"/>
      <c r="F2554" s="6"/>
      <c r="G2554" s="7"/>
    </row>
    <row r="2555" spans="1:7" x14ac:dyDescent="0.2">
      <c r="A2555" s="3"/>
      <c r="B2555" s="6"/>
      <c r="C2555" s="3"/>
      <c r="D2555" s="6"/>
      <c r="E2555" s="6"/>
      <c r="F2555" s="6"/>
      <c r="G2555" s="7"/>
    </row>
    <row r="2556" spans="1:7" x14ac:dyDescent="0.2">
      <c r="A2556" s="3"/>
      <c r="B2556" s="6"/>
      <c r="C2556" s="3"/>
      <c r="D2556" s="6"/>
      <c r="E2556" s="6"/>
      <c r="F2556" s="6"/>
      <c r="G2556" s="7"/>
    </row>
    <row r="2557" spans="1:7" x14ac:dyDescent="0.2">
      <c r="A2557" s="3"/>
      <c r="B2557" s="6"/>
      <c r="C2557" s="3"/>
      <c r="D2557" s="6"/>
      <c r="E2557" s="6"/>
      <c r="F2557" s="6"/>
      <c r="G2557" s="7"/>
    </row>
    <row r="2558" spans="1:7" x14ac:dyDescent="0.2">
      <c r="A2558" s="3"/>
      <c r="B2558" s="6"/>
      <c r="C2558" s="3"/>
      <c r="D2558" s="6"/>
      <c r="E2558" s="6"/>
      <c r="F2558" s="6"/>
      <c r="G2558" s="7"/>
    </row>
    <row r="2559" spans="1:7" x14ac:dyDescent="0.2">
      <c r="A2559" s="3"/>
      <c r="B2559" s="6"/>
      <c r="C2559" s="3"/>
      <c r="D2559" s="6"/>
      <c r="E2559" s="6"/>
      <c r="F2559" s="6"/>
      <c r="G2559" s="7"/>
    </row>
    <row r="2560" spans="1:7" x14ac:dyDescent="0.2">
      <c r="A2560" s="3"/>
      <c r="B2560" s="6"/>
      <c r="C2560" s="3"/>
      <c r="D2560" s="6"/>
      <c r="E2560" s="6"/>
      <c r="F2560" s="6"/>
      <c r="G2560" s="7"/>
    </row>
    <row r="2561" spans="1:7" x14ac:dyDescent="0.2">
      <c r="A2561" s="3"/>
      <c r="B2561" s="6"/>
      <c r="C2561" s="3"/>
      <c r="D2561" s="6"/>
      <c r="E2561" s="6"/>
      <c r="F2561" s="6"/>
      <c r="G2561" s="7"/>
    </row>
    <row r="2562" spans="1:7" x14ac:dyDescent="0.2">
      <c r="A2562" s="3"/>
      <c r="B2562" s="6"/>
      <c r="C2562" s="3"/>
      <c r="D2562" s="6"/>
      <c r="E2562" s="6"/>
      <c r="F2562" s="6"/>
      <c r="G2562" s="7"/>
    </row>
    <row r="2563" spans="1:7" x14ac:dyDescent="0.2">
      <c r="A2563" s="3"/>
      <c r="B2563" s="6"/>
      <c r="C2563" s="3"/>
      <c r="D2563" s="6"/>
      <c r="E2563" s="6"/>
      <c r="F2563" s="6"/>
      <c r="G2563" s="7"/>
    </row>
    <row r="2564" spans="1:7" x14ac:dyDescent="0.2">
      <c r="A2564" s="3"/>
      <c r="B2564" s="6"/>
      <c r="C2564" s="3"/>
      <c r="D2564" s="6"/>
      <c r="E2564" s="6"/>
      <c r="F2564" s="6"/>
      <c r="G2564" s="7"/>
    </row>
    <row r="2565" spans="1:7" x14ac:dyDescent="0.2">
      <c r="A2565" s="3"/>
      <c r="B2565" s="6"/>
      <c r="C2565" s="3"/>
      <c r="D2565" s="6"/>
      <c r="E2565" s="6"/>
      <c r="F2565" s="6"/>
      <c r="G2565" s="7"/>
    </row>
    <row r="2566" spans="1:7" x14ac:dyDescent="0.2">
      <c r="A2566" s="3"/>
      <c r="B2566" s="6"/>
      <c r="C2566" s="3"/>
      <c r="D2566" s="6"/>
      <c r="E2566" s="6"/>
      <c r="F2566" s="6"/>
      <c r="G2566" s="7"/>
    </row>
    <row r="2567" spans="1:7" x14ac:dyDescent="0.2">
      <c r="A2567" s="3"/>
      <c r="B2567" s="6"/>
      <c r="C2567" s="3"/>
      <c r="D2567" s="6"/>
      <c r="E2567" s="6"/>
      <c r="F2567" s="6"/>
      <c r="G2567" s="7"/>
    </row>
    <row r="2568" spans="1:7" x14ac:dyDescent="0.2">
      <c r="A2568" s="3"/>
      <c r="B2568" s="6"/>
      <c r="C2568" s="3"/>
      <c r="D2568" s="6"/>
      <c r="E2568" s="6"/>
      <c r="F2568" s="6"/>
      <c r="G2568" s="7"/>
    </row>
    <row r="2569" spans="1:7" x14ac:dyDescent="0.2">
      <c r="A2569" s="3"/>
      <c r="B2569" s="6"/>
      <c r="C2569" s="3"/>
      <c r="D2569" s="6"/>
      <c r="E2569" s="6"/>
      <c r="F2569" s="6"/>
      <c r="G2569" s="7"/>
    </row>
    <row r="2570" spans="1:7" x14ac:dyDescent="0.2">
      <c r="A2570" s="3"/>
      <c r="B2570" s="6"/>
      <c r="C2570" s="3"/>
      <c r="D2570" s="6"/>
      <c r="E2570" s="6"/>
      <c r="F2570" s="6"/>
      <c r="G2570" s="7"/>
    </row>
    <row r="2571" spans="1:7" x14ac:dyDescent="0.2">
      <c r="A2571" s="3"/>
      <c r="B2571" s="6"/>
      <c r="C2571" s="3"/>
      <c r="D2571" s="6"/>
      <c r="E2571" s="6"/>
      <c r="F2571" s="6"/>
      <c r="G2571" s="7"/>
    </row>
    <row r="2572" spans="1:7" x14ac:dyDescent="0.2">
      <c r="A2572" s="3"/>
      <c r="B2572" s="6"/>
      <c r="C2572" s="3"/>
      <c r="D2572" s="6"/>
      <c r="E2572" s="6"/>
      <c r="F2572" s="6"/>
      <c r="G2572" s="7"/>
    </row>
    <row r="2573" spans="1:7" x14ac:dyDescent="0.2">
      <c r="A2573" s="3"/>
      <c r="B2573" s="6"/>
      <c r="C2573" s="3"/>
      <c r="D2573" s="6"/>
      <c r="E2573" s="6"/>
      <c r="F2573" s="6"/>
      <c r="G2573" s="7"/>
    </row>
    <row r="2574" spans="1:7" x14ac:dyDescent="0.2">
      <c r="A2574" s="3"/>
      <c r="B2574" s="6"/>
      <c r="C2574" s="3"/>
      <c r="D2574" s="6"/>
      <c r="E2574" s="6"/>
      <c r="F2574" s="6"/>
      <c r="G2574" s="7"/>
    </row>
    <row r="2575" spans="1:7" x14ac:dyDescent="0.2">
      <c r="A2575" s="3"/>
      <c r="B2575" s="6"/>
      <c r="C2575" s="3"/>
      <c r="D2575" s="6"/>
      <c r="E2575" s="6"/>
      <c r="F2575" s="6"/>
      <c r="G2575" s="7"/>
    </row>
    <row r="2576" spans="1:7" x14ac:dyDescent="0.2">
      <c r="A2576" s="3"/>
      <c r="B2576" s="6"/>
      <c r="C2576" s="3"/>
      <c r="D2576" s="6"/>
      <c r="E2576" s="6"/>
      <c r="F2576" s="6"/>
      <c r="G2576" s="7"/>
    </row>
    <row r="2577" spans="1:7" x14ac:dyDescent="0.2">
      <c r="A2577" s="3"/>
      <c r="B2577" s="6"/>
      <c r="C2577" s="3"/>
      <c r="D2577" s="6"/>
      <c r="E2577" s="6"/>
      <c r="F2577" s="6"/>
      <c r="G2577" s="7"/>
    </row>
    <row r="2578" spans="1:7" x14ac:dyDescent="0.2">
      <c r="A2578" s="3"/>
      <c r="B2578" s="6"/>
      <c r="C2578" s="3"/>
      <c r="D2578" s="6"/>
      <c r="E2578" s="6"/>
      <c r="F2578" s="6"/>
      <c r="G2578" s="7"/>
    </row>
    <row r="2579" spans="1:7" x14ac:dyDescent="0.2">
      <c r="A2579" s="3"/>
      <c r="B2579" s="6"/>
      <c r="C2579" s="3"/>
      <c r="D2579" s="6"/>
      <c r="E2579" s="6"/>
      <c r="F2579" s="6"/>
      <c r="G2579" s="7"/>
    </row>
    <row r="2580" spans="1:7" x14ac:dyDescent="0.2">
      <c r="A2580" s="3"/>
      <c r="B2580" s="6"/>
      <c r="C2580" s="3"/>
      <c r="D2580" s="6"/>
      <c r="E2580" s="6"/>
      <c r="F2580" s="6"/>
      <c r="G2580" s="7"/>
    </row>
    <row r="2581" spans="1:7" x14ac:dyDescent="0.2">
      <c r="A2581" s="3"/>
      <c r="B2581" s="6"/>
      <c r="C2581" s="3"/>
      <c r="D2581" s="6"/>
      <c r="E2581" s="6"/>
      <c r="F2581" s="6"/>
      <c r="G2581" s="7"/>
    </row>
    <row r="2582" spans="1:7" x14ac:dyDescent="0.2">
      <c r="A2582" s="3"/>
      <c r="B2582" s="6"/>
      <c r="C2582" s="3"/>
      <c r="D2582" s="6"/>
      <c r="E2582" s="6"/>
      <c r="F2582" s="6"/>
      <c r="G2582" s="7"/>
    </row>
    <row r="2583" spans="1:7" x14ac:dyDescent="0.2">
      <c r="A2583" s="3"/>
      <c r="B2583" s="6"/>
      <c r="C2583" s="3"/>
      <c r="D2583" s="6"/>
      <c r="E2583" s="6"/>
      <c r="F2583" s="6"/>
      <c r="G2583" s="7"/>
    </row>
    <row r="2584" spans="1:7" x14ac:dyDescent="0.2">
      <c r="A2584" s="3"/>
      <c r="B2584" s="6"/>
      <c r="C2584" s="3"/>
      <c r="D2584" s="6"/>
      <c r="E2584" s="6"/>
      <c r="F2584" s="6"/>
      <c r="G2584" s="7"/>
    </row>
    <row r="2585" spans="1:7" x14ac:dyDescent="0.2">
      <c r="A2585" s="3"/>
      <c r="B2585" s="6"/>
      <c r="C2585" s="3"/>
      <c r="D2585" s="6"/>
      <c r="E2585" s="6"/>
      <c r="F2585" s="6"/>
      <c r="G2585" s="7"/>
    </row>
    <row r="2586" spans="1:7" x14ac:dyDescent="0.2">
      <c r="A2586" s="3"/>
      <c r="B2586" s="6"/>
      <c r="C2586" s="3"/>
      <c r="D2586" s="6"/>
      <c r="E2586" s="6"/>
      <c r="F2586" s="6"/>
      <c r="G2586" s="7"/>
    </row>
    <row r="2587" spans="1:7" x14ac:dyDescent="0.2">
      <c r="A2587" s="3"/>
      <c r="B2587" s="6"/>
      <c r="C2587" s="3"/>
      <c r="D2587" s="6"/>
      <c r="E2587" s="6"/>
      <c r="F2587" s="6"/>
      <c r="G2587" s="7"/>
    </row>
    <row r="2588" spans="1:7" x14ac:dyDescent="0.2">
      <c r="A2588" s="3"/>
      <c r="B2588" s="6"/>
      <c r="C2588" s="3"/>
      <c r="D2588" s="6"/>
      <c r="E2588" s="6"/>
      <c r="F2588" s="6"/>
      <c r="G2588" s="7"/>
    </row>
    <row r="2589" spans="1:7" x14ac:dyDescent="0.2">
      <c r="A2589" s="3"/>
      <c r="B2589" s="6"/>
      <c r="C2589" s="3"/>
      <c r="D2589" s="6"/>
      <c r="E2589" s="6"/>
      <c r="F2589" s="6"/>
      <c r="G2589" s="7"/>
    </row>
    <row r="2590" spans="1:7" x14ac:dyDescent="0.2">
      <c r="A2590" s="3"/>
      <c r="B2590" s="6"/>
      <c r="C2590" s="3"/>
      <c r="D2590" s="6"/>
      <c r="E2590" s="6"/>
      <c r="F2590" s="6"/>
      <c r="G2590" s="7"/>
    </row>
    <row r="2591" spans="1:7" x14ac:dyDescent="0.2">
      <c r="A2591" s="3"/>
      <c r="B2591" s="6"/>
      <c r="C2591" s="3"/>
      <c r="D2591" s="6"/>
      <c r="E2591" s="6"/>
      <c r="F2591" s="6"/>
      <c r="G2591" s="7"/>
    </row>
    <row r="2592" spans="1:7" x14ac:dyDescent="0.2">
      <c r="A2592" s="3"/>
      <c r="B2592" s="6"/>
      <c r="C2592" s="3"/>
      <c r="D2592" s="6"/>
      <c r="E2592" s="6"/>
      <c r="F2592" s="6"/>
      <c r="G2592" s="7"/>
    </row>
    <row r="2593" spans="1:7" x14ac:dyDescent="0.2">
      <c r="A2593" s="3"/>
      <c r="B2593" s="6"/>
      <c r="C2593" s="3"/>
      <c r="D2593" s="6"/>
      <c r="E2593" s="6"/>
      <c r="F2593" s="6"/>
      <c r="G2593" s="7"/>
    </row>
    <row r="2594" spans="1:7" x14ac:dyDescent="0.2">
      <c r="A2594" s="3"/>
      <c r="B2594" s="6"/>
      <c r="C2594" s="3"/>
      <c r="D2594" s="6"/>
      <c r="E2594" s="6"/>
      <c r="F2594" s="6"/>
      <c r="G2594" s="7"/>
    </row>
    <row r="2595" spans="1:7" x14ac:dyDescent="0.2">
      <c r="A2595" s="3"/>
      <c r="B2595" s="6"/>
      <c r="C2595" s="3"/>
      <c r="D2595" s="6"/>
      <c r="E2595" s="6"/>
      <c r="F2595" s="6"/>
      <c r="G2595" s="7"/>
    </row>
    <row r="2596" spans="1:7" x14ac:dyDescent="0.2">
      <c r="A2596" s="3"/>
      <c r="B2596" s="6"/>
      <c r="C2596" s="3"/>
      <c r="D2596" s="6"/>
      <c r="E2596" s="6"/>
      <c r="F2596" s="6"/>
      <c r="G2596" s="7"/>
    </row>
    <row r="2597" spans="1:7" x14ac:dyDescent="0.2">
      <c r="A2597" s="3"/>
      <c r="B2597" s="6"/>
      <c r="C2597" s="3"/>
      <c r="D2597" s="6"/>
      <c r="E2597" s="6"/>
      <c r="F2597" s="6"/>
      <c r="G2597" s="7"/>
    </row>
    <row r="2598" spans="1:7" x14ac:dyDescent="0.2">
      <c r="A2598" s="3"/>
      <c r="B2598" s="6"/>
      <c r="C2598" s="3"/>
      <c r="D2598" s="6"/>
      <c r="E2598" s="6"/>
      <c r="F2598" s="6"/>
      <c r="G2598" s="7"/>
    </row>
    <row r="2599" spans="1:7" x14ac:dyDescent="0.2">
      <c r="A2599" s="3"/>
      <c r="B2599" s="6"/>
      <c r="C2599" s="3"/>
      <c r="D2599" s="6"/>
      <c r="E2599" s="6"/>
      <c r="F2599" s="6"/>
      <c r="G2599" s="7"/>
    </row>
    <row r="2600" spans="1:7" x14ac:dyDescent="0.2">
      <c r="A2600" s="3"/>
      <c r="B2600" s="6"/>
      <c r="C2600" s="3"/>
      <c r="D2600" s="6"/>
      <c r="E2600" s="6"/>
      <c r="F2600" s="6"/>
      <c r="G2600" s="7"/>
    </row>
    <row r="2601" spans="1:7" x14ac:dyDescent="0.2">
      <c r="A2601" s="3"/>
      <c r="B2601" s="6"/>
      <c r="C2601" s="3"/>
      <c r="D2601" s="6"/>
      <c r="E2601" s="6"/>
      <c r="F2601" s="6"/>
      <c r="G2601" s="7"/>
    </row>
    <row r="2602" spans="1:7" x14ac:dyDescent="0.2">
      <c r="A2602" s="3"/>
      <c r="B2602" s="6"/>
      <c r="C2602" s="3"/>
      <c r="D2602" s="6"/>
      <c r="E2602" s="6"/>
      <c r="F2602" s="6"/>
      <c r="G2602" s="7"/>
    </row>
    <row r="2603" spans="1:7" x14ac:dyDescent="0.2">
      <c r="A2603" s="3"/>
      <c r="B2603" s="6"/>
      <c r="C2603" s="3"/>
      <c r="D2603" s="6"/>
      <c r="E2603" s="6"/>
      <c r="F2603" s="6"/>
      <c r="G2603" s="7"/>
    </row>
    <row r="2604" spans="1:7" x14ac:dyDescent="0.2">
      <c r="A2604" s="3"/>
      <c r="B2604" s="6"/>
      <c r="C2604" s="3"/>
      <c r="D2604" s="6"/>
      <c r="E2604" s="6"/>
      <c r="F2604" s="6"/>
      <c r="G2604" s="7"/>
    </row>
    <row r="2605" spans="1:7" x14ac:dyDescent="0.2">
      <c r="A2605" s="3"/>
      <c r="B2605" s="6"/>
      <c r="C2605" s="3"/>
      <c r="D2605" s="6"/>
      <c r="E2605" s="6"/>
      <c r="F2605" s="6"/>
      <c r="G2605" s="7"/>
    </row>
    <row r="2606" spans="1:7" x14ac:dyDescent="0.2">
      <c r="A2606" s="3"/>
      <c r="B2606" s="6"/>
      <c r="C2606" s="3"/>
      <c r="D2606" s="6"/>
      <c r="E2606" s="6"/>
      <c r="F2606" s="6"/>
      <c r="G2606" s="7"/>
    </row>
    <row r="2607" spans="1:7" x14ac:dyDescent="0.2">
      <c r="A2607" s="3"/>
      <c r="B2607" s="6"/>
      <c r="C2607" s="3"/>
      <c r="D2607" s="6"/>
      <c r="E2607" s="6"/>
      <c r="F2607" s="6"/>
      <c r="G2607" s="7"/>
    </row>
    <row r="2608" spans="1:7" x14ac:dyDescent="0.2">
      <c r="A2608" s="3"/>
      <c r="B2608" s="6"/>
      <c r="C2608" s="3"/>
      <c r="D2608" s="6"/>
      <c r="E2608" s="6"/>
      <c r="F2608" s="6"/>
      <c r="G2608" s="7"/>
    </row>
    <row r="2609" spans="1:7" x14ac:dyDescent="0.2">
      <c r="A2609" s="3"/>
      <c r="B2609" s="6"/>
      <c r="C2609" s="3"/>
      <c r="D2609" s="6"/>
      <c r="E2609" s="6"/>
      <c r="F2609" s="6"/>
      <c r="G2609" s="7"/>
    </row>
    <row r="2610" spans="1:7" x14ac:dyDescent="0.2">
      <c r="A2610" s="3"/>
      <c r="B2610" s="6"/>
      <c r="C2610" s="3"/>
      <c r="D2610" s="6"/>
      <c r="E2610" s="6"/>
      <c r="F2610" s="6"/>
      <c r="G2610" s="7"/>
    </row>
    <row r="2611" spans="1:7" x14ac:dyDescent="0.2">
      <c r="A2611" s="3"/>
      <c r="B2611" s="6"/>
      <c r="C2611" s="3"/>
      <c r="D2611" s="6"/>
      <c r="E2611" s="6"/>
      <c r="F2611" s="6"/>
      <c r="G2611" s="7"/>
    </row>
    <row r="2612" spans="1:7" x14ac:dyDescent="0.2">
      <c r="A2612" s="3"/>
      <c r="B2612" s="6"/>
      <c r="C2612" s="3"/>
      <c r="D2612" s="6"/>
      <c r="E2612" s="6"/>
      <c r="F2612" s="6"/>
      <c r="G2612" s="7"/>
    </row>
    <row r="2613" spans="1:7" x14ac:dyDescent="0.2">
      <c r="A2613" s="3"/>
      <c r="B2613" s="6"/>
      <c r="C2613" s="3"/>
      <c r="D2613" s="6"/>
      <c r="E2613" s="6"/>
      <c r="F2613" s="6"/>
      <c r="G2613" s="7"/>
    </row>
    <row r="2614" spans="1:7" x14ac:dyDescent="0.2">
      <c r="A2614" s="3"/>
      <c r="B2614" s="6"/>
      <c r="C2614" s="3"/>
      <c r="D2614" s="6"/>
      <c r="E2614" s="6"/>
      <c r="F2614" s="6"/>
      <c r="G2614" s="7"/>
    </row>
    <row r="2615" spans="1:7" x14ac:dyDescent="0.2">
      <c r="A2615" s="3"/>
      <c r="B2615" s="6"/>
      <c r="C2615" s="3"/>
      <c r="D2615" s="6"/>
      <c r="E2615" s="6"/>
      <c r="F2615" s="6"/>
      <c r="G2615" s="7"/>
    </row>
    <row r="2616" spans="1:7" x14ac:dyDescent="0.2">
      <c r="A2616" s="3"/>
      <c r="B2616" s="6"/>
      <c r="C2616" s="3"/>
      <c r="D2616" s="6"/>
      <c r="E2616" s="6"/>
      <c r="F2616" s="6"/>
      <c r="G2616" s="7"/>
    </row>
    <row r="2617" spans="1:7" x14ac:dyDescent="0.2">
      <c r="A2617" s="3"/>
      <c r="B2617" s="6"/>
      <c r="C2617" s="3"/>
      <c r="D2617" s="6"/>
      <c r="E2617" s="6"/>
      <c r="F2617" s="6"/>
      <c r="G2617" s="7"/>
    </row>
    <row r="2618" spans="1:7" x14ac:dyDescent="0.2">
      <c r="A2618" s="3"/>
      <c r="B2618" s="6"/>
      <c r="C2618" s="3"/>
      <c r="D2618" s="6"/>
      <c r="E2618" s="6"/>
      <c r="F2618" s="6"/>
      <c r="G2618" s="7"/>
    </row>
    <row r="2619" spans="1:7" x14ac:dyDescent="0.2">
      <c r="A2619" s="3"/>
      <c r="B2619" s="6"/>
      <c r="C2619" s="3"/>
      <c r="D2619" s="6"/>
      <c r="E2619" s="6"/>
      <c r="F2619" s="6"/>
      <c r="G2619" s="7"/>
    </row>
    <row r="2620" spans="1:7" x14ac:dyDescent="0.2">
      <c r="A2620" s="3"/>
      <c r="B2620" s="6"/>
      <c r="C2620" s="3"/>
      <c r="D2620" s="6"/>
      <c r="E2620" s="6"/>
      <c r="F2620" s="6"/>
      <c r="G2620" s="7"/>
    </row>
    <row r="2621" spans="1:7" x14ac:dyDescent="0.2">
      <c r="A2621" s="3"/>
      <c r="B2621" s="6"/>
      <c r="C2621" s="3"/>
      <c r="D2621" s="6"/>
      <c r="E2621" s="6"/>
      <c r="F2621" s="6"/>
      <c r="G2621" s="7"/>
    </row>
    <row r="2622" spans="1:7" x14ac:dyDescent="0.2">
      <c r="A2622" s="3"/>
      <c r="B2622" s="6"/>
      <c r="C2622" s="3"/>
      <c r="D2622" s="6"/>
      <c r="E2622" s="6"/>
      <c r="F2622" s="6"/>
      <c r="G2622" s="7"/>
    </row>
    <row r="2623" spans="1:7" x14ac:dyDescent="0.2">
      <c r="A2623" s="3"/>
      <c r="B2623" s="6"/>
      <c r="C2623" s="3"/>
      <c r="D2623" s="6"/>
      <c r="E2623" s="6"/>
      <c r="F2623" s="6"/>
      <c r="G2623" s="7"/>
    </row>
    <row r="2624" spans="1:7" x14ac:dyDescent="0.2">
      <c r="A2624" s="3"/>
      <c r="B2624" s="6"/>
      <c r="C2624" s="3"/>
      <c r="D2624" s="6"/>
      <c r="E2624" s="6"/>
      <c r="F2624" s="6"/>
      <c r="G2624" s="7"/>
    </row>
    <row r="2625" spans="1:7" x14ac:dyDescent="0.2">
      <c r="A2625" s="3"/>
      <c r="B2625" s="6"/>
      <c r="C2625" s="3"/>
      <c r="D2625" s="6"/>
      <c r="E2625" s="6"/>
      <c r="F2625" s="6"/>
      <c r="G2625" s="7"/>
    </row>
    <row r="2626" spans="1:7" x14ac:dyDescent="0.2">
      <c r="A2626" s="3"/>
      <c r="B2626" s="6"/>
      <c r="C2626" s="3"/>
      <c r="D2626" s="6"/>
      <c r="E2626" s="6"/>
      <c r="F2626" s="6"/>
      <c r="G2626" s="7"/>
    </row>
    <row r="2627" spans="1:7" x14ac:dyDescent="0.2">
      <c r="A2627" s="3"/>
      <c r="B2627" s="6"/>
      <c r="C2627" s="3"/>
      <c r="D2627" s="6"/>
      <c r="E2627" s="6"/>
      <c r="F2627" s="6"/>
      <c r="G2627" s="7"/>
    </row>
    <row r="2628" spans="1:7" x14ac:dyDescent="0.2">
      <c r="A2628" s="3"/>
      <c r="B2628" s="6"/>
      <c r="C2628" s="3"/>
      <c r="D2628" s="6"/>
      <c r="E2628" s="6"/>
      <c r="F2628" s="6"/>
      <c r="G2628" s="7"/>
    </row>
    <row r="2629" spans="1:7" x14ac:dyDescent="0.2">
      <c r="A2629" s="3"/>
      <c r="B2629" s="6"/>
      <c r="C2629" s="3"/>
      <c r="D2629" s="6"/>
      <c r="E2629" s="6"/>
      <c r="F2629" s="6"/>
      <c r="G2629" s="7"/>
    </row>
    <row r="2630" spans="1:7" x14ac:dyDescent="0.2">
      <c r="A2630" s="3"/>
      <c r="B2630" s="6"/>
      <c r="C2630" s="3"/>
      <c r="D2630" s="6"/>
      <c r="E2630" s="6"/>
      <c r="F2630" s="6"/>
      <c r="G2630" s="7"/>
    </row>
    <row r="2631" spans="1:7" x14ac:dyDescent="0.2">
      <c r="A2631" s="3"/>
      <c r="B2631" s="6"/>
      <c r="C2631" s="3"/>
      <c r="D2631" s="6"/>
      <c r="E2631" s="6"/>
      <c r="F2631" s="6"/>
      <c r="G2631" s="7"/>
    </row>
    <row r="2632" spans="1:7" x14ac:dyDescent="0.2">
      <c r="A2632" s="3"/>
      <c r="B2632" s="6"/>
      <c r="C2632" s="3"/>
      <c r="D2632" s="6"/>
      <c r="E2632" s="6"/>
      <c r="F2632" s="6"/>
      <c r="G2632" s="7"/>
    </row>
    <row r="2633" spans="1:7" x14ac:dyDescent="0.2">
      <c r="A2633" s="3"/>
      <c r="B2633" s="6"/>
      <c r="C2633" s="3"/>
      <c r="D2633" s="6"/>
      <c r="E2633" s="6"/>
      <c r="F2633" s="6"/>
      <c r="G2633" s="7"/>
    </row>
    <row r="2634" spans="1:7" x14ac:dyDescent="0.2">
      <c r="A2634" s="3"/>
      <c r="B2634" s="6"/>
      <c r="C2634" s="3"/>
      <c r="D2634" s="6"/>
      <c r="E2634" s="6"/>
      <c r="F2634" s="6"/>
      <c r="G2634" s="7"/>
    </row>
    <row r="2635" spans="1:7" x14ac:dyDescent="0.2">
      <c r="A2635" s="3"/>
      <c r="B2635" s="6"/>
      <c r="C2635" s="3"/>
      <c r="D2635" s="6"/>
      <c r="E2635" s="6"/>
      <c r="F2635" s="6"/>
      <c r="G2635" s="7"/>
    </row>
    <row r="2636" spans="1:7" x14ac:dyDescent="0.2">
      <c r="A2636" s="3"/>
      <c r="B2636" s="6"/>
      <c r="C2636" s="3"/>
      <c r="D2636" s="6"/>
      <c r="E2636" s="6"/>
      <c r="F2636" s="6"/>
      <c r="G2636" s="7"/>
    </row>
    <row r="2637" spans="1:7" x14ac:dyDescent="0.2">
      <c r="A2637" s="3"/>
      <c r="B2637" s="6"/>
      <c r="C2637" s="3"/>
      <c r="D2637" s="6"/>
      <c r="E2637" s="6"/>
      <c r="F2637" s="6"/>
      <c r="G2637" s="7"/>
    </row>
    <row r="2638" spans="1:7" x14ac:dyDescent="0.2">
      <c r="A2638" s="3"/>
      <c r="B2638" s="6"/>
      <c r="C2638" s="3"/>
      <c r="D2638" s="6"/>
      <c r="E2638" s="6"/>
      <c r="F2638" s="6"/>
      <c r="G2638" s="7"/>
    </row>
    <row r="2639" spans="1:7" x14ac:dyDescent="0.2">
      <c r="A2639" s="3"/>
      <c r="B2639" s="6"/>
      <c r="C2639" s="3"/>
      <c r="D2639" s="6"/>
      <c r="E2639" s="6"/>
      <c r="F2639" s="6"/>
      <c r="G2639" s="7"/>
    </row>
    <row r="2640" spans="1:7" x14ac:dyDescent="0.2">
      <c r="A2640" s="3"/>
      <c r="B2640" s="6"/>
      <c r="C2640" s="3"/>
      <c r="D2640" s="6"/>
      <c r="E2640" s="6"/>
      <c r="F2640" s="6"/>
      <c r="G2640" s="7"/>
    </row>
    <row r="2641" spans="1:7" x14ac:dyDescent="0.2">
      <c r="A2641" s="3"/>
      <c r="B2641" s="6"/>
      <c r="C2641" s="3"/>
      <c r="D2641" s="6"/>
      <c r="E2641" s="6"/>
      <c r="F2641" s="6"/>
      <c r="G2641" s="7"/>
    </row>
    <row r="2642" spans="1:7" x14ac:dyDescent="0.2">
      <c r="A2642" s="3"/>
      <c r="B2642" s="6"/>
      <c r="C2642" s="3"/>
      <c r="D2642" s="6"/>
      <c r="E2642" s="6"/>
      <c r="F2642" s="6"/>
      <c r="G2642" s="7"/>
    </row>
    <row r="2643" spans="1:7" x14ac:dyDescent="0.2">
      <c r="A2643" s="3"/>
      <c r="B2643" s="6"/>
      <c r="C2643" s="3"/>
      <c r="D2643" s="6"/>
      <c r="E2643" s="6"/>
      <c r="F2643" s="6"/>
      <c r="G2643" s="7"/>
    </row>
    <row r="2644" spans="1:7" x14ac:dyDescent="0.2">
      <c r="A2644" s="3"/>
      <c r="B2644" s="6"/>
      <c r="C2644" s="3"/>
      <c r="D2644" s="6"/>
      <c r="E2644" s="6"/>
      <c r="F2644" s="6"/>
      <c r="G2644" s="7"/>
    </row>
    <row r="2645" spans="1:7" x14ac:dyDescent="0.2">
      <c r="A2645" s="3"/>
      <c r="B2645" s="6"/>
      <c r="C2645" s="3"/>
      <c r="D2645" s="6"/>
      <c r="E2645" s="6"/>
      <c r="F2645" s="6"/>
      <c r="G2645" s="7"/>
    </row>
    <row r="2646" spans="1:7" x14ac:dyDescent="0.2">
      <c r="A2646" s="3"/>
      <c r="B2646" s="6"/>
      <c r="C2646" s="3"/>
      <c r="D2646" s="6"/>
      <c r="E2646" s="6"/>
      <c r="F2646" s="6"/>
      <c r="G2646" s="7"/>
    </row>
    <row r="2647" spans="1:7" x14ac:dyDescent="0.2">
      <c r="A2647" s="3"/>
      <c r="B2647" s="6"/>
      <c r="C2647" s="3"/>
      <c r="D2647" s="6"/>
      <c r="E2647" s="6"/>
      <c r="F2647" s="6"/>
      <c r="G2647" s="7"/>
    </row>
    <row r="2648" spans="1:7" x14ac:dyDescent="0.2">
      <c r="A2648" s="3"/>
      <c r="B2648" s="6"/>
      <c r="C2648" s="3"/>
      <c r="D2648" s="6"/>
      <c r="E2648" s="6"/>
      <c r="F2648" s="6"/>
      <c r="G2648" s="7"/>
    </row>
    <row r="2649" spans="1:7" x14ac:dyDescent="0.2">
      <c r="A2649" s="3"/>
      <c r="B2649" s="6"/>
      <c r="C2649" s="3"/>
      <c r="D2649" s="6"/>
      <c r="E2649" s="6"/>
      <c r="F2649" s="6"/>
      <c r="G2649" s="7"/>
    </row>
    <row r="2650" spans="1:7" x14ac:dyDescent="0.2">
      <c r="A2650" s="3"/>
      <c r="B2650" s="6"/>
      <c r="C2650" s="3"/>
      <c r="D2650" s="6"/>
      <c r="E2650" s="6"/>
      <c r="F2650" s="6"/>
      <c r="G2650" s="7"/>
    </row>
    <row r="2651" spans="1:7" x14ac:dyDescent="0.2">
      <c r="A2651" s="3"/>
      <c r="B2651" s="6"/>
      <c r="C2651" s="3"/>
      <c r="D2651" s="6"/>
      <c r="E2651" s="6"/>
      <c r="F2651" s="6"/>
      <c r="G2651" s="7"/>
    </row>
    <row r="2652" spans="1:7" x14ac:dyDescent="0.2">
      <c r="A2652" s="3"/>
      <c r="B2652" s="6"/>
      <c r="C2652" s="3"/>
      <c r="D2652" s="6"/>
      <c r="E2652" s="6"/>
      <c r="F2652" s="6"/>
      <c r="G2652" s="7"/>
    </row>
    <row r="2653" spans="1:7" x14ac:dyDescent="0.2">
      <c r="A2653" s="3"/>
      <c r="B2653" s="6"/>
      <c r="C2653" s="3"/>
      <c r="D2653" s="6"/>
      <c r="E2653" s="6"/>
      <c r="F2653" s="6"/>
      <c r="G2653" s="7"/>
    </row>
    <row r="2654" spans="1:7" x14ac:dyDescent="0.2">
      <c r="A2654" s="3"/>
      <c r="B2654" s="6"/>
      <c r="C2654" s="3"/>
      <c r="D2654" s="6"/>
      <c r="E2654" s="6"/>
      <c r="F2654" s="6"/>
      <c r="G2654" s="7"/>
    </row>
    <row r="2655" spans="1:7" x14ac:dyDescent="0.2">
      <c r="A2655" s="3"/>
      <c r="B2655" s="6"/>
      <c r="C2655" s="3"/>
      <c r="D2655" s="6"/>
      <c r="E2655" s="6"/>
      <c r="F2655" s="6"/>
      <c r="G2655" s="7"/>
    </row>
    <row r="2656" spans="1:7" x14ac:dyDescent="0.2">
      <c r="A2656" s="3"/>
      <c r="B2656" s="6"/>
      <c r="C2656" s="3"/>
      <c r="D2656" s="6"/>
      <c r="E2656" s="6"/>
      <c r="F2656" s="6"/>
      <c r="G2656" s="7"/>
    </row>
    <row r="2657" spans="1:7" x14ac:dyDescent="0.2">
      <c r="A2657" s="3"/>
      <c r="B2657" s="6"/>
      <c r="C2657" s="3"/>
      <c r="D2657" s="6"/>
      <c r="E2657" s="6"/>
      <c r="F2657" s="6"/>
      <c r="G2657" s="7"/>
    </row>
    <row r="2658" spans="1:7" x14ac:dyDescent="0.2">
      <c r="A2658" s="3"/>
      <c r="B2658" s="6"/>
      <c r="C2658" s="3"/>
      <c r="D2658" s="6"/>
      <c r="E2658" s="6"/>
      <c r="F2658" s="6"/>
      <c r="G2658" s="7"/>
    </row>
    <row r="2659" spans="1:7" x14ac:dyDescent="0.2">
      <c r="A2659" s="3"/>
      <c r="B2659" s="6"/>
      <c r="C2659" s="3"/>
      <c r="D2659" s="6"/>
      <c r="E2659" s="6"/>
      <c r="F2659" s="6"/>
      <c r="G2659" s="7"/>
    </row>
    <row r="2660" spans="1:7" x14ac:dyDescent="0.2">
      <c r="A2660" s="3"/>
      <c r="B2660" s="6"/>
      <c r="C2660" s="3"/>
      <c r="D2660" s="6"/>
      <c r="E2660" s="6"/>
      <c r="F2660" s="6"/>
      <c r="G2660" s="7"/>
    </row>
    <row r="2661" spans="1:7" x14ac:dyDescent="0.2">
      <c r="A2661" s="3"/>
      <c r="B2661" s="6"/>
      <c r="C2661" s="3"/>
      <c r="D2661" s="6"/>
      <c r="E2661" s="6"/>
      <c r="F2661" s="6"/>
      <c r="G2661" s="7"/>
    </row>
    <row r="2662" spans="1:7" x14ac:dyDescent="0.2">
      <c r="A2662" s="3"/>
      <c r="B2662" s="6"/>
      <c r="C2662" s="3"/>
      <c r="D2662" s="6"/>
      <c r="E2662" s="6"/>
      <c r="F2662" s="6"/>
      <c r="G2662" s="7"/>
    </row>
    <row r="2663" spans="1:7" x14ac:dyDescent="0.2">
      <c r="A2663" s="3"/>
      <c r="B2663" s="6"/>
      <c r="C2663" s="3"/>
      <c r="D2663" s="6"/>
      <c r="E2663" s="6"/>
      <c r="F2663" s="6"/>
      <c r="G2663" s="7"/>
    </row>
    <row r="2664" spans="1:7" x14ac:dyDescent="0.2">
      <c r="A2664" s="3"/>
      <c r="B2664" s="6"/>
      <c r="C2664" s="3"/>
      <c r="D2664" s="6"/>
      <c r="E2664" s="6"/>
      <c r="F2664" s="6"/>
      <c r="G2664" s="7"/>
    </row>
    <row r="2665" spans="1:7" x14ac:dyDescent="0.2">
      <c r="A2665" s="3"/>
      <c r="B2665" s="6"/>
      <c r="C2665" s="3"/>
      <c r="D2665" s="6"/>
      <c r="E2665" s="6"/>
      <c r="F2665" s="6"/>
      <c r="G2665" s="7"/>
    </row>
    <row r="2666" spans="1:7" x14ac:dyDescent="0.2">
      <c r="A2666" s="3"/>
      <c r="B2666" s="6"/>
      <c r="C2666" s="3"/>
      <c r="D2666" s="6"/>
      <c r="E2666" s="6"/>
      <c r="F2666" s="6"/>
      <c r="G2666" s="7"/>
    </row>
    <row r="2667" spans="1:7" x14ac:dyDescent="0.2">
      <c r="A2667" s="3"/>
      <c r="B2667" s="6"/>
      <c r="C2667" s="3"/>
      <c r="D2667" s="6"/>
      <c r="E2667" s="6"/>
      <c r="F2667" s="6"/>
      <c r="G2667" s="7"/>
    </row>
    <row r="2668" spans="1:7" x14ac:dyDescent="0.2">
      <c r="A2668" s="3"/>
      <c r="B2668" s="6"/>
      <c r="C2668" s="3"/>
      <c r="D2668" s="6"/>
      <c r="E2668" s="6"/>
      <c r="F2668" s="6"/>
      <c r="G2668" s="7"/>
    </row>
    <row r="2669" spans="1:7" x14ac:dyDescent="0.2">
      <c r="A2669" s="3"/>
      <c r="B2669" s="6"/>
      <c r="C2669" s="3"/>
      <c r="D2669" s="6"/>
      <c r="E2669" s="6"/>
      <c r="F2669" s="6"/>
      <c r="G2669" s="7"/>
    </row>
    <row r="2670" spans="1:7" x14ac:dyDescent="0.2">
      <c r="A2670" s="3"/>
      <c r="B2670" s="6"/>
      <c r="C2670" s="3"/>
      <c r="D2670" s="6"/>
      <c r="E2670" s="6"/>
      <c r="F2670" s="6"/>
      <c r="G2670" s="7"/>
    </row>
    <row r="2671" spans="1:7" x14ac:dyDescent="0.2">
      <c r="A2671" s="3"/>
      <c r="B2671" s="6"/>
      <c r="C2671" s="3"/>
      <c r="D2671" s="6"/>
      <c r="E2671" s="6"/>
      <c r="F2671" s="6"/>
      <c r="G2671" s="7"/>
    </row>
    <row r="2672" spans="1:7" x14ac:dyDescent="0.2">
      <c r="A2672" s="3"/>
      <c r="B2672" s="6"/>
      <c r="C2672" s="3"/>
      <c r="D2672" s="6"/>
      <c r="E2672" s="6"/>
      <c r="F2672" s="6"/>
      <c r="G2672" s="7"/>
    </row>
    <row r="2673" spans="1:7" x14ac:dyDescent="0.2">
      <c r="A2673" s="3"/>
      <c r="B2673" s="6"/>
      <c r="C2673" s="3"/>
      <c r="D2673" s="6"/>
      <c r="E2673" s="6"/>
      <c r="F2673" s="6"/>
      <c r="G2673" s="7"/>
    </row>
    <row r="2674" spans="1:7" x14ac:dyDescent="0.2">
      <c r="A2674" s="3"/>
      <c r="B2674" s="6"/>
      <c r="C2674" s="3"/>
      <c r="D2674" s="6"/>
      <c r="E2674" s="6"/>
      <c r="F2674" s="6"/>
      <c r="G2674" s="7"/>
    </row>
    <row r="2675" spans="1:7" x14ac:dyDescent="0.2">
      <c r="A2675" s="3"/>
      <c r="B2675" s="6"/>
      <c r="C2675" s="3"/>
      <c r="D2675" s="6"/>
      <c r="E2675" s="6"/>
      <c r="F2675" s="6"/>
      <c r="G2675" s="7"/>
    </row>
    <row r="2676" spans="1:7" x14ac:dyDescent="0.2">
      <c r="A2676" s="3"/>
      <c r="B2676" s="6"/>
      <c r="C2676" s="3"/>
      <c r="D2676" s="6"/>
      <c r="E2676" s="6"/>
      <c r="F2676" s="6"/>
      <c r="G2676" s="7"/>
    </row>
    <row r="2677" spans="1:7" x14ac:dyDescent="0.2">
      <c r="A2677" s="3"/>
      <c r="B2677" s="6"/>
      <c r="C2677" s="3"/>
      <c r="D2677" s="6"/>
      <c r="E2677" s="6"/>
      <c r="F2677" s="6"/>
      <c r="G2677" s="7"/>
    </row>
    <row r="2678" spans="1:7" x14ac:dyDescent="0.2">
      <c r="A2678" s="3"/>
      <c r="B2678" s="6"/>
      <c r="C2678" s="3"/>
      <c r="D2678" s="6"/>
      <c r="E2678" s="6"/>
      <c r="F2678" s="6"/>
      <c r="G2678" s="7"/>
    </row>
    <row r="2679" spans="1:7" x14ac:dyDescent="0.2">
      <c r="A2679" s="3"/>
      <c r="B2679" s="6"/>
      <c r="C2679" s="3"/>
      <c r="D2679" s="6"/>
      <c r="E2679" s="6"/>
      <c r="F2679" s="6"/>
      <c r="G2679" s="7"/>
    </row>
    <row r="2680" spans="1:7" x14ac:dyDescent="0.2">
      <c r="A2680" s="3"/>
      <c r="B2680" s="6"/>
      <c r="C2680" s="3"/>
      <c r="D2680" s="6"/>
      <c r="E2680" s="6"/>
      <c r="F2680" s="6"/>
      <c r="G2680" s="7"/>
    </row>
    <row r="2681" spans="1:7" x14ac:dyDescent="0.2">
      <c r="A2681" s="3"/>
      <c r="B2681" s="6"/>
      <c r="C2681" s="3"/>
      <c r="D2681" s="6"/>
      <c r="E2681" s="6"/>
      <c r="F2681" s="6"/>
      <c r="G2681" s="7"/>
    </row>
    <row r="2682" spans="1:7" x14ac:dyDescent="0.2">
      <c r="A2682" s="3"/>
      <c r="B2682" s="6"/>
      <c r="C2682" s="3"/>
      <c r="D2682" s="6"/>
      <c r="E2682" s="6"/>
      <c r="F2682" s="6"/>
      <c r="G2682" s="7"/>
    </row>
    <row r="2683" spans="1:7" x14ac:dyDescent="0.2">
      <c r="A2683" s="3"/>
      <c r="B2683" s="6"/>
      <c r="C2683" s="3"/>
      <c r="D2683" s="6"/>
      <c r="E2683" s="6"/>
      <c r="F2683" s="6"/>
      <c r="G2683" s="7"/>
    </row>
    <row r="2684" spans="1:7" x14ac:dyDescent="0.2">
      <c r="A2684" s="3"/>
      <c r="B2684" s="6"/>
      <c r="C2684" s="3"/>
      <c r="D2684" s="6"/>
      <c r="E2684" s="6"/>
      <c r="F2684" s="6"/>
      <c r="G2684" s="7"/>
    </row>
    <row r="2685" spans="1:7" x14ac:dyDescent="0.2">
      <c r="A2685" s="3"/>
      <c r="B2685" s="6"/>
      <c r="C2685" s="3"/>
      <c r="D2685" s="6"/>
      <c r="E2685" s="6"/>
      <c r="F2685" s="6"/>
      <c r="G2685" s="7"/>
    </row>
    <row r="2686" spans="1:7" x14ac:dyDescent="0.2">
      <c r="A2686" s="3"/>
      <c r="B2686" s="6"/>
      <c r="C2686" s="3"/>
      <c r="D2686" s="6"/>
      <c r="E2686" s="6"/>
      <c r="F2686" s="6"/>
      <c r="G2686" s="7"/>
    </row>
    <row r="2687" spans="1:7" x14ac:dyDescent="0.2">
      <c r="A2687" s="3"/>
      <c r="B2687" s="6"/>
      <c r="C2687" s="3"/>
      <c r="D2687" s="6"/>
      <c r="E2687" s="6"/>
      <c r="F2687" s="6"/>
      <c r="G2687" s="7"/>
    </row>
    <row r="2688" spans="1:7" x14ac:dyDescent="0.2">
      <c r="A2688" s="3"/>
      <c r="B2688" s="6"/>
      <c r="C2688" s="3"/>
      <c r="D2688" s="6"/>
      <c r="E2688" s="6"/>
      <c r="F2688" s="6"/>
      <c r="G2688" s="7"/>
    </row>
    <row r="2689" spans="1:7" x14ac:dyDescent="0.2">
      <c r="A2689" s="3"/>
      <c r="B2689" s="6"/>
      <c r="C2689" s="3"/>
      <c r="D2689" s="6"/>
      <c r="E2689" s="6"/>
      <c r="F2689" s="6"/>
      <c r="G2689" s="7"/>
    </row>
    <row r="2690" spans="1:7" x14ac:dyDescent="0.2">
      <c r="A2690" s="3"/>
      <c r="B2690" s="6"/>
      <c r="C2690" s="3"/>
      <c r="D2690" s="6"/>
      <c r="E2690" s="6"/>
      <c r="F2690" s="6"/>
      <c r="G2690" s="7"/>
    </row>
    <row r="2691" spans="1:7" x14ac:dyDescent="0.2">
      <c r="A2691" s="3"/>
      <c r="B2691" s="6"/>
      <c r="C2691" s="3"/>
      <c r="D2691" s="6"/>
      <c r="E2691" s="6"/>
      <c r="F2691" s="6"/>
      <c r="G2691" s="7"/>
    </row>
    <row r="2692" spans="1:7" x14ac:dyDescent="0.2">
      <c r="A2692" s="3"/>
      <c r="B2692" s="6"/>
      <c r="C2692" s="3"/>
      <c r="D2692" s="6"/>
      <c r="E2692" s="6"/>
      <c r="F2692" s="6"/>
      <c r="G2692" s="7"/>
    </row>
    <row r="2693" spans="1:7" x14ac:dyDescent="0.2">
      <c r="A2693" s="3"/>
      <c r="B2693" s="6"/>
      <c r="C2693" s="3"/>
      <c r="D2693" s="6"/>
      <c r="E2693" s="6"/>
      <c r="F2693" s="6"/>
      <c r="G2693" s="7"/>
    </row>
    <row r="2694" spans="1:7" x14ac:dyDescent="0.2">
      <c r="A2694" s="3"/>
      <c r="B2694" s="6"/>
      <c r="C2694" s="3"/>
      <c r="D2694" s="6"/>
      <c r="E2694" s="6"/>
      <c r="F2694" s="6"/>
      <c r="G2694" s="7"/>
    </row>
    <row r="2695" spans="1:7" x14ac:dyDescent="0.2">
      <c r="A2695" s="3"/>
      <c r="B2695" s="6"/>
      <c r="C2695" s="3"/>
      <c r="D2695" s="6"/>
      <c r="E2695" s="6"/>
      <c r="F2695" s="6"/>
      <c r="G2695" s="7"/>
    </row>
    <row r="2696" spans="1:7" x14ac:dyDescent="0.2">
      <c r="A2696" s="3"/>
      <c r="B2696" s="6"/>
      <c r="C2696" s="3"/>
      <c r="D2696" s="6"/>
      <c r="E2696" s="6"/>
      <c r="F2696" s="6"/>
      <c r="G2696" s="7"/>
    </row>
    <row r="2697" spans="1:7" x14ac:dyDescent="0.2">
      <c r="A2697" s="3"/>
      <c r="B2697" s="6"/>
      <c r="C2697" s="3"/>
      <c r="D2697" s="6"/>
      <c r="E2697" s="6"/>
      <c r="F2697" s="6"/>
      <c r="G2697" s="7"/>
    </row>
    <row r="2698" spans="1:7" x14ac:dyDescent="0.2">
      <c r="A2698" s="3"/>
      <c r="B2698" s="6"/>
      <c r="C2698" s="3"/>
      <c r="D2698" s="6"/>
      <c r="E2698" s="6"/>
      <c r="F2698" s="6"/>
      <c r="G2698" s="7"/>
    </row>
    <row r="2699" spans="1:7" x14ac:dyDescent="0.2">
      <c r="A2699" s="3"/>
      <c r="B2699" s="6"/>
      <c r="C2699" s="3"/>
      <c r="D2699" s="6"/>
      <c r="E2699" s="6"/>
      <c r="F2699" s="6"/>
      <c r="G2699" s="7"/>
    </row>
    <row r="2700" spans="1:7" x14ac:dyDescent="0.2">
      <c r="A2700" s="3"/>
      <c r="B2700" s="6"/>
      <c r="C2700" s="3"/>
      <c r="D2700" s="6"/>
      <c r="E2700" s="6"/>
      <c r="F2700" s="6"/>
      <c r="G2700" s="7"/>
    </row>
    <row r="2701" spans="1:7" x14ac:dyDescent="0.2">
      <c r="A2701" s="3"/>
      <c r="B2701" s="6"/>
      <c r="C2701" s="3"/>
      <c r="D2701" s="6"/>
      <c r="E2701" s="6"/>
      <c r="F2701" s="6"/>
      <c r="G2701" s="7"/>
    </row>
    <row r="2702" spans="1:7" x14ac:dyDescent="0.2">
      <c r="A2702" s="3"/>
      <c r="B2702" s="6"/>
      <c r="C2702" s="3"/>
      <c r="D2702" s="6"/>
      <c r="E2702" s="6"/>
      <c r="F2702" s="6"/>
      <c r="G2702" s="7"/>
    </row>
    <row r="2703" spans="1:7" x14ac:dyDescent="0.2">
      <c r="A2703" s="3"/>
      <c r="B2703" s="6"/>
      <c r="C2703" s="3"/>
      <c r="D2703" s="6"/>
      <c r="E2703" s="6"/>
      <c r="F2703" s="6"/>
      <c r="G2703" s="7"/>
    </row>
    <row r="2704" spans="1:7" x14ac:dyDescent="0.2">
      <c r="A2704" s="3"/>
      <c r="B2704" s="6"/>
      <c r="C2704" s="3"/>
      <c r="D2704" s="6"/>
      <c r="E2704" s="6"/>
      <c r="F2704" s="6"/>
      <c r="G2704" s="7"/>
    </row>
    <row r="2705" spans="1:7" x14ac:dyDescent="0.2">
      <c r="A2705" s="3"/>
      <c r="B2705" s="6"/>
      <c r="C2705" s="3"/>
      <c r="D2705" s="6"/>
      <c r="E2705" s="6"/>
      <c r="F2705" s="6"/>
      <c r="G2705" s="7"/>
    </row>
    <row r="2706" spans="1:7" x14ac:dyDescent="0.2">
      <c r="A2706" s="3"/>
      <c r="B2706" s="6"/>
      <c r="C2706" s="3"/>
      <c r="D2706" s="6"/>
      <c r="E2706" s="6"/>
      <c r="F2706" s="6"/>
      <c r="G2706" s="7"/>
    </row>
    <row r="2707" spans="1:7" x14ac:dyDescent="0.2">
      <c r="A2707" s="3"/>
      <c r="B2707" s="6"/>
      <c r="C2707" s="3"/>
      <c r="D2707" s="6"/>
      <c r="E2707" s="6"/>
      <c r="F2707" s="6"/>
      <c r="G2707" s="7"/>
    </row>
    <row r="2708" spans="1:7" x14ac:dyDescent="0.2">
      <c r="A2708" s="3"/>
      <c r="B2708" s="6"/>
      <c r="C2708" s="3"/>
      <c r="D2708" s="6"/>
      <c r="E2708" s="6"/>
      <c r="F2708" s="6"/>
      <c r="G2708" s="7"/>
    </row>
    <row r="2709" spans="1:7" x14ac:dyDescent="0.2">
      <c r="A2709" s="3"/>
      <c r="B2709" s="6"/>
      <c r="C2709" s="3"/>
      <c r="D2709" s="6"/>
      <c r="E2709" s="6"/>
      <c r="F2709" s="6"/>
      <c r="G2709" s="7"/>
    </row>
    <row r="2710" spans="1:7" x14ac:dyDescent="0.2">
      <c r="A2710" s="3"/>
      <c r="B2710" s="6"/>
      <c r="C2710" s="3"/>
      <c r="D2710" s="6"/>
      <c r="E2710" s="6"/>
      <c r="F2710" s="6"/>
      <c r="G2710" s="7"/>
    </row>
    <row r="2711" spans="1:7" x14ac:dyDescent="0.2">
      <c r="A2711" s="3"/>
      <c r="B2711" s="6"/>
      <c r="C2711" s="3"/>
      <c r="D2711" s="6"/>
      <c r="E2711" s="6"/>
      <c r="F2711" s="6"/>
      <c r="G2711" s="7"/>
    </row>
    <row r="2712" spans="1:7" x14ac:dyDescent="0.2">
      <c r="A2712" s="3"/>
      <c r="B2712" s="6"/>
      <c r="C2712" s="3"/>
      <c r="D2712" s="6"/>
      <c r="E2712" s="6"/>
      <c r="F2712" s="6"/>
      <c r="G2712" s="7"/>
    </row>
    <row r="2713" spans="1:7" x14ac:dyDescent="0.2">
      <c r="A2713" s="3"/>
      <c r="B2713" s="6"/>
      <c r="C2713" s="3"/>
      <c r="D2713" s="6"/>
      <c r="E2713" s="6"/>
      <c r="F2713" s="6"/>
      <c r="G2713" s="7"/>
    </row>
    <row r="2714" spans="1:7" x14ac:dyDescent="0.2">
      <c r="A2714" s="3"/>
      <c r="B2714" s="6"/>
      <c r="C2714" s="3"/>
      <c r="D2714" s="6"/>
      <c r="E2714" s="6"/>
      <c r="F2714" s="6"/>
      <c r="G2714" s="7"/>
    </row>
    <row r="2715" spans="1:7" x14ac:dyDescent="0.2">
      <c r="A2715" s="3"/>
      <c r="B2715" s="6"/>
      <c r="C2715" s="3"/>
      <c r="D2715" s="6"/>
      <c r="E2715" s="6"/>
      <c r="F2715" s="6"/>
      <c r="G2715" s="7"/>
    </row>
    <row r="2716" spans="1:7" x14ac:dyDescent="0.2">
      <c r="A2716" s="3"/>
      <c r="B2716" s="6"/>
      <c r="C2716" s="3"/>
      <c r="D2716" s="6"/>
      <c r="E2716" s="6"/>
      <c r="F2716" s="6"/>
      <c r="G2716" s="7"/>
    </row>
    <row r="2717" spans="1:7" x14ac:dyDescent="0.2">
      <c r="A2717" s="3"/>
      <c r="B2717" s="6"/>
      <c r="C2717" s="3"/>
      <c r="D2717" s="6"/>
      <c r="E2717" s="6"/>
      <c r="F2717" s="6"/>
      <c r="G2717" s="7"/>
    </row>
    <row r="2718" spans="1:7" x14ac:dyDescent="0.2">
      <c r="A2718" s="3"/>
      <c r="B2718" s="6"/>
      <c r="C2718" s="3"/>
      <c r="D2718" s="6"/>
      <c r="E2718" s="6"/>
      <c r="F2718" s="6"/>
      <c r="G2718" s="7"/>
    </row>
    <row r="2719" spans="1:7" x14ac:dyDescent="0.2">
      <c r="A2719" s="3"/>
      <c r="B2719" s="6"/>
      <c r="C2719" s="3"/>
      <c r="D2719" s="6"/>
      <c r="E2719" s="6"/>
      <c r="F2719" s="6"/>
      <c r="G2719" s="7"/>
    </row>
    <row r="2720" spans="1:7" x14ac:dyDescent="0.2">
      <c r="A2720" s="3"/>
      <c r="B2720" s="6"/>
      <c r="C2720" s="3"/>
      <c r="D2720" s="6"/>
      <c r="E2720" s="6"/>
      <c r="F2720" s="6"/>
      <c r="G2720" s="7"/>
    </row>
    <row r="2721" spans="1:7" x14ac:dyDescent="0.2">
      <c r="A2721" s="3"/>
      <c r="B2721" s="6"/>
      <c r="C2721" s="3"/>
      <c r="D2721" s="6"/>
      <c r="E2721" s="6"/>
      <c r="F2721" s="6"/>
      <c r="G2721" s="7"/>
    </row>
    <row r="2722" spans="1:7" x14ac:dyDescent="0.2">
      <c r="A2722" s="3"/>
      <c r="B2722" s="6"/>
      <c r="C2722" s="3"/>
      <c r="D2722" s="6"/>
      <c r="E2722" s="6"/>
      <c r="F2722" s="6"/>
      <c r="G2722" s="7"/>
    </row>
    <row r="2723" spans="1:7" x14ac:dyDescent="0.2">
      <c r="A2723" s="3"/>
      <c r="B2723" s="6"/>
      <c r="C2723" s="3"/>
      <c r="D2723" s="6"/>
      <c r="E2723" s="6"/>
      <c r="F2723" s="6"/>
      <c r="G2723" s="7"/>
    </row>
    <row r="2724" spans="1:7" x14ac:dyDescent="0.2">
      <c r="A2724" s="3"/>
      <c r="B2724" s="6"/>
      <c r="C2724" s="3"/>
      <c r="D2724" s="6"/>
      <c r="E2724" s="6"/>
      <c r="F2724" s="6"/>
      <c r="G2724" s="7"/>
    </row>
    <row r="2725" spans="1:7" x14ac:dyDescent="0.2">
      <c r="A2725" s="3"/>
      <c r="B2725" s="6"/>
      <c r="C2725" s="3"/>
      <c r="D2725" s="6"/>
      <c r="E2725" s="6"/>
      <c r="F2725" s="6"/>
      <c r="G2725" s="7"/>
    </row>
    <row r="2726" spans="1:7" x14ac:dyDescent="0.2">
      <c r="A2726" s="3"/>
      <c r="B2726" s="6"/>
      <c r="C2726" s="3"/>
      <c r="D2726" s="6"/>
      <c r="E2726" s="6"/>
      <c r="F2726" s="6"/>
      <c r="G2726" s="7"/>
    </row>
    <row r="2727" spans="1:7" x14ac:dyDescent="0.2">
      <c r="A2727" s="3"/>
      <c r="B2727" s="6"/>
      <c r="C2727" s="3"/>
      <c r="D2727" s="6"/>
      <c r="E2727" s="6"/>
      <c r="F2727" s="6"/>
      <c r="G2727" s="7"/>
    </row>
    <row r="2728" spans="1:7" x14ac:dyDescent="0.2">
      <c r="A2728" s="3"/>
      <c r="B2728" s="6"/>
      <c r="C2728" s="3"/>
      <c r="D2728" s="6"/>
      <c r="E2728" s="6"/>
      <c r="F2728" s="6"/>
      <c r="G2728" s="7"/>
    </row>
    <row r="2729" spans="1:7" x14ac:dyDescent="0.2">
      <c r="A2729" s="3"/>
      <c r="B2729" s="6"/>
      <c r="C2729" s="3"/>
      <c r="D2729" s="6"/>
      <c r="E2729" s="6"/>
      <c r="F2729" s="6"/>
      <c r="G2729" s="7"/>
    </row>
    <row r="2730" spans="1:7" x14ac:dyDescent="0.2">
      <c r="A2730" s="3"/>
      <c r="B2730" s="6"/>
      <c r="C2730" s="3"/>
      <c r="D2730" s="6"/>
      <c r="E2730" s="6"/>
      <c r="F2730" s="6"/>
      <c r="G2730" s="7"/>
    </row>
    <row r="2731" spans="1:7" x14ac:dyDescent="0.2">
      <c r="A2731" s="3"/>
      <c r="B2731" s="6"/>
      <c r="C2731" s="3"/>
      <c r="D2731" s="6"/>
      <c r="E2731" s="6"/>
      <c r="F2731" s="6"/>
      <c r="G2731" s="7"/>
    </row>
    <row r="2732" spans="1:7" x14ac:dyDescent="0.2">
      <c r="A2732" s="3"/>
      <c r="B2732" s="6"/>
      <c r="C2732" s="3"/>
      <c r="D2732" s="6"/>
      <c r="E2732" s="6"/>
      <c r="F2732" s="6"/>
      <c r="G2732" s="7"/>
    </row>
    <row r="2733" spans="1:7" x14ac:dyDescent="0.2">
      <c r="A2733" s="3"/>
      <c r="B2733" s="6"/>
      <c r="C2733" s="3"/>
      <c r="D2733" s="6"/>
      <c r="E2733" s="6"/>
      <c r="F2733" s="6"/>
      <c r="G2733" s="7"/>
    </row>
    <row r="2734" spans="1:7" x14ac:dyDescent="0.2">
      <c r="A2734" s="3"/>
      <c r="B2734" s="6"/>
      <c r="C2734" s="3"/>
      <c r="D2734" s="6"/>
      <c r="E2734" s="6"/>
      <c r="F2734" s="6"/>
      <c r="G2734" s="7"/>
    </row>
    <row r="2735" spans="1:7" x14ac:dyDescent="0.2">
      <c r="A2735" s="3"/>
      <c r="B2735" s="6"/>
      <c r="C2735" s="3"/>
      <c r="D2735" s="6"/>
      <c r="E2735" s="6"/>
      <c r="F2735" s="6"/>
      <c r="G2735" s="7"/>
    </row>
    <row r="2736" spans="1:7" x14ac:dyDescent="0.2">
      <c r="A2736" s="3"/>
      <c r="B2736" s="6"/>
      <c r="C2736" s="3"/>
      <c r="D2736" s="6"/>
      <c r="E2736" s="6"/>
      <c r="F2736" s="6"/>
      <c r="G2736" s="7"/>
    </row>
    <row r="2737" spans="1:7" x14ac:dyDescent="0.2">
      <c r="A2737" s="3"/>
      <c r="B2737" s="6"/>
      <c r="C2737" s="3"/>
      <c r="D2737" s="6"/>
      <c r="E2737" s="6"/>
      <c r="F2737" s="6"/>
      <c r="G2737" s="7"/>
    </row>
    <row r="2738" spans="1:7" x14ac:dyDescent="0.2">
      <c r="A2738" s="3"/>
      <c r="B2738" s="6"/>
      <c r="C2738" s="3"/>
      <c r="D2738" s="6"/>
      <c r="E2738" s="6"/>
      <c r="F2738" s="6"/>
      <c r="G2738" s="7"/>
    </row>
    <row r="2739" spans="1:7" x14ac:dyDescent="0.2">
      <c r="A2739" s="3"/>
      <c r="B2739" s="6"/>
      <c r="C2739" s="3"/>
      <c r="D2739" s="6"/>
      <c r="E2739" s="6"/>
      <c r="F2739" s="6"/>
      <c r="G2739" s="7"/>
    </row>
    <row r="2740" spans="1:7" x14ac:dyDescent="0.2">
      <c r="A2740" s="3"/>
      <c r="B2740" s="6"/>
      <c r="C2740" s="3"/>
      <c r="D2740" s="6"/>
      <c r="E2740" s="6"/>
      <c r="F2740" s="6"/>
      <c r="G2740" s="7"/>
    </row>
    <row r="2741" spans="1:7" x14ac:dyDescent="0.2">
      <c r="A2741" s="3"/>
      <c r="B2741" s="6"/>
      <c r="C2741" s="3"/>
      <c r="D2741" s="6"/>
      <c r="E2741" s="6"/>
      <c r="F2741" s="6"/>
      <c r="G2741" s="7"/>
    </row>
    <row r="2742" spans="1:7" x14ac:dyDescent="0.2">
      <c r="A2742" s="3"/>
      <c r="B2742" s="6"/>
      <c r="C2742" s="3"/>
      <c r="D2742" s="6"/>
      <c r="E2742" s="6"/>
      <c r="F2742" s="6"/>
      <c r="G2742" s="7"/>
    </row>
    <row r="2743" spans="1:7" x14ac:dyDescent="0.2">
      <c r="A2743" s="3"/>
      <c r="B2743" s="6"/>
      <c r="C2743" s="3"/>
      <c r="D2743" s="6"/>
      <c r="E2743" s="6"/>
      <c r="F2743" s="6"/>
      <c r="G2743" s="7"/>
    </row>
    <row r="2744" spans="1:7" x14ac:dyDescent="0.2">
      <c r="A2744" s="3"/>
      <c r="B2744" s="6"/>
      <c r="C2744" s="3"/>
      <c r="D2744" s="6"/>
      <c r="E2744" s="6"/>
      <c r="F2744" s="6"/>
      <c r="G2744" s="7"/>
    </row>
    <row r="2745" spans="1:7" x14ac:dyDescent="0.2">
      <c r="A2745" s="3"/>
      <c r="B2745" s="6"/>
      <c r="C2745" s="3"/>
      <c r="D2745" s="6"/>
      <c r="E2745" s="6"/>
      <c r="F2745" s="6"/>
      <c r="G2745" s="7"/>
    </row>
    <row r="2746" spans="1:7" x14ac:dyDescent="0.2">
      <c r="A2746" s="3"/>
      <c r="B2746" s="6"/>
      <c r="C2746" s="3"/>
      <c r="D2746" s="6"/>
      <c r="E2746" s="6"/>
      <c r="F2746" s="6"/>
      <c r="G2746" s="7"/>
    </row>
    <row r="2747" spans="1:7" x14ac:dyDescent="0.2">
      <c r="A2747" s="3"/>
      <c r="B2747" s="6"/>
      <c r="C2747" s="3"/>
      <c r="D2747" s="6"/>
      <c r="E2747" s="6"/>
      <c r="F2747" s="6"/>
      <c r="G2747" s="7"/>
    </row>
    <row r="2748" spans="1:7" x14ac:dyDescent="0.2">
      <c r="A2748" s="3"/>
      <c r="B2748" s="6"/>
      <c r="C2748" s="3"/>
      <c r="D2748" s="6"/>
      <c r="E2748" s="6"/>
      <c r="F2748" s="6"/>
      <c r="G2748" s="7"/>
    </row>
    <row r="2749" spans="1:7" x14ac:dyDescent="0.2">
      <c r="A2749" s="3"/>
      <c r="B2749" s="6"/>
      <c r="C2749" s="3"/>
      <c r="D2749" s="6"/>
      <c r="E2749" s="6"/>
      <c r="F2749" s="6"/>
      <c r="G2749" s="7"/>
    </row>
    <row r="2750" spans="1:7" x14ac:dyDescent="0.2">
      <c r="A2750" s="3"/>
      <c r="B2750" s="6"/>
      <c r="C2750" s="3"/>
      <c r="D2750" s="6"/>
      <c r="E2750" s="6"/>
      <c r="F2750" s="6"/>
      <c r="G2750" s="7"/>
    </row>
    <row r="2751" spans="1:7" x14ac:dyDescent="0.2">
      <c r="A2751" s="3"/>
      <c r="B2751" s="6"/>
      <c r="C2751" s="3"/>
      <c r="D2751" s="6"/>
      <c r="E2751" s="6"/>
      <c r="F2751" s="6"/>
      <c r="G2751" s="7"/>
    </row>
    <row r="2752" spans="1:7" x14ac:dyDescent="0.2">
      <c r="A2752" s="3"/>
      <c r="B2752" s="6"/>
      <c r="C2752" s="3"/>
      <c r="D2752" s="6"/>
      <c r="E2752" s="6"/>
      <c r="F2752" s="6"/>
      <c r="G2752" s="7"/>
    </row>
    <row r="2753" spans="1:7" x14ac:dyDescent="0.2">
      <c r="A2753" s="3"/>
      <c r="B2753" s="6"/>
      <c r="C2753" s="3"/>
      <c r="D2753" s="6"/>
      <c r="E2753" s="6"/>
      <c r="F2753" s="6"/>
      <c r="G2753" s="7"/>
    </row>
    <row r="2754" spans="1:7" x14ac:dyDescent="0.2">
      <c r="A2754" s="3"/>
      <c r="B2754" s="6"/>
      <c r="C2754" s="3"/>
      <c r="D2754" s="6"/>
      <c r="E2754" s="6"/>
      <c r="F2754" s="6"/>
      <c r="G2754" s="7"/>
    </row>
    <row r="2755" spans="1:7" x14ac:dyDescent="0.2">
      <c r="A2755" s="3"/>
      <c r="B2755" s="6"/>
      <c r="C2755" s="3"/>
      <c r="D2755" s="6"/>
      <c r="E2755" s="6"/>
      <c r="F2755" s="6"/>
      <c r="G2755" s="7"/>
    </row>
    <row r="2756" spans="1:7" x14ac:dyDescent="0.2">
      <c r="A2756" s="3"/>
      <c r="B2756" s="6"/>
      <c r="C2756" s="3"/>
      <c r="D2756" s="6"/>
      <c r="E2756" s="6"/>
      <c r="F2756" s="6"/>
      <c r="G2756" s="7"/>
    </row>
    <row r="2757" spans="1:7" x14ac:dyDescent="0.2">
      <c r="A2757" s="3"/>
      <c r="B2757" s="6"/>
      <c r="C2757" s="3"/>
      <c r="D2757" s="6"/>
      <c r="E2757" s="6"/>
      <c r="F2757" s="6"/>
      <c r="G2757" s="7"/>
    </row>
    <row r="2758" spans="1:7" x14ac:dyDescent="0.2">
      <c r="A2758" s="3"/>
      <c r="B2758" s="6"/>
      <c r="C2758" s="3"/>
      <c r="D2758" s="6"/>
      <c r="E2758" s="6"/>
      <c r="F2758" s="6"/>
      <c r="G2758" s="7"/>
    </row>
    <row r="2759" spans="1:7" x14ac:dyDescent="0.2">
      <c r="A2759" s="3"/>
      <c r="B2759" s="6"/>
      <c r="C2759" s="3"/>
      <c r="D2759" s="6"/>
      <c r="E2759" s="6"/>
      <c r="F2759" s="6"/>
      <c r="G2759" s="7"/>
    </row>
    <row r="2760" spans="1:7" x14ac:dyDescent="0.2">
      <c r="A2760" s="3"/>
      <c r="B2760" s="6"/>
      <c r="C2760" s="3"/>
      <c r="D2760" s="6"/>
      <c r="E2760" s="6"/>
      <c r="F2760" s="6"/>
      <c r="G2760" s="7"/>
    </row>
    <row r="2761" spans="1:7" x14ac:dyDescent="0.2">
      <c r="A2761" s="3"/>
      <c r="B2761" s="6"/>
      <c r="C2761" s="3"/>
      <c r="D2761" s="6"/>
      <c r="E2761" s="6"/>
      <c r="F2761" s="6"/>
      <c r="G2761" s="7"/>
    </row>
    <row r="2762" spans="1:7" x14ac:dyDescent="0.2">
      <c r="A2762" s="3"/>
      <c r="B2762" s="6"/>
      <c r="C2762" s="3"/>
      <c r="D2762" s="6"/>
      <c r="E2762" s="6"/>
      <c r="F2762" s="6"/>
      <c r="G2762" s="7"/>
    </row>
    <row r="2763" spans="1:7" x14ac:dyDescent="0.2">
      <c r="A2763" s="3"/>
      <c r="B2763" s="6"/>
      <c r="C2763" s="3"/>
      <c r="D2763" s="6"/>
      <c r="E2763" s="6"/>
      <c r="F2763" s="6"/>
      <c r="G2763" s="7"/>
    </row>
    <row r="2764" spans="1:7" x14ac:dyDescent="0.2">
      <c r="A2764" s="3"/>
      <c r="B2764" s="6"/>
      <c r="C2764" s="3"/>
      <c r="D2764" s="6"/>
      <c r="E2764" s="6"/>
      <c r="F2764" s="6"/>
      <c r="G2764" s="7"/>
    </row>
    <row r="2765" spans="1:7" x14ac:dyDescent="0.2">
      <c r="A2765" s="3"/>
      <c r="B2765" s="6"/>
      <c r="C2765" s="3"/>
      <c r="D2765" s="6"/>
      <c r="E2765" s="6"/>
      <c r="F2765" s="6"/>
      <c r="G2765" s="7"/>
    </row>
    <row r="2766" spans="1:7" x14ac:dyDescent="0.2">
      <c r="A2766" s="3"/>
      <c r="B2766" s="6"/>
      <c r="C2766" s="3"/>
      <c r="D2766" s="6"/>
      <c r="E2766" s="6"/>
      <c r="F2766" s="6"/>
      <c r="G2766" s="7"/>
    </row>
    <row r="2767" spans="1:7" x14ac:dyDescent="0.2">
      <c r="A2767" s="3"/>
      <c r="B2767" s="6"/>
      <c r="C2767" s="3"/>
      <c r="D2767" s="6"/>
      <c r="E2767" s="6"/>
      <c r="F2767" s="6"/>
      <c r="G2767" s="7"/>
    </row>
    <row r="2768" spans="1:7" x14ac:dyDescent="0.2">
      <c r="A2768" s="3"/>
      <c r="B2768" s="6"/>
      <c r="C2768" s="3"/>
      <c r="D2768" s="6"/>
      <c r="E2768" s="6"/>
      <c r="F2768" s="6"/>
      <c r="G2768" s="7"/>
    </row>
    <row r="2769" spans="1:7" x14ac:dyDescent="0.2">
      <c r="A2769" s="3"/>
      <c r="B2769" s="6"/>
      <c r="C2769" s="3"/>
      <c r="D2769" s="6"/>
      <c r="E2769" s="6"/>
      <c r="F2769" s="6"/>
      <c r="G2769" s="7"/>
    </row>
    <row r="2770" spans="1:7" x14ac:dyDescent="0.2">
      <c r="A2770" s="3"/>
      <c r="B2770" s="6"/>
      <c r="C2770" s="3"/>
      <c r="D2770" s="6"/>
      <c r="E2770" s="6"/>
      <c r="F2770" s="6"/>
      <c r="G2770" s="7"/>
    </row>
    <row r="2771" spans="1:7" x14ac:dyDescent="0.2">
      <c r="A2771" s="3"/>
      <c r="B2771" s="6"/>
      <c r="C2771" s="3"/>
      <c r="D2771" s="6"/>
      <c r="E2771" s="6"/>
      <c r="F2771" s="6"/>
      <c r="G2771" s="7"/>
    </row>
    <row r="2772" spans="1:7" x14ac:dyDescent="0.2">
      <c r="A2772" s="3"/>
      <c r="B2772" s="6"/>
      <c r="C2772" s="3"/>
      <c r="D2772" s="6"/>
      <c r="E2772" s="6"/>
      <c r="F2772" s="6"/>
      <c r="G2772" s="7"/>
    </row>
    <row r="2773" spans="1:7" x14ac:dyDescent="0.2">
      <c r="A2773" s="3"/>
      <c r="B2773" s="6"/>
      <c r="C2773" s="3"/>
      <c r="D2773" s="6"/>
      <c r="E2773" s="6"/>
      <c r="F2773" s="6"/>
      <c r="G2773" s="7"/>
    </row>
    <row r="2774" spans="1:7" x14ac:dyDescent="0.2">
      <c r="A2774" s="3"/>
      <c r="B2774" s="6"/>
      <c r="C2774" s="3"/>
      <c r="D2774" s="6"/>
      <c r="E2774" s="6"/>
      <c r="F2774" s="6"/>
      <c r="G2774" s="7"/>
    </row>
    <row r="2775" spans="1:7" x14ac:dyDescent="0.2">
      <c r="A2775" s="3"/>
      <c r="B2775" s="6"/>
      <c r="C2775" s="3"/>
      <c r="D2775" s="6"/>
      <c r="E2775" s="6"/>
      <c r="F2775" s="6"/>
      <c r="G2775" s="7"/>
    </row>
    <row r="2776" spans="1:7" x14ac:dyDescent="0.2">
      <c r="A2776" s="3"/>
      <c r="B2776" s="6"/>
      <c r="C2776" s="3"/>
      <c r="D2776" s="6"/>
      <c r="E2776" s="6"/>
      <c r="F2776" s="6"/>
      <c r="G2776" s="7"/>
    </row>
    <row r="2777" spans="1:7" x14ac:dyDescent="0.2">
      <c r="A2777" s="3"/>
      <c r="B2777" s="6"/>
      <c r="C2777" s="3"/>
      <c r="D2777" s="6"/>
      <c r="E2777" s="6"/>
      <c r="F2777" s="6"/>
      <c r="G2777" s="7"/>
    </row>
    <row r="2778" spans="1:7" x14ac:dyDescent="0.2">
      <c r="A2778" s="3"/>
      <c r="B2778" s="6"/>
      <c r="C2778" s="3"/>
      <c r="D2778" s="6"/>
      <c r="E2778" s="6"/>
      <c r="F2778" s="6"/>
      <c r="G2778" s="7"/>
    </row>
    <row r="2779" spans="1:7" x14ac:dyDescent="0.2">
      <c r="A2779" s="3"/>
      <c r="B2779" s="6"/>
      <c r="C2779" s="3"/>
      <c r="D2779" s="6"/>
      <c r="E2779" s="6"/>
      <c r="F2779" s="6"/>
      <c r="G2779" s="7"/>
    </row>
    <row r="2780" spans="1:7" x14ac:dyDescent="0.2">
      <c r="A2780" s="3"/>
      <c r="B2780" s="6"/>
      <c r="C2780" s="3"/>
      <c r="D2780" s="6"/>
      <c r="E2780" s="6"/>
      <c r="F2780" s="6"/>
      <c r="G2780" s="7"/>
    </row>
    <row r="2781" spans="1:7" x14ac:dyDescent="0.2">
      <c r="A2781" s="3"/>
      <c r="B2781" s="6"/>
      <c r="C2781" s="3"/>
      <c r="D2781" s="6"/>
      <c r="E2781" s="6"/>
      <c r="F2781" s="6"/>
      <c r="G2781" s="7"/>
    </row>
    <row r="2782" spans="1:7" x14ac:dyDescent="0.2">
      <c r="A2782" s="3"/>
      <c r="B2782" s="6"/>
      <c r="C2782" s="3"/>
      <c r="D2782" s="6"/>
      <c r="E2782" s="6"/>
      <c r="F2782" s="6"/>
      <c r="G2782" s="7"/>
    </row>
    <row r="2783" spans="1:7" x14ac:dyDescent="0.2">
      <c r="A2783" s="3"/>
      <c r="B2783" s="6"/>
      <c r="C2783" s="3"/>
      <c r="D2783" s="6"/>
      <c r="E2783" s="6"/>
      <c r="F2783" s="6"/>
      <c r="G2783" s="7"/>
    </row>
    <row r="2784" spans="1:7" x14ac:dyDescent="0.2">
      <c r="A2784" s="3"/>
      <c r="B2784" s="6"/>
      <c r="C2784" s="3"/>
      <c r="D2784" s="6"/>
      <c r="E2784" s="6"/>
      <c r="F2784" s="6"/>
      <c r="G2784" s="7"/>
    </row>
    <row r="2785" spans="1:7" x14ac:dyDescent="0.2">
      <c r="A2785" s="3"/>
      <c r="B2785" s="6"/>
      <c r="C2785" s="3"/>
      <c r="D2785" s="6"/>
      <c r="E2785" s="6"/>
      <c r="F2785" s="6"/>
      <c r="G2785" s="7"/>
    </row>
    <row r="2786" spans="1:7" x14ac:dyDescent="0.2">
      <c r="A2786" s="3"/>
      <c r="B2786" s="6"/>
      <c r="C2786" s="3"/>
      <c r="D2786" s="6"/>
      <c r="E2786" s="6"/>
      <c r="F2786" s="6"/>
      <c r="G2786" s="7"/>
    </row>
    <row r="2787" spans="1:7" x14ac:dyDescent="0.2">
      <c r="A2787" s="3"/>
      <c r="B2787" s="6"/>
      <c r="C2787" s="3"/>
      <c r="D2787" s="6"/>
      <c r="E2787" s="6"/>
      <c r="F2787" s="6"/>
      <c r="G2787" s="7"/>
    </row>
    <row r="2788" spans="1:7" x14ac:dyDescent="0.2">
      <c r="A2788" s="3"/>
      <c r="B2788" s="6"/>
      <c r="C2788" s="3"/>
      <c r="D2788" s="6"/>
      <c r="E2788" s="6"/>
      <c r="F2788" s="6"/>
      <c r="G2788" s="7"/>
    </row>
    <row r="2789" spans="1:7" x14ac:dyDescent="0.2">
      <c r="A2789" s="3"/>
      <c r="B2789" s="6"/>
      <c r="C2789" s="3"/>
      <c r="D2789" s="6"/>
      <c r="E2789" s="6"/>
      <c r="F2789" s="6"/>
      <c r="G2789" s="7"/>
    </row>
    <row r="2790" spans="1:7" x14ac:dyDescent="0.2">
      <c r="A2790" s="3"/>
      <c r="B2790" s="6"/>
      <c r="C2790" s="3"/>
      <c r="D2790" s="6"/>
      <c r="E2790" s="6"/>
      <c r="F2790" s="6"/>
      <c r="G2790" s="7"/>
    </row>
    <row r="2791" spans="1:7" x14ac:dyDescent="0.2">
      <c r="A2791" s="3"/>
      <c r="B2791" s="6"/>
      <c r="C2791" s="3"/>
      <c r="D2791" s="6"/>
      <c r="E2791" s="6"/>
      <c r="F2791" s="6"/>
      <c r="G2791" s="7"/>
    </row>
    <row r="2792" spans="1:7" x14ac:dyDescent="0.2">
      <c r="A2792" s="3"/>
      <c r="B2792" s="6"/>
      <c r="C2792" s="3"/>
      <c r="D2792" s="6"/>
      <c r="E2792" s="6"/>
      <c r="F2792" s="6"/>
      <c r="G2792" s="7"/>
    </row>
    <row r="2793" spans="1:7" x14ac:dyDescent="0.2">
      <c r="A2793" s="3"/>
      <c r="B2793" s="6"/>
      <c r="C2793" s="3"/>
      <c r="D2793" s="6"/>
      <c r="E2793" s="6"/>
      <c r="F2793" s="6"/>
      <c r="G2793" s="7"/>
    </row>
    <row r="2794" spans="1:7" x14ac:dyDescent="0.2">
      <c r="A2794" s="3"/>
      <c r="B2794" s="6"/>
      <c r="C2794" s="3"/>
      <c r="D2794" s="6"/>
      <c r="E2794" s="6"/>
      <c r="F2794" s="6"/>
      <c r="G2794" s="7"/>
    </row>
    <row r="2795" spans="1:7" x14ac:dyDescent="0.2">
      <c r="A2795" s="3"/>
      <c r="B2795" s="6"/>
      <c r="C2795" s="3"/>
      <c r="D2795" s="6"/>
      <c r="E2795" s="6"/>
      <c r="F2795" s="6"/>
      <c r="G2795" s="7"/>
    </row>
    <row r="2796" spans="1:7" x14ac:dyDescent="0.2">
      <c r="A2796" s="3"/>
      <c r="B2796" s="6"/>
      <c r="C2796" s="3"/>
      <c r="D2796" s="6"/>
      <c r="E2796" s="6"/>
      <c r="F2796" s="6"/>
      <c r="G2796" s="7"/>
    </row>
    <row r="2797" spans="1:7" x14ac:dyDescent="0.2">
      <c r="A2797" s="3"/>
      <c r="B2797" s="6"/>
      <c r="C2797" s="3"/>
      <c r="D2797" s="6"/>
      <c r="E2797" s="6"/>
      <c r="F2797" s="6"/>
      <c r="G2797" s="7"/>
    </row>
    <row r="2798" spans="1:7" x14ac:dyDescent="0.2">
      <c r="A2798" s="3"/>
      <c r="B2798" s="6"/>
      <c r="C2798" s="3"/>
      <c r="D2798" s="6"/>
      <c r="E2798" s="6"/>
      <c r="F2798" s="6"/>
      <c r="G2798" s="7"/>
    </row>
    <row r="2799" spans="1:7" x14ac:dyDescent="0.2">
      <c r="A2799" s="3"/>
      <c r="B2799" s="6"/>
      <c r="C2799" s="3"/>
      <c r="D2799" s="6"/>
      <c r="E2799" s="6"/>
      <c r="F2799" s="6"/>
      <c r="G2799" s="7"/>
    </row>
    <row r="2800" spans="1:7" x14ac:dyDescent="0.2">
      <c r="A2800" s="3"/>
      <c r="B2800" s="6"/>
      <c r="C2800" s="3"/>
      <c r="D2800" s="6"/>
      <c r="E2800" s="6"/>
      <c r="F2800" s="6"/>
      <c r="G2800" s="7"/>
    </row>
    <row r="2801" spans="1:7" x14ac:dyDescent="0.2">
      <c r="A2801" s="3"/>
      <c r="B2801" s="6"/>
      <c r="C2801" s="3"/>
      <c r="D2801" s="6"/>
      <c r="E2801" s="6"/>
      <c r="F2801" s="6"/>
      <c r="G2801" s="7"/>
    </row>
    <row r="2802" spans="1:7" x14ac:dyDescent="0.2">
      <c r="A2802" s="3"/>
      <c r="B2802" s="6"/>
      <c r="C2802" s="3"/>
      <c r="D2802" s="6"/>
      <c r="E2802" s="6"/>
      <c r="F2802" s="6"/>
      <c r="G2802" s="7"/>
    </row>
    <row r="2803" spans="1:7" x14ac:dyDescent="0.2">
      <c r="A2803" s="3"/>
      <c r="B2803" s="6"/>
      <c r="C2803" s="3"/>
      <c r="D2803" s="6"/>
      <c r="E2803" s="6"/>
      <c r="F2803" s="6"/>
      <c r="G2803" s="7"/>
    </row>
    <row r="2804" spans="1:7" x14ac:dyDescent="0.2">
      <c r="A2804" s="3"/>
      <c r="B2804" s="6"/>
      <c r="C2804" s="3"/>
      <c r="D2804" s="6"/>
      <c r="E2804" s="6"/>
      <c r="F2804" s="6"/>
      <c r="G2804" s="7"/>
    </row>
    <row r="2805" spans="1:7" x14ac:dyDescent="0.2">
      <c r="A2805" s="3"/>
      <c r="B2805" s="6"/>
      <c r="C2805" s="3"/>
      <c r="D2805" s="6"/>
      <c r="E2805" s="6"/>
      <c r="F2805" s="6"/>
      <c r="G2805" s="7"/>
    </row>
    <row r="2806" spans="1:7" x14ac:dyDescent="0.2">
      <c r="A2806" s="3"/>
      <c r="B2806" s="6"/>
      <c r="C2806" s="3"/>
      <c r="D2806" s="6"/>
      <c r="E2806" s="6"/>
      <c r="F2806" s="6"/>
      <c r="G2806" s="7"/>
    </row>
    <row r="2807" spans="1:7" x14ac:dyDescent="0.2">
      <c r="A2807" s="3"/>
      <c r="B2807" s="6"/>
      <c r="C2807" s="3"/>
      <c r="D2807" s="6"/>
      <c r="E2807" s="6"/>
      <c r="F2807" s="6"/>
      <c r="G2807" s="7"/>
    </row>
    <row r="2808" spans="1:7" x14ac:dyDescent="0.2">
      <c r="A2808" s="3"/>
      <c r="B2808" s="6"/>
      <c r="C2808" s="3"/>
      <c r="D2808" s="6"/>
      <c r="E2808" s="6"/>
      <c r="F2808" s="6"/>
      <c r="G2808" s="7"/>
    </row>
    <row r="2809" spans="1:7" x14ac:dyDescent="0.2">
      <c r="A2809" s="3"/>
      <c r="B2809" s="6"/>
      <c r="C2809" s="3"/>
      <c r="D2809" s="6"/>
      <c r="E2809" s="6"/>
      <c r="F2809" s="6"/>
      <c r="G2809" s="7"/>
    </row>
    <row r="2810" spans="1:7" x14ac:dyDescent="0.2">
      <c r="A2810" s="3"/>
      <c r="B2810" s="6"/>
      <c r="C2810" s="3"/>
      <c r="D2810" s="6"/>
      <c r="E2810" s="6"/>
      <c r="F2810" s="6"/>
      <c r="G2810" s="7"/>
    </row>
    <row r="2811" spans="1:7" x14ac:dyDescent="0.2">
      <c r="A2811" s="3"/>
      <c r="B2811" s="6"/>
      <c r="C2811" s="3"/>
      <c r="D2811" s="6"/>
      <c r="E2811" s="6"/>
      <c r="F2811" s="6"/>
      <c r="G2811" s="7"/>
    </row>
    <row r="2812" spans="1:7" x14ac:dyDescent="0.2">
      <c r="A2812" s="3"/>
      <c r="B2812" s="6"/>
      <c r="C2812" s="3"/>
      <c r="D2812" s="6"/>
      <c r="E2812" s="6"/>
      <c r="F2812" s="6"/>
      <c r="G2812" s="7"/>
    </row>
    <row r="2813" spans="1:7" x14ac:dyDescent="0.2">
      <c r="A2813" s="3"/>
      <c r="B2813" s="6"/>
      <c r="C2813" s="3"/>
      <c r="D2813" s="6"/>
      <c r="E2813" s="6"/>
      <c r="F2813" s="6"/>
      <c r="G2813" s="7"/>
    </row>
    <row r="2814" spans="1:7" x14ac:dyDescent="0.2">
      <c r="A2814" s="3"/>
      <c r="B2814" s="6"/>
      <c r="C2814" s="3"/>
      <c r="D2814" s="6"/>
      <c r="E2814" s="6"/>
      <c r="F2814" s="6"/>
      <c r="G2814" s="7"/>
    </row>
    <row r="2815" spans="1:7" x14ac:dyDescent="0.2">
      <c r="A2815" s="3"/>
      <c r="B2815" s="6"/>
      <c r="C2815" s="3"/>
      <c r="D2815" s="6"/>
      <c r="E2815" s="6"/>
      <c r="F2815" s="6"/>
      <c r="G2815" s="7"/>
    </row>
    <row r="2816" spans="1:7" x14ac:dyDescent="0.2">
      <c r="A2816" s="3"/>
      <c r="B2816" s="6"/>
      <c r="C2816" s="3"/>
      <c r="D2816" s="6"/>
      <c r="E2816" s="6"/>
      <c r="F2816" s="6"/>
      <c r="G2816" s="7"/>
    </row>
    <row r="2817" spans="1:7" x14ac:dyDescent="0.2">
      <c r="A2817" s="3"/>
      <c r="B2817" s="6"/>
      <c r="C2817" s="3"/>
      <c r="D2817" s="6"/>
      <c r="E2817" s="6"/>
      <c r="F2817" s="6"/>
      <c r="G2817" s="7"/>
    </row>
    <row r="2818" spans="1:7" x14ac:dyDescent="0.2">
      <c r="A2818" s="3"/>
      <c r="B2818" s="6"/>
      <c r="C2818" s="3"/>
      <c r="D2818" s="6"/>
      <c r="E2818" s="6"/>
      <c r="F2818" s="6"/>
      <c r="G2818" s="7"/>
    </row>
    <row r="2819" spans="1:7" x14ac:dyDescent="0.2">
      <c r="A2819" s="3"/>
      <c r="B2819" s="6"/>
      <c r="C2819" s="3"/>
      <c r="D2819" s="6"/>
      <c r="E2819" s="6"/>
      <c r="F2819" s="6"/>
      <c r="G2819" s="7"/>
    </row>
    <row r="2820" spans="1:7" x14ac:dyDescent="0.2">
      <c r="A2820" s="3"/>
      <c r="B2820" s="6"/>
      <c r="C2820" s="3"/>
      <c r="D2820" s="6"/>
      <c r="E2820" s="6"/>
      <c r="F2820" s="6"/>
      <c r="G2820" s="7"/>
    </row>
    <row r="2821" spans="1:7" x14ac:dyDescent="0.2">
      <c r="A2821" s="3"/>
      <c r="B2821" s="6"/>
      <c r="C2821" s="3"/>
      <c r="D2821" s="6"/>
      <c r="E2821" s="6"/>
      <c r="F2821" s="6"/>
      <c r="G2821" s="7"/>
    </row>
    <row r="2822" spans="1:7" x14ac:dyDescent="0.2">
      <c r="A2822" s="3"/>
      <c r="B2822" s="6"/>
      <c r="C2822" s="3"/>
      <c r="D2822" s="6"/>
      <c r="E2822" s="6"/>
      <c r="F2822" s="6"/>
      <c r="G2822" s="7"/>
    </row>
    <row r="2823" spans="1:7" x14ac:dyDescent="0.2">
      <c r="A2823" s="3"/>
      <c r="B2823" s="6"/>
      <c r="C2823" s="3"/>
      <c r="D2823" s="6"/>
      <c r="E2823" s="6"/>
      <c r="F2823" s="6"/>
      <c r="G2823" s="7"/>
    </row>
    <row r="2824" spans="1:7" x14ac:dyDescent="0.2">
      <c r="A2824" s="3"/>
      <c r="B2824" s="6"/>
      <c r="C2824" s="3"/>
      <c r="D2824" s="6"/>
      <c r="E2824" s="6"/>
      <c r="F2824" s="6"/>
      <c r="G2824" s="7"/>
    </row>
    <row r="2825" spans="1:7" x14ac:dyDescent="0.2">
      <c r="A2825" s="3"/>
      <c r="B2825" s="6"/>
      <c r="C2825" s="3"/>
      <c r="D2825" s="6"/>
      <c r="E2825" s="6"/>
      <c r="F2825" s="6"/>
      <c r="G2825" s="7"/>
    </row>
    <row r="2826" spans="1:7" x14ac:dyDescent="0.2">
      <c r="A2826" s="3"/>
      <c r="B2826" s="6"/>
      <c r="C2826" s="3"/>
      <c r="D2826" s="6"/>
      <c r="E2826" s="6"/>
      <c r="F2826" s="6"/>
      <c r="G2826" s="7"/>
    </row>
    <row r="2827" spans="1:7" x14ac:dyDescent="0.2">
      <c r="A2827" s="3"/>
      <c r="B2827" s="6"/>
      <c r="C2827" s="3"/>
      <c r="D2827" s="6"/>
      <c r="E2827" s="6"/>
      <c r="F2827" s="6"/>
      <c r="G2827" s="7"/>
    </row>
    <row r="2828" spans="1:7" x14ac:dyDescent="0.2">
      <c r="A2828" s="3"/>
      <c r="B2828" s="6"/>
      <c r="C2828" s="3"/>
      <c r="D2828" s="6"/>
      <c r="E2828" s="6"/>
      <c r="F2828" s="6"/>
      <c r="G2828" s="7"/>
    </row>
    <row r="2829" spans="1:7" x14ac:dyDescent="0.2">
      <c r="A2829" s="3"/>
      <c r="B2829" s="6"/>
      <c r="C2829" s="3"/>
      <c r="D2829" s="6"/>
      <c r="E2829" s="6"/>
      <c r="F2829" s="6"/>
      <c r="G2829" s="7"/>
    </row>
    <row r="2830" spans="1:7" x14ac:dyDescent="0.2">
      <c r="A2830" s="3"/>
      <c r="B2830" s="6"/>
      <c r="C2830" s="3"/>
      <c r="D2830" s="6"/>
      <c r="E2830" s="6"/>
      <c r="F2830" s="6"/>
      <c r="G2830" s="7"/>
    </row>
    <row r="2831" spans="1:7" x14ac:dyDescent="0.2">
      <c r="A2831" s="3"/>
      <c r="B2831" s="6"/>
      <c r="C2831" s="3"/>
      <c r="D2831" s="6"/>
      <c r="E2831" s="6"/>
      <c r="F2831" s="6"/>
      <c r="G2831" s="7"/>
    </row>
    <row r="2832" spans="1:7" x14ac:dyDescent="0.2">
      <c r="A2832" s="3"/>
      <c r="B2832" s="6"/>
      <c r="C2832" s="3"/>
      <c r="D2832" s="6"/>
      <c r="E2832" s="6"/>
      <c r="F2832" s="6"/>
      <c r="G2832" s="7"/>
    </row>
    <row r="2833" spans="1:7" x14ac:dyDescent="0.2">
      <c r="A2833" s="3"/>
      <c r="B2833" s="6"/>
      <c r="C2833" s="3"/>
      <c r="D2833" s="6"/>
      <c r="E2833" s="6"/>
      <c r="F2833" s="6"/>
      <c r="G2833" s="7"/>
    </row>
    <row r="2834" spans="1:7" x14ac:dyDescent="0.2">
      <c r="A2834" s="3"/>
      <c r="B2834" s="6"/>
      <c r="C2834" s="3"/>
      <c r="D2834" s="6"/>
      <c r="E2834" s="6"/>
      <c r="F2834" s="6"/>
      <c r="G2834" s="7"/>
    </row>
    <row r="2835" spans="1:7" x14ac:dyDescent="0.2">
      <c r="A2835" s="3"/>
      <c r="B2835" s="6"/>
      <c r="C2835" s="3"/>
      <c r="D2835" s="6"/>
      <c r="E2835" s="6"/>
      <c r="F2835" s="6"/>
      <c r="G2835" s="7"/>
    </row>
    <row r="2836" spans="1:7" x14ac:dyDescent="0.2">
      <c r="A2836" s="3"/>
      <c r="B2836" s="6"/>
      <c r="C2836" s="3"/>
      <c r="D2836" s="6"/>
      <c r="E2836" s="6"/>
      <c r="F2836" s="6"/>
      <c r="G2836" s="7"/>
    </row>
    <row r="2837" spans="1:7" x14ac:dyDescent="0.2">
      <c r="A2837" s="3"/>
      <c r="B2837" s="6"/>
      <c r="C2837" s="3"/>
      <c r="D2837" s="6"/>
      <c r="E2837" s="6"/>
      <c r="F2837" s="6"/>
      <c r="G2837" s="7"/>
    </row>
    <row r="2838" spans="1:7" x14ac:dyDescent="0.2">
      <c r="A2838" s="3"/>
      <c r="B2838" s="6"/>
      <c r="C2838" s="3"/>
      <c r="D2838" s="6"/>
      <c r="E2838" s="6"/>
      <c r="F2838" s="6"/>
      <c r="G2838" s="7"/>
    </row>
    <row r="2839" spans="1:7" x14ac:dyDescent="0.2">
      <c r="A2839" s="3"/>
      <c r="B2839" s="6"/>
      <c r="C2839" s="3"/>
      <c r="D2839" s="6"/>
      <c r="E2839" s="6"/>
      <c r="F2839" s="6"/>
      <c r="G2839" s="7"/>
    </row>
    <row r="2840" spans="1:7" x14ac:dyDescent="0.2">
      <c r="A2840" s="3"/>
      <c r="B2840" s="6"/>
      <c r="C2840" s="3"/>
      <c r="D2840" s="6"/>
      <c r="E2840" s="6"/>
      <c r="F2840" s="6"/>
      <c r="G2840" s="7"/>
    </row>
    <row r="2841" spans="1:7" x14ac:dyDescent="0.2">
      <c r="A2841" s="3"/>
      <c r="B2841" s="6"/>
      <c r="C2841" s="3"/>
      <c r="D2841" s="6"/>
      <c r="E2841" s="6"/>
      <c r="F2841" s="6"/>
      <c r="G2841" s="7"/>
    </row>
    <row r="2842" spans="1:7" x14ac:dyDescent="0.2">
      <c r="A2842" s="3"/>
      <c r="B2842" s="6"/>
      <c r="C2842" s="3"/>
      <c r="D2842" s="6"/>
      <c r="E2842" s="6"/>
      <c r="F2842" s="6"/>
      <c r="G2842" s="7"/>
    </row>
    <row r="2843" spans="1:7" x14ac:dyDescent="0.2">
      <c r="A2843" s="3"/>
      <c r="B2843" s="6"/>
      <c r="C2843" s="3"/>
      <c r="D2843" s="6"/>
      <c r="E2843" s="6"/>
      <c r="F2843" s="6"/>
      <c r="G2843" s="7"/>
    </row>
    <row r="2844" spans="1:7" x14ac:dyDescent="0.2">
      <c r="A2844" s="3"/>
      <c r="B2844" s="6"/>
      <c r="C2844" s="3"/>
      <c r="D2844" s="6"/>
      <c r="E2844" s="6"/>
      <c r="F2844" s="6"/>
      <c r="G2844" s="7"/>
    </row>
    <row r="2845" spans="1:7" x14ac:dyDescent="0.2">
      <c r="A2845" s="3"/>
      <c r="B2845" s="6"/>
      <c r="C2845" s="3"/>
      <c r="D2845" s="6"/>
      <c r="E2845" s="6"/>
      <c r="F2845" s="6"/>
      <c r="G2845" s="7"/>
    </row>
    <row r="2846" spans="1:7" x14ac:dyDescent="0.2">
      <c r="A2846" s="3"/>
      <c r="B2846" s="6"/>
      <c r="C2846" s="3"/>
      <c r="D2846" s="6"/>
      <c r="E2846" s="6"/>
      <c r="F2846" s="6"/>
      <c r="G2846" s="7"/>
    </row>
    <row r="2847" spans="1:7" x14ac:dyDescent="0.2">
      <c r="A2847" s="3"/>
      <c r="B2847" s="6"/>
      <c r="C2847" s="3"/>
      <c r="D2847" s="6"/>
      <c r="E2847" s="6"/>
      <c r="F2847" s="6"/>
      <c r="G2847" s="7"/>
    </row>
    <row r="2848" spans="1:7" x14ac:dyDescent="0.2">
      <c r="A2848" s="3"/>
      <c r="B2848" s="6"/>
      <c r="C2848" s="3"/>
      <c r="D2848" s="6"/>
      <c r="E2848" s="6"/>
      <c r="F2848" s="6"/>
      <c r="G2848" s="7"/>
    </row>
    <row r="2849" spans="1:7" x14ac:dyDescent="0.2">
      <c r="A2849" s="3"/>
      <c r="B2849" s="6"/>
      <c r="C2849" s="3"/>
      <c r="D2849" s="6"/>
      <c r="E2849" s="6"/>
      <c r="F2849" s="6"/>
      <c r="G2849" s="7"/>
    </row>
    <row r="2850" spans="1:7" x14ac:dyDescent="0.2">
      <c r="A2850" s="3"/>
      <c r="B2850" s="6"/>
      <c r="C2850" s="3"/>
      <c r="D2850" s="6"/>
      <c r="E2850" s="6"/>
      <c r="F2850" s="6"/>
      <c r="G2850" s="7"/>
    </row>
    <row r="2851" spans="1:7" x14ac:dyDescent="0.2">
      <c r="A2851" s="3"/>
      <c r="B2851" s="6"/>
      <c r="C2851" s="3"/>
      <c r="D2851" s="6"/>
      <c r="E2851" s="6"/>
      <c r="F2851" s="6"/>
      <c r="G2851" s="7"/>
    </row>
    <row r="2852" spans="1:7" x14ac:dyDescent="0.2">
      <c r="A2852" s="3"/>
      <c r="B2852" s="6"/>
      <c r="C2852" s="3"/>
      <c r="D2852" s="6"/>
      <c r="E2852" s="6"/>
      <c r="F2852" s="6"/>
      <c r="G2852" s="7"/>
    </row>
    <row r="2853" spans="1:7" x14ac:dyDescent="0.2">
      <c r="A2853" s="3"/>
      <c r="B2853" s="6"/>
      <c r="C2853" s="3"/>
      <c r="D2853" s="6"/>
      <c r="E2853" s="6"/>
      <c r="F2853" s="6"/>
      <c r="G2853" s="7"/>
    </row>
    <row r="2854" spans="1:7" x14ac:dyDescent="0.2">
      <c r="A2854" s="3"/>
      <c r="B2854" s="6"/>
      <c r="C2854" s="3"/>
      <c r="D2854" s="6"/>
      <c r="E2854" s="6"/>
      <c r="F2854" s="6"/>
      <c r="G2854" s="7"/>
    </row>
    <row r="2855" spans="1:7" x14ac:dyDescent="0.2">
      <c r="A2855" s="3"/>
      <c r="B2855" s="6"/>
      <c r="C2855" s="3"/>
      <c r="D2855" s="6"/>
      <c r="E2855" s="6"/>
      <c r="F2855" s="6"/>
      <c r="G2855" s="7"/>
    </row>
    <row r="2856" spans="1:7" x14ac:dyDescent="0.2">
      <c r="A2856" s="3"/>
      <c r="B2856" s="6"/>
      <c r="C2856" s="3"/>
      <c r="D2856" s="6"/>
      <c r="E2856" s="6"/>
      <c r="F2856" s="6"/>
      <c r="G2856" s="7"/>
    </row>
    <row r="2857" spans="1:7" x14ac:dyDescent="0.2">
      <c r="A2857" s="3"/>
      <c r="B2857" s="6"/>
      <c r="C2857" s="3"/>
      <c r="D2857" s="6"/>
      <c r="E2857" s="6"/>
      <c r="F2857" s="6"/>
      <c r="G2857" s="7"/>
    </row>
    <row r="2858" spans="1:7" x14ac:dyDescent="0.2">
      <c r="A2858" s="3"/>
      <c r="B2858" s="6"/>
      <c r="C2858" s="3"/>
      <c r="D2858" s="6"/>
      <c r="E2858" s="6"/>
      <c r="F2858" s="6"/>
      <c r="G2858" s="7"/>
    </row>
    <row r="2859" spans="1:7" x14ac:dyDescent="0.2">
      <c r="A2859" s="3"/>
      <c r="B2859" s="6"/>
      <c r="C2859" s="3"/>
      <c r="D2859" s="6"/>
      <c r="E2859" s="6"/>
      <c r="F2859" s="6"/>
      <c r="G2859" s="7"/>
    </row>
    <row r="2860" spans="1:7" x14ac:dyDescent="0.2">
      <c r="A2860" s="3"/>
      <c r="B2860" s="6"/>
      <c r="C2860" s="3"/>
      <c r="D2860" s="6"/>
      <c r="E2860" s="6"/>
      <c r="F2860" s="6"/>
      <c r="G2860" s="7"/>
    </row>
    <row r="2861" spans="1:7" x14ac:dyDescent="0.2">
      <c r="A2861" s="3"/>
      <c r="B2861" s="6"/>
      <c r="C2861" s="3"/>
      <c r="D2861" s="6"/>
      <c r="E2861" s="6"/>
      <c r="F2861" s="6"/>
      <c r="G2861" s="7"/>
    </row>
    <row r="2862" spans="1:7" x14ac:dyDescent="0.2">
      <c r="A2862" s="3"/>
      <c r="B2862" s="6"/>
      <c r="C2862" s="3"/>
      <c r="D2862" s="6"/>
      <c r="E2862" s="6"/>
      <c r="F2862" s="6"/>
      <c r="G2862" s="7"/>
    </row>
    <row r="2863" spans="1:7" x14ac:dyDescent="0.2">
      <c r="A2863" s="3"/>
      <c r="B2863" s="6"/>
      <c r="C2863" s="3"/>
      <c r="D2863" s="6"/>
      <c r="E2863" s="6"/>
      <c r="F2863" s="6"/>
      <c r="G2863" s="7"/>
    </row>
    <row r="2864" spans="1:7" x14ac:dyDescent="0.2">
      <c r="A2864" s="3"/>
      <c r="B2864" s="6"/>
      <c r="C2864" s="3"/>
      <c r="D2864" s="6"/>
      <c r="E2864" s="6"/>
      <c r="F2864" s="6"/>
      <c r="G2864" s="7"/>
    </row>
    <row r="2865" spans="1:7" x14ac:dyDescent="0.2">
      <c r="A2865" s="3"/>
      <c r="B2865" s="6"/>
      <c r="C2865" s="3"/>
      <c r="D2865" s="6"/>
      <c r="E2865" s="6"/>
      <c r="F2865" s="6"/>
      <c r="G2865" s="7"/>
    </row>
    <row r="2866" spans="1:7" x14ac:dyDescent="0.2">
      <c r="A2866" s="3"/>
      <c r="B2866" s="6"/>
      <c r="C2866" s="3"/>
      <c r="D2866" s="6"/>
      <c r="E2866" s="6"/>
      <c r="F2866" s="6"/>
      <c r="G2866" s="7"/>
    </row>
    <row r="2867" spans="1:7" x14ac:dyDescent="0.2">
      <c r="A2867" s="3"/>
      <c r="B2867" s="6"/>
      <c r="C2867" s="3"/>
      <c r="D2867" s="6"/>
      <c r="E2867" s="6"/>
      <c r="F2867" s="6"/>
      <c r="G2867" s="7"/>
    </row>
    <row r="2868" spans="1:7" x14ac:dyDescent="0.2">
      <c r="A2868" s="3"/>
      <c r="B2868" s="6"/>
      <c r="C2868" s="3"/>
      <c r="D2868" s="6"/>
      <c r="E2868" s="6"/>
      <c r="F2868" s="6"/>
      <c r="G2868" s="7"/>
    </row>
    <row r="2869" spans="1:7" x14ac:dyDescent="0.2">
      <c r="A2869" s="3"/>
      <c r="B2869" s="6"/>
      <c r="C2869" s="3"/>
      <c r="D2869" s="6"/>
      <c r="E2869" s="6"/>
      <c r="F2869" s="6"/>
      <c r="G2869" s="7"/>
    </row>
    <row r="2870" spans="1:7" x14ac:dyDescent="0.2">
      <c r="A2870" s="3"/>
      <c r="B2870" s="6"/>
      <c r="C2870" s="3"/>
      <c r="D2870" s="6"/>
      <c r="E2870" s="6"/>
      <c r="F2870" s="6"/>
      <c r="G2870" s="7"/>
    </row>
    <row r="2871" spans="1:7" x14ac:dyDescent="0.2">
      <c r="A2871" s="3"/>
      <c r="B2871" s="6"/>
      <c r="C2871" s="3"/>
      <c r="D2871" s="6"/>
      <c r="E2871" s="6"/>
      <c r="F2871" s="6"/>
      <c r="G2871" s="7"/>
    </row>
    <row r="2872" spans="1:7" x14ac:dyDescent="0.2">
      <c r="A2872" s="3"/>
      <c r="B2872" s="6"/>
      <c r="C2872" s="3"/>
      <c r="D2872" s="6"/>
      <c r="E2872" s="6"/>
      <c r="F2872" s="6"/>
      <c r="G2872" s="7"/>
    </row>
    <row r="2873" spans="1:7" x14ac:dyDescent="0.2">
      <c r="A2873" s="3"/>
      <c r="B2873" s="6"/>
      <c r="C2873" s="3"/>
      <c r="D2873" s="6"/>
      <c r="E2873" s="6"/>
      <c r="F2873" s="6"/>
      <c r="G2873" s="7"/>
    </row>
    <row r="2874" spans="1:7" x14ac:dyDescent="0.2">
      <c r="A2874" s="3"/>
      <c r="B2874" s="6"/>
      <c r="C2874" s="3"/>
      <c r="D2874" s="6"/>
      <c r="E2874" s="6"/>
      <c r="F2874" s="6"/>
      <c r="G2874" s="7"/>
    </row>
    <row r="2875" spans="1:7" x14ac:dyDescent="0.2">
      <c r="A2875" s="3"/>
      <c r="B2875" s="6"/>
      <c r="C2875" s="3"/>
      <c r="D2875" s="6"/>
      <c r="E2875" s="6"/>
      <c r="F2875" s="6"/>
      <c r="G2875" s="7"/>
    </row>
    <row r="2876" spans="1:7" x14ac:dyDescent="0.2">
      <c r="A2876" s="3"/>
      <c r="B2876" s="6"/>
      <c r="C2876" s="3"/>
      <c r="D2876" s="6"/>
      <c r="E2876" s="6"/>
      <c r="F2876" s="6"/>
      <c r="G2876" s="7"/>
    </row>
    <row r="2877" spans="1:7" x14ac:dyDescent="0.2">
      <c r="A2877" s="3"/>
      <c r="B2877" s="6"/>
      <c r="C2877" s="3"/>
      <c r="D2877" s="6"/>
      <c r="E2877" s="6"/>
      <c r="F2877" s="6"/>
      <c r="G2877" s="7"/>
    </row>
    <row r="2878" spans="1:7" x14ac:dyDescent="0.2">
      <c r="A2878" s="3"/>
      <c r="B2878" s="6"/>
      <c r="C2878" s="3"/>
      <c r="D2878" s="6"/>
      <c r="E2878" s="6"/>
      <c r="F2878" s="6"/>
      <c r="G2878" s="7"/>
    </row>
    <row r="2879" spans="1:7" x14ac:dyDescent="0.2">
      <c r="A2879" s="3"/>
      <c r="B2879" s="6"/>
      <c r="C2879" s="3"/>
      <c r="D2879" s="6"/>
      <c r="E2879" s="6"/>
      <c r="F2879" s="6"/>
      <c r="G2879" s="7"/>
    </row>
    <row r="2880" spans="1:7" x14ac:dyDescent="0.2">
      <c r="A2880" s="3"/>
      <c r="B2880" s="6"/>
      <c r="C2880" s="3"/>
      <c r="D2880" s="6"/>
      <c r="E2880" s="6"/>
      <c r="F2880" s="6"/>
      <c r="G2880" s="7"/>
    </row>
    <row r="2881" spans="1:7" x14ac:dyDescent="0.2">
      <c r="A2881" s="3"/>
      <c r="B2881" s="6"/>
      <c r="C2881" s="3"/>
      <c r="D2881" s="6"/>
      <c r="E2881" s="6"/>
      <c r="F2881" s="6"/>
      <c r="G2881" s="7"/>
    </row>
    <row r="2882" spans="1:7" x14ac:dyDescent="0.2">
      <c r="A2882" s="3"/>
      <c r="B2882" s="6"/>
      <c r="C2882" s="3"/>
      <c r="D2882" s="6"/>
      <c r="E2882" s="6"/>
      <c r="F2882" s="6"/>
      <c r="G2882" s="7"/>
    </row>
    <row r="2883" spans="1:7" x14ac:dyDescent="0.2">
      <c r="A2883" s="3"/>
      <c r="B2883" s="6"/>
      <c r="C2883" s="3"/>
      <c r="D2883" s="6"/>
      <c r="E2883" s="6"/>
      <c r="F2883" s="6"/>
      <c r="G2883" s="7"/>
    </row>
    <row r="2884" spans="1:7" x14ac:dyDescent="0.2">
      <c r="A2884" s="3"/>
      <c r="B2884" s="6"/>
      <c r="C2884" s="3"/>
      <c r="D2884" s="6"/>
      <c r="E2884" s="6"/>
      <c r="F2884" s="6"/>
      <c r="G2884" s="7"/>
    </row>
    <row r="2885" spans="1:7" x14ac:dyDescent="0.2">
      <c r="A2885" s="3"/>
      <c r="B2885" s="6"/>
      <c r="C2885" s="3"/>
      <c r="D2885" s="6"/>
      <c r="E2885" s="6"/>
      <c r="F2885" s="6"/>
      <c r="G2885" s="7"/>
    </row>
    <row r="2886" spans="1:7" x14ac:dyDescent="0.2">
      <c r="A2886" s="3"/>
      <c r="B2886" s="6"/>
      <c r="C2886" s="3"/>
      <c r="D2886" s="6"/>
      <c r="E2886" s="6"/>
      <c r="F2886" s="6"/>
      <c r="G2886" s="7"/>
    </row>
    <row r="2887" spans="1:7" x14ac:dyDescent="0.2">
      <c r="A2887" s="3"/>
      <c r="B2887" s="6"/>
      <c r="C2887" s="3"/>
      <c r="D2887" s="6"/>
      <c r="E2887" s="6"/>
      <c r="F2887" s="6"/>
      <c r="G2887" s="7"/>
    </row>
    <row r="2888" spans="1:7" x14ac:dyDescent="0.2">
      <c r="A2888" s="3"/>
      <c r="B2888" s="6"/>
      <c r="C2888" s="3"/>
      <c r="D2888" s="6"/>
      <c r="E2888" s="6"/>
      <c r="F2888" s="6"/>
      <c r="G2888" s="7"/>
    </row>
    <row r="2889" spans="1:7" x14ac:dyDescent="0.2">
      <c r="A2889" s="3"/>
      <c r="B2889" s="6"/>
      <c r="C2889" s="3"/>
      <c r="D2889" s="6"/>
      <c r="E2889" s="6"/>
      <c r="F2889" s="6"/>
      <c r="G2889" s="7"/>
    </row>
    <row r="2890" spans="1:7" x14ac:dyDescent="0.2">
      <c r="A2890" s="3"/>
      <c r="B2890" s="6"/>
      <c r="C2890" s="3"/>
      <c r="D2890" s="6"/>
      <c r="E2890" s="6"/>
      <c r="F2890" s="6"/>
      <c r="G2890" s="7"/>
    </row>
    <row r="2891" spans="1:7" x14ac:dyDescent="0.2">
      <c r="A2891" s="3"/>
      <c r="B2891" s="6"/>
      <c r="C2891" s="3"/>
      <c r="D2891" s="6"/>
      <c r="E2891" s="6"/>
      <c r="F2891" s="6"/>
      <c r="G2891" s="7"/>
    </row>
    <row r="2892" spans="1:7" x14ac:dyDescent="0.2">
      <c r="A2892" s="3"/>
      <c r="B2892" s="6"/>
      <c r="C2892" s="3"/>
      <c r="D2892" s="6"/>
      <c r="E2892" s="6"/>
      <c r="F2892" s="6"/>
      <c r="G2892" s="7"/>
    </row>
    <row r="2893" spans="1:7" x14ac:dyDescent="0.2">
      <c r="A2893" s="3"/>
      <c r="B2893" s="6"/>
      <c r="C2893" s="3"/>
      <c r="D2893" s="6"/>
      <c r="E2893" s="6"/>
      <c r="F2893" s="6"/>
      <c r="G2893" s="7"/>
    </row>
    <row r="2894" spans="1:7" x14ac:dyDescent="0.2">
      <c r="A2894" s="3"/>
      <c r="B2894" s="6"/>
      <c r="C2894" s="3"/>
      <c r="D2894" s="6"/>
      <c r="E2894" s="6"/>
      <c r="F2894" s="6"/>
      <c r="G2894" s="7"/>
    </row>
    <row r="2895" spans="1:7" x14ac:dyDescent="0.2">
      <c r="A2895" s="3"/>
      <c r="B2895" s="6"/>
      <c r="C2895" s="3"/>
      <c r="D2895" s="6"/>
      <c r="E2895" s="6"/>
      <c r="F2895" s="6"/>
      <c r="G2895" s="7"/>
    </row>
    <row r="2896" spans="1:7" x14ac:dyDescent="0.2">
      <c r="A2896" s="3"/>
      <c r="B2896" s="6"/>
      <c r="C2896" s="3"/>
      <c r="D2896" s="6"/>
      <c r="E2896" s="6"/>
      <c r="F2896" s="6"/>
      <c r="G2896" s="7"/>
    </row>
    <row r="2897" spans="1:7" x14ac:dyDescent="0.2">
      <c r="A2897" s="3"/>
      <c r="B2897" s="6"/>
      <c r="C2897" s="3"/>
      <c r="D2897" s="6"/>
      <c r="E2897" s="6"/>
      <c r="F2897" s="6"/>
      <c r="G2897" s="7"/>
    </row>
    <row r="2898" spans="1:7" x14ac:dyDescent="0.2">
      <c r="A2898" s="3"/>
      <c r="B2898" s="6"/>
      <c r="C2898" s="3"/>
      <c r="D2898" s="6"/>
      <c r="E2898" s="6"/>
      <c r="F2898" s="6"/>
      <c r="G2898" s="7"/>
    </row>
    <row r="2899" spans="1:7" x14ac:dyDescent="0.2">
      <c r="A2899" s="3"/>
      <c r="B2899" s="6"/>
      <c r="C2899" s="3"/>
      <c r="D2899" s="6"/>
      <c r="E2899" s="6"/>
      <c r="F2899" s="6"/>
      <c r="G2899" s="7"/>
    </row>
    <row r="2900" spans="1:7" x14ac:dyDescent="0.2">
      <c r="A2900" s="3"/>
      <c r="B2900" s="6"/>
      <c r="C2900" s="3"/>
      <c r="D2900" s="6"/>
      <c r="E2900" s="6"/>
      <c r="F2900" s="6"/>
      <c r="G2900" s="7"/>
    </row>
    <row r="2901" spans="1:7" x14ac:dyDescent="0.2">
      <c r="A2901" s="3"/>
      <c r="B2901" s="6"/>
      <c r="C2901" s="3"/>
      <c r="D2901" s="6"/>
      <c r="E2901" s="6"/>
      <c r="F2901" s="6"/>
      <c r="G2901" s="7"/>
    </row>
    <row r="2902" spans="1:7" x14ac:dyDescent="0.2">
      <c r="A2902" s="3"/>
      <c r="B2902" s="6"/>
      <c r="C2902" s="3"/>
      <c r="D2902" s="6"/>
      <c r="E2902" s="6"/>
      <c r="F2902" s="6"/>
      <c r="G2902" s="7"/>
    </row>
    <row r="2903" spans="1:7" x14ac:dyDescent="0.2">
      <c r="A2903" s="3"/>
      <c r="B2903" s="6"/>
      <c r="C2903" s="3"/>
      <c r="D2903" s="6"/>
      <c r="E2903" s="6"/>
      <c r="F2903" s="6"/>
      <c r="G2903" s="7"/>
    </row>
    <row r="2904" spans="1:7" x14ac:dyDescent="0.2">
      <c r="A2904" s="3"/>
      <c r="B2904" s="6"/>
      <c r="C2904" s="3"/>
      <c r="D2904" s="6"/>
      <c r="E2904" s="6"/>
      <c r="F2904" s="6"/>
      <c r="G2904" s="7"/>
    </row>
    <row r="2905" spans="1:7" x14ac:dyDescent="0.2">
      <c r="A2905" s="3"/>
      <c r="B2905" s="6"/>
      <c r="C2905" s="3"/>
      <c r="D2905" s="6"/>
      <c r="E2905" s="6"/>
      <c r="F2905" s="6"/>
      <c r="G2905" s="7"/>
    </row>
    <row r="2906" spans="1:7" x14ac:dyDescent="0.2">
      <c r="A2906" s="3"/>
      <c r="B2906" s="6"/>
      <c r="C2906" s="3"/>
      <c r="D2906" s="6"/>
      <c r="E2906" s="6"/>
      <c r="F2906" s="6"/>
      <c r="G2906" s="7"/>
    </row>
    <row r="2907" spans="1:7" x14ac:dyDescent="0.2">
      <c r="A2907" s="3"/>
      <c r="B2907" s="6"/>
      <c r="C2907" s="3"/>
      <c r="D2907" s="6"/>
      <c r="E2907" s="6"/>
      <c r="F2907" s="6"/>
      <c r="G2907" s="7"/>
    </row>
    <row r="2908" spans="1:7" x14ac:dyDescent="0.2">
      <c r="A2908" s="3"/>
      <c r="B2908" s="6"/>
      <c r="C2908" s="3"/>
      <c r="D2908" s="6"/>
      <c r="E2908" s="6"/>
      <c r="F2908" s="6"/>
      <c r="G2908" s="7"/>
    </row>
    <row r="2909" spans="1:7" x14ac:dyDescent="0.2">
      <c r="A2909" s="3"/>
      <c r="B2909" s="6"/>
      <c r="C2909" s="3"/>
      <c r="D2909" s="6"/>
      <c r="E2909" s="6"/>
      <c r="F2909" s="6"/>
      <c r="G2909" s="7"/>
    </row>
    <row r="2910" spans="1:7" x14ac:dyDescent="0.2">
      <c r="A2910" s="3"/>
      <c r="B2910" s="6"/>
      <c r="C2910" s="3"/>
      <c r="D2910" s="6"/>
      <c r="E2910" s="6"/>
      <c r="F2910" s="6"/>
      <c r="G2910" s="7"/>
    </row>
    <row r="2911" spans="1:7" x14ac:dyDescent="0.2">
      <c r="A2911" s="3"/>
      <c r="B2911" s="6"/>
      <c r="C2911" s="3"/>
      <c r="D2911" s="6"/>
      <c r="E2911" s="6"/>
      <c r="F2911" s="6"/>
      <c r="G2911" s="7"/>
    </row>
    <row r="2912" spans="1:7" x14ac:dyDescent="0.2">
      <c r="A2912" s="3"/>
      <c r="B2912" s="6"/>
      <c r="C2912" s="3"/>
      <c r="D2912" s="6"/>
      <c r="E2912" s="6"/>
      <c r="F2912" s="6"/>
      <c r="G2912" s="7"/>
    </row>
    <row r="2913" spans="1:7" x14ac:dyDescent="0.2">
      <c r="A2913" s="3"/>
      <c r="B2913" s="6"/>
      <c r="C2913" s="3"/>
      <c r="D2913" s="6"/>
      <c r="E2913" s="6"/>
      <c r="F2913" s="6"/>
      <c r="G2913" s="7"/>
    </row>
    <row r="2914" spans="1:7" x14ac:dyDescent="0.2">
      <c r="A2914" s="3"/>
      <c r="B2914" s="6"/>
      <c r="C2914" s="3"/>
      <c r="D2914" s="6"/>
      <c r="E2914" s="6"/>
      <c r="F2914" s="6"/>
      <c r="G2914" s="7"/>
    </row>
    <row r="2915" spans="1:7" x14ac:dyDescent="0.2">
      <c r="A2915" s="3"/>
      <c r="B2915" s="6"/>
      <c r="C2915" s="3"/>
      <c r="D2915" s="6"/>
      <c r="E2915" s="6"/>
      <c r="F2915" s="6"/>
      <c r="G2915" s="7"/>
    </row>
    <row r="2916" spans="1:7" x14ac:dyDescent="0.2">
      <c r="A2916" s="3"/>
      <c r="B2916" s="6"/>
      <c r="C2916" s="3"/>
      <c r="D2916" s="6"/>
      <c r="E2916" s="6"/>
      <c r="F2916" s="6"/>
      <c r="G2916" s="7"/>
    </row>
    <row r="2917" spans="1:7" x14ac:dyDescent="0.2">
      <c r="A2917" s="3"/>
      <c r="B2917" s="6"/>
      <c r="C2917" s="3"/>
      <c r="D2917" s="6"/>
      <c r="E2917" s="6"/>
      <c r="F2917" s="6"/>
      <c r="G2917" s="7"/>
    </row>
    <row r="2918" spans="1:7" x14ac:dyDescent="0.2">
      <c r="A2918" s="3"/>
      <c r="B2918" s="6"/>
      <c r="C2918" s="3"/>
      <c r="D2918" s="6"/>
      <c r="E2918" s="6"/>
      <c r="F2918" s="6"/>
      <c r="G2918" s="7"/>
    </row>
    <row r="2919" spans="1:7" x14ac:dyDescent="0.2">
      <c r="A2919" s="3"/>
      <c r="B2919" s="6"/>
      <c r="C2919" s="3"/>
      <c r="D2919" s="6"/>
      <c r="E2919" s="6"/>
      <c r="F2919" s="6"/>
      <c r="G2919" s="7"/>
    </row>
    <row r="2920" spans="1:7" x14ac:dyDescent="0.2">
      <c r="A2920" s="3"/>
      <c r="B2920" s="6"/>
      <c r="C2920" s="3"/>
      <c r="D2920" s="6"/>
      <c r="E2920" s="6"/>
      <c r="F2920" s="6"/>
      <c r="G2920" s="7"/>
    </row>
    <row r="2921" spans="1:7" x14ac:dyDescent="0.2">
      <c r="A2921" s="3"/>
      <c r="B2921" s="6"/>
      <c r="C2921" s="3"/>
      <c r="D2921" s="6"/>
      <c r="E2921" s="6"/>
      <c r="F2921" s="6"/>
      <c r="G2921" s="7"/>
    </row>
    <row r="2922" spans="1:7" x14ac:dyDescent="0.2">
      <c r="A2922" s="3"/>
      <c r="B2922" s="6"/>
      <c r="C2922" s="3"/>
      <c r="D2922" s="6"/>
      <c r="E2922" s="6"/>
      <c r="F2922" s="6"/>
      <c r="G2922" s="7"/>
    </row>
    <row r="2923" spans="1:7" x14ac:dyDescent="0.2">
      <c r="A2923" s="3"/>
      <c r="B2923" s="6"/>
      <c r="C2923" s="3"/>
      <c r="D2923" s="6"/>
      <c r="E2923" s="6"/>
      <c r="F2923" s="6"/>
      <c r="G2923" s="7"/>
    </row>
    <row r="2924" spans="1:7" x14ac:dyDescent="0.2">
      <c r="A2924" s="3"/>
      <c r="B2924" s="6"/>
      <c r="C2924" s="3"/>
      <c r="D2924" s="6"/>
      <c r="E2924" s="6"/>
      <c r="F2924" s="6"/>
      <c r="G2924" s="7"/>
    </row>
    <row r="2925" spans="1:7" x14ac:dyDescent="0.2">
      <c r="A2925" s="3"/>
      <c r="B2925" s="6"/>
      <c r="C2925" s="3"/>
      <c r="D2925" s="6"/>
      <c r="E2925" s="6"/>
      <c r="F2925" s="6"/>
      <c r="G2925" s="7"/>
    </row>
    <row r="2926" spans="1:7" x14ac:dyDescent="0.2">
      <c r="A2926" s="3"/>
      <c r="B2926" s="6"/>
      <c r="C2926" s="3"/>
      <c r="D2926" s="6"/>
      <c r="E2926" s="6"/>
      <c r="F2926" s="6"/>
      <c r="G2926" s="7"/>
    </row>
    <row r="2927" spans="1:7" x14ac:dyDescent="0.2">
      <c r="A2927" s="3"/>
      <c r="B2927" s="6"/>
      <c r="C2927" s="3"/>
      <c r="D2927" s="6"/>
      <c r="E2927" s="6"/>
      <c r="F2927" s="6"/>
      <c r="G2927" s="7"/>
    </row>
    <row r="2928" spans="1:7" x14ac:dyDescent="0.2">
      <c r="A2928" s="3"/>
      <c r="B2928" s="6"/>
      <c r="C2928" s="3"/>
      <c r="D2928" s="6"/>
      <c r="E2928" s="6"/>
      <c r="F2928" s="6"/>
      <c r="G2928" s="7"/>
    </row>
    <row r="2929" spans="1:7" x14ac:dyDescent="0.2">
      <c r="A2929" s="3"/>
      <c r="B2929" s="6"/>
      <c r="C2929" s="3"/>
      <c r="D2929" s="6"/>
      <c r="E2929" s="6"/>
      <c r="F2929" s="6"/>
      <c r="G2929" s="7"/>
    </row>
    <row r="2930" spans="1:7" x14ac:dyDescent="0.2">
      <c r="A2930" s="3"/>
      <c r="B2930" s="6"/>
      <c r="C2930" s="3"/>
      <c r="D2930" s="6"/>
      <c r="E2930" s="6"/>
      <c r="F2930" s="6"/>
      <c r="G2930" s="7"/>
    </row>
    <row r="2931" spans="1:7" x14ac:dyDescent="0.2">
      <c r="A2931" s="3"/>
      <c r="B2931" s="6"/>
      <c r="C2931" s="3"/>
      <c r="D2931" s="6"/>
      <c r="E2931" s="6"/>
      <c r="F2931" s="6"/>
      <c r="G2931" s="7"/>
    </row>
    <row r="2932" spans="1:7" x14ac:dyDescent="0.2">
      <c r="A2932" s="3"/>
      <c r="B2932" s="6"/>
      <c r="C2932" s="3"/>
      <c r="D2932" s="6"/>
      <c r="E2932" s="6"/>
      <c r="F2932" s="6"/>
      <c r="G2932" s="7"/>
    </row>
    <row r="2933" spans="1:7" x14ac:dyDescent="0.2">
      <c r="A2933" s="3"/>
      <c r="B2933" s="6"/>
      <c r="C2933" s="3"/>
      <c r="D2933" s="6"/>
      <c r="E2933" s="6"/>
      <c r="F2933" s="6"/>
      <c r="G2933" s="7"/>
    </row>
    <row r="2934" spans="1:7" x14ac:dyDescent="0.2">
      <c r="A2934" s="3"/>
      <c r="B2934" s="6"/>
      <c r="C2934" s="3"/>
      <c r="D2934" s="6"/>
      <c r="E2934" s="6"/>
      <c r="F2934" s="6"/>
      <c r="G2934" s="7"/>
    </row>
    <row r="2935" spans="1:7" x14ac:dyDescent="0.2">
      <c r="A2935" s="3"/>
      <c r="B2935" s="6"/>
      <c r="C2935" s="3"/>
      <c r="D2935" s="6"/>
      <c r="E2935" s="6"/>
      <c r="F2935" s="6"/>
      <c r="G2935" s="7"/>
    </row>
    <row r="2936" spans="1:7" x14ac:dyDescent="0.2">
      <c r="A2936" s="3"/>
      <c r="B2936" s="6"/>
      <c r="C2936" s="3"/>
      <c r="D2936" s="6"/>
      <c r="E2936" s="6"/>
      <c r="F2936" s="6"/>
      <c r="G2936" s="7"/>
    </row>
    <row r="2937" spans="1:7" x14ac:dyDescent="0.2">
      <c r="A2937" s="3"/>
      <c r="B2937" s="6"/>
      <c r="C2937" s="3"/>
      <c r="D2937" s="6"/>
      <c r="E2937" s="6"/>
      <c r="F2937" s="6"/>
      <c r="G2937" s="7"/>
    </row>
    <row r="2938" spans="1:7" x14ac:dyDescent="0.2">
      <c r="A2938" s="3"/>
      <c r="B2938" s="6"/>
      <c r="C2938" s="3"/>
      <c r="D2938" s="6"/>
      <c r="E2938" s="6"/>
      <c r="F2938" s="6"/>
      <c r="G2938" s="7"/>
    </row>
    <row r="2939" spans="1:7" x14ac:dyDescent="0.2">
      <c r="A2939" s="3"/>
      <c r="B2939" s="6"/>
      <c r="C2939" s="3"/>
      <c r="D2939" s="6"/>
      <c r="E2939" s="6"/>
      <c r="F2939" s="6"/>
      <c r="G2939" s="7"/>
    </row>
    <row r="2940" spans="1:7" x14ac:dyDescent="0.2">
      <c r="A2940" s="3"/>
      <c r="B2940" s="6"/>
      <c r="C2940" s="3"/>
      <c r="D2940" s="6"/>
      <c r="E2940" s="6"/>
      <c r="F2940" s="6"/>
      <c r="G2940" s="7"/>
    </row>
    <row r="2941" spans="1:7" x14ac:dyDescent="0.2">
      <c r="A2941" s="3"/>
      <c r="B2941" s="6"/>
      <c r="C2941" s="3"/>
      <c r="D2941" s="6"/>
      <c r="E2941" s="6"/>
      <c r="F2941" s="6"/>
      <c r="G2941" s="7"/>
    </row>
    <row r="2942" spans="1:7" x14ac:dyDescent="0.2">
      <c r="A2942" s="3"/>
      <c r="B2942" s="6"/>
      <c r="C2942" s="3"/>
      <c r="D2942" s="6"/>
      <c r="E2942" s="6"/>
      <c r="F2942" s="6"/>
      <c r="G2942" s="7"/>
    </row>
    <row r="2943" spans="1:7" x14ac:dyDescent="0.2">
      <c r="A2943" s="3"/>
      <c r="B2943" s="6"/>
      <c r="C2943" s="3"/>
      <c r="D2943" s="6"/>
      <c r="E2943" s="6"/>
      <c r="F2943" s="6"/>
      <c r="G2943" s="7"/>
    </row>
    <row r="2944" spans="1:7" x14ac:dyDescent="0.2">
      <c r="A2944" s="3"/>
      <c r="B2944" s="6"/>
      <c r="C2944" s="3"/>
      <c r="D2944" s="6"/>
      <c r="E2944" s="6"/>
      <c r="F2944" s="6"/>
      <c r="G2944" s="7"/>
    </row>
    <row r="2945" spans="1:7" x14ac:dyDescent="0.2">
      <c r="A2945" s="3"/>
      <c r="B2945" s="6"/>
      <c r="C2945" s="3"/>
      <c r="D2945" s="6"/>
      <c r="E2945" s="6"/>
      <c r="F2945" s="6"/>
      <c r="G2945" s="7"/>
    </row>
    <row r="2946" spans="1:7" x14ac:dyDescent="0.2">
      <c r="A2946" s="3"/>
      <c r="B2946" s="6"/>
      <c r="C2946" s="3"/>
      <c r="D2946" s="6"/>
      <c r="E2946" s="6"/>
      <c r="F2946" s="6"/>
      <c r="G2946" s="7"/>
    </row>
    <row r="2947" spans="1:7" x14ac:dyDescent="0.2">
      <c r="A2947" s="3"/>
      <c r="B2947" s="6"/>
      <c r="C2947" s="3"/>
      <c r="D2947" s="6"/>
      <c r="E2947" s="6"/>
      <c r="F2947" s="6"/>
      <c r="G2947" s="7"/>
    </row>
    <row r="2948" spans="1:7" x14ac:dyDescent="0.2">
      <c r="A2948" s="3"/>
      <c r="B2948" s="6"/>
      <c r="C2948" s="3"/>
      <c r="D2948" s="6"/>
      <c r="E2948" s="6"/>
      <c r="F2948" s="6"/>
      <c r="G2948" s="7"/>
    </row>
    <row r="2949" spans="1:7" x14ac:dyDescent="0.2">
      <c r="A2949" s="3"/>
      <c r="B2949" s="6"/>
      <c r="C2949" s="3"/>
      <c r="D2949" s="6"/>
      <c r="E2949" s="6"/>
      <c r="F2949" s="6"/>
      <c r="G2949" s="7"/>
    </row>
    <row r="2950" spans="1:7" x14ac:dyDescent="0.2">
      <c r="A2950" s="3"/>
      <c r="B2950" s="6"/>
      <c r="C2950" s="3"/>
      <c r="D2950" s="6"/>
      <c r="E2950" s="6"/>
      <c r="F2950" s="6"/>
      <c r="G2950" s="7"/>
    </row>
    <row r="2951" spans="1:7" x14ac:dyDescent="0.2">
      <c r="A2951" s="3"/>
      <c r="B2951" s="6"/>
      <c r="C2951" s="3"/>
      <c r="D2951" s="6"/>
      <c r="E2951" s="6"/>
      <c r="F2951" s="6"/>
      <c r="G2951" s="7"/>
    </row>
    <row r="2952" spans="1:7" x14ac:dyDescent="0.2">
      <c r="A2952" s="3"/>
      <c r="B2952" s="6"/>
      <c r="C2952" s="3"/>
      <c r="D2952" s="6"/>
      <c r="E2952" s="6"/>
      <c r="F2952" s="6"/>
      <c r="G2952" s="7"/>
    </row>
    <row r="2953" spans="1:7" x14ac:dyDescent="0.2">
      <c r="A2953" s="3"/>
      <c r="B2953" s="6"/>
      <c r="C2953" s="3"/>
      <c r="D2953" s="6"/>
      <c r="E2953" s="6"/>
      <c r="F2953" s="6"/>
      <c r="G2953" s="7"/>
    </row>
    <row r="2954" spans="1:7" x14ac:dyDescent="0.2">
      <c r="A2954" s="3"/>
      <c r="B2954" s="6"/>
      <c r="C2954" s="3"/>
      <c r="D2954" s="6"/>
      <c r="E2954" s="6"/>
      <c r="F2954" s="6"/>
      <c r="G2954" s="7"/>
    </row>
    <row r="2955" spans="1:7" x14ac:dyDescent="0.2">
      <c r="A2955" s="3"/>
      <c r="B2955" s="6"/>
      <c r="C2955" s="3"/>
      <c r="D2955" s="6"/>
      <c r="E2955" s="6"/>
      <c r="F2955" s="6"/>
      <c r="G2955" s="7"/>
    </row>
    <row r="2956" spans="1:7" x14ac:dyDescent="0.2">
      <c r="A2956" s="3"/>
      <c r="B2956" s="6"/>
      <c r="C2956" s="3"/>
      <c r="D2956" s="6"/>
      <c r="E2956" s="6"/>
      <c r="F2956" s="6"/>
      <c r="G2956" s="7"/>
    </row>
    <row r="2957" spans="1:7" x14ac:dyDescent="0.2">
      <c r="A2957" s="3"/>
      <c r="B2957" s="6"/>
      <c r="C2957" s="3"/>
      <c r="D2957" s="6"/>
      <c r="E2957" s="6"/>
      <c r="F2957" s="6"/>
      <c r="G2957" s="7"/>
    </row>
    <row r="2958" spans="1:7" x14ac:dyDescent="0.2">
      <c r="A2958" s="3"/>
      <c r="B2958" s="6"/>
      <c r="C2958" s="3"/>
      <c r="D2958" s="6"/>
      <c r="E2958" s="6"/>
      <c r="F2958" s="6"/>
      <c r="G2958" s="7"/>
    </row>
    <row r="2959" spans="1:7" x14ac:dyDescent="0.2">
      <c r="A2959" s="3"/>
      <c r="B2959" s="6"/>
      <c r="C2959" s="3"/>
      <c r="D2959" s="6"/>
      <c r="E2959" s="6"/>
      <c r="F2959" s="6"/>
      <c r="G2959" s="7"/>
    </row>
    <row r="2960" spans="1:7" x14ac:dyDescent="0.2">
      <c r="A2960" s="3"/>
      <c r="B2960" s="6"/>
      <c r="C2960" s="3"/>
      <c r="D2960" s="6"/>
      <c r="E2960" s="6"/>
      <c r="F2960" s="6"/>
      <c r="G2960" s="7"/>
    </row>
    <row r="2961" spans="1:7" x14ac:dyDescent="0.2">
      <c r="A2961" s="3"/>
      <c r="B2961" s="6"/>
      <c r="C2961" s="3"/>
      <c r="D2961" s="6"/>
      <c r="E2961" s="6"/>
      <c r="F2961" s="6"/>
      <c r="G2961" s="7"/>
    </row>
    <row r="2962" spans="1:7" x14ac:dyDescent="0.2">
      <c r="A2962" s="3"/>
      <c r="B2962" s="6"/>
      <c r="C2962" s="3"/>
      <c r="D2962" s="6"/>
      <c r="E2962" s="6"/>
      <c r="F2962" s="6"/>
      <c r="G2962" s="7"/>
    </row>
    <row r="2963" spans="1:7" x14ac:dyDescent="0.2">
      <c r="A2963" s="3"/>
      <c r="B2963" s="6"/>
      <c r="C2963" s="3"/>
      <c r="D2963" s="6"/>
      <c r="E2963" s="6"/>
      <c r="F2963" s="6"/>
      <c r="G2963" s="7"/>
    </row>
    <row r="2964" spans="1:7" x14ac:dyDescent="0.2">
      <c r="A2964" s="3"/>
      <c r="B2964" s="6"/>
      <c r="C2964" s="3"/>
      <c r="D2964" s="6"/>
      <c r="E2964" s="6"/>
      <c r="F2964" s="6"/>
      <c r="G2964" s="7"/>
    </row>
    <row r="2965" spans="1:7" x14ac:dyDescent="0.2">
      <c r="A2965" s="3"/>
      <c r="B2965" s="6"/>
      <c r="C2965" s="3"/>
      <c r="D2965" s="6"/>
      <c r="E2965" s="6"/>
      <c r="F2965" s="6"/>
      <c r="G2965" s="7"/>
    </row>
    <row r="2966" spans="1:7" x14ac:dyDescent="0.2">
      <c r="A2966" s="3"/>
      <c r="B2966" s="6"/>
      <c r="C2966" s="3"/>
      <c r="D2966" s="6"/>
      <c r="E2966" s="6"/>
      <c r="F2966" s="6"/>
      <c r="G2966" s="7"/>
    </row>
    <row r="2967" spans="1:7" x14ac:dyDescent="0.2">
      <c r="A2967" s="3"/>
      <c r="B2967" s="6"/>
      <c r="C2967" s="3"/>
      <c r="D2967" s="6"/>
      <c r="E2967" s="6"/>
      <c r="F2967" s="6"/>
      <c r="G2967" s="7"/>
    </row>
    <row r="2968" spans="1:7" x14ac:dyDescent="0.2">
      <c r="A2968" s="3"/>
      <c r="B2968" s="6"/>
      <c r="C2968" s="3"/>
      <c r="D2968" s="6"/>
      <c r="E2968" s="6"/>
      <c r="F2968" s="6"/>
      <c r="G2968" s="7"/>
    </row>
    <row r="2969" spans="1:7" x14ac:dyDescent="0.2">
      <c r="A2969" s="3"/>
      <c r="B2969" s="6"/>
      <c r="C2969" s="3"/>
      <c r="D2969" s="6"/>
      <c r="E2969" s="6"/>
      <c r="F2969" s="6"/>
      <c r="G2969" s="7"/>
    </row>
    <row r="2970" spans="1:7" x14ac:dyDescent="0.2">
      <c r="A2970" s="3"/>
      <c r="B2970" s="6"/>
      <c r="C2970" s="3"/>
      <c r="D2970" s="6"/>
      <c r="E2970" s="6"/>
      <c r="F2970" s="6"/>
      <c r="G2970" s="7"/>
    </row>
    <row r="2971" spans="1:7" x14ac:dyDescent="0.2">
      <c r="A2971" s="3"/>
      <c r="B2971" s="6"/>
      <c r="C2971" s="3"/>
      <c r="D2971" s="6"/>
      <c r="E2971" s="6"/>
      <c r="F2971" s="6"/>
      <c r="G2971" s="7"/>
    </row>
    <row r="2972" spans="1:7" x14ac:dyDescent="0.2">
      <c r="A2972" s="3"/>
      <c r="B2972" s="6"/>
      <c r="C2972" s="3"/>
      <c r="D2972" s="6"/>
      <c r="E2972" s="6"/>
      <c r="F2972" s="6"/>
      <c r="G2972" s="7"/>
    </row>
    <row r="2973" spans="1:7" x14ac:dyDescent="0.2">
      <c r="A2973" s="3"/>
      <c r="B2973" s="6"/>
      <c r="C2973" s="3"/>
      <c r="D2973" s="6"/>
      <c r="E2973" s="6"/>
      <c r="F2973" s="6"/>
      <c r="G2973" s="7"/>
    </row>
    <row r="2974" spans="1:7" x14ac:dyDescent="0.2">
      <c r="A2974" s="3"/>
      <c r="B2974" s="6"/>
      <c r="C2974" s="3"/>
      <c r="D2974" s="6"/>
      <c r="E2974" s="6"/>
      <c r="F2974" s="6"/>
      <c r="G2974" s="7"/>
    </row>
    <row r="2975" spans="1:7" x14ac:dyDescent="0.2">
      <c r="A2975" s="3"/>
      <c r="B2975" s="6"/>
      <c r="C2975" s="3"/>
      <c r="D2975" s="6"/>
      <c r="E2975" s="6"/>
      <c r="F2975" s="6"/>
      <c r="G2975" s="7"/>
    </row>
    <row r="2976" spans="1:7" x14ac:dyDescent="0.2">
      <c r="A2976" s="3"/>
      <c r="B2976" s="6"/>
      <c r="C2976" s="3"/>
      <c r="D2976" s="6"/>
      <c r="E2976" s="6"/>
      <c r="F2976" s="6"/>
      <c r="G2976" s="7"/>
    </row>
    <row r="2977" spans="1:7" x14ac:dyDescent="0.2">
      <c r="A2977" s="3"/>
      <c r="B2977" s="6"/>
      <c r="C2977" s="3"/>
      <c r="D2977" s="6"/>
      <c r="E2977" s="6"/>
      <c r="F2977" s="6"/>
      <c r="G2977" s="7"/>
    </row>
    <row r="2978" spans="1:7" x14ac:dyDescent="0.2">
      <c r="A2978" s="3"/>
      <c r="B2978" s="6"/>
      <c r="C2978" s="3"/>
      <c r="D2978" s="6"/>
      <c r="E2978" s="6"/>
      <c r="F2978" s="6"/>
      <c r="G2978" s="7"/>
    </row>
    <row r="2979" spans="1:7" x14ac:dyDescent="0.2">
      <c r="A2979" s="3"/>
      <c r="B2979" s="6"/>
      <c r="C2979" s="3"/>
      <c r="D2979" s="6"/>
      <c r="E2979" s="6"/>
      <c r="F2979" s="6"/>
      <c r="G2979" s="7"/>
    </row>
    <row r="2980" spans="1:7" x14ac:dyDescent="0.2">
      <c r="A2980" s="3"/>
      <c r="B2980" s="6"/>
      <c r="C2980" s="3"/>
      <c r="D2980" s="6"/>
      <c r="E2980" s="6"/>
      <c r="F2980" s="6"/>
      <c r="G2980" s="7"/>
    </row>
    <row r="2981" spans="1:7" x14ac:dyDescent="0.2">
      <c r="A2981" s="3"/>
      <c r="B2981" s="6"/>
      <c r="C2981" s="3"/>
      <c r="D2981" s="6"/>
      <c r="E2981" s="6"/>
      <c r="F2981" s="6"/>
      <c r="G2981" s="7"/>
    </row>
    <row r="2982" spans="1:7" x14ac:dyDescent="0.2">
      <c r="A2982" s="3"/>
      <c r="B2982" s="6"/>
      <c r="C2982" s="3"/>
      <c r="D2982" s="6"/>
      <c r="E2982" s="6"/>
      <c r="F2982" s="6"/>
      <c r="G2982" s="7"/>
    </row>
    <row r="2983" spans="1:7" x14ac:dyDescent="0.2">
      <c r="A2983" s="3"/>
      <c r="B2983" s="6"/>
      <c r="C2983" s="3"/>
      <c r="D2983" s="6"/>
      <c r="E2983" s="6"/>
      <c r="F2983" s="6"/>
      <c r="G2983" s="7"/>
    </row>
    <row r="2984" spans="1:7" x14ac:dyDescent="0.2">
      <c r="A2984" s="3"/>
      <c r="B2984" s="6"/>
      <c r="C2984" s="3"/>
      <c r="D2984" s="6"/>
      <c r="E2984" s="6"/>
      <c r="F2984" s="6"/>
      <c r="G2984" s="7"/>
    </row>
    <row r="2985" spans="1:7" x14ac:dyDescent="0.2">
      <c r="A2985" s="3"/>
      <c r="B2985" s="6"/>
      <c r="C2985" s="3"/>
      <c r="D2985" s="6"/>
      <c r="E2985" s="6"/>
      <c r="F2985" s="6"/>
      <c r="G2985" s="7"/>
    </row>
    <row r="2986" spans="1:7" x14ac:dyDescent="0.2">
      <c r="A2986" s="3"/>
      <c r="B2986" s="6"/>
      <c r="C2986" s="3"/>
      <c r="D2986" s="6"/>
      <c r="E2986" s="6"/>
      <c r="F2986" s="6"/>
      <c r="G2986" s="7"/>
    </row>
    <row r="2987" spans="1:7" x14ac:dyDescent="0.2">
      <c r="A2987" s="3"/>
      <c r="B2987" s="6"/>
      <c r="C2987" s="3"/>
      <c r="D2987" s="6"/>
      <c r="E2987" s="6"/>
      <c r="F2987" s="6"/>
      <c r="G2987" s="7"/>
    </row>
    <row r="2988" spans="1:7" x14ac:dyDescent="0.2">
      <c r="A2988" s="3"/>
      <c r="B2988" s="6"/>
      <c r="C2988" s="3"/>
      <c r="D2988" s="6"/>
      <c r="E2988" s="6"/>
      <c r="F2988" s="6"/>
      <c r="G2988" s="7"/>
    </row>
    <row r="2989" spans="1:7" x14ac:dyDescent="0.2">
      <c r="A2989" s="3"/>
      <c r="B2989" s="6"/>
      <c r="C2989" s="3"/>
      <c r="D2989" s="6"/>
      <c r="E2989" s="6"/>
      <c r="F2989" s="6"/>
      <c r="G2989" s="7"/>
    </row>
    <row r="2990" spans="1:7" x14ac:dyDescent="0.2">
      <c r="A2990" s="3"/>
      <c r="B2990" s="6"/>
      <c r="C2990" s="3"/>
      <c r="D2990" s="6"/>
      <c r="E2990" s="6"/>
      <c r="F2990" s="6"/>
      <c r="G2990" s="7"/>
    </row>
    <row r="2991" spans="1:7" x14ac:dyDescent="0.2">
      <c r="A2991" s="3"/>
      <c r="B2991" s="6"/>
      <c r="C2991" s="3"/>
      <c r="D2991" s="6"/>
      <c r="E2991" s="6"/>
      <c r="F2991" s="6"/>
      <c r="G2991" s="7"/>
    </row>
    <row r="2992" spans="1:7" x14ac:dyDescent="0.2">
      <c r="A2992" s="3"/>
      <c r="B2992" s="6"/>
      <c r="C2992" s="3"/>
      <c r="D2992" s="6"/>
      <c r="E2992" s="6"/>
      <c r="F2992" s="6"/>
      <c r="G2992" s="7"/>
    </row>
    <row r="2993" spans="1:7" x14ac:dyDescent="0.2">
      <c r="A2993" s="3"/>
      <c r="B2993" s="6"/>
      <c r="C2993" s="3"/>
      <c r="D2993" s="6"/>
      <c r="E2993" s="6"/>
      <c r="F2993" s="6"/>
      <c r="G2993" s="7"/>
    </row>
    <row r="2994" spans="1:7" x14ac:dyDescent="0.2">
      <c r="A2994" s="3"/>
      <c r="B2994" s="6"/>
      <c r="C2994" s="3"/>
      <c r="D2994" s="6"/>
      <c r="E2994" s="6"/>
      <c r="F2994" s="6"/>
      <c r="G2994" s="7"/>
    </row>
    <row r="2995" spans="1:7" x14ac:dyDescent="0.2">
      <c r="A2995" s="3"/>
      <c r="B2995" s="6"/>
      <c r="C2995" s="3"/>
      <c r="D2995" s="6"/>
      <c r="E2995" s="6"/>
      <c r="F2995" s="6"/>
      <c r="G2995" s="7"/>
    </row>
    <row r="2996" spans="1:7" x14ac:dyDescent="0.2">
      <c r="A2996" s="3"/>
      <c r="B2996" s="6"/>
      <c r="C2996" s="3"/>
      <c r="D2996" s="6"/>
      <c r="E2996" s="6"/>
      <c r="F2996" s="6"/>
      <c r="G2996" s="7"/>
    </row>
    <row r="2997" spans="1:7" x14ac:dyDescent="0.2">
      <c r="A2997" s="3"/>
      <c r="B2997" s="6"/>
      <c r="C2997" s="3"/>
      <c r="D2997" s="6"/>
      <c r="E2997" s="6"/>
      <c r="F2997" s="6"/>
      <c r="G2997" s="7"/>
    </row>
    <row r="2998" spans="1:7" x14ac:dyDescent="0.2">
      <c r="A2998" s="3"/>
      <c r="B2998" s="6"/>
      <c r="C2998" s="3"/>
      <c r="D2998" s="6"/>
      <c r="E2998" s="6"/>
      <c r="F2998" s="6"/>
      <c r="G2998" s="7"/>
    </row>
    <row r="2999" spans="1:7" x14ac:dyDescent="0.2">
      <c r="A2999" s="3"/>
      <c r="B2999" s="6"/>
      <c r="C2999" s="3"/>
      <c r="D2999" s="6"/>
      <c r="E2999" s="6"/>
      <c r="F2999" s="6"/>
      <c r="G2999" s="7"/>
    </row>
    <row r="3000" spans="1:7" x14ac:dyDescent="0.2">
      <c r="A3000" s="3"/>
      <c r="B3000" s="6"/>
      <c r="C3000" s="3"/>
      <c r="D3000" s="6"/>
      <c r="E3000" s="6"/>
      <c r="F3000" s="6"/>
      <c r="G3000" s="7"/>
    </row>
    <row r="3001" spans="1:7" x14ac:dyDescent="0.2">
      <c r="A3001" s="3"/>
      <c r="B3001" s="6"/>
      <c r="C3001" s="3"/>
      <c r="D3001" s="6"/>
      <c r="E3001" s="6"/>
      <c r="F3001" s="6"/>
      <c r="G3001" s="7"/>
    </row>
    <row r="3002" spans="1:7" x14ac:dyDescent="0.2">
      <c r="A3002" s="3"/>
      <c r="B3002" s="6"/>
      <c r="C3002" s="3"/>
      <c r="D3002" s="6"/>
      <c r="E3002" s="6"/>
      <c r="F3002" s="6"/>
      <c r="G3002" s="7"/>
    </row>
    <row r="3003" spans="1:7" x14ac:dyDescent="0.2">
      <c r="A3003" s="3"/>
      <c r="B3003" s="6"/>
      <c r="C3003" s="3"/>
      <c r="D3003" s="6"/>
      <c r="E3003" s="6"/>
      <c r="F3003" s="6"/>
      <c r="G3003" s="7"/>
    </row>
    <row r="3004" spans="1:7" x14ac:dyDescent="0.2">
      <c r="A3004" s="3"/>
      <c r="B3004" s="6"/>
      <c r="C3004" s="3"/>
      <c r="D3004" s="6"/>
      <c r="E3004" s="6"/>
      <c r="F3004" s="6"/>
      <c r="G3004" s="7"/>
    </row>
    <row r="3005" spans="1:7" x14ac:dyDescent="0.2">
      <c r="A3005" s="3"/>
      <c r="B3005" s="6"/>
      <c r="C3005" s="3"/>
      <c r="D3005" s="6"/>
      <c r="E3005" s="6"/>
      <c r="F3005" s="6"/>
      <c r="G3005" s="7"/>
    </row>
    <row r="3006" spans="1:7" x14ac:dyDescent="0.2">
      <c r="A3006" s="3"/>
      <c r="B3006" s="6"/>
      <c r="C3006" s="3"/>
      <c r="D3006" s="6"/>
      <c r="E3006" s="6"/>
      <c r="F3006" s="6"/>
      <c r="G3006" s="7"/>
    </row>
    <row r="3007" spans="1:7" x14ac:dyDescent="0.2">
      <c r="A3007" s="3"/>
      <c r="B3007" s="6"/>
      <c r="C3007" s="3"/>
      <c r="D3007" s="6"/>
      <c r="E3007" s="6"/>
      <c r="F3007" s="6"/>
      <c r="G3007" s="7"/>
    </row>
    <row r="3008" spans="1:7" x14ac:dyDescent="0.2">
      <c r="A3008" s="3"/>
      <c r="B3008" s="6"/>
      <c r="C3008" s="3"/>
      <c r="D3008" s="6"/>
      <c r="E3008" s="6"/>
      <c r="F3008" s="6"/>
      <c r="G3008" s="7"/>
    </row>
    <row r="3009" spans="1:7" x14ac:dyDescent="0.2">
      <c r="A3009" s="3"/>
      <c r="B3009" s="6"/>
      <c r="C3009" s="3"/>
      <c r="D3009" s="6"/>
      <c r="E3009" s="6"/>
      <c r="F3009" s="6"/>
      <c r="G3009" s="7"/>
    </row>
    <row r="3010" spans="1:7" x14ac:dyDescent="0.2">
      <c r="A3010" s="3"/>
      <c r="B3010" s="6"/>
      <c r="C3010" s="3"/>
      <c r="D3010" s="6"/>
      <c r="E3010" s="6"/>
      <c r="F3010" s="6"/>
      <c r="G3010" s="7"/>
    </row>
    <row r="3011" spans="1:7" x14ac:dyDescent="0.2">
      <c r="A3011" s="3"/>
      <c r="B3011" s="6"/>
      <c r="C3011" s="3"/>
      <c r="D3011" s="6"/>
      <c r="E3011" s="6"/>
      <c r="F3011" s="6"/>
      <c r="G3011" s="7"/>
    </row>
    <row r="3012" spans="1:7" x14ac:dyDescent="0.2">
      <c r="A3012" s="3"/>
      <c r="B3012" s="6"/>
      <c r="C3012" s="3"/>
      <c r="D3012" s="6"/>
      <c r="E3012" s="6"/>
      <c r="F3012" s="6"/>
      <c r="G3012" s="7"/>
    </row>
    <row r="3013" spans="1:7" x14ac:dyDescent="0.2">
      <c r="A3013" s="3"/>
      <c r="B3013" s="6"/>
      <c r="C3013" s="3"/>
      <c r="D3013" s="6"/>
      <c r="E3013" s="6"/>
      <c r="F3013" s="6"/>
      <c r="G3013" s="7"/>
    </row>
    <row r="3014" spans="1:7" x14ac:dyDescent="0.2">
      <c r="A3014" s="3"/>
      <c r="B3014" s="6"/>
      <c r="C3014" s="3"/>
      <c r="D3014" s="6"/>
      <c r="E3014" s="6"/>
      <c r="F3014" s="6"/>
      <c r="G3014" s="7"/>
    </row>
    <row r="3015" spans="1:7" x14ac:dyDescent="0.2">
      <c r="A3015" s="3"/>
      <c r="B3015" s="6"/>
      <c r="C3015" s="3"/>
      <c r="D3015" s="6"/>
      <c r="E3015" s="6"/>
      <c r="F3015" s="6"/>
      <c r="G3015" s="7"/>
    </row>
    <row r="3016" spans="1:7" x14ac:dyDescent="0.2">
      <c r="A3016" s="3"/>
      <c r="B3016" s="6"/>
      <c r="C3016" s="3"/>
      <c r="D3016" s="6"/>
      <c r="E3016" s="6"/>
      <c r="F3016" s="6"/>
      <c r="G3016" s="7"/>
    </row>
    <row r="3017" spans="1:7" x14ac:dyDescent="0.2">
      <c r="A3017" s="3"/>
      <c r="B3017" s="6"/>
      <c r="C3017" s="3"/>
      <c r="D3017" s="6"/>
      <c r="E3017" s="6"/>
      <c r="F3017" s="6"/>
      <c r="G3017" s="7"/>
    </row>
    <row r="3018" spans="1:7" x14ac:dyDescent="0.2">
      <c r="A3018" s="3"/>
      <c r="B3018" s="6"/>
      <c r="C3018" s="3"/>
      <c r="D3018" s="6"/>
      <c r="E3018" s="6"/>
      <c r="F3018" s="6"/>
      <c r="G3018" s="7"/>
    </row>
    <row r="3019" spans="1:7" x14ac:dyDescent="0.2">
      <c r="A3019" s="3"/>
      <c r="B3019" s="6"/>
      <c r="C3019" s="3"/>
      <c r="D3019" s="6"/>
      <c r="E3019" s="6"/>
      <c r="F3019" s="6"/>
      <c r="G3019" s="7"/>
    </row>
    <row r="3020" spans="1:7" x14ac:dyDescent="0.2">
      <c r="A3020" s="3"/>
      <c r="B3020" s="6"/>
      <c r="C3020" s="3"/>
      <c r="D3020" s="6"/>
      <c r="E3020" s="6"/>
      <c r="F3020" s="6"/>
      <c r="G3020" s="7"/>
    </row>
    <row r="3021" spans="1:7" x14ac:dyDescent="0.2">
      <c r="A3021" s="3"/>
      <c r="B3021" s="6"/>
      <c r="C3021" s="3"/>
      <c r="D3021" s="6"/>
      <c r="E3021" s="6"/>
      <c r="F3021" s="6"/>
      <c r="G3021" s="7"/>
    </row>
    <row r="3022" spans="1:7" x14ac:dyDescent="0.2">
      <c r="A3022" s="3"/>
      <c r="B3022" s="6"/>
      <c r="C3022" s="3"/>
      <c r="D3022" s="6"/>
      <c r="E3022" s="6"/>
      <c r="F3022" s="6"/>
      <c r="G3022" s="7"/>
    </row>
    <row r="3023" spans="1:7" x14ac:dyDescent="0.2">
      <c r="A3023" s="3"/>
      <c r="B3023" s="6"/>
      <c r="C3023" s="3"/>
      <c r="D3023" s="6"/>
      <c r="E3023" s="6"/>
      <c r="F3023" s="6"/>
      <c r="G3023" s="7"/>
    </row>
    <row r="3024" spans="1:7" x14ac:dyDescent="0.2">
      <c r="A3024" s="3"/>
      <c r="B3024" s="6"/>
      <c r="C3024" s="3"/>
      <c r="D3024" s="6"/>
      <c r="E3024" s="6"/>
      <c r="F3024" s="6"/>
      <c r="G3024" s="7"/>
    </row>
    <row r="3025" spans="1:7" x14ac:dyDescent="0.2">
      <c r="A3025" s="3"/>
      <c r="B3025" s="6"/>
      <c r="C3025" s="3"/>
      <c r="D3025" s="6"/>
      <c r="E3025" s="6"/>
      <c r="F3025" s="6"/>
      <c r="G3025" s="7"/>
    </row>
    <row r="3026" spans="1:7" x14ac:dyDescent="0.2">
      <c r="A3026" s="3"/>
      <c r="B3026" s="6"/>
      <c r="C3026" s="3"/>
      <c r="D3026" s="6"/>
      <c r="E3026" s="6"/>
      <c r="F3026" s="6"/>
      <c r="G3026" s="7"/>
    </row>
    <row r="3027" spans="1:7" x14ac:dyDescent="0.2">
      <c r="A3027" s="3"/>
      <c r="B3027" s="6"/>
      <c r="C3027" s="3"/>
      <c r="D3027" s="6"/>
      <c r="E3027" s="6"/>
      <c r="F3027" s="6"/>
      <c r="G3027" s="7"/>
    </row>
    <row r="3028" spans="1:7" x14ac:dyDescent="0.2">
      <c r="A3028" s="3"/>
      <c r="B3028" s="6"/>
      <c r="C3028" s="3"/>
      <c r="D3028" s="6"/>
      <c r="E3028" s="6"/>
      <c r="F3028" s="6"/>
      <c r="G3028" s="7"/>
    </row>
    <row r="3029" spans="1:7" x14ac:dyDescent="0.2">
      <c r="A3029" s="3"/>
      <c r="B3029" s="6"/>
      <c r="C3029" s="3"/>
      <c r="D3029" s="6"/>
      <c r="E3029" s="6"/>
      <c r="F3029" s="6"/>
      <c r="G3029" s="7"/>
    </row>
    <row r="3030" spans="1:7" x14ac:dyDescent="0.2">
      <c r="A3030" s="3"/>
      <c r="B3030" s="6"/>
      <c r="C3030" s="3"/>
      <c r="D3030" s="6"/>
      <c r="E3030" s="6"/>
      <c r="F3030" s="6"/>
      <c r="G3030" s="7"/>
    </row>
    <row r="3031" spans="1:7" x14ac:dyDescent="0.2">
      <c r="A3031" s="3"/>
      <c r="B3031" s="6"/>
      <c r="C3031" s="3"/>
      <c r="D3031" s="6"/>
      <c r="E3031" s="6"/>
      <c r="F3031" s="6"/>
      <c r="G3031" s="7"/>
    </row>
    <row r="3032" spans="1:7" x14ac:dyDescent="0.2">
      <c r="A3032" s="3"/>
      <c r="B3032" s="6"/>
      <c r="C3032" s="3"/>
      <c r="D3032" s="6"/>
      <c r="E3032" s="6"/>
      <c r="F3032" s="6"/>
      <c r="G3032" s="7"/>
    </row>
    <row r="3033" spans="1:7" x14ac:dyDescent="0.2">
      <c r="A3033" s="3"/>
      <c r="B3033" s="6"/>
      <c r="C3033" s="3"/>
      <c r="D3033" s="6"/>
      <c r="E3033" s="6"/>
      <c r="F3033" s="6"/>
      <c r="G3033" s="7"/>
    </row>
    <row r="3034" spans="1:7" x14ac:dyDescent="0.2">
      <c r="A3034" s="3"/>
      <c r="B3034" s="6"/>
      <c r="C3034" s="3"/>
      <c r="D3034" s="6"/>
      <c r="E3034" s="6"/>
      <c r="F3034" s="6"/>
      <c r="G3034" s="7"/>
    </row>
    <row r="3035" spans="1:7" x14ac:dyDescent="0.2">
      <c r="A3035" s="3"/>
      <c r="B3035" s="6"/>
      <c r="C3035" s="3"/>
      <c r="D3035" s="6"/>
      <c r="E3035" s="6"/>
      <c r="F3035" s="6"/>
      <c r="G3035" s="7"/>
    </row>
    <row r="3036" spans="1:7" x14ac:dyDescent="0.2">
      <c r="A3036" s="3"/>
      <c r="B3036" s="6"/>
      <c r="C3036" s="3"/>
      <c r="D3036" s="6"/>
      <c r="E3036" s="6"/>
      <c r="F3036" s="6"/>
      <c r="G3036" s="7"/>
    </row>
    <row r="3037" spans="1:7" x14ac:dyDescent="0.2">
      <c r="A3037" s="3"/>
      <c r="B3037" s="6"/>
      <c r="C3037" s="3"/>
      <c r="D3037" s="6"/>
      <c r="E3037" s="6"/>
      <c r="F3037" s="6"/>
      <c r="G3037" s="7"/>
    </row>
    <row r="3038" spans="1:7" x14ac:dyDescent="0.2">
      <c r="A3038" s="3"/>
      <c r="B3038" s="6"/>
      <c r="C3038" s="3"/>
      <c r="D3038" s="6"/>
      <c r="E3038" s="6"/>
      <c r="F3038" s="6"/>
      <c r="G3038" s="7"/>
    </row>
    <row r="3039" spans="1:7" x14ac:dyDescent="0.2">
      <c r="A3039" s="3"/>
      <c r="B3039" s="6"/>
      <c r="C3039" s="3"/>
      <c r="D3039" s="6"/>
      <c r="E3039" s="6"/>
      <c r="F3039" s="6"/>
      <c r="G3039" s="7"/>
    </row>
    <row r="3040" spans="1:7" x14ac:dyDescent="0.2">
      <c r="A3040" s="3"/>
      <c r="B3040" s="6"/>
      <c r="C3040" s="3"/>
      <c r="D3040" s="6"/>
      <c r="E3040" s="6"/>
      <c r="F3040" s="6"/>
      <c r="G3040" s="7"/>
    </row>
    <row r="3041" spans="1:7" x14ac:dyDescent="0.2">
      <c r="A3041" s="3"/>
      <c r="B3041" s="6"/>
      <c r="C3041" s="3"/>
      <c r="D3041" s="6"/>
      <c r="E3041" s="6"/>
      <c r="F3041" s="6"/>
      <c r="G3041" s="7"/>
    </row>
    <row r="3042" spans="1:7" x14ac:dyDescent="0.2">
      <c r="A3042" s="3"/>
      <c r="B3042" s="6"/>
      <c r="C3042" s="3"/>
      <c r="D3042" s="6"/>
      <c r="E3042" s="6"/>
      <c r="F3042" s="6"/>
      <c r="G3042" s="7"/>
    </row>
    <row r="3043" spans="1:7" x14ac:dyDescent="0.2">
      <c r="A3043" s="3"/>
      <c r="B3043" s="6"/>
      <c r="C3043" s="3"/>
      <c r="D3043" s="6"/>
      <c r="E3043" s="6"/>
      <c r="F3043" s="6"/>
      <c r="G3043" s="7"/>
    </row>
    <row r="3044" spans="1:7" x14ac:dyDescent="0.2">
      <c r="A3044" s="3"/>
      <c r="B3044" s="6"/>
      <c r="C3044" s="3"/>
      <c r="D3044" s="6"/>
      <c r="E3044" s="6"/>
      <c r="F3044" s="6"/>
      <c r="G3044" s="7"/>
    </row>
    <row r="3045" spans="1:7" x14ac:dyDescent="0.2">
      <c r="A3045" s="3"/>
      <c r="B3045" s="6"/>
      <c r="C3045" s="3"/>
      <c r="D3045" s="6"/>
      <c r="E3045" s="6"/>
      <c r="F3045" s="6"/>
      <c r="G3045" s="7"/>
    </row>
    <row r="3046" spans="1:7" x14ac:dyDescent="0.2">
      <c r="A3046" s="3"/>
      <c r="B3046" s="6"/>
      <c r="C3046" s="3"/>
      <c r="D3046" s="6"/>
      <c r="E3046" s="6"/>
      <c r="F3046" s="6"/>
      <c r="G3046" s="7"/>
    </row>
    <row r="3047" spans="1:7" x14ac:dyDescent="0.2">
      <c r="A3047" s="3"/>
      <c r="B3047" s="6"/>
      <c r="C3047" s="3"/>
      <c r="D3047" s="6"/>
      <c r="E3047" s="6"/>
      <c r="F3047" s="6"/>
      <c r="G3047" s="7"/>
    </row>
    <row r="3048" spans="1:7" x14ac:dyDescent="0.2">
      <c r="A3048" s="3"/>
      <c r="B3048" s="6"/>
      <c r="C3048" s="3"/>
      <c r="D3048" s="6"/>
      <c r="E3048" s="6"/>
      <c r="F3048" s="6"/>
      <c r="G3048" s="7"/>
    </row>
    <row r="3049" spans="1:7" x14ac:dyDescent="0.2">
      <c r="A3049" s="3"/>
      <c r="B3049" s="6"/>
      <c r="C3049" s="3"/>
      <c r="D3049" s="6"/>
      <c r="E3049" s="6"/>
      <c r="F3049" s="6"/>
      <c r="G3049" s="7"/>
    </row>
    <row r="3050" spans="1:7" x14ac:dyDescent="0.2">
      <c r="A3050" s="3"/>
      <c r="B3050" s="6"/>
      <c r="C3050" s="3"/>
      <c r="D3050" s="6"/>
      <c r="E3050" s="6"/>
      <c r="F3050" s="6"/>
      <c r="G3050" s="7"/>
    </row>
    <row r="3051" spans="1:7" x14ac:dyDescent="0.2">
      <c r="A3051" s="3"/>
      <c r="B3051" s="6"/>
      <c r="C3051" s="3"/>
      <c r="D3051" s="6"/>
      <c r="E3051" s="6"/>
      <c r="F3051" s="6"/>
      <c r="G3051" s="7"/>
    </row>
    <row r="3052" spans="1:7" x14ac:dyDescent="0.2">
      <c r="A3052" s="3"/>
      <c r="B3052" s="6"/>
      <c r="C3052" s="3"/>
      <c r="D3052" s="6"/>
      <c r="E3052" s="6"/>
      <c r="F3052" s="6"/>
      <c r="G3052" s="7"/>
    </row>
    <row r="3053" spans="1:7" x14ac:dyDescent="0.2">
      <c r="A3053" s="3"/>
      <c r="B3053" s="6"/>
      <c r="C3053" s="3"/>
      <c r="D3053" s="6"/>
      <c r="E3053" s="6"/>
      <c r="F3053" s="6"/>
      <c r="G3053" s="7"/>
    </row>
    <row r="3054" spans="1:7" x14ac:dyDescent="0.2">
      <c r="A3054" s="3"/>
      <c r="B3054" s="6"/>
      <c r="C3054" s="3"/>
      <c r="D3054" s="6"/>
      <c r="E3054" s="6"/>
      <c r="F3054" s="6"/>
      <c r="G3054" s="7"/>
    </row>
    <row r="3055" spans="1:7" x14ac:dyDescent="0.2">
      <c r="A3055" s="3"/>
      <c r="B3055" s="6"/>
      <c r="C3055" s="3"/>
      <c r="D3055" s="6"/>
      <c r="E3055" s="6"/>
      <c r="F3055" s="6"/>
      <c r="G3055" s="7"/>
    </row>
    <row r="3056" spans="1:7" x14ac:dyDescent="0.2">
      <c r="A3056" s="3"/>
      <c r="B3056" s="6"/>
      <c r="C3056" s="3"/>
      <c r="D3056" s="6"/>
      <c r="E3056" s="6"/>
      <c r="F3056" s="6"/>
      <c r="G3056" s="7"/>
    </row>
    <row r="3057" spans="1:7" x14ac:dyDescent="0.2">
      <c r="A3057" s="3"/>
      <c r="B3057" s="6"/>
      <c r="C3057" s="3"/>
      <c r="D3057" s="6"/>
      <c r="E3057" s="6"/>
      <c r="F3057" s="6"/>
      <c r="G3057" s="7"/>
    </row>
    <row r="3058" spans="1:7" x14ac:dyDescent="0.2">
      <c r="A3058" s="3"/>
      <c r="B3058" s="6"/>
      <c r="C3058" s="3"/>
      <c r="D3058" s="6"/>
      <c r="E3058" s="6"/>
      <c r="F3058" s="6"/>
      <c r="G3058" s="7"/>
    </row>
    <row r="3059" spans="1:7" x14ac:dyDescent="0.2">
      <c r="A3059" s="3"/>
      <c r="B3059" s="6"/>
      <c r="C3059" s="3"/>
      <c r="D3059" s="6"/>
      <c r="E3059" s="6"/>
      <c r="F3059" s="6"/>
      <c r="G3059" s="7"/>
    </row>
    <row r="3060" spans="1:7" x14ac:dyDescent="0.2">
      <c r="A3060" s="3"/>
      <c r="B3060" s="6"/>
      <c r="C3060" s="3"/>
      <c r="D3060" s="6"/>
      <c r="E3060" s="6"/>
      <c r="F3060" s="6"/>
      <c r="G3060" s="7"/>
    </row>
    <row r="3061" spans="1:7" x14ac:dyDescent="0.2">
      <c r="A3061" s="3"/>
      <c r="B3061" s="6"/>
      <c r="C3061" s="3"/>
      <c r="D3061" s="6"/>
      <c r="E3061" s="6"/>
      <c r="F3061" s="6"/>
      <c r="G3061" s="7"/>
    </row>
    <row r="3062" spans="1:7" x14ac:dyDescent="0.2">
      <c r="A3062" s="3"/>
      <c r="B3062" s="6"/>
      <c r="C3062" s="3"/>
      <c r="D3062" s="6"/>
      <c r="E3062" s="6"/>
      <c r="F3062" s="6"/>
      <c r="G3062" s="7"/>
    </row>
    <row r="3063" spans="1:7" x14ac:dyDescent="0.2">
      <c r="A3063" s="3"/>
      <c r="B3063" s="6"/>
      <c r="C3063" s="3"/>
      <c r="D3063" s="6"/>
      <c r="E3063" s="6"/>
      <c r="F3063" s="6"/>
      <c r="G3063" s="7"/>
    </row>
    <row r="3064" spans="1:7" x14ac:dyDescent="0.2">
      <c r="A3064" s="3"/>
      <c r="B3064" s="6"/>
      <c r="C3064" s="3"/>
      <c r="D3064" s="6"/>
      <c r="E3064" s="6"/>
      <c r="F3064" s="6"/>
      <c r="G3064" s="7"/>
    </row>
    <row r="3065" spans="1:7" x14ac:dyDescent="0.2">
      <c r="A3065" s="3"/>
      <c r="B3065" s="6"/>
      <c r="C3065" s="3"/>
      <c r="D3065" s="6"/>
      <c r="E3065" s="6"/>
      <c r="F3065" s="6"/>
      <c r="G3065" s="7"/>
    </row>
    <row r="3066" spans="1:7" x14ac:dyDescent="0.2">
      <c r="A3066" s="3"/>
      <c r="B3066" s="6"/>
      <c r="C3066" s="3"/>
      <c r="D3066" s="6"/>
      <c r="E3066" s="6"/>
      <c r="F3066" s="6"/>
      <c r="G3066" s="7"/>
    </row>
    <row r="3067" spans="1:7" x14ac:dyDescent="0.2">
      <c r="A3067" s="3"/>
      <c r="B3067" s="6"/>
      <c r="C3067" s="3"/>
      <c r="D3067" s="6"/>
      <c r="E3067" s="6"/>
      <c r="F3067" s="6"/>
      <c r="G3067" s="7"/>
    </row>
    <row r="3068" spans="1:7" x14ac:dyDescent="0.2">
      <c r="A3068" s="3"/>
      <c r="B3068" s="6"/>
      <c r="C3068" s="3"/>
      <c r="D3068" s="6"/>
      <c r="E3068" s="6"/>
      <c r="F3068" s="6"/>
      <c r="G3068" s="7"/>
    </row>
    <row r="3069" spans="1:7" x14ac:dyDescent="0.2">
      <c r="A3069" s="3"/>
      <c r="B3069" s="6"/>
      <c r="C3069" s="3"/>
      <c r="D3069" s="6"/>
      <c r="E3069" s="6"/>
      <c r="F3069" s="6"/>
      <c r="G3069" s="7"/>
    </row>
    <row r="3070" spans="1:7" x14ac:dyDescent="0.2">
      <c r="A3070" s="3"/>
      <c r="B3070" s="6"/>
      <c r="C3070" s="3"/>
      <c r="D3070" s="6"/>
      <c r="E3070" s="6"/>
      <c r="F3070" s="6"/>
      <c r="G3070" s="7"/>
    </row>
    <row r="3071" spans="1:7" x14ac:dyDescent="0.2">
      <c r="A3071" s="3"/>
      <c r="B3071" s="6"/>
      <c r="C3071" s="3"/>
      <c r="D3071" s="6"/>
      <c r="E3071" s="6"/>
      <c r="F3071" s="6"/>
      <c r="G3071" s="7"/>
    </row>
    <row r="3072" spans="1:7" x14ac:dyDescent="0.2">
      <c r="A3072" s="3"/>
      <c r="B3072" s="6"/>
      <c r="C3072" s="3"/>
      <c r="D3072" s="6"/>
      <c r="E3072" s="6"/>
      <c r="F3072" s="6"/>
      <c r="G3072" s="7"/>
    </row>
    <row r="3073" spans="1:7" x14ac:dyDescent="0.2">
      <c r="A3073" s="3"/>
      <c r="B3073" s="6"/>
      <c r="C3073" s="3"/>
      <c r="D3073" s="6"/>
      <c r="E3073" s="6"/>
      <c r="F3073" s="6"/>
      <c r="G3073" s="7"/>
    </row>
    <row r="3074" spans="1:7" x14ac:dyDescent="0.2">
      <c r="A3074" s="3"/>
      <c r="B3074" s="6"/>
      <c r="C3074" s="3"/>
      <c r="D3074" s="6"/>
      <c r="E3074" s="6"/>
      <c r="F3074" s="6"/>
      <c r="G3074" s="7"/>
    </row>
    <row r="3075" spans="1:7" x14ac:dyDescent="0.2">
      <c r="A3075" s="3"/>
      <c r="B3075" s="6"/>
      <c r="C3075" s="3"/>
      <c r="D3075" s="6"/>
      <c r="E3075" s="6"/>
      <c r="F3075" s="6"/>
      <c r="G3075" s="7"/>
    </row>
    <row r="3076" spans="1:7" x14ac:dyDescent="0.2">
      <c r="A3076" s="3"/>
      <c r="B3076" s="6"/>
      <c r="C3076" s="3"/>
      <c r="D3076" s="6"/>
      <c r="E3076" s="6"/>
      <c r="F3076" s="6"/>
      <c r="G3076" s="7"/>
    </row>
    <row r="3077" spans="1:7" x14ac:dyDescent="0.2">
      <c r="A3077" s="3"/>
      <c r="B3077" s="6"/>
      <c r="C3077" s="3"/>
      <c r="D3077" s="6"/>
      <c r="E3077" s="6"/>
      <c r="F3077" s="6"/>
      <c r="G3077" s="7"/>
    </row>
    <row r="3078" spans="1:7" x14ac:dyDescent="0.2">
      <c r="A3078" s="3"/>
      <c r="B3078" s="6"/>
      <c r="C3078" s="3"/>
      <c r="D3078" s="6"/>
      <c r="E3078" s="6"/>
      <c r="F3078" s="6"/>
      <c r="G3078" s="7"/>
    </row>
    <row r="3079" spans="1:7" x14ac:dyDescent="0.2">
      <c r="A3079" s="3"/>
      <c r="B3079" s="6"/>
      <c r="C3079" s="3"/>
      <c r="D3079" s="6"/>
      <c r="E3079" s="6"/>
      <c r="F3079" s="6"/>
      <c r="G3079" s="7"/>
    </row>
    <row r="3080" spans="1:7" x14ac:dyDescent="0.2">
      <c r="A3080" s="3"/>
      <c r="B3080" s="6"/>
      <c r="C3080" s="3"/>
      <c r="D3080" s="6"/>
      <c r="E3080" s="6"/>
      <c r="F3080" s="6"/>
      <c r="G3080" s="7"/>
    </row>
    <row r="3081" spans="1:7" x14ac:dyDescent="0.2">
      <c r="A3081" s="3"/>
      <c r="B3081" s="6"/>
      <c r="C3081" s="3"/>
      <c r="D3081" s="6"/>
      <c r="E3081" s="6"/>
      <c r="F3081" s="6"/>
      <c r="G3081" s="7"/>
    </row>
    <row r="3082" spans="1:7" x14ac:dyDescent="0.2">
      <c r="A3082" s="3"/>
      <c r="B3082" s="6"/>
      <c r="C3082" s="3"/>
      <c r="D3082" s="6"/>
      <c r="E3082" s="6"/>
      <c r="F3082" s="6"/>
      <c r="G3082" s="7"/>
    </row>
    <row r="3083" spans="1:7" x14ac:dyDescent="0.2">
      <c r="A3083" s="3"/>
      <c r="B3083" s="6"/>
      <c r="C3083" s="3"/>
      <c r="D3083" s="6"/>
      <c r="E3083" s="6"/>
      <c r="F3083" s="6"/>
      <c r="G3083" s="7"/>
    </row>
    <row r="3084" spans="1:7" x14ac:dyDescent="0.2">
      <c r="A3084" s="3"/>
      <c r="B3084" s="6"/>
      <c r="C3084" s="3"/>
      <c r="D3084" s="6"/>
      <c r="E3084" s="6"/>
      <c r="F3084" s="6"/>
      <c r="G3084" s="7"/>
    </row>
    <row r="3085" spans="1:7" x14ac:dyDescent="0.2">
      <c r="A3085" s="3"/>
      <c r="B3085" s="6"/>
      <c r="C3085" s="3"/>
      <c r="D3085" s="6"/>
      <c r="E3085" s="6"/>
      <c r="F3085" s="6"/>
      <c r="G3085" s="7"/>
    </row>
    <row r="3086" spans="1:7" x14ac:dyDescent="0.2">
      <c r="A3086" s="3"/>
      <c r="B3086" s="6"/>
      <c r="C3086" s="3"/>
      <c r="D3086" s="6"/>
      <c r="E3086" s="6"/>
      <c r="F3086" s="6"/>
      <c r="G3086" s="7"/>
    </row>
    <row r="3087" spans="1:7" x14ac:dyDescent="0.2">
      <c r="A3087" s="3"/>
      <c r="B3087" s="6"/>
      <c r="C3087" s="3"/>
      <c r="D3087" s="6"/>
      <c r="E3087" s="6"/>
      <c r="F3087" s="6"/>
      <c r="G3087" s="7"/>
    </row>
    <row r="3088" spans="1:7" x14ac:dyDescent="0.2">
      <c r="A3088" s="3"/>
      <c r="B3088" s="6"/>
      <c r="C3088" s="3"/>
      <c r="D3088" s="6"/>
      <c r="E3088" s="6"/>
      <c r="F3088" s="6"/>
      <c r="G3088" s="7"/>
    </row>
    <row r="3089" spans="1:7" x14ac:dyDescent="0.2">
      <c r="A3089" s="3"/>
      <c r="B3089" s="6"/>
      <c r="C3089" s="3"/>
      <c r="D3089" s="6"/>
      <c r="E3089" s="6"/>
      <c r="F3089" s="6"/>
      <c r="G3089" s="7"/>
    </row>
    <row r="3090" spans="1:7" x14ac:dyDescent="0.2">
      <c r="A3090" s="3"/>
      <c r="B3090" s="6"/>
      <c r="C3090" s="3"/>
      <c r="D3090" s="6"/>
      <c r="E3090" s="6"/>
      <c r="F3090" s="6"/>
      <c r="G3090" s="7"/>
    </row>
    <row r="3091" spans="1:7" x14ac:dyDescent="0.2">
      <c r="A3091" s="3"/>
      <c r="B3091" s="6"/>
      <c r="C3091" s="3"/>
      <c r="D3091" s="6"/>
      <c r="E3091" s="6"/>
      <c r="F3091" s="6"/>
      <c r="G3091" s="7"/>
    </row>
    <row r="3092" spans="1:7" x14ac:dyDescent="0.2">
      <c r="A3092" s="3"/>
      <c r="B3092" s="6"/>
      <c r="C3092" s="3"/>
      <c r="D3092" s="6"/>
      <c r="E3092" s="6"/>
      <c r="F3092" s="6"/>
      <c r="G3092" s="7"/>
    </row>
    <row r="3093" spans="1:7" x14ac:dyDescent="0.2">
      <c r="A3093" s="3"/>
      <c r="B3093" s="6"/>
      <c r="C3093" s="3"/>
      <c r="D3093" s="6"/>
      <c r="E3093" s="6"/>
      <c r="F3093" s="6"/>
      <c r="G3093" s="7"/>
    </row>
    <row r="3094" spans="1:7" x14ac:dyDescent="0.2">
      <c r="A3094" s="3"/>
      <c r="B3094" s="6"/>
      <c r="C3094" s="3"/>
      <c r="D3094" s="6"/>
      <c r="E3094" s="6"/>
      <c r="F3094" s="6"/>
      <c r="G3094" s="7"/>
    </row>
    <row r="3095" spans="1:7" x14ac:dyDescent="0.2">
      <c r="A3095" s="3"/>
      <c r="B3095" s="6"/>
      <c r="C3095" s="3"/>
      <c r="D3095" s="6"/>
      <c r="E3095" s="6"/>
      <c r="F3095" s="6"/>
      <c r="G3095" s="7"/>
    </row>
    <row r="3096" spans="1:7" x14ac:dyDescent="0.2">
      <c r="A3096" s="3"/>
      <c r="B3096" s="6"/>
      <c r="C3096" s="3"/>
      <c r="D3096" s="6"/>
      <c r="E3096" s="6"/>
      <c r="F3096" s="6"/>
      <c r="G3096" s="7"/>
    </row>
    <row r="3097" spans="1:7" x14ac:dyDescent="0.2">
      <c r="A3097" s="3"/>
      <c r="B3097" s="6"/>
      <c r="C3097" s="3"/>
      <c r="D3097" s="6"/>
      <c r="E3097" s="6"/>
      <c r="F3097" s="6"/>
      <c r="G3097" s="7"/>
    </row>
    <row r="3098" spans="1:7" x14ac:dyDescent="0.2">
      <c r="A3098" s="3"/>
      <c r="B3098" s="6"/>
      <c r="C3098" s="3"/>
      <c r="D3098" s="6"/>
      <c r="E3098" s="6"/>
      <c r="F3098" s="6"/>
      <c r="G3098" s="7"/>
    </row>
    <row r="3099" spans="1:7" x14ac:dyDescent="0.2">
      <c r="A3099" s="3"/>
      <c r="B3099" s="6"/>
      <c r="C3099" s="3"/>
      <c r="D3099" s="6"/>
      <c r="E3099" s="6"/>
      <c r="F3099" s="6"/>
      <c r="G3099" s="7"/>
    </row>
    <row r="3100" spans="1:7" x14ac:dyDescent="0.2">
      <c r="A3100" s="3"/>
      <c r="B3100" s="6"/>
      <c r="C3100" s="3"/>
      <c r="D3100" s="6"/>
      <c r="E3100" s="6"/>
      <c r="F3100" s="6"/>
      <c r="G3100" s="7"/>
    </row>
    <row r="3101" spans="1:7" x14ac:dyDescent="0.2">
      <c r="A3101" s="3"/>
      <c r="B3101" s="6"/>
      <c r="C3101" s="3"/>
      <c r="D3101" s="6"/>
      <c r="E3101" s="6"/>
      <c r="F3101" s="6"/>
      <c r="G3101" s="7"/>
    </row>
    <row r="3102" spans="1:7" x14ac:dyDescent="0.2">
      <c r="A3102" s="3"/>
      <c r="B3102" s="6"/>
      <c r="C3102" s="3"/>
      <c r="D3102" s="6"/>
      <c r="E3102" s="6"/>
      <c r="F3102" s="6"/>
      <c r="G3102" s="7"/>
    </row>
    <row r="3103" spans="1:7" x14ac:dyDescent="0.2">
      <c r="A3103" s="3"/>
      <c r="B3103" s="6"/>
      <c r="C3103" s="3"/>
      <c r="D3103" s="6"/>
      <c r="E3103" s="6"/>
      <c r="F3103" s="6"/>
      <c r="G3103" s="7"/>
    </row>
    <row r="3104" spans="1:7" x14ac:dyDescent="0.2">
      <c r="A3104" s="3"/>
      <c r="B3104" s="6"/>
      <c r="C3104" s="3"/>
      <c r="D3104" s="6"/>
      <c r="E3104" s="6"/>
      <c r="F3104" s="6"/>
      <c r="G3104" s="7"/>
    </row>
    <row r="3105" spans="1:7" x14ac:dyDescent="0.2">
      <c r="A3105" s="3"/>
      <c r="B3105" s="6"/>
      <c r="C3105" s="3"/>
      <c r="D3105" s="6"/>
      <c r="E3105" s="6"/>
      <c r="F3105" s="6"/>
      <c r="G3105" s="7"/>
    </row>
    <row r="3106" spans="1:7" x14ac:dyDescent="0.2">
      <c r="A3106" s="3"/>
      <c r="B3106" s="6"/>
      <c r="C3106" s="3"/>
      <c r="D3106" s="6"/>
      <c r="E3106" s="6"/>
      <c r="F3106" s="6"/>
      <c r="G3106" s="7"/>
    </row>
    <row r="3107" spans="1:7" x14ac:dyDescent="0.2">
      <c r="A3107" s="3"/>
      <c r="B3107" s="6"/>
      <c r="C3107" s="3"/>
      <c r="D3107" s="6"/>
      <c r="E3107" s="6"/>
      <c r="F3107" s="6"/>
      <c r="G3107" s="7"/>
    </row>
    <row r="3108" spans="1:7" x14ac:dyDescent="0.2">
      <c r="A3108" s="3"/>
      <c r="B3108" s="6"/>
      <c r="C3108" s="3"/>
      <c r="D3108" s="6"/>
      <c r="E3108" s="6"/>
      <c r="F3108" s="6"/>
      <c r="G3108" s="7"/>
    </row>
    <row r="3109" spans="1:7" x14ac:dyDescent="0.2">
      <c r="A3109" s="3"/>
      <c r="B3109" s="6"/>
      <c r="C3109" s="3"/>
      <c r="D3109" s="6"/>
      <c r="E3109" s="6"/>
      <c r="F3109" s="6"/>
      <c r="G3109" s="7"/>
    </row>
    <row r="3110" spans="1:7" x14ac:dyDescent="0.2">
      <c r="A3110" s="3"/>
      <c r="B3110" s="6"/>
      <c r="C3110" s="3"/>
      <c r="D3110" s="6"/>
      <c r="E3110" s="6"/>
      <c r="F3110" s="6"/>
      <c r="G3110" s="7"/>
    </row>
    <row r="3111" spans="1:7" x14ac:dyDescent="0.2">
      <c r="A3111" s="3"/>
      <c r="B3111" s="6"/>
      <c r="C3111" s="3"/>
      <c r="D3111" s="6"/>
      <c r="E3111" s="6"/>
      <c r="F3111" s="6"/>
      <c r="G3111" s="7"/>
    </row>
    <row r="3112" spans="1:7" x14ac:dyDescent="0.2">
      <c r="A3112" s="3"/>
      <c r="B3112" s="6"/>
      <c r="C3112" s="3"/>
      <c r="D3112" s="6"/>
      <c r="E3112" s="6"/>
      <c r="F3112" s="6"/>
      <c r="G3112" s="7"/>
    </row>
    <row r="3113" spans="1:7" x14ac:dyDescent="0.2">
      <c r="A3113" s="3"/>
      <c r="B3113" s="6"/>
      <c r="C3113" s="3"/>
      <c r="D3113" s="6"/>
      <c r="E3113" s="6"/>
      <c r="F3113" s="6"/>
      <c r="G3113" s="7"/>
    </row>
    <row r="3114" spans="1:7" x14ac:dyDescent="0.2">
      <c r="A3114" s="3"/>
      <c r="B3114" s="6"/>
      <c r="C3114" s="3"/>
      <c r="D3114" s="6"/>
      <c r="E3114" s="6"/>
      <c r="F3114" s="6"/>
      <c r="G3114" s="7"/>
    </row>
    <row r="3115" spans="1:7" x14ac:dyDescent="0.2">
      <c r="A3115" s="3"/>
      <c r="B3115" s="6"/>
      <c r="C3115" s="3"/>
      <c r="D3115" s="6"/>
      <c r="E3115" s="6"/>
      <c r="F3115" s="6"/>
      <c r="G3115" s="7"/>
    </row>
    <row r="3116" spans="1:7" x14ac:dyDescent="0.2">
      <c r="A3116" s="3"/>
      <c r="B3116" s="6"/>
      <c r="C3116" s="3"/>
      <c r="D3116" s="6"/>
      <c r="E3116" s="6"/>
      <c r="F3116" s="6"/>
      <c r="G3116" s="7"/>
    </row>
    <row r="3117" spans="1:7" x14ac:dyDescent="0.2">
      <c r="A3117" s="3"/>
      <c r="B3117" s="6"/>
      <c r="C3117" s="3"/>
      <c r="D3117" s="6"/>
      <c r="E3117" s="6"/>
      <c r="F3117" s="6"/>
      <c r="G3117" s="7"/>
    </row>
    <row r="3118" spans="1:7" x14ac:dyDescent="0.2">
      <c r="A3118" s="3"/>
      <c r="B3118" s="6"/>
      <c r="C3118" s="3"/>
      <c r="D3118" s="6"/>
      <c r="E3118" s="6"/>
      <c r="F3118" s="6"/>
      <c r="G3118" s="7"/>
    </row>
    <row r="3119" spans="1:7" x14ac:dyDescent="0.2">
      <c r="A3119" s="3"/>
      <c r="B3119" s="6"/>
      <c r="C3119" s="3"/>
      <c r="D3119" s="6"/>
      <c r="E3119" s="6"/>
      <c r="F3119" s="6"/>
      <c r="G3119" s="7"/>
    </row>
    <row r="3120" spans="1:7" x14ac:dyDescent="0.2">
      <c r="A3120" s="3"/>
      <c r="B3120" s="6"/>
      <c r="C3120" s="3"/>
      <c r="D3120" s="6"/>
      <c r="E3120" s="6"/>
      <c r="F3120" s="6"/>
      <c r="G3120" s="7"/>
    </row>
    <row r="3121" spans="1:7" x14ac:dyDescent="0.2">
      <c r="A3121" s="3"/>
      <c r="B3121" s="6"/>
      <c r="C3121" s="3"/>
      <c r="D3121" s="6"/>
      <c r="E3121" s="6"/>
      <c r="F3121" s="6"/>
      <c r="G3121" s="7"/>
    </row>
    <row r="3122" spans="1:7" x14ac:dyDescent="0.2">
      <c r="A3122" s="3"/>
      <c r="B3122" s="6"/>
      <c r="C3122" s="3"/>
      <c r="D3122" s="6"/>
      <c r="E3122" s="6"/>
      <c r="F3122" s="6"/>
      <c r="G3122" s="7"/>
    </row>
    <row r="3123" spans="1:7" x14ac:dyDescent="0.2">
      <c r="A3123" s="3"/>
      <c r="B3123" s="6"/>
      <c r="C3123" s="3"/>
      <c r="D3123" s="6"/>
      <c r="E3123" s="6"/>
      <c r="F3123" s="6"/>
      <c r="G3123" s="7"/>
    </row>
    <row r="3124" spans="1:7" x14ac:dyDescent="0.2">
      <c r="A3124" s="3"/>
      <c r="B3124" s="6"/>
      <c r="C3124" s="3"/>
      <c r="D3124" s="6"/>
      <c r="E3124" s="6"/>
      <c r="F3124" s="6"/>
      <c r="G3124" s="7"/>
    </row>
    <row r="3125" spans="1:7" x14ac:dyDescent="0.2">
      <c r="A3125" s="3"/>
      <c r="B3125" s="6"/>
      <c r="C3125" s="3"/>
      <c r="D3125" s="6"/>
      <c r="E3125" s="6"/>
      <c r="F3125" s="6"/>
      <c r="G3125" s="7"/>
    </row>
    <row r="3126" spans="1:7" x14ac:dyDescent="0.2">
      <c r="A3126" s="3"/>
      <c r="B3126" s="6"/>
      <c r="C3126" s="3"/>
      <c r="D3126" s="6"/>
      <c r="E3126" s="6"/>
      <c r="F3126" s="6"/>
      <c r="G3126" s="7"/>
    </row>
    <row r="3127" spans="1:7" x14ac:dyDescent="0.2">
      <c r="A3127" s="3"/>
      <c r="B3127" s="6"/>
      <c r="C3127" s="3"/>
      <c r="D3127" s="6"/>
      <c r="E3127" s="6"/>
      <c r="F3127" s="6"/>
      <c r="G3127" s="7"/>
    </row>
    <row r="3128" spans="1:7" x14ac:dyDescent="0.2">
      <c r="A3128" s="3"/>
      <c r="B3128" s="6"/>
      <c r="C3128" s="3"/>
      <c r="D3128" s="6"/>
      <c r="E3128" s="6"/>
      <c r="F3128" s="6"/>
      <c r="G3128" s="7"/>
    </row>
    <row r="3129" spans="1:7" x14ac:dyDescent="0.2">
      <c r="A3129" s="3"/>
      <c r="B3129" s="6"/>
      <c r="C3129" s="3"/>
      <c r="D3129" s="6"/>
      <c r="E3129" s="6"/>
      <c r="F3129" s="6"/>
      <c r="G3129" s="7"/>
    </row>
    <row r="3130" spans="1:7" x14ac:dyDescent="0.2">
      <c r="A3130" s="3"/>
      <c r="B3130" s="6"/>
      <c r="C3130" s="3"/>
      <c r="D3130" s="6"/>
      <c r="E3130" s="6"/>
      <c r="F3130" s="6"/>
      <c r="G3130" s="7"/>
    </row>
    <row r="3131" spans="1:7" x14ac:dyDescent="0.2">
      <c r="A3131" s="3"/>
      <c r="B3131" s="6"/>
      <c r="C3131" s="3"/>
      <c r="D3131" s="6"/>
      <c r="E3131" s="6"/>
      <c r="F3131" s="6"/>
      <c r="G3131" s="7"/>
    </row>
    <row r="3132" spans="1:7" x14ac:dyDescent="0.2">
      <c r="A3132" s="3"/>
      <c r="B3132" s="6"/>
      <c r="C3132" s="3"/>
      <c r="D3132" s="6"/>
      <c r="E3132" s="6"/>
      <c r="F3132" s="6"/>
      <c r="G3132" s="7"/>
    </row>
    <row r="3133" spans="1:7" x14ac:dyDescent="0.2">
      <c r="A3133" s="3"/>
      <c r="B3133" s="6"/>
      <c r="C3133" s="3"/>
      <c r="D3133" s="6"/>
      <c r="E3133" s="6"/>
      <c r="F3133" s="6"/>
      <c r="G3133" s="7"/>
    </row>
    <row r="3134" spans="1:7" x14ac:dyDescent="0.2">
      <c r="A3134" s="3"/>
      <c r="B3134" s="6"/>
      <c r="C3134" s="3"/>
      <c r="D3134" s="6"/>
      <c r="E3134" s="6"/>
      <c r="F3134" s="6"/>
      <c r="G3134" s="7"/>
    </row>
    <row r="3135" spans="1:7" x14ac:dyDescent="0.2">
      <c r="A3135" s="3"/>
      <c r="B3135" s="6"/>
      <c r="C3135" s="3"/>
      <c r="D3135" s="6"/>
      <c r="E3135" s="6"/>
      <c r="F3135" s="6"/>
      <c r="G3135" s="7"/>
    </row>
    <row r="3136" spans="1:7" x14ac:dyDescent="0.2">
      <c r="A3136" s="3"/>
      <c r="B3136" s="6"/>
      <c r="C3136" s="3"/>
      <c r="D3136" s="6"/>
      <c r="E3136" s="6"/>
      <c r="F3136" s="6"/>
      <c r="G3136" s="7"/>
    </row>
    <row r="3137" spans="1:7" x14ac:dyDescent="0.2">
      <c r="A3137" s="3"/>
      <c r="B3137" s="6"/>
      <c r="C3137" s="3"/>
      <c r="D3137" s="6"/>
      <c r="E3137" s="6"/>
      <c r="F3137" s="6"/>
      <c r="G3137" s="7"/>
    </row>
    <row r="3138" spans="1:7" x14ac:dyDescent="0.2">
      <c r="A3138" s="3"/>
      <c r="B3138" s="6"/>
      <c r="C3138" s="3"/>
      <c r="D3138" s="6"/>
      <c r="E3138" s="6"/>
      <c r="F3138" s="6"/>
      <c r="G3138" s="7"/>
    </row>
    <row r="3139" spans="1:7" x14ac:dyDescent="0.2">
      <c r="A3139" s="3"/>
      <c r="B3139" s="6"/>
      <c r="C3139" s="3"/>
      <c r="D3139" s="6"/>
      <c r="E3139" s="6"/>
      <c r="F3139" s="6"/>
      <c r="G3139" s="7"/>
    </row>
    <row r="3140" spans="1:7" x14ac:dyDescent="0.2">
      <c r="A3140" s="3"/>
      <c r="B3140" s="6"/>
      <c r="C3140" s="3"/>
      <c r="D3140" s="6"/>
      <c r="E3140" s="6"/>
      <c r="F3140" s="6"/>
      <c r="G3140" s="7"/>
    </row>
    <row r="3141" spans="1:7" x14ac:dyDescent="0.2">
      <c r="A3141" s="3"/>
      <c r="B3141" s="6"/>
      <c r="C3141" s="3"/>
      <c r="D3141" s="6"/>
      <c r="E3141" s="6"/>
      <c r="F3141" s="6"/>
      <c r="G3141" s="7"/>
    </row>
    <row r="3142" spans="1:7" x14ac:dyDescent="0.2">
      <c r="A3142" s="3"/>
      <c r="B3142" s="6"/>
      <c r="C3142" s="3"/>
      <c r="D3142" s="6"/>
      <c r="E3142" s="6"/>
      <c r="F3142" s="6"/>
      <c r="G3142" s="7"/>
    </row>
    <row r="3143" spans="1:7" x14ac:dyDescent="0.2">
      <c r="A3143" s="3"/>
      <c r="B3143" s="6"/>
      <c r="C3143" s="3"/>
      <c r="D3143" s="6"/>
      <c r="E3143" s="6"/>
      <c r="F3143" s="6"/>
      <c r="G3143" s="7"/>
    </row>
    <row r="3144" spans="1:7" x14ac:dyDescent="0.2">
      <c r="A3144" s="3"/>
      <c r="B3144" s="6"/>
      <c r="C3144" s="3"/>
      <c r="D3144" s="6"/>
      <c r="E3144" s="6"/>
      <c r="F3144" s="6"/>
      <c r="G3144" s="7"/>
    </row>
    <row r="3145" spans="1:7" x14ac:dyDescent="0.2">
      <c r="A3145" s="3"/>
      <c r="B3145" s="6"/>
      <c r="C3145" s="3"/>
      <c r="D3145" s="6"/>
      <c r="E3145" s="6"/>
      <c r="F3145" s="6"/>
      <c r="G3145" s="7"/>
    </row>
    <row r="3146" spans="1:7" x14ac:dyDescent="0.2">
      <c r="A3146" s="3"/>
      <c r="B3146" s="6"/>
      <c r="C3146" s="3"/>
      <c r="D3146" s="6"/>
      <c r="E3146" s="6"/>
      <c r="F3146" s="6"/>
      <c r="G3146" s="7"/>
    </row>
    <row r="3147" spans="1:7" x14ac:dyDescent="0.2">
      <c r="A3147" s="3"/>
      <c r="B3147" s="6"/>
      <c r="C3147" s="3"/>
      <c r="D3147" s="6"/>
      <c r="E3147" s="6"/>
      <c r="F3147" s="6"/>
      <c r="G3147" s="7"/>
    </row>
    <row r="3148" spans="1:7" x14ac:dyDescent="0.2">
      <c r="A3148" s="3"/>
      <c r="B3148" s="6"/>
      <c r="C3148" s="3"/>
      <c r="D3148" s="6"/>
      <c r="E3148" s="6"/>
      <c r="F3148" s="6"/>
      <c r="G3148" s="7"/>
    </row>
    <row r="3149" spans="1:7" x14ac:dyDescent="0.2">
      <c r="A3149" s="3"/>
      <c r="B3149" s="6"/>
      <c r="C3149" s="3"/>
      <c r="D3149" s="6"/>
      <c r="E3149" s="6"/>
      <c r="F3149" s="6"/>
      <c r="G3149" s="7"/>
    </row>
    <row r="3150" spans="1:7" x14ac:dyDescent="0.2">
      <c r="A3150" s="3"/>
      <c r="B3150" s="6"/>
      <c r="C3150" s="3"/>
      <c r="D3150" s="6"/>
      <c r="E3150" s="6"/>
      <c r="F3150" s="6"/>
      <c r="G3150" s="7"/>
    </row>
    <row r="3151" spans="1:7" x14ac:dyDescent="0.2">
      <c r="A3151" s="3"/>
      <c r="B3151" s="6"/>
      <c r="C3151" s="3"/>
      <c r="D3151" s="6"/>
      <c r="E3151" s="6"/>
      <c r="F3151" s="6"/>
      <c r="G3151" s="7"/>
    </row>
    <row r="3152" spans="1:7" x14ac:dyDescent="0.2">
      <c r="A3152" s="3"/>
      <c r="B3152" s="6"/>
      <c r="C3152" s="3"/>
      <c r="D3152" s="6"/>
      <c r="E3152" s="6"/>
      <c r="F3152" s="6"/>
      <c r="G3152" s="7"/>
    </row>
    <row r="3153" spans="1:7" x14ac:dyDescent="0.2">
      <c r="A3153" s="3"/>
      <c r="B3153" s="6"/>
      <c r="C3153" s="3"/>
      <c r="D3153" s="6"/>
      <c r="E3153" s="6"/>
      <c r="F3153" s="6"/>
      <c r="G3153" s="7"/>
    </row>
    <row r="3154" spans="1:7" x14ac:dyDescent="0.2">
      <c r="A3154" s="3"/>
      <c r="B3154" s="6"/>
      <c r="C3154" s="3"/>
      <c r="D3154" s="6"/>
      <c r="E3154" s="6"/>
      <c r="F3154" s="6"/>
      <c r="G3154" s="7"/>
    </row>
    <row r="3155" spans="1:7" x14ac:dyDescent="0.2">
      <c r="A3155" s="3"/>
      <c r="B3155" s="6"/>
      <c r="C3155" s="3"/>
      <c r="D3155" s="6"/>
      <c r="E3155" s="6"/>
      <c r="F3155" s="6"/>
      <c r="G3155" s="7"/>
    </row>
    <row r="3156" spans="1:7" x14ac:dyDescent="0.2">
      <c r="A3156" s="3"/>
      <c r="B3156" s="6"/>
      <c r="C3156" s="3"/>
      <c r="D3156" s="6"/>
      <c r="E3156" s="6"/>
      <c r="F3156" s="6"/>
      <c r="G3156" s="7"/>
    </row>
    <row r="3157" spans="1:7" x14ac:dyDescent="0.2">
      <c r="A3157" s="3"/>
      <c r="B3157" s="6"/>
      <c r="C3157" s="3"/>
      <c r="D3157" s="6"/>
      <c r="E3157" s="6"/>
      <c r="F3157" s="6"/>
      <c r="G3157" s="7"/>
    </row>
    <row r="3158" spans="1:7" x14ac:dyDescent="0.2">
      <c r="A3158" s="3"/>
      <c r="B3158" s="6"/>
      <c r="C3158" s="3"/>
      <c r="D3158" s="6"/>
      <c r="E3158" s="6"/>
      <c r="F3158" s="6"/>
      <c r="G3158" s="7"/>
    </row>
    <row r="3159" spans="1:7" x14ac:dyDescent="0.2">
      <c r="A3159" s="3"/>
      <c r="B3159" s="6"/>
      <c r="C3159" s="3"/>
      <c r="D3159" s="6"/>
      <c r="E3159" s="6"/>
      <c r="F3159" s="6"/>
      <c r="G3159" s="7"/>
    </row>
    <row r="3160" spans="1:7" x14ac:dyDescent="0.2">
      <c r="A3160" s="3"/>
      <c r="B3160" s="6"/>
      <c r="C3160" s="3"/>
      <c r="D3160" s="6"/>
      <c r="E3160" s="6"/>
      <c r="F3160" s="6"/>
      <c r="G3160" s="7"/>
    </row>
    <row r="3161" spans="1:7" x14ac:dyDescent="0.2">
      <c r="A3161" s="3"/>
      <c r="B3161" s="6"/>
      <c r="C3161" s="3"/>
      <c r="D3161" s="6"/>
      <c r="E3161" s="6"/>
      <c r="F3161" s="6"/>
      <c r="G3161" s="7"/>
    </row>
    <row r="3162" spans="1:7" x14ac:dyDescent="0.2">
      <c r="A3162" s="3"/>
      <c r="B3162" s="6"/>
      <c r="C3162" s="3"/>
      <c r="D3162" s="6"/>
      <c r="E3162" s="6"/>
      <c r="F3162" s="6"/>
      <c r="G3162" s="7"/>
    </row>
    <row r="3163" spans="1:7" x14ac:dyDescent="0.2">
      <c r="A3163" s="3"/>
      <c r="B3163" s="6"/>
      <c r="C3163" s="3"/>
      <c r="D3163" s="6"/>
      <c r="E3163" s="6"/>
      <c r="F3163" s="6"/>
      <c r="G3163" s="7"/>
    </row>
    <row r="3164" spans="1:7" x14ac:dyDescent="0.2">
      <c r="A3164" s="3"/>
      <c r="B3164" s="6"/>
      <c r="C3164" s="3"/>
      <c r="D3164" s="6"/>
      <c r="E3164" s="6"/>
      <c r="F3164" s="6"/>
      <c r="G3164" s="7"/>
    </row>
    <row r="3165" spans="1:7" x14ac:dyDescent="0.2">
      <c r="A3165" s="3"/>
      <c r="B3165" s="6"/>
      <c r="C3165" s="3"/>
      <c r="D3165" s="6"/>
      <c r="E3165" s="6"/>
      <c r="F3165" s="6"/>
      <c r="G3165" s="7"/>
    </row>
    <row r="3166" spans="1:7" x14ac:dyDescent="0.2">
      <c r="A3166" s="3"/>
      <c r="B3166" s="6"/>
      <c r="C3166" s="3"/>
      <c r="D3166" s="6"/>
      <c r="E3166" s="6"/>
      <c r="F3166" s="6"/>
      <c r="G3166" s="7"/>
    </row>
    <row r="3167" spans="1:7" x14ac:dyDescent="0.2">
      <c r="A3167" s="3"/>
      <c r="B3167" s="6"/>
      <c r="C3167" s="3"/>
      <c r="D3167" s="6"/>
      <c r="E3167" s="6"/>
      <c r="F3167" s="6"/>
      <c r="G3167" s="7"/>
    </row>
    <row r="3168" spans="1:7" x14ac:dyDescent="0.2">
      <c r="A3168" s="3"/>
      <c r="B3168" s="6"/>
      <c r="C3168" s="3"/>
      <c r="D3168" s="6"/>
      <c r="E3168" s="6"/>
      <c r="F3168" s="6"/>
      <c r="G3168" s="7"/>
    </row>
    <row r="3169" spans="1:7" x14ac:dyDescent="0.2">
      <c r="A3169" s="3"/>
      <c r="B3169" s="6"/>
      <c r="C3169" s="3"/>
      <c r="D3169" s="6"/>
      <c r="E3169" s="6"/>
      <c r="F3169" s="6"/>
      <c r="G3169" s="7"/>
    </row>
    <row r="3170" spans="1:7" x14ac:dyDescent="0.2">
      <c r="A3170" s="3"/>
      <c r="B3170" s="6"/>
      <c r="C3170" s="3"/>
      <c r="D3170" s="6"/>
      <c r="E3170" s="6"/>
      <c r="F3170" s="6"/>
      <c r="G3170" s="7"/>
    </row>
    <row r="3171" spans="1:7" x14ac:dyDescent="0.2">
      <c r="A3171" s="3"/>
      <c r="B3171" s="6"/>
      <c r="C3171" s="3"/>
      <c r="D3171" s="6"/>
      <c r="E3171" s="6"/>
      <c r="F3171" s="6"/>
      <c r="G3171" s="7"/>
    </row>
    <row r="3172" spans="1:7" x14ac:dyDescent="0.2">
      <c r="A3172" s="3"/>
      <c r="B3172" s="6"/>
      <c r="C3172" s="3"/>
      <c r="D3172" s="6"/>
      <c r="E3172" s="6"/>
      <c r="F3172" s="6"/>
      <c r="G3172" s="7"/>
    </row>
    <row r="3173" spans="1:7" x14ac:dyDescent="0.2">
      <c r="A3173" s="3"/>
      <c r="B3173" s="6"/>
      <c r="C3173" s="3"/>
      <c r="D3173" s="6"/>
      <c r="E3173" s="6"/>
      <c r="F3173" s="6"/>
      <c r="G3173" s="7"/>
    </row>
    <row r="3174" spans="1:7" x14ac:dyDescent="0.2">
      <c r="A3174" s="3"/>
      <c r="B3174" s="6"/>
      <c r="C3174" s="3"/>
      <c r="D3174" s="6"/>
      <c r="E3174" s="6"/>
      <c r="F3174" s="6"/>
      <c r="G3174" s="7"/>
    </row>
    <row r="3175" spans="1:7" x14ac:dyDescent="0.2">
      <c r="A3175" s="3"/>
      <c r="B3175" s="6"/>
      <c r="C3175" s="3"/>
      <c r="D3175" s="6"/>
      <c r="E3175" s="6"/>
      <c r="F3175" s="6"/>
      <c r="G3175" s="7"/>
    </row>
    <row r="3176" spans="1:7" x14ac:dyDescent="0.2">
      <c r="A3176" s="3"/>
      <c r="B3176" s="6"/>
      <c r="C3176" s="3"/>
      <c r="D3176" s="6"/>
      <c r="E3176" s="6"/>
      <c r="F3176" s="6"/>
      <c r="G3176" s="7"/>
    </row>
    <row r="3177" spans="1:7" x14ac:dyDescent="0.2">
      <c r="A3177" s="3"/>
      <c r="B3177" s="6"/>
      <c r="C3177" s="3"/>
      <c r="D3177" s="6"/>
      <c r="E3177" s="6"/>
      <c r="F3177" s="6"/>
      <c r="G3177" s="7"/>
    </row>
    <row r="3178" spans="1:7" x14ac:dyDescent="0.2">
      <c r="A3178" s="3"/>
      <c r="B3178" s="6"/>
      <c r="C3178" s="3"/>
      <c r="D3178" s="6"/>
      <c r="E3178" s="6"/>
      <c r="F3178" s="6"/>
      <c r="G3178" s="7"/>
    </row>
    <row r="3179" spans="1:7" x14ac:dyDescent="0.2">
      <c r="A3179" s="3"/>
      <c r="B3179" s="6"/>
      <c r="C3179" s="3"/>
      <c r="D3179" s="6"/>
      <c r="E3179" s="6"/>
      <c r="F3179" s="6"/>
      <c r="G3179" s="7"/>
    </row>
    <row r="3180" spans="1:7" x14ac:dyDescent="0.2">
      <c r="A3180" s="3"/>
      <c r="B3180" s="6"/>
      <c r="C3180" s="3"/>
      <c r="D3180" s="6"/>
      <c r="E3180" s="6"/>
      <c r="F3180" s="6"/>
      <c r="G3180" s="7"/>
    </row>
    <row r="3181" spans="1:7" x14ac:dyDescent="0.2">
      <c r="A3181" s="3"/>
      <c r="B3181" s="6"/>
      <c r="C3181" s="3"/>
      <c r="D3181" s="6"/>
      <c r="E3181" s="6"/>
      <c r="F3181" s="6"/>
      <c r="G3181" s="7"/>
    </row>
    <row r="3182" spans="1:7" x14ac:dyDescent="0.2">
      <c r="A3182" s="3"/>
      <c r="B3182" s="6"/>
      <c r="C3182" s="3"/>
      <c r="D3182" s="6"/>
      <c r="E3182" s="6"/>
      <c r="F3182" s="6"/>
      <c r="G3182" s="7"/>
    </row>
    <row r="3183" spans="1:7" x14ac:dyDescent="0.2">
      <c r="A3183" s="3"/>
      <c r="B3183" s="6"/>
      <c r="C3183" s="3"/>
      <c r="D3183" s="6"/>
      <c r="E3183" s="6"/>
      <c r="F3183" s="6"/>
      <c r="G3183" s="7"/>
    </row>
    <row r="3184" spans="1:7" x14ac:dyDescent="0.2">
      <c r="A3184" s="3"/>
      <c r="B3184" s="6"/>
      <c r="C3184" s="3"/>
      <c r="D3184" s="6"/>
      <c r="E3184" s="6"/>
      <c r="F3184" s="6"/>
      <c r="G3184" s="7"/>
    </row>
    <row r="3185" spans="1:7" x14ac:dyDescent="0.2">
      <c r="A3185" s="3"/>
      <c r="B3185" s="6"/>
      <c r="C3185" s="3"/>
      <c r="D3185" s="6"/>
      <c r="E3185" s="6"/>
      <c r="F3185" s="6"/>
      <c r="G3185" s="7"/>
    </row>
    <row r="3186" spans="1:7" x14ac:dyDescent="0.2">
      <c r="A3186" s="3"/>
      <c r="B3186" s="6"/>
      <c r="C3186" s="3"/>
      <c r="D3186" s="6"/>
      <c r="E3186" s="6"/>
      <c r="F3186" s="6"/>
      <c r="G3186" s="7"/>
    </row>
    <row r="3187" spans="1:7" x14ac:dyDescent="0.2">
      <c r="A3187" s="3"/>
      <c r="B3187" s="6"/>
      <c r="C3187" s="3"/>
      <c r="D3187" s="6"/>
      <c r="E3187" s="6"/>
      <c r="F3187" s="6"/>
      <c r="G3187" s="7"/>
    </row>
    <row r="3188" spans="1:7" x14ac:dyDescent="0.2">
      <c r="A3188" s="3"/>
      <c r="B3188" s="6"/>
      <c r="C3188" s="3"/>
      <c r="D3188" s="6"/>
      <c r="E3188" s="6"/>
      <c r="F3188" s="6"/>
      <c r="G3188" s="7"/>
    </row>
    <row r="3189" spans="1:7" x14ac:dyDescent="0.2">
      <c r="A3189" s="3"/>
      <c r="B3189" s="6"/>
      <c r="C3189" s="3"/>
      <c r="D3189" s="6"/>
      <c r="E3189" s="6"/>
      <c r="F3189" s="6"/>
      <c r="G3189" s="7"/>
    </row>
    <row r="3190" spans="1:7" x14ac:dyDescent="0.2">
      <c r="A3190" s="3"/>
      <c r="B3190" s="6"/>
      <c r="C3190" s="3"/>
      <c r="D3190" s="6"/>
      <c r="E3190" s="6"/>
      <c r="F3190" s="6"/>
      <c r="G3190" s="7"/>
    </row>
    <row r="3191" spans="1:7" x14ac:dyDescent="0.2">
      <c r="A3191" s="3"/>
      <c r="B3191" s="6"/>
      <c r="C3191" s="3"/>
      <c r="D3191" s="6"/>
      <c r="E3191" s="6"/>
      <c r="F3191" s="6"/>
      <c r="G3191" s="7"/>
    </row>
    <row r="3192" spans="1:7" x14ac:dyDescent="0.2">
      <c r="A3192" s="3"/>
      <c r="B3192" s="6"/>
      <c r="C3192" s="3"/>
      <c r="D3192" s="6"/>
      <c r="E3192" s="6"/>
      <c r="F3192" s="6"/>
      <c r="G3192" s="7"/>
    </row>
    <row r="3193" spans="1:7" x14ac:dyDescent="0.2">
      <c r="A3193" s="3"/>
      <c r="B3193" s="6"/>
      <c r="C3193" s="3"/>
      <c r="D3193" s="6"/>
      <c r="E3193" s="6"/>
      <c r="F3193" s="6"/>
      <c r="G3193" s="7"/>
    </row>
    <row r="3194" spans="1:7" x14ac:dyDescent="0.2">
      <c r="A3194" s="3"/>
      <c r="B3194" s="6"/>
      <c r="C3194" s="3"/>
      <c r="D3194" s="6"/>
      <c r="E3194" s="6"/>
      <c r="F3194" s="6"/>
      <c r="G3194" s="7"/>
    </row>
    <row r="3195" spans="1:7" x14ac:dyDescent="0.2">
      <c r="A3195" s="3"/>
      <c r="B3195" s="6"/>
      <c r="C3195" s="3"/>
      <c r="D3195" s="6"/>
      <c r="E3195" s="6"/>
      <c r="F3195" s="6"/>
      <c r="G3195" s="7"/>
    </row>
    <row r="3196" spans="1:7" x14ac:dyDescent="0.2">
      <c r="A3196" s="3"/>
      <c r="B3196" s="6"/>
      <c r="C3196" s="3"/>
      <c r="D3196" s="6"/>
      <c r="E3196" s="6"/>
      <c r="F3196" s="6"/>
      <c r="G3196" s="7"/>
    </row>
    <row r="3197" spans="1:7" x14ac:dyDescent="0.2">
      <c r="A3197" s="3"/>
      <c r="B3197" s="6"/>
      <c r="C3197" s="3"/>
      <c r="D3197" s="6"/>
      <c r="E3197" s="6"/>
      <c r="F3197" s="6"/>
      <c r="G3197" s="7"/>
    </row>
    <row r="3198" spans="1:7" x14ac:dyDescent="0.2">
      <c r="A3198" s="3"/>
      <c r="B3198" s="6"/>
      <c r="C3198" s="3"/>
      <c r="D3198" s="6"/>
      <c r="E3198" s="6"/>
      <c r="F3198" s="6"/>
      <c r="G3198" s="7"/>
    </row>
    <row r="3199" spans="1:7" x14ac:dyDescent="0.2">
      <c r="A3199" s="3"/>
      <c r="B3199" s="6"/>
      <c r="C3199" s="3"/>
      <c r="D3199" s="6"/>
      <c r="E3199" s="6"/>
      <c r="F3199" s="6"/>
      <c r="G3199" s="7"/>
    </row>
    <row r="3200" spans="1:7" x14ac:dyDescent="0.2">
      <c r="A3200" s="3"/>
      <c r="B3200" s="6"/>
      <c r="C3200" s="3"/>
      <c r="D3200" s="6"/>
      <c r="E3200" s="6"/>
      <c r="F3200" s="6"/>
      <c r="G3200" s="7"/>
    </row>
    <row r="3201" spans="1:7" x14ac:dyDescent="0.2">
      <c r="A3201" s="3"/>
      <c r="B3201" s="6"/>
      <c r="C3201" s="3"/>
      <c r="D3201" s="6"/>
      <c r="E3201" s="6"/>
      <c r="F3201" s="6"/>
      <c r="G3201" s="7"/>
    </row>
    <row r="3202" spans="1:7" x14ac:dyDescent="0.2">
      <c r="A3202" s="3"/>
      <c r="B3202" s="6"/>
      <c r="C3202" s="3"/>
      <c r="D3202" s="6"/>
      <c r="E3202" s="6"/>
      <c r="F3202" s="6"/>
      <c r="G3202" s="7"/>
    </row>
    <row r="3203" spans="1:7" x14ac:dyDescent="0.2">
      <c r="A3203" s="3"/>
      <c r="B3203" s="6"/>
      <c r="C3203" s="3"/>
      <c r="D3203" s="6"/>
      <c r="E3203" s="6"/>
      <c r="F3203" s="6"/>
      <c r="G3203" s="7"/>
    </row>
    <row r="3204" spans="1:7" x14ac:dyDescent="0.2">
      <c r="A3204" s="3"/>
      <c r="B3204" s="6"/>
      <c r="C3204" s="3"/>
      <c r="D3204" s="6"/>
      <c r="E3204" s="6"/>
      <c r="F3204" s="6"/>
      <c r="G3204" s="7"/>
    </row>
    <row r="3205" spans="1:7" x14ac:dyDescent="0.2">
      <c r="A3205" s="3"/>
      <c r="B3205" s="6"/>
      <c r="C3205" s="3"/>
      <c r="D3205" s="6"/>
      <c r="E3205" s="6"/>
      <c r="F3205" s="6"/>
      <c r="G3205" s="7"/>
    </row>
    <row r="3206" spans="1:7" x14ac:dyDescent="0.2">
      <c r="A3206" s="3"/>
      <c r="B3206" s="6"/>
      <c r="C3206" s="3"/>
      <c r="D3206" s="6"/>
      <c r="E3206" s="6"/>
      <c r="F3206" s="6"/>
      <c r="G3206" s="7"/>
    </row>
    <row r="3207" spans="1:7" x14ac:dyDescent="0.2">
      <c r="A3207" s="3"/>
      <c r="B3207" s="6"/>
      <c r="C3207" s="3"/>
      <c r="D3207" s="6"/>
      <c r="E3207" s="6"/>
      <c r="F3207" s="6"/>
      <c r="G3207" s="7"/>
    </row>
    <row r="3208" spans="1:7" x14ac:dyDescent="0.2">
      <c r="A3208" s="3"/>
      <c r="B3208" s="6"/>
      <c r="C3208" s="3"/>
      <c r="D3208" s="6"/>
      <c r="E3208" s="6"/>
      <c r="F3208" s="6"/>
      <c r="G3208" s="7"/>
    </row>
    <row r="3209" spans="1:7" x14ac:dyDescent="0.2">
      <c r="A3209" s="3"/>
      <c r="B3209" s="6"/>
      <c r="C3209" s="3"/>
      <c r="D3209" s="6"/>
      <c r="E3209" s="6"/>
      <c r="F3209" s="6"/>
      <c r="G3209" s="7"/>
    </row>
    <row r="3210" spans="1:7" x14ac:dyDescent="0.2">
      <c r="A3210" s="3"/>
      <c r="B3210" s="6"/>
      <c r="C3210" s="3"/>
      <c r="D3210" s="6"/>
      <c r="E3210" s="6"/>
      <c r="F3210" s="6"/>
      <c r="G3210" s="7"/>
    </row>
    <row r="3211" spans="1:7" x14ac:dyDescent="0.2">
      <c r="A3211" s="3"/>
      <c r="B3211" s="6"/>
      <c r="C3211" s="3"/>
      <c r="D3211" s="6"/>
      <c r="E3211" s="6"/>
      <c r="F3211" s="6"/>
      <c r="G3211" s="7"/>
    </row>
    <row r="3212" spans="1:7" x14ac:dyDescent="0.2">
      <c r="A3212" s="3"/>
      <c r="B3212" s="6"/>
      <c r="C3212" s="3"/>
      <c r="D3212" s="6"/>
      <c r="E3212" s="6"/>
      <c r="F3212" s="6"/>
      <c r="G3212" s="7"/>
    </row>
    <row r="3213" spans="1:7" x14ac:dyDescent="0.2">
      <c r="A3213" s="3"/>
      <c r="B3213" s="6"/>
      <c r="C3213" s="3"/>
      <c r="D3213" s="6"/>
      <c r="E3213" s="6"/>
      <c r="F3213" s="6"/>
      <c r="G3213" s="7"/>
    </row>
    <row r="3214" spans="1:7" x14ac:dyDescent="0.2">
      <c r="A3214" s="3"/>
      <c r="B3214" s="6"/>
      <c r="C3214" s="3"/>
      <c r="D3214" s="6"/>
      <c r="E3214" s="6"/>
      <c r="F3214" s="6"/>
      <c r="G3214" s="7"/>
    </row>
    <row r="3215" spans="1:7" x14ac:dyDescent="0.2">
      <c r="A3215" s="3"/>
      <c r="B3215" s="6"/>
      <c r="C3215" s="3"/>
      <c r="D3215" s="6"/>
      <c r="E3215" s="6"/>
      <c r="F3215" s="6"/>
      <c r="G3215" s="7"/>
    </row>
    <row r="3216" spans="1:7" x14ac:dyDescent="0.2">
      <c r="A3216" s="3"/>
      <c r="B3216" s="6"/>
      <c r="C3216" s="3"/>
      <c r="D3216" s="6"/>
      <c r="E3216" s="6"/>
      <c r="F3216" s="6"/>
      <c r="G3216" s="7"/>
    </row>
    <row r="3217" spans="1:7" x14ac:dyDescent="0.2">
      <c r="A3217" s="3"/>
      <c r="B3217" s="6"/>
      <c r="C3217" s="3"/>
      <c r="D3217" s="6"/>
      <c r="E3217" s="6"/>
      <c r="F3217" s="6"/>
      <c r="G3217" s="7"/>
    </row>
    <row r="3218" spans="1:7" x14ac:dyDescent="0.2">
      <c r="A3218" s="3"/>
      <c r="B3218" s="6"/>
      <c r="C3218" s="3"/>
      <c r="D3218" s="6"/>
      <c r="E3218" s="6"/>
      <c r="F3218" s="6"/>
      <c r="G3218" s="7"/>
    </row>
    <row r="3219" spans="1:7" x14ac:dyDescent="0.2">
      <c r="A3219" s="3"/>
      <c r="B3219" s="6"/>
      <c r="C3219" s="3"/>
      <c r="D3219" s="6"/>
      <c r="E3219" s="6"/>
      <c r="F3219" s="6"/>
      <c r="G3219" s="7"/>
    </row>
    <row r="3220" spans="1:7" x14ac:dyDescent="0.2">
      <c r="A3220" s="3"/>
      <c r="B3220" s="6"/>
      <c r="C3220" s="3"/>
      <c r="D3220" s="6"/>
      <c r="E3220" s="6"/>
      <c r="F3220" s="6"/>
      <c r="G3220" s="7"/>
    </row>
    <row r="3221" spans="1:7" x14ac:dyDescent="0.2">
      <c r="A3221" s="3"/>
      <c r="B3221" s="6"/>
      <c r="C3221" s="3"/>
      <c r="D3221" s="6"/>
      <c r="E3221" s="6"/>
      <c r="F3221" s="6"/>
      <c r="G3221" s="7"/>
    </row>
    <row r="3222" spans="1:7" x14ac:dyDescent="0.2">
      <c r="A3222" s="3"/>
      <c r="B3222" s="6"/>
      <c r="C3222" s="3"/>
      <c r="D3222" s="6"/>
      <c r="E3222" s="6"/>
      <c r="F3222" s="6"/>
      <c r="G3222" s="7"/>
    </row>
    <row r="3223" spans="1:7" x14ac:dyDescent="0.2">
      <c r="A3223" s="3"/>
      <c r="B3223" s="6"/>
      <c r="C3223" s="3"/>
      <c r="D3223" s="6"/>
      <c r="E3223" s="6"/>
      <c r="F3223" s="6"/>
      <c r="G3223" s="7"/>
    </row>
    <row r="3224" spans="1:7" x14ac:dyDescent="0.2">
      <c r="A3224" s="3"/>
      <c r="B3224" s="6"/>
      <c r="C3224" s="3"/>
      <c r="D3224" s="6"/>
      <c r="E3224" s="6"/>
      <c r="F3224" s="6"/>
      <c r="G3224" s="7"/>
    </row>
    <row r="3225" spans="1:7" x14ac:dyDescent="0.2">
      <c r="A3225" s="3"/>
      <c r="B3225" s="6"/>
      <c r="C3225" s="3"/>
      <c r="D3225" s="6"/>
      <c r="E3225" s="6"/>
      <c r="F3225" s="6"/>
      <c r="G3225" s="7"/>
    </row>
    <row r="3226" spans="1:7" x14ac:dyDescent="0.2">
      <c r="A3226" s="3"/>
      <c r="B3226" s="6"/>
      <c r="C3226" s="3"/>
      <c r="D3226" s="6"/>
      <c r="E3226" s="6"/>
      <c r="F3226" s="6"/>
      <c r="G3226" s="7"/>
    </row>
    <row r="3227" spans="1:7" x14ac:dyDescent="0.2">
      <c r="A3227" s="3"/>
      <c r="B3227" s="6"/>
      <c r="C3227" s="3"/>
      <c r="D3227" s="6"/>
      <c r="E3227" s="6"/>
      <c r="F3227" s="6"/>
      <c r="G3227" s="7"/>
    </row>
    <row r="3228" spans="1:7" x14ac:dyDescent="0.2">
      <c r="A3228" s="3"/>
      <c r="B3228" s="6"/>
      <c r="C3228" s="3"/>
      <c r="D3228" s="6"/>
      <c r="E3228" s="6"/>
      <c r="F3228" s="6"/>
      <c r="G3228" s="7"/>
    </row>
    <row r="3229" spans="1:7" x14ac:dyDescent="0.2">
      <c r="A3229" s="3"/>
      <c r="B3229" s="6"/>
      <c r="C3229" s="3"/>
      <c r="D3229" s="6"/>
      <c r="E3229" s="6"/>
      <c r="F3229" s="6"/>
      <c r="G3229" s="7"/>
    </row>
    <row r="3230" spans="1:7" x14ac:dyDescent="0.2">
      <c r="A3230" s="3"/>
      <c r="B3230" s="6"/>
      <c r="C3230" s="3"/>
      <c r="D3230" s="6"/>
      <c r="E3230" s="6"/>
      <c r="F3230" s="6"/>
      <c r="G3230" s="7"/>
    </row>
    <row r="3231" spans="1:7" x14ac:dyDescent="0.2">
      <c r="A3231" s="3"/>
      <c r="B3231" s="6"/>
      <c r="C3231" s="3"/>
      <c r="D3231" s="6"/>
      <c r="E3231" s="6"/>
      <c r="F3231" s="6"/>
      <c r="G3231" s="7"/>
    </row>
    <row r="3232" spans="1:7" x14ac:dyDescent="0.2">
      <c r="A3232" s="3"/>
      <c r="B3232" s="6"/>
      <c r="C3232" s="3"/>
      <c r="D3232" s="6"/>
      <c r="E3232" s="6"/>
      <c r="F3232" s="6"/>
      <c r="G3232" s="7"/>
    </row>
    <row r="3233" spans="1:7" x14ac:dyDescent="0.2">
      <c r="A3233" s="3"/>
      <c r="B3233" s="6"/>
      <c r="C3233" s="3"/>
      <c r="D3233" s="6"/>
      <c r="E3233" s="6"/>
      <c r="F3233" s="6"/>
      <c r="G3233" s="7"/>
    </row>
    <row r="3234" spans="1:7" x14ac:dyDescent="0.2">
      <c r="A3234" s="3"/>
      <c r="B3234" s="6"/>
      <c r="C3234" s="3"/>
      <c r="D3234" s="6"/>
      <c r="E3234" s="6"/>
      <c r="F3234" s="6"/>
      <c r="G3234" s="7"/>
    </row>
    <row r="3235" spans="1:7" x14ac:dyDescent="0.2">
      <c r="A3235" s="3"/>
      <c r="B3235" s="6"/>
      <c r="C3235" s="3"/>
      <c r="D3235" s="6"/>
      <c r="E3235" s="6"/>
      <c r="F3235" s="6"/>
      <c r="G3235" s="7"/>
    </row>
    <row r="3236" spans="1:7" x14ac:dyDescent="0.2">
      <c r="A3236" s="3"/>
      <c r="B3236" s="6"/>
      <c r="C3236" s="3"/>
      <c r="D3236" s="6"/>
      <c r="E3236" s="6"/>
      <c r="F3236" s="6"/>
      <c r="G3236" s="7"/>
    </row>
    <row r="3237" spans="1:7" x14ac:dyDescent="0.2">
      <c r="A3237" s="3"/>
      <c r="B3237" s="6"/>
      <c r="C3237" s="3"/>
      <c r="D3237" s="6"/>
      <c r="E3237" s="6"/>
      <c r="F3237" s="6"/>
      <c r="G3237" s="7"/>
    </row>
    <row r="3238" spans="1:7" x14ac:dyDescent="0.2">
      <c r="A3238" s="3"/>
      <c r="B3238" s="6"/>
      <c r="C3238" s="3"/>
      <c r="D3238" s="6"/>
      <c r="E3238" s="6"/>
      <c r="F3238" s="6"/>
      <c r="G3238" s="7"/>
    </row>
    <row r="3239" spans="1:7" x14ac:dyDescent="0.2">
      <c r="A3239" s="3"/>
      <c r="B3239" s="6"/>
      <c r="C3239" s="3"/>
      <c r="D3239" s="6"/>
      <c r="E3239" s="6"/>
      <c r="F3239" s="6"/>
      <c r="G3239" s="7"/>
    </row>
    <row r="3240" spans="1:7" x14ac:dyDescent="0.2">
      <c r="A3240" s="3"/>
      <c r="B3240" s="6"/>
      <c r="C3240" s="3"/>
      <c r="D3240" s="6"/>
      <c r="E3240" s="6"/>
      <c r="F3240" s="6"/>
      <c r="G3240" s="7"/>
    </row>
    <row r="3241" spans="1:7" x14ac:dyDescent="0.2">
      <c r="A3241" s="3"/>
      <c r="B3241" s="6"/>
      <c r="C3241" s="3"/>
      <c r="D3241" s="6"/>
      <c r="E3241" s="6"/>
      <c r="F3241" s="6"/>
      <c r="G3241" s="7"/>
    </row>
    <row r="3242" spans="1:7" x14ac:dyDescent="0.2">
      <c r="A3242" s="3"/>
      <c r="B3242" s="6"/>
      <c r="C3242" s="3"/>
      <c r="D3242" s="6"/>
      <c r="E3242" s="6"/>
      <c r="F3242" s="6"/>
      <c r="G3242" s="7"/>
    </row>
    <row r="3243" spans="1:7" x14ac:dyDescent="0.2">
      <c r="A3243" s="3"/>
      <c r="B3243" s="6"/>
      <c r="C3243" s="3"/>
      <c r="D3243" s="6"/>
      <c r="E3243" s="6"/>
      <c r="F3243" s="6"/>
      <c r="G3243" s="7"/>
    </row>
    <row r="3244" spans="1:7" x14ac:dyDescent="0.2">
      <c r="A3244" s="3"/>
      <c r="B3244" s="6"/>
      <c r="C3244" s="3"/>
      <c r="D3244" s="6"/>
      <c r="E3244" s="6"/>
      <c r="F3244" s="6"/>
      <c r="G3244" s="7"/>
    </row>
    <row r="3245" spans="1:7" x14ac:dyDescent="0.2">
      <c r="A3245" s="3"/>
      <c r="B3245" s="6"/>
      <c r="C3245" s="3"/>
      <c r="D3245" s="6"/>
      <c r="E3245" s="6"/>
      <c r="F3245" s="6"/>
      <c r="G3245" s="7"/>
    </row>
    <row r="3246" spans="1:7" x14ac:dyDescent="0.2">
      <c r="A3246" s="3"/>
      <c r="B3246" s="6"/>
      <c r="C3246" s="3"/>
      <c r="D3246" s="6"/>
      <c r="E3246" s="6"/>
      <c r="F3246" s="6"/>
      <c r="G3246" s="7"/>
    </row>
    <row r="3247" spans="1:7" x14ac:dyDescent="0.2">
      <c r="A3247" s="3"/>
      <c r="B3247" s="6"/>
      <c r="C3247" s="3"/>
      <c r="D3247" s="6"/>
      <c r="E3247" s="6"/>
      <c r="F3247" s="6"/>
      <c r="G3247" s="7"/>
    </row>
    <row r="3248" spans="1:7" x14ac:dyDescent="0.2">
      <c r="A3248" s="3"/>
      <c r="B3248" s="6"/>
      <c r="C3248" s="3"/>
      <c r="D3248" s="6"/>
      <c r="E3248" s="6"/>
      <c r="F3248" s="6"/>
      <c r="G3248" s="7"/>
    </row>
    <row r="3249" spans="1:7" x14ac:dyDescent="0.2">
      <c r="A3249" s="3"/>
      <c r="B3249" s="6"/>
      <c r="C3249" s="3"/>
      <c r="D3249" s="6"/>
      <c r="E3249" s="6"/>
      <c r="F3249" s="6"/>
      <c r="G3249" s="7"/>
    </row>
    <row r="3250" spans="1:7" x14ac:dyDescent="0.2">
      <c r="A3250" s="3"/>
      <c r="B3250" s="6"/>
      <c r="C3250" s="3"/>
      <c r="D3250" s="6"/>
      <c r="E3250" s="6"/>
      <c r="F3250" s="6"/>
      <c r="G3250" s="7"/>
    </row>
    <row r="3251" spans="1:7" x14ac:dyDescent="0.2">
      <c r="A3251" s="3"/>
      <c r="B3251" s="6"/>
      <c r="C3251" s="3"/>
      <c r="D3251" s="6"/>
      <c r="E3251" s="6"/>
      <c r="F3251" s="6"/>
      <c r="G3251" s="7"/>
    </row>
    <row r="3252" spans="1:7" x14ac:dyDescent="0.2">
      <c r="A3252" s="3"/>
      <c r="B3252" s="6"/>
      <c r="C3252" s="3"/>
      <c r="D3252" s="6"/>
      <c r="E3252" s="6"/>
      <c r="F3252" s="6"/>
      <c r="G3252" s="7"/>
    </row>
    <row r="3253" spans="1:7" x14ac:dyDescent="0.2">
      <c r="A3253" s="3"/>
      <c r="B3253" s="6"/>
      <c r="C3253" s="3"/>
      <c r="D3253" s="6"/>
      <c r="E3253" s="6"/>
      <c r="F3253" s="6"/>
      <c r="G3253" s="7"/>
    </row>
    <row r="3254" spans="1:7" x14ac:dyDescent="0.2">
      <c r="A3254" s="3"/>
      <c r="B3254" s="6"/>
      <c r="C3254" s="3"/>
      <c r="D3254" s="6"/>
      <c r="E3254" s="6"/>
      <c r="F3254" s="6"/>
      <c r="G3254" s="7"/>
    </row>
    <row r="3255" spans="1:7" x14ac:dyDescent="0.2">
      <c r="A3255" s="3"/>
      <c r="B3255" s="6"/>
      <c r="C3255" s="3"/>
      <c r="D3255" s="6"/>
      <c r="E3255" s="6"/>
      <c r="F3255" s="6"/>
      <c r="G3255" s="7"/>
    </row>
    <row r="3256" spans="1:7" x14ac:dyDescent="0.2">
      <c r="A3256" s="3"/>
      <c r="B3256" s="6"/>
      <c r="C3256" s="3"/>
      <c r="D3256" s="6"/>
      <c r="E3256" s="6"/>
      <c r="F3256" s="6"/>
      <c r="G3256" s="7"/>
    </row>
    <row r="3257" spans="1:7" x14ac:dyDescent="0.2">
      <c r="A3257" s="3"/>
      <c r="B3257" s="6"/>
      <c r="C3257" s="3"/>
      <c r="D3257" s="6"/>
      <c r="E3257" s="6"/>
      <c r="F3257" s="6"/>
      <c r="G3257" s="7"/>
    </row>
    <row r="3258" spans="1:7" x14ac:dyDescent="0.2">
      <c r="A3258" s="3"/>
      <c r="B3258" s="6"/>
      <c r="C3258" s="3"/>
      <c r="D3258" s="6"/>
      <c r="E3258" s="6"/>
      <c r="F3258" s="6"/>
      <c r="G3258" s="7"/>
    </row>
    <row r="3259" spans="1:7" x14ac:dyDescent="0.2">
      <c r="A3259" s="3"/>
      <c r="B3259" s="6"/>
      <c r="C3259" s="3"/>
      <c r="D3259" s="6"/>
      <c r="E3259" s="6"/>
      <c r="F3259" s="6"/>
      <c r="G3259" s="7"/>
    </row>
    <row r="3260" spans="1:7" x14ac:dyDescent="0.2">
      <c r="A3260" s="3"/>
      <c r="B3260" s="6"/>
      <c r="C3260" s="3"/>
      <c r="D3260" s="6"/>
      <c r="E3260" s="6"/>
      <c r="F3260" s="6"/>
      <c r="G3260" s="7"/>
    </row>
    <row r="3261" spans="1:7" x14ac:dyDescent="0.2">
      <c r="A3261" s="3"/>
      <c r="B3261" s="6"/>
      <c r="C3261" s="3"/>
      <c r="D3261" s="6"/>
      <c r="E3261" s="6"/>
      <c r="F3261" s="6"/>
      <c r="G3261" s="7"/>
    </row>
    <row r="3262" spans="1:7" x14ac:dyDescent="0.2">
      <c r="A3262" s="3"/>
      <c r="B3262" s="6"/>
      <c r="C3262" s="3"/>
      <c r="D3262" s="6"/>
      <c r="E3262" s="6"/>
      <c r="F3262" s="6"/>
      <c r="G3262" s="7"/>
    </row>
    <row r="3263" spans="1:7" x14ac:dyDescent="0.2">
      <c r="A3263" s="3"/>
      <c r="B3263" s="6"/>
      <c r="C3263" s="3"/>
      <c r="D3263" s="6"/>
      <c r="E3263" s="6"/>
      <c r="F3263" s="6"/>
      <c r="G3263" s="7"/>
    </row>
    <row r="3264" spans="1:7" x14ac:dyDescent="0.2">
      <c r="A3264" s="3"/>
      <c r="B3264" s="6"/>
      <c r="C3264" s="3"/>
      <c r="D3264" s="6"/>
      <c r="E3264" s="6"/>
      <c r="F3264" s="6"/>
      <c r="G3264" s="7"/>
    </row>
    <row r="3265" spans="1:7" x14ac:dyDescent="0.2">
      <c r="A3265" s="3"/>
      <c r="B3265" s="6"/>
      <c r="C3265" s="3"/>
      <c r="D3265" s="6"/>
      <c r="E3265" s="6"/>
      <c r="F3265" s="6"/>
      <c r="G3265" s="7"/>
    </row>
    <row r="3266" spans="1:7" x14ac:dyDescent="0.2">
      <c r="A3266" s="3"/>
      <c r="B3266" s="6"/>
      <c r="C3266" s="3"/>
      <c r="D3266" s="6"/>
      <c r="E3266" s="6"/>
      <c r="F3266" s="6"/>
      <c r="G3266" s="7"/>
    </row>
    <row r="3267" spans="1:7" x14ac:dyDescent="0.2">
      <c r="A3267" s="3"/>
      <c r="B3267" s="6"/>
      <c r="C3267" s="3"/>
      <c r="D3267" s="6"/>
      <c r="E3267" s="6"/>
      <c r="F3267" s="6"/>
      <c r="G3267" s="7"/>
    </row>
    <row r="3268" spans="1:7" x14ac:dyDescent="0.2">
      <c r="A3268" s="3"/>
      <c r="B3268" s="6"/>
      <c r="C3268" s="3"/>
      <c r="D3268" s="6"/>
      <c r="E3268" s="6"/>
      <c r="F3268" s="6"/>
      <c r="G3268" s="7"/>
    </row>
    <row r="3269" spans="1:7" x14ac:dyDescent="0.2">
      <c r="A3269" s="3"/>
      <c r="B3269" s="6"/>
      <c r="C3269" s="3"/>
      <c r="D3269" s="6"/>
      <c r="E3269" s="6"/>
      <c r="F3269" s="6"/>
      <c r="G3269" s="7"/>
    </row>
    <row r="3270" spans="1:7" x14ac:dyDescent="0.2">
      <c r="A3270" s="3"/>
      <c r="B3270" s="6"/>
      <c r="C3270" s="3"/>
      <c r="D3270" s="6"/>
      <c r="E3270" s="6"/>
      <c r="F3270" s="6"/>
      <c r="G3270" s="7"/>
    </row>
    <row r="3271" spans="1:7" x14ac:dyDescent="0.2">
      <c r="A3271" s="3"/>
      <c r="B3271" s="6"/>
      <c r="C3271" s="3"/>
      <c r="D3271" s="6"/>
      <c r="E3271" s="6"/>
      <c r="F3271" s="6"/>
      <c r="G3271" s="7"/>
    </row>
    <row r="3272" spans="1:7" x14ac:dyDescent="0.2">
      <c r="A3272" s="3"/>
      <c r="B3272" s="6"/>
      <c r="C3272" s="3"/>
      <c r="D3272" s="6"/>
      <c r="E3272" s="6"/>
      <c r="F3272" s="6"/>
      <c r="G3272" s="7"/>
    </row>
    <row r="3273" spans="1:7" x14ac:dyDescent="0.2">
      <c r="A3273" s="3"/>
      <c r="B3273" s="6"/>
      <c r="C3273" s="3"/>
      <c r="D3273" s="6"/>
      <c r="E3273" s="6"/>
      <c r="F3273" s="6"/>
      <c r="G3273" s="7"/>
    </row>
    <row r="3274" spans="1:7" x14ac:dyDescent="0.2">
      <c r="A3274" s="3"/>
      <c r="B3274" s="6"/>
      <c r="C3274" s="3"/>
      <c r="D3274" s="6"/>
      <c r="E3274" s="6"/>
      <c r="F3274" s="6"/>
      <c r="G3274" s="7"/>
    </row>
    <row r="3275" spans="1:7" x14ac:dyDescent="0.2">
      <c r="A3275" s="3"/>
      <c r="B3275" s="6"/>
      <c r="C3275" s="3"/>
      <c r="D3275" s="6"/>
      <c r="E3275" s="6"/>
      <c r="F3275" s="6"/>
      <c r="G3275" s="7"/>
    </row>
    <row r="3276" spans="1:7" x14ac:dyDescent="0.2">
      <c r="A3276" s="3"/>
      <c r="B3276" s="6"/>
      <c r="C3276" s="3"/>
      <c r="D3276" s="6"/>
      <c r="E3276" s="6"/>
      <c r="F3276" s="6"/>
      <c r="G3276" s="7"/>
    </row>
    <row r="3277" spans="1:7" x14ac:dyDescent="0.2">
      <c r="A3277" s="3"/>
      <c r="B3277" s="6"/>
      <c r="C3277" s="3"/>
      <c r="D3277" s="6"/>
      <c r="E3277" s="6"/>
      <c r="F3277" s="6"/>
      <c r="G3277" s="7"/>
    </row>
    <row r="3278" spans="1:7" x14ac:dyDescent="0.2">
      <c r="A3278" s="3"/>
      <c r="B3278" s="6"/>
      <c r="C3278" s="3"/>
      <c r="D3278" s="6"/>
      <c r="E3278" s="6"/>
      <c r="F3278" s="6"/>
      <c r="G3278" s="7"/>
    </row>
    <row r="3279" spans="1:7" x14ac:dyDescent="0.2">
      <c r="A3279" s="3"/>
      <c r="B3279" s="6"/>
      <c r="C3279" s="3"/>
      <c r="D3279" s="6"/>
      <c r="E3279" s="6"/>
      <c r="F3279" s="6"/>
      <c r="G3279" s="7"/>
    </row>
    <row r="3280" spans="1:7" x14ac:dyDescent="0.2">
      <c r="A3280" s="3"/>
      <c r="B3280" s="6"/>
      <c r="C3280" s="3"/>
      <c r="D3280" s="6"/>
      <c r="E3280" s="6"/>
      <c r="F3280" s="6"/>
      <c r="G3280" s="7"/>
    </row>
    <row r="3281" spans="1:7" x14ac:dyDescent="0.2">
      <c r="A3281" s="3"/>
      <c r="B3281" s="6"/>
      <c r="C3281" s="3"/>
      <c r="D3281" s="6"/>
      <c r="E3281" s="6"/>
      <c r="F3281" s="6"/>
      <c r="G3281" s="7"/>
    </row>
    <row r="3282" spans="1:7" x14ac:dyDescent="0.2">
      <c r="A3282" s="3"/>
      <c r="B3282" s="6"/>
      <c r="C3282" s="3"/>
      <c r="D3282" s="6"/>
      <c r="E3282" s="6"/>
      <c r="F3282" s="6"/>
      <c r="G3282" s="7"/>
    </row>
    <row r="3283" spans="1:7" x14ac:dyDescent="0.2">
      <c r="A3283" s="3"/>
      <c r="B3283" s="6"/>
      <c r="C3283" s="3"/>
      <c r="D3283" s="6"/>
      <c r="E3283" s="6"/>
      <c r="F3283" s="6"/>
      <c r="G3283" s="7"/>
    </row>
    <row r="3284" spans="1:7" x14ac:dyDescent="0.2">
      <c r="A3284" s="3"/>
      <c r="B3284" s="6"/>
      <c r="C3284" s="3"/>
      <c r="D3284" s="6"/>
      <c r="E3284" s="6"/>
      <c r="F3284" s="6"/>
      <c r="G3284" s="7"/>
    </row>
    <row r="3285" spans="1:7" x14ac:dyDescent="0.2">
      <c r="A3285" s="3"/>
      <c r="B3285" s="6"/>
      <c r="C3285" s="3"/>
      <c r="D3285" s="6"/>
      <c r="E3285" s="6"/>
      <c r="F3285" s="6"/>
      <c r="G3285" s="7"/>
    </row>
    <row r="3286" spans="1:7" x14ac:dyDescent="0.2">
      <c r="A3286" s="3"/>
      <c r="B3286" s="6"/>
      <c r="C3286" s="3"/>
      <c r="D3286" s="6"/>
      <c r="E3286" s="6"/>
      <c r="F3286" s="6"/>
      <c r="G3286" s="7"/>
    </row>
    <row r="3287" spans="1:7" x14ac:dyDescent="0.2">
      <c r="A3287" s="3"/>
      <c r="B3287" s="6"/>
      <c r="C3287" s="3"/>
      <c r="D3287" s="6"/>
      <c r="E3287" s="6"/>
      <c r="F3287" s="6"/>
      <c r="G3287" s="7"/>
    </row>
    <row r="3288" spans="1:7" x14ac:dyDescent="0.2">
      <c r="A3288" s="3"/>
      <c r="B3288" s="6"/>
      <c r="C3288" s="3"/>
      <c r="D3288" s="6"/>
      <c r="E3288" s="6"/>
      <c r="F3288" s="6"/>
      <c r="G3288" s="7"/>
    </row>
    <row r="3289" spans="1:7" x14ac:dyDescent="0.2">
      <c r="A3289" s="3"/>
      <c r="B3289" s="6"/>
      <c r="C3289" s="3"/>
      <c r="D3289" s="6"/>
      <c r="E3289" s="6"/>
      <c r="F3289" s="6"/>
      <c r="G3289" s="7"/>
    </row>
    <row r="3290" spans="1:7" x14ac:dyDescent="0.2">
      <c r="A3290" s="3"/>
      <c r="B3290" s="6"/>
      <c r="C3290" s="3"/>
      <c r="D3290" s="6"/>
      <c r="E3290" s="6"/>
      <c r="F3290" s="6"/>
      <c r="G3290" s="7"/>
    </row>
    <row r="3291" spans="1:7" x14ac:dyDescent="0.2">
      <c r="A3291" s="3"/>
      <c r="B3291" s="6"/>
      <c r="C3291" s="3"/>
      <c r="D3291" s="6"/>
      <c r="E3291" s="6"/>
      <c r="F3291" s="6"/>
      <c r="G3291" s="7"/>
    </row>
    <row r="3292" spans="1:7" x14ac:dyDescent="0.2">
      <c r="A3292" s="3"/>
      <c r="B3292" s="6"/>
      <c r="C3292" s="3"/>
      <c r="D3292" s="6"/>
      <c r="E3292" s="6"/>
      <c r="F3292" s="6"/>
      <c r="G3292" s="7"/>
    </row>
    <row r="3293" spans="1:7" x14ac:dyDescent="0.2">
      <c r="A3293" s="3"/>
      <c r="B3293" s="6"/>
      <c r="C3293" s="3"/>
      <c r="D3293" s="6"/>
      <c r="E3293" s="6"/>
      <c r="F3293" s="6"/>
      <c r="G3293" s="7"/>
    </row>
    <row r="3294" spans="1:7" x14ac:dyDescent="0.2">
      <c r="A3294" s="3"/>
      <c r="B3294" s="6"/>
      <c r="C3294" s="3"/>
      <c r="D3294" s="6"/>
      <c r="E3294" s="6"/>
      <c r="F3294" s="6"/>
      <c r="G3294" s="7"/>
    </row>
    <row r="3295" spans="1:7" x14ac:dyDescent="0.2">
      <c r="A3295" s="3"/>
      <c r="B3295" s="6"/>
      <c r="C3295" s="3"/>
      <c r="D3295" s="6"/>
      <c r="E3295" s="6"/>
      <c r="F3295" s="6"/>
      <c r="G3295" s="7"/>
    </row>
    <row r="3296" spans="1:7" x14ac:dyDescent="0.2">
      <c r="A3296" s="3"/>
      <c r="B3296" s="6"/>
      <c r="C3296" s="3"/>
      <c r="D3296" s="6"/>
      <c r="E3296" s="6"/>
      <c r="F3296" s="6"/>
      <c r="G3296" s="7"/>
    </row>
    <row r="3297" spans="1:7" x14ac:dyDescent="0.2">
      <c r="A3297" s="3"/>
      <c r="B3297" s="6"/>
      <c r="C3297" s="3"/>
      <c r="D3297" s="6"/>
      <c r="E3297" s="6"/>
      <c r="F3297" s="6"/>
      <c r="G3297" s="7"/>
    </row>
    <row r="3298" spans="1:7" x14ac:dyDescent="0.2">
      <c r="A3298" s="3"/>
      <c r="B3298" s="6"/>
      <c r="C3298" s="3"/>
      <c r="D3298" s="6"/>
      <c r="E3298" s="6"/>
      <c r="F3298" s="6"/>
      <c r="G3298" s="7"/>
    </row>
    <row r="3299" spans="1:7" x14ac:dyDescent="0.2">
      <c r="A3299" s="3"/>
      <c r="B3299" s="6"/>
      <c r="C3299" s="3"/>
      <c r="D3299" s="6"/>
      <c r="E3299" s="6"/>
      <c r="F3299" s="6"/>
      <c r="G3299" s="7"/>
    </row>
    <row r="3300" spans="1:7" x14ac:dyDescent="0.2">
      <c r="A3300" s="3"/>
      <c r="B3300" s="6"/>
      <c r="C3300" s="3"/>
      <c r="D3300" s="6"/>
      <c r="E3300" s="6"/>
      <c r="F3300" s="6"/>
      <c r="G3300" s="7"/>
    </row>
    <row r="3301" spans="1:7" x14ac:dyDescent="0.2">
      <c r="A3301" s="3"/>
      <c r="B3301" s="6"/>
      <c r="C3301" s="3"/>
      <c r="D3301" s="6"/>
      <c r="E3301" s="6"/>
      <c r="F3301" s="6"/>
      <c r="G3301" s="7"/>
    </row>
    <row r="3302" spans="1:7" x14ac:dyDescent="0.2">
      <c r="A3302" s="3"/>
      <c r="B3302" s="6"/>
      <c r="C3302" s="3"/>
      <c r="D3302" s="6"/>
      <c r="E3302" s="6"/>
      <c r="F3302" s="6"/>
      <c r="G3302" s="7"/>
    </row>
    <row r="3303" spans="1:7" x14ac:dyDescent="0.2">
      <c r="A3303" s="3"/>
      <c r="B3303" s="6"/>
      <c r="C3303" s="3"/>
      <c r="D3303" s="6"/>
      <c r="E3303" s="6"/>
      <c r="F3303" s="6"/>
      <c r="G3303" s="7"/>
    </row>
    <row r="3304" spans="1:7" x14ac:dyDescent="0.2">
      <c r="A3304" s="3"/>
      <c r="B3304" s="6"/>
      <c r="C3304" s="3"/>
      <c r="D3304" s="6"/>
      <c r="E3304" s="6"/>
      <c r="F3304" s="6"/>
      <c r="G3304" s="7"/>
    </row>
    <row r="3305" spans="1:7" x14ac:dyDescent="0.2">
      <c r="A3305" s="3"/>
      <c r="B3305" s="6"/>
      <c r="C3305" s="3"/>
      <c r="D3305" s="6"/>
      <c r="E3305" s="6"/>
      <c r="F3305" s="6"/>
      <c r="G3305" s="7"/>
    </row>
    <row r="3306" spans="1:7" x14ac:dyDescent="0.2">
      <c r="A3306" s="3"/>
      <c r="B3306" s="6"/>
      <c r="C3306" s="3"/>
      <c r="D3306" s="6"/>
      <c r="E3306" s="6"/>
      <c r="F3306" s="6"/>
      <c r="G3306" s="7"/>
    </row>
    <row r="3307" spans="1:7" x14ac:dyDescent="0.2">
      <c r="A3307" s="3"/>
      <c r="B3307" s="6"/>
      <c r="C3307" s="3"/>
      <c r="D3307" s="6"/>
      <c r="E3307" s="6"/>
      <c r="F3307" s="6"/>
      <c r="G3307" s="7"/>
    </row>
    <row r="3308" spans="1:7" x14ac:dyDescent="0.2">
      <c r="A3308" s="3"/>
      <c r="B3308" s="6"/>
      <c r="C3308" s="3"/>
      <c r="D3308" s="6"/>
      <c r="E3308" s="6"/>
      <c r="F3308" s="6"/>
      <c r="G3308" s="7"/>
    </row>
    <row r="3309" spans="1:7" x14ac:dyDescent="0.2">
      <c r="A3309" s="3"/>
      <c r="B3309" s="6"/>
      <c r="C3309" s="3"/>
      <c r="D3309" s="6"/>
      <c r="E3309" s="6"/>
      <c r="F3309" s="6"/>
      <c r="G3309" s="7"/>
    </row>
    <row r="3310" spans="1:7" x14ac:dyDescent="0.2">
      <c r="A3310" s="3"/>
      <c r="B3310" s="6"/>
      <c r="C3310" s="3"/>
      <c r="D3310" s="6"/>
      <c r="E3310" s="6"/>
      <c r="F3310" s="6"/>
      <c r="G3310" s="7"/>
    </row>
    <row r="3311" spans="1:7" x14ac:dyDescent="0.2">
      <c r="A3311" s="3"/>
      <c r="B3311" s="6"/>
      <c r="C3311" s="3"/>
      <c r="D3311" s="6"/>
      <c r="E3311" s="6"/>
      <c r="F3311" s="6"/>
      <c r="G3311" s="7"/>
    </row>
    <row r="3312" spans="1:7" x14ac:dyDescent="0.2">
      <c r="A3312" s="3"/>
      <c r="B3312" s="6"/>
      <c r="C3312" s="3"/>
      <c r="D3312" s="6"/>
      <c r="E3312" s="6"/>
      <c r="F3312" s="6"/>
      <c r="G3312" s="7"/>
    </row>
    <row r="3313" spans="1:7" x14ac:dyDescent="0.2">
      <c r="A3313" s="3"/>
      <c r="B3313" s="6"/>
      <c r="C3313" s="3"/>
      <c r="D3313" s="6"/>
      <c r="E3313" s="6"/>
      <c r="F3313" s="6"/>
      <c r="G3313" s="7"/>
    </row>
    <row r="3314" spans="1:7" x14ac:dyDescent="0.2">
      <c r="A3314" s="3"/>
      <c r="B3314" s="6"/>
      <c r="C3314" s="3"/>
      <c r="D3314" s="6"/>
      <c r="E3314" s="6"/>
      <c r="F3314" s="6"/>
      <c r="G3314" s="7"/>
    </row>
    <row r="3315" spans="1:7" x14ac:dyDescent="0.2">
      <c r="A3315" s="3"/>
      <c r="B3315" s="6"/>
      <c r="C3315" s="3"/>
      <c r="D3315" s="6"/>
      <c r="E3315" s="6"/>
      <c r="F3315" s="6"/>
      <c r="G3315" s="7"/>
    </row>
    <row r="3316" spans="1:7" x14ac:dyDescent="0.2">
      <c r="A3316" s="3"/>
      <c r="B3316" s="6"/>
      <c r="C3316" s="3"/>
      <c r="D3316" s="6"/>
      <c r="E3316" s="6"/>
      <c r="F3316" s="6"/>
      <c r="G3316" s="7"/>
    </row>
    <row r="3317" spans="1:7" x14ac:dyDescent="0.2">
      <c r="A3317" s="3"/>
      <c r="B3317" s="6"/>
      <c r="C3317" s="3"/>
      <c r="D3317" s="6"/>
      <c r="E3317" s="6"/>
      <c r="F3317" s="6"/>
      <c r="G3317" s="7"/>
    </row>
    <row r="3318" spans="1:7" x14ac:dyDescent="0.2">
      <c r="A3318" s="3"/>
      <c r="B3318" s="6"/>
      <c r="C3318" s="3"/>
      <c r="D3318" s="6"/>
      <c r="E3318" s="6"/>
      <c r="F3318" s="6"/>
      <c r="G3318" s="7"/>
    </row>
    <row r="3319" spans="1:7" x14ac:dyDescent="0.2">
      <c r="A3319" s="3"/>
      <c r="B3319" s="6"/>
      <c r="C3319" s="3"/>
      <c r="D3319" s="6"/>
      <c r="E3319" s="6"/>
      <c r="F3319" s="6"/>
      <c r="G3319" s="7"/>
    </row>
    <row r="3320" spans="1:7" x14ac:dyDescent="0.2">
      <c r="A3320" s="3"/>
      <c r="B3320" s="6"/>
      <c r="C3320" s="3"/>
      <c r="D3320" s="6"/>
      <c r="E3320" s="6"/>
      <c r="F3320" s="6"/>
      <c r="G3320" s="7"/>
    </row>
    <row r="3321" spans="1:7" x14ac:dyDescent="0.2">
      <c r="A3321" s="3"/>
      <c r="B3321" s="6"/>
      <c r="C3321" s="3"/>
      <c r="D3321" s="6"/>
      <c r="E3321" s="6"/>
      <c r="F3321" s="6"/>
      <c r="G3321" s="7"/>
    </row>
    <row r="3322" spans="1:7" x14ac:dyDescent="0.2">
      <c r="A3322" s="3"/>
      <c r="B3322" s="6"/>
      <c r="C3322" s="3"/>
      <c r="D3322" s="6"/>
      <c r="E3322" s="6"/>
      <c r="F3322" s="6"/>
      <c r="G3322" s="7"/>
    </row>
    <row r="3323" spans="1:7" x14ac:dyDescent="0.2">
      <c r="A3323" s="3"/>
      <c r="B3323" s="6"/>
      <c r="C3323" s="3"/>
      <c r="D3323" s="6"/>
      <c r="E3323" s="6"/>
      <c r="F3323" s="6"/>
      <c r="G3323" s="7"/>
    </row>
    <row r="3324" spans="1:7" x14ac:dyDescent="0.2">
      <c r="A3324" s="3"/>
      <c r="B3324" s="6"/>
      <c r="C3324" s="3"/>
      <c r="D3324" s="6"/>
      <c r="E3324" s="6"/>
      <c r="F3324" s="6"/>
      <c r="G3324" s="7"/>
    </row>
    <row r="3325" spans="1:7" x14ac:dyDescent="0.2">
      <c r="A3325" s="3"/>
      <c r="B3325" s="6"/>
      <c r="C3325" s="3"/>
      <c r="D3325" s="6"/>
      <c r="E3325" s="6"/>
      <c r="F3325" s="6"/>
      <c r="G3325" s="7"/>
    </row>
    <row r="3326" spans="1:7" x14ac:dyDescent="0.2">
      <c r="A3326" s="3"/>
      <c r="B3326" s="6"/>
      <c r="C3326" s="3"/>
      <c r="D3326" s="6"/>
      <c r="E3326" s="6"/>
      <c r="F3326" s="6"/>
      <c r="G3326" s="7"/>
    </row>
    <row r="3327" spans="1:7" x14ac:dyDescent="0.2">
      <c r="A3327" s="3"/>
      <c r="B3327" s="6"/>
      <c r="C3327" s="3"/>
      <c r="D3327" s="6"/>
      <c r="E3327" s="6"/>
      <c r="F3327" s="6"/>
      <c r="G3327" s="7"/>
    </row>
    <row r="3328" spans="1:7" x14ac:dyDescent="0.2">
      <c r="A3328" s="3"/>
      <c r="B3328" s="6"/>
      <c r="C3328" s="3"/>
      <c r="D3328" s="6"/>
      <c r="E3328" s="6"/>
      <c r="F3328" s="6"/>
      <c r="G3328" s="7"/>
    </row>
    <row r="3329" spans="1:7" x14ac:dyDescent="0.2">
      <c r="A3329" s="3"/>
      <c r="B3329" s="6"/>
      <c r="C3329" s="3"/>
      <c r="D3329" s="6"/>
      <c r="E3329" s="6"/>
      <c r="F3329" s="6"/>
      <c r="G3329" s="7"/>
    </row>
    <row r="3330" spans="1:7" x14ac:dyDescent="0.2">
      <c r="A3330" s="3"/>
      <c r="B3330" s="6"/>
      <c r="C3330" s="3"/>
      <c r="D3330" s="6"/>
      <c r="E3330" s="6"/>
      <c r="F3330" s="6"/>
      <c r="G3330" s="7"/>
    </row>
    <row r="3331" spans="1:7" x14ac:dyDescent="0.2">
      <c r="A3331" s="3"/>
      <c r="B3331" s="6"/>
      <c r="C3331" s="3"/>
      <c r="D3331" s="6"/>
      <c r="E3331" s="6"/>
      <c r="F3331" s="6"/>
      <c r="G3331" s="7"/>
    </row>
    <row r="3332" spans="1:7" x14ac:dyDescent="0.2">
      <c r="A3332" s="3"/>
      <c r="B3332" s="6"/>
      <c r="C3332" s="3"/>
      <c r="D3332" s="6"/>
      <c r="E3332" s="6"/>
      <c r="F3332" s="6"/>
      <c r="G3332" s="7"/>
    </row>
    <row r="3333" spans="1:7" x14ac:dyDescent="0.2">
      <c r="A3333" s="3"/>
      <c r="B3333" s="6"/>
      <c r="C3333" s="3"/>
      <c r="D3333" s="6"/>
      <c r="E3333" s="6"/>
      <c r="F3333" s="6"/>
      <c r="G3333" s="7"/>
    </row>
    <row r="3334" spans="1:7" x14ac:dyDescent="0.2">
      <c r="A3334" s="3"/>
      <c r="B3334" s="6"/>
      <c r="C3334" s="3"/>
      <c r="D3334" s="6"/>
      <c r="E3334" s="6"/>
      <c r="F3334" s="6"/>
      <c r="G3334" s="7"/>
    </row>
    <row r="3335" spans="1:7" x14ac:dyDescent="0.2">
      <c r="A3335" s="3"/>
      <c r="B3335" s="6"/>
      <c r="C3335" s="3"/>
      <c r="D3335" s="6"/>
      <c r="E3335" s="6"/>
      <c r="F3335" s="6"/>
      <c r="G3335" s="7"/>
    </row>
    <row r="3336" spans="1:7" x14ac:dyDescent="0.2">
      <c r="A3336" s="3"/>
      <c r="B3336" s="6"/>
      <c r="C3336" s="3"/>
      <c r="D3336" s="6"/>
      <c r="E3336" s="6"/>
      <c r="F3336" s="6"/>
      <c r="G3336" s="7"/>
    </row>
    <row r="3337" spans="1:7" x14ac:dyDescent="0.2">
      <c r="A3337" s="3"/>
      <c r="B3337" s="6"/>
      <c r="C3337" s="3"/>
      <c r="D3337" s="6"/>
      <c r="E3337" s="6"/>
      <c r="F3337" s="6"/>
      <c r="G3337" s="7"/>
    </row>
    <row r="3338" spans="1:7" x14ac:dyDescent="0.2">
      <c r="A3338" s="3"/>
      <c r="B3338" s="6"/>
      <c r="C3338" s="3"/>
      <c r="D3338" s="6"/>
      <c r="E3338" s="6"/>
      <c r="F3338" s="6"/>
      <c r="G3338" s="7"/>
    </row>
    <row r="3339" spans="1:7" x14ac:dyDescent="0.2">
      <c r="A3339" s="3"/>
      <c r="B3339" s="6"/>
      <c r="C3339" s="3"/>
      <c r="D3339" s="6"/>
      <c r="E3339" s="6"/>
      <c r="F3339" s="6"/>
      <c r="G3339" s="7"/>
    </row>
    <row r="3340" spans="1:7" x14ac:dyDescent="0.2">
      <c r="A3340" s="3"/>
      <c r="B3340" s="6"/>
      <c r="C3340" s="3"/>
      <c r="D3340" s="6"/>
      <c r="E3340" s="6"/>
      <c r="F3340" s="6"/>
      <c r="G3340" s="7"/>
    </row>
    <row r="3341" spans="1:7" x14ac:dyDescent="0.2">
      <c r="A3341" s="3"/>
      <c r="B3341" s="6"/>
      <c r="C3341" s="3"/>
      <c r="D3341" s="6"/>
      <c r="E3341" s="6"/>
      <c r="F3341" s="6"/>
      <c r="G3341" s="7"/>
    </row>
    <row r="3342" spans="1:7" x14ac:dyDescent="0.2">
      <c r="A3342" s="3"/>
      <c r="B3342" s="6"/>
      <c r="C3342" s="3"/>
      <c r="D3342" s="6"/>
      <c r="E3342" s="6"/>
      <c r="F3342" s="6"/>
      <c r="G3342" s="7"/>
    </row>
    <row r="3343" spans="1:7" x14ac:dyDescent="0.2">
      <c r="A3343" s="3"/>
      <c r="B3343" s="6"/>
      <c r="C3343" s="3"/>
      <c r="D3343" s="6"/>
      <c r="E3343" s="6"/>
      <c r="F3343" s="6"/>
      <c r="G3343" s="7"/>
    </row>
    <row r="3344" spans="1:7" x14ac:dyDescent="0.2">
      <c r="A3344" s="3"/>
      <c r="B3344" s="6"/>
      <c r="C3344" s="3"/>
      <c r="D3344" s="6"/>
      <c r="E3344" s="6"/>
      <c r="F3344" s="6"/>
      <c r="G3344" s="7"/>
    </row>
    <row r="3345" spans="1:7" x14ac:dyDescent="0.2">
      <c r="A3345" s="3"/>
      <c r="B3345" s="6"/>
      <c r="C3345" s="3"/>
      <c r="D3345" s="6"/>
      <c r="E3345" s="6"/>
      <c r="F3345" s="6"/>
      <c r="G3345" s="7"/>
    </row>
    <row r="3346" spans="1:7" x14ac:dyDescent="0.2">
      <c r="A3346" s="3"/>
      <c r="B3346" s="6"/>
      <c r="C3346" s="3"/>
      <c r="D3346" s="6"/>
      <c r="E3346" s="6"/>
      <c r="F3346" s="6"/>
      <c r="G3346" s="7"/>
    </row>
    <row r="3347" spans="1:7" x14ac:dyDescent="0.2">
      <c r="A3347" s="3"/>
      <c r="B3347" s="6"/>
      <c r="C3347" s="3"/>
      <c r="D3347" s="6"/>
      <c r="E3347" s="6"/>
      <c r="F3347" s="6"/>
      <c r="G3347" s="7"/>
    </row>
    <row r="3348" spans="1:7" x14ac:dyDescent="0.2">
      <c r="A3348" s="3"/>
      <c r="B3348" s="6"/>
      <c r="C3348" s="3"/>
      <c r="D3348" s="6"/>
      <c r="E3348" s="6"/>
      <c r="F3348" s="6"/>
      <c r="G3348" s="7"/>
    </row>
    <row r="3349" spans="1:7" x14ac:dyDescent="0.2">
      <c r="A3349" s="3"/>
      <c r="B3349" s="6"/>
      <c r="C3349" s="3"/>
      <c r="D3349" s="6"/>
      <c r="E3349" s="6"/>
      <c r="F3349" s="6"/>
      <c r="G3349" s="7"/>
    </row>
    <row r="3350" spans="1:7" x14ac:dyDescent="0.2">
      <c r="A3350" s="3"/>
      <c r="B3350" s="6"/>
      <c r="C3350" s="3"/>
      <c r="D3350" s="6"/>
      <c r="E3350" s="6"/>
      <c r="F3350" s="6"/>
      <c r="G3350" s="7"/>
    </row>
    <row r="3351" spans="1:7" x14ac:dyDescent="0.2">
      <c r="A3351" s="3"/>
      <c r="B3351" s="6"/>
      <c r="C3351" s="3"/>
      <c r="D3351" s="6"/>
      <c r="E3351" s="6"/>
      <c r="F3351" s="6"/>
      <c r="G3351" s="7"/>
    </row>
    <row r="3352" spans="1:7" x14ac:dyDescent="0.2">
      <c r="A3352" s="3"/>
      <c r="B3352" s="6"/>
      <c r="C3352" s="3"/>
      <c r="D3352" s="6"/>
      <c r="E3352" s="6"/>
      <c r="F3352" s="6"/>
      <c r="G3352" s="7"/>
    </row>
    <row r="3353" spans="1:7" x14ac:dyDescent="0.2">
      <c r="A3353" s="3"/>
      <c r="B3353" s="6"/>
      <c r="C3353" s="3"/>
      <c r="D3353" s="6"/>
      <c r="E3353" s="6"/>
      <c r="F3353" s="6"/>
      <c r="G3353" s="7"/>
    </row>
    <row r="3354" spans="1:7" x14ac:dyDescent="0.2">
      <c r="A3354" s="3"/>
      <c r="B3354" s="6"/>
      <c r="C3354" s="3"/>
      <c r="D3354" s="6"/>
      <c r="E3354" s="6"/>
      <c r="F3354" s="6"/>
      <c r="G3354" s="7"/>
    </row>
    <row r="3355" spans="1:7" x14ac:dyDescent="0.2">
      <c r="A3355" s="3"/>
      <c r="B3355" s="6"/>
      <c r="C3355" s="3"/>
      <c r="D3355" s="6"/>
      <c r="E3355" s="6"/>
      <c r="F3355" s="6"/>
      <c r="G3355" s="7"/>
    </row>
    <row r="3356" spans="1:7" x14ac:dyDescent="0.2">
      <c r="A3356" s="3"/>
      <c r="B3356" s="6"/>
      <c r="C3356" s="3"/>
      <c r="D3356" s="6"/>
      <c r="E3356" s="6"/>
      <c r="F3356" s="6"/>
      <c r="G3356" s="7"/>
    </row>
    <row r="3357" spans="1:7" x14ac:dyDescent="0.2">
      <c r="A3357" s="3"/>
      <c r="B3357" s="6"/>
      <c r="C3357" s="3"/>
      <c r="D3357" s="6"/>
      <c r="E3357" s="6"/>
      <c r="F3357" s="6"/>
      <c r="G3357" s="7"/>
    </row>
    <row r="3358" spans="1:7" x14ac:dyDescent="0.2">
      <c r="A3358" s="3"/>
      <c r="B3358" s="6"/>
      <c r="C3358" s="3"/>
      <c r="D3358" s="6"/>
      <c r="E3358" s="6"/>
      <c r="F3358" s="6"/>
      <c r="G3358" s="7"/>
    </row>
    <row r="3359" spans="1:7" x14ac:dyDescent="0.2">
      <c r="A3359" s="3"/>
      <c r="B3359" s="6"/>
      <c r="C3359" s="3"/>
      <c r="D3359" s="6"/>
      <c r="E3359" s="6"/>
      <c r="F3359" s="6"/>
      <c r="G3359" s="7"/>
    </row>
    <row r="3360" spans="1:7" x14ac:dyDescent="0.2">
      <c r="A3360" s="3"/>
      <c r="B3360" s="6"/>
      <c r="C3360" s="3"/>
      <c r="D3360" s="6"/>
      <c r="E3360" s="6"/>
      <c r="F3360" s="6"/>
      <c r="G3360" s="7"/>
    </row>
    <row r="3361" spans="1:7" x14ac:dyDescent="0.2">
      <c r="A3361" s="3"/>
      <c r="B3361" s="6"/>
      <c r="C3361" s="3"/>
      <c r="D3361" s="6"/>
      <c r="E3361" s="6"/>
      <c r="F3361" s="6"/>
      <c r="G3361" s="7"/>
    </row>
    <row r="3362" spans="1:7" x14ac:dyDescent="0.2">
      <c r="A3362" s="3"/>
      <c r="B3362" s="6"/>
      <c r="C3362" s="3"/>
      <c r="D3362" s="6"/>
      <c r="E3362" s="6"/>
      <c r="F3362" s="6"/>
      <c r="G3362" s="7"/>
    </row>
    <row r="3363" spans="1:7" x14ac:dyDescent="0.2">
      <c r="A3363" s="3"/>
      <c r="B3363" s="6"/>
      <c r="C3363" s="3"/>
      <c r="D3363" s="6"/>
      <c r="E3363" s="6"/>
      <c r="F3363" s="6"/>
      <c r="G3363" s="7"/>
    </row>
    <row r="3364" spans="1:7" x14ac:dyDescent="0.2">
      <c r="A3364" s="3"/>
      <c r="B3364" s="6"/>
      <c r="C3364" s="3"/>
      <c r="D3364" s="6"/>
      <c r="E3364" s="6"/>
      <c r="F3364" s="6"/>
      <c r="G3364" s="7"/>
    </row>
    <row r="3365" spans="1:7" x14ac:dyDescent="0.2">
      <c r="A3365" s="3"/>
      <c r="B3365" s="6"/>
      <c r="C3365" s="3"/>
      <c r="D3365" s="6"/>
      <c r="E3365" s="6"/>
      <c r="F3365" s="6"/>
      <c r="G3365" s="7"/>
    </row>
    <row r="3366" spans="1:7" x14ac:dyDescent="0.2">
      <c r="A3366" s="3"/>
      <c r="B3366" s="6"/>
      <c r="C3366" s="3"/>
      <c r="D3366" s="6"/>
      <c r="E3366" s="6"/>
      <c r="F3366" s="6"/>
      <c r="G3366" s="7"/>
    </row>
    <row r="3367" spans="1:7" x14ac:dyDescent="0.2">
      <c r="A3367" s="3"/>
      <c r="B3367" s="6"/>
      <c r="C3367" s="3"/>
      <c r="D3367" s="6"/>
      <c r="E3367" s="6"/>
      <c r="F3367" s="6"/>
      <c r="G3367" s="7"/>
    </row>
    <row r="3368" spans="1:7" x14ac:dyDescent="0.2">
      <c r="A3368" s="3"/>
      <c r="B3368" s="6"/>
      <c r="C3368" s="3"/>
      <c r="D3368" s="6"/>
      <c r="E3368" s="6"/>
      <c r="F3368" s="6"/>
      <c r="G3368" s="7"/>
    </row>
    <row r="3369" spans="1:7" x14ac:dyDescent="0.2">
      <c r="A3369" s="3"/>
      <c r="B3369" s="6"/>
      <c r="C3369" s="3"/>
      <c r="D3369" s="6"/>
      <c r="E3369" s="6"/>
      <c r="F3369" s="6"/>
      <c r="G3369" s="7"/>
    </row>
    <row r="3370" spans="1:7" x14ac:dyDescent="0.2">
      <c r="A3370" s="3"/>
      <c r="B3370" s="6"/>
      <c r="C3370" s="3"/>
      <c r="D3370" s="6"/>
      <c r="E3370" s="6"/>
      <c r="F3370" s="6"/>
      <c r="G3370" s="7"/>
    </row>
    <row r="3371" spans="1:7" x14ac:dyDescent="0.2">
      <c r="A3371" s="3"/>
      <c r="B3371" s="6"/>
      <c r="C3371" s="3"/>
      <c r="D3371" s="6"/>
      <c r="E3371" s="6"/>
      <c r="F3371" s="6"/>
      <c r="G3371" s="7"/>
    </row>
    <row r="3372" spans="1:7" x14ac:dyDescent="0.2">
      <c r="A3372" s="3"/>
      <c r="B3372" s="6"/>
      <c r="C3372" s="3"/>
      <c r="D3372" s="6"/>
      <c r="E3372" s="6"/>
      <c r="F3372" s="6"/>
      <c r="G3372" s="7"/>
    </row>
    <row r="3373" spans="1:7" x14ac:dyDescent="0.2">
      <c r="A3373" s="3"/>
      <c r="B3373" s="6"/>
      <c r="C3373" s="3"/>
      <c r="D3373" s="6"/>
      <c r="E3373" s="6"/>
      <c r="F3373" s="6"/>
      <c r="G3373" s="7"/>
    </row>
    <row r="3374" spans="1:7" x14ac:dyDescent="0.2">
      <c r="A3374" s="3"/>
      <c r="B3374" s="6"/>
      <c r="C3374" s="3"/>
      <c r="D3374" s="6"/>
      <c r="E3374" s="6"/>
      <c r="F3374" s="6"/>
      <c r="G3374" s="7"/>
    </row>
    <row r="3375" spans="1:7" x14ac:dyDescent="0.2">
      <c r="A3375" s="3"/>
      <c r="B3375" s="6"/>
      <c r="C3375" s="3"/>
      <c r="D3375" s="6"/>
      <c r="E3375" s="6"/>
      <c r="F3375" s="6"/>
      <c r="G3375" s="7"/>
    </row>
    <row r="3376" spans="1:7" x14ac:dyDescent="0.2">
      <c r="A3376" s="3"/>
      <c r="B3376" s="6"/>
      <c r="C3376" s="3"/>
      <c r="D3376" s="6"/>
      <c r="E3376" s="6"/>
      <c r="F3376" s="6"/>
      <c r="G3376" s="7"/>
    </row>
    <row r="3377" spans="1:7" x14ac:dyDescent="0.2">
      <c r="A3377" s="3"/>
      <c r="B3377" s="6"/>
      <c r="C3377" s="3"/>
      <c r="D3377" s="6"/>
      <c r="E3377" s="6"/>
      <c r="F3377" s="6"/>
      <c r="G3377" s="7"/>
    </row>
    <row r="3378" spans="1:7" x14ac:dyDescent="0.2">
      <c r="A3378" s="3"/>
      <c r="B3378" s="6"/>
      <c r="C3378" s="3"/>
      <c r="D3378" s="6"/>
      <c r="E3378" s="6"/>
      <c r="F3378" s="6"/>
      <c r="G3378" s="7"/>
    </row>
    <row r="3379" spans="1:7" x14ac:dyDescent="0.2">
      <c r="A3379" s="3"/>
      <c r="B3379" s="6"/>
      <c r="C3379" s="3"/>
      <c r="D3379" s="6"/>
      <c r="E3379" s="6"/>
      <c r="F3379" s="6"/>
      <c r="G3379" s="7"/>
    </row>
    <row r="3380" spans="1:7" x14ac:dyDescent="0.2">
      <c r="A3380" s="3"/>
      <c r="B3380" s="6"/>
      <c r="C3380" s="3"/>
      <c r="D3380" s="6"/>
      <c r="E3380" s="6"/>
      <c r="F3380" s="6"/>
      <c r="G3380" s="7"/>
    </row>
    <row r="3381" spans="1:7" x14ac:dyDescent="0.2">
      <c r="A3381" s="3"/>
      <c r="B3381" s="6"/>
      <c r="C3381" s="3"/>
      <c r="D3381" s="6"/>
      <c r="E3381" s="6"/>
      <c r="F3381" s="6"/>
      <c r="G3381" s="7"/>
    </row>
    <row r="3382" spans="1:7" x14ac:dyDescent="0.2">
      <c r="A3382" s="3"/>
      <c r="B3382" s="6"/>
      <c r="C3382" s="3"/>
      <c r="D3382" s="6"/>
      <c r="E3382" s="6"/>
      <c r="F3382" s="6"/>
      <c r="G3382" s="7"/>
    </row>
    <row r="3383" spans="1:7" x14ac:dyDescent="0.2">
      <c r="A3383" s="3"/>
      <c r="B3383" s="6"/>
      <c r="C3383" s="3"/>
      <c r="D3383" s="6"/>
      <c r="E3383" s="6"/>
      <c r="F3383" s="6"/>
      <c r="G3383" s="7"/>
    </row>
    <row r="3384" spans="1:7" x14ac:dyDescent="0.2">
      <c r="A3384" s="3"/>
      <c r="B3384" s="6"/>
      <c r="C3384" s="3"/>
      <c r="D3384" s="6"/>
      <c r="E3384" s="6"/>
      <c r="F3384" s="6"/>
      <c r="G3384" s="7"/>
    </row>
    <row r="3385" spans="1:7" x14ac:dyDescent="0.2">
      <c r="A3385" s="3"/>
      <c r="B3385" s="6"/>
      <c r="C3385" s="3"/>
      <c r="D3385" s="6"/>
      <c r="E3385" s="6"/>
      <c r="F3385" s="6"/>
      <c r="G3385" s="7"/>
    </row>
    <row r="3386" spans="1:7" x14ac:dyDescent="0.2">
      <c r="A3386" s="3"/>
      <c r="B3386" s="6"/>
      <c r="C3386" s="3"/>
      <c r="D3386" s="6"/>
      <c r="E3386" s="6"/>
      <c r="F3386" s="6"/>
      <c r="G3386" s="7"/>
    </row>
    <row r="3387" spans="1:7" x14ac:dyDescent="0.2">
      <c r="A3387" s="3"/>
      <c r="B3387" s="6"/>
      <c r="C3387" s="3"/>
      <c r="D3387" s="6"/>
      <c r="E3387" s="6"/>
      <c r="F3387" s="6"/>
      <c r="G3387" s="7"/>
    </row>
    <row r="3388" spans="1:7" x14ac:dyDescent="0.2">
      <c r="A3388" s="3"/>
      <c r="B3388" s="6"/>
      <c r="C3388" s="3"/>
      <c r="D3388" s="6"/>
      <c r="E3388" s="6"/>
      <c r="F3388" s="6"/>
      <c r="G3388" s="7"/>
    </row>
    <row r="3389" spans="1:7" x14ac:dyDescent="0.2">
      <c r="A3389" s="3"/>
      <c r="B3389" s="6"/>
      <c r="C3389" s="3"/>
      <c r="D3389" s="6"/>
      <c r="E3389" s="6"/>
      <c r="F3389" s="6"/>
      <c r="G3389" s="7"/>
    </row>
    <row r="3390" spans="1:7" x14ac:dyDescent="0.2">
      <c r="A3390" s="3"/>
      <c r="B3390" s="6"/>
      <c r="C3390" s="3"/>
      <c r="D3390" s="6"/>
      <c r="E3390" s="6"/>
      <c r="F3390" s="6"/>
      <c r="G3390" s="7"/>
    </row>
    <row r="3391" spans="1:7" x14ac:dyDescent="0.2">
      <c r="A3391" s="3"/>
      <c r="B3391" s="6"/>
      <c r="C3391" s="3"/>
      <c r="D3391" s="6"/>
      <c r="E3391" s="6"/>
      <c r="F3391" s="6"/>
      <c r="G3391" s="7"/>
    </row>
    <row r="3392" spans="1:7" x14ac:dyDescent="0.2">
      <c r="A3392" s="3"/>
      <c r="B3392" s="6"/>
      <c r="C3392" s="3"/>
      <c r="D3392" s="6"/>
      <c r="E3392" s="6"/>
      <c r="F3392" s="6"/>
      <c r="G3392" s="7"/>
    </row>
    <row r="3393" spans="1:7" x14ac:dyDescent="0.2">
      <c r="A3393" s="3"/>
      <c r="B3393" s="6"/>
      <c r="C3393" s="3"/>
      <c r="D3393" s="6"/>
      <c r="E3393" s="6"/>
      <c r="F3393" s="6"/>
      <c r="G3393" s="7"/>
    </row>
    <row r="3394" spans="1:7" x14ac:dyDescent="0.2">
      <c r="A3394" s="3"/>
      <c r="B3394" s="6"/>
      <c r="C3394" s="3"/>
      <c r="D3394" s="6"/>
      <c r="E3394" s="6"/>
      <c r="F3394" s="6"/>
      <c r="G3394" s="7"/>
    </row>
    <row r="3395" spans="1:7" x14ac:dyDescent="0.2">
      <c r="A3395" s="3"/>
      <c r="B3395" s="6"/>
      <c r="C3395" s="3"/>
      <c r="D3395" s="6"/>
      <c r="E3395" s="6"/>
      <c r="F3395" s="6"/>
      <c r="G3395" s="7"/>
    </row>
    <row r="3396" spans="1:7" x14ac:dyDescent="0.2">
      <c r="A3396" s="3"/>
      <c r="B3396" s="6"/>
      <c r="C3396" s="3"/>
      <c r="D3396" s="6"/>
      <c r="E3396" s="6"/>
      <c r="F3396" s="6"/>
      <c r="G3396" s="7"/>
    </row>
    <row r="3397" spans="1:7" x14ac:dyDescent="0.2">
      <c r="A3397" s="3"/>
      <c r="B3397" s="6"/>
      <c r="C3397" s="3"/>
      <c r="D3397" s="6"/>
      <c r="E3397" s="6"/>
      <c r="F3397" s="6"/>
      <c r="G3397" s="7"/>
    </row>
    <row r="3398" spans="1:7" x14ac:dyDescent="0.2">
      <c r="A3398" s="3"/>
      <c r="B3398" s="6"/>
      <c r="C3398" s="3"/>
      <c r="D3398" s="6"/>
      <c r="E3398" s="6"/>
      <c r="F3398" s="6"/>
      <c r="G3398" s="7"/>
    </row>
    <row r="3399" spans="1:7" x14ac:dyDescent="0.2">
      <c r="A3399" s="3"/>
      <c r="B3399" s="6"/>
      <c r="C3399" s="3"/>
      <c r="D3399" s="6"/>
      <c r="E3399" s="6"/>
      <c r="F3399" s="6"/>
      <c r="G3399" s="7"/>
    </row>
    <row r="3400" spans="1:7" x14ac:dyDescent="0.2">
      <c r="A3400" s="3"/>
      <c r="B3400" s="6"/>
      <c r="C3400" s="3"/>
      <c r="D3400" s="6"/>
      <c r="E3400" s="6"/>
      <c r="F3400" s="6"/>
      <c r="G3400" s="7"/>
    </row>
    <row r="3401" spans="1:7" x14ac:dyDescent="0.2">
      <c r="A3401" s="3"/>
      <c r="B3401" s="6"/>
      <c r="C3401" s="3"/>
      <c r="D3401" s="6"/>
      <c r="E3401" s="6"/>
      <c r="F3401" s="6"/>
      <c r="G3401" s="7"/>
    </row>
    <row r="3402" spans="1:7" x14ac:dyDescent="0.2">
      <c r="A3402" s="3"/>
      <c r="B3402" s="6"/>
      <c r="C3402" s="3"/>
      <c r="D3402" s="6"/>
      <c r="E3402" s="6"/>
      <c r="F3402" s="6"/>
      <c r="G3402" s="7"/>
    </row>
    <row r="3403" spans="1:7" x14ac:dyDescent="0.2">
      <c r="A3403" s="3"/>
      <c r="B3403" s="6"/>
      <c r="C3403" s="3"/>
      <c r="D3403" s="6"/>
      <c r="E3403" s="6"/>
      <c r="F3403" s="6"/>
      <c r="G3403" s="7"/>
    </row>
    <row r="3404" spans="1:7" x14ac:dyDescent="0.2">
      <c r="A3404" s="3"/>
      <c r="B3404" s="6"/>
      <c r="C3404" s="3"/>
      <c r="D3404" s="6"/>
      <c r="E3404" s="6"/>
      <c r="F3404" s="6"/>
      <c r="G3404" s="7"/>
    </row>
    <row r="3405" spans="1:7" x14ac:dyDescent="0.2">
      <c r="A3405" s="3"/>
      <c r="B3405" s="6"/>
      <c r="C3405" s="3"/>
      <c r="D3405" s="6"/>
      <c r="E3405" s="6"/>
      <c r="F3405" s="6"/>
      <c r="G3405" s="7"/>
    </row>
    <row r="3406" spans="1:7" x14ac:dyDescent="0.2">
      <c r="A3406" s="3"/>
      <c r="B3406" s="6"/>
      <c r="C3406" s="3"/>
      <c r="D3406" s="6"/>
      <c r="E3406" s="6"/>
      <c r="F3406" s="6"/>
      <c r="G3406" s="7"/>
    </row>
    <row r="3407" spans="1:7" x14ac:dyDescent="0.2">
      <c r="A3407" s="3"/>
      <c r="B3407" s="6"/>
      <c r="C3407" s="3"/>
      <c r="D3407" s="6"/>
      <c r="E3407" s="6"/>
      <c r="F3407" s="6"/>
      <c r="G3407" s="7"/>
    </row>
    <row r="3408" spans="1:7" x14ac:dyDescent="0.2">
      <c r="A3408" s="3"/>
      <c r="B3408" s="6"/>
      <c r="C3408" s="3"/>
      <c r="D3408" s="6"/>
      <c r="E3408" s="6"/>
      <c r="F3408" s="6"/>
      <c r="G3408" s="7"/>
    </row>
    <row r="3409" spans="1:7" x14ac:dyDescent="0.2">
      <c r="A3409" s="3"/>
      <c r="B3409" s="6"/>
      <c r="C3409" s="3"/>
      <c r="D3409" s="6"/>
      <c r="E3409" s="6"/>
      <c r="F3409" s="6"/>
      <c r="G3409" s="7"/>
    </row>
    <row r="3410" spans="1:7" x14ac:dyDescent="0.2">
      <c r="A3410" s="3"/>
      <c r="B3410" s="6"/>
      <c r="C3410" s="3"/>
      <c r="D3410" s="6"/>
      <c r="E3410" s="6"/>
      <c r="F3410" s="6"/>
      <c r="G3410" s="7"/>
    </row>
    <row r="3411" spans="1:7" x14ac:dyDescent="0.2">
      <c r="A3411" s="3"/>
      <c r="B3411" s="6"/>
      <c r="C3411" s="3"/>
      <c r="D3411" s="6"/>
      <c r="E3411" s="6"/>
      <c r="F3411" s="6"/>
      <c r="G3411" s="7"/>
    </row>
    <row r="3412" spans="1:7" x14ac:dyDescent="0.2">
      <c r="A3412" s="3"/>
      <c r="B3412" s="6"/>
      <c r="C3412" s="3"/>
      <c r="D3412" s="6"/>
      <c r="E3412" s="6"/>
      <c r="F3412" s="6"/>
      <c r="G3412" s="7"/>
    </row>
    <row r="3413" spans="1:7" x14ac:dyDescent="0.2">
      <c r="A3413" s="3"/>
      <c r="B3413" s="6"/>
      <c r="C3413" s="3"/>
      <c r="D3413" s="6"/>
      <c r="E3413" s="6"/>
      <c r="F3413" s="6"/>
      <c r="G3413" s="7"/>
    </row>
    <row r="3414" spans="1:7" x14ac:dyDescent="0.2">
      <c r="A3414" s="3"/>
      <c r="B3414" s="6"/>
      <c r="C3414" s="3"/>
      <c r="D3414" s="6"/>
      <c r="E3414" s="6"/>
      <c r="F3414" s="6"/>
      <c r="G3414" s="7"/>
    </row>
    <row r="3415" spans="1:7" x14ac:dyDescent="0.2">
      <c r="A3415" s="3"/>
      <c r="B3415" s="6"/>
      <c r="C3415" s="3"/>
      <c r="D3415" s="6"/>
      <c r="E3415" s="6"/>
      <c r="F3415" s="6"/>
      <c r="G3415" s="7"/>
    </row>
    <row r="3416" spans="1:7" x14ac:dyDescent="0.2">
      <c r="A3416" s="3"/>
      <c r="B3416" s="6"/>
      <c r="C3416" s="3"/>
      <c r="D3416" s="6"/>
      <c r="E3416" s="6"/>
      <c r="F3416" s="6"/>
      <c r="G3416" s="7"/>
    </row>
    <row r="3417" spans="1:7" x14ac:dyDescent="0.2">
      <c r="A3417" s="3"/>
      <c r="B3417" s="6"/>
      <c r="C3417" s="3"/>
      <c r="D3417" s="6"/>
      <c r="E3417" s="6"/>
      <c r="F3417" s="6"/>
      <c r="G3417" s="7"/>
    </row>
    <row r="3418" spans="1:7" x14ac:dyDescent="0.2">
      <c r="A3418" s="3"/>
      <c r="B3418" s="6"/>
      <c r="C3418" s="3"/>
      <c r="D3418" s="6"/>
      <c r="E3418" s="6"/>
      <c r="F3418" s="6"/>
      <c r="G3418" s="7"/>
    </row>
    <row r="3419" spans="1:7" x14ac:dyDescent="0.2">
      <c r="A3419" s="3"/>
      <c r="B3419" s="6"/>
      <c r="C3419" s="3"/>
      <c r="D3419" s="6"/>
      <c r="E3419" s="6"/>
      <c r="F3419" s="6"/>
      <c r="G3419" s="7"/>
    </row>
    <row r="3420" spans="1:7" x14ac:dyDescent="0.2">
      <c r="A3420" s="3"/>
      <c r="B3420" s="6"/>
      <c r="C3420" s="3"/>
      <c r="D3420" s="6"/>
      <c r="E3420" s="6"/>
      <c r="F3420" s="6"/>
      <c r="G3420" s="7"/>
    </row>
    <row r="3421" spans="1:7" x14ac:dyDescent="0.2">
      <c r="A3421" s="3"/>
      <c r="B3421" s="6"/>
      <c r="C3421" s="3"/>
      <c r="D3421" s="6"/>
      <c r="E3421" s="6"/>
      <c r="F3421" s="6"/>
      <c r="G3421" s="7"/>
    </row>
    <row r="3422" spans="1:7" x14ac:dyDescent="0.2">
      <c r="A3422" s="3"/>
      <c r="B3422" s="6"/>
      <c r="C3422" s="3"/>
      <c r="D3422" s="6"/>
      <c r="E3422" s="6"/>
      <c r="F3422" s="6"/>
      <c r="G3422" s="7"/>
    </row>
    <row r="3423" spans="1:7" x14ac:dyDescent="0.2">
      <c r="A3423" s="3"/>
      <c r="B3423" s="6"/>
      <c r="C3423" s="3"/>
      <c r="D3423" s="6"/>
      <c r="E3423" s="6"/>
      <c r="F3423" s="6"/>
      <c r="G3423" s="7"/>
    </row>
    <row r="3424" spans="1:7" x14ac:dyDescent="0.2">
      <c r="A3424" s="3"/>
      <c r="B3424" s="6"/>
      <c r="C3424" s="3"/>
      <c r="D3424" s="6"/>
      <c r="E3424" s="6"/>
      <c r="F3424" s="6"/>
      <c r="G3424" s="7"/>
    </row>
    <row r="3425" spans="1:7" x14ac:dyDescent="0.2">
      <c r="A3425" s="3"/>
      <c r="B3425" s="6"/>
      <c r="C3425" s="3"/>
      <c r="D3425" s="6"/>
      <c r="E3425" s="6"/>
      <c r="F3425" s="6"/>
      <c r="G3425" s="7"/>
    </row>
    <row r="3426" spans="1:7" x14ac:dyDescent="0.2">
      <c r="A3426" s="3"/>
      <c r="B3426" s="6"/>
      <c r="C3426" s="3"/>
      <c r="D3426" s="6"/>
      <c r="E3426" s="6"/>
      <c r="F3426" s="6"/>
      <c r="G3426" s="7"/>
    </row>
    <row r="3427" spans="1:7" x14ac:dyDescent="0.2">
      <c r="A3427" s="3"/>
      <c r="B3427" s="6"/>
      <c r="C3427" s="3"/>
      <c r="D3427" s="6"/>
      <c r="E3427" s="6"/>
      <c r="F3427" s="6"/>
      <c r="G3427" s="7"/>
    </row>
    <row r="3428" spans="1:7" x14ac:dyDescent="0.2">
      <c r="A3428" s="3"/>
      <c r="B3428" s="6"/>
      <c r="C3428" s="3"/>
      <c r="D3428" s="6"/>
      <c r="E3428" s="6"/>
      <c r="F3428" s="6"/>
      <c r="G3428" s="7"/>
    </row>
    <row r="3429" spans="1:7" x14ac:dyDescent="0.2">
      <c r="A3429" s="3"/>
      <c r="B3429" s="6"/>
      <c r="C3429" s="3"/>
      <c r="D3429" s="6"/>
      <c r="E3429" s="6"/>
      <c r="F3429" s="6"/>
      <c r="G3429" s="7"/>
    </row>
    <row r="3430" spans="1:7" x14ac:dyDescent="0.2">
      <c r="A3430" s="3"/>
      <c r="B3430" s="6"/>
      <c r="C3430" s="3"/>
      <c r="D3430" s="6"/>
      <c r="E3430" s="6"/>
      <c r="F3430" s="6"/>
      <c r="G3430" s="7"/>
    </row>
    <row r="3431" spans="1:7" x14ac:dyDescent="0.2">
      <c r="A3431" s="3"/>
      <c r="B3431" s="6"/>
      <c r="C3431" s="3"/>
      <c r="D3431" s="6"/>
      <c r="E3431" s="6"/>
      <c r="F3431" s="6"/>
      <c r="G3431" s="7"/>
    </row>
    <row r="3432" spans="1:7" x14ac:dyDescent="0.2">
      <c r="A3432" s="3"/>
      <c r="B3432" s="6"/>
      <c r="C3432" s="3"/>
      <c r="D3432" s="6"/>
      <c r="E3432" s="6"/>
      <c r="F3432" s="6"/>
      <c r="G3432" s="7"/>
    </row>
    <row r="3433" spans="1:7" x14ac:dyDescent="0.2">
      <c r="A3433" s="3"/>
      <c r="B3433" s="6"/>
      <c r="C3433" s="3"/>
      <c r="D3433" s="6"/>
      <c r="E3433" s="6"/>
      <c r="F3433" s="6"/>
      <c r="G3433" s="7"/>
    </row>
    <row r="3434" spans="1:7" x14ac:dyDescent="0.2">
      <c r="A3434" s="3"/>
      <c r="B3434" s="6"/>
      <c r="C3434" s="3"/>
      <c r="D3434" s="6"/>
      <c r="E3434" s="6"/>
      <c r="F3434" s="6"/>
      <c r="G3434" s="7"/>
    </row>
    <row r="3435" spans="1:7" x14ac:dyDescent="0.2">
      <c r="A3435" s="3"/>
      <c r="B3435" s="6"/>
      <c r="C3435" s="3"/>
      <c r="D3435" s="6"/>
      <c r="E3435" s="6"/>
      <c r="F3435" s="6"/>
      <c r="G3435" s="7"/>
    </row>
    <row r="3436" spans="1:7" x14ac:dyDescent="0.2">
      <c r="A3436" s="3"/>
      <c r="B3436" s="6"/>
      <c r="C3436" s="3"/>
      <c r="D3436" s="6"/>
      <c r="E3436" s="6"/>
      <c r="F3436" s="6"/>
      <c r="G3436" s="7"/>
    </row>
    <row r="3437" spans="1:7" x14ac:dyDescent="0.2">
      <c r="A3437" s="3"/>
      <c r="B3437" s="6"/>
      <c r="C3437" s="3"/>
      <c r="D3437" s="6"/>
      <c r="E3437" s="6"/>
      <c r="F3437" s="6"/>
      <c r="G3437" s="7"/>
    </row>
    <row r="3438" spans="1:7" x14ac:dyDescent="0.2">
      <c r="A3438" s="3"/>
      <c r="B3438" s="6"/>
      <c r="C3438" s="3"/>
      <c r="D3438" s="6"/>
      <c r="E3438" s="6"/>
      <c r="F3438" s="6"/>
      <c r="G3438" s="7"/>
    </row>
    <row r="3439" spans="1:7" x14ac:dyDescent="0.2">
      <c r="A3439" s="3"/>
      <c r="B3439" s="6"/>
      <c r="C3439" s="3"/>
      <c r="D3439" s="6"/>
      <c r="E3439" s="6"/>
      <c r="F3439" s="6"/>
      <c r="G3439" s="7"/>
    </row>
    <row r="3440" spans="1:7" x14ac:dyDescent="0.2">
      <c r="A3440" s="3"/>
      <c r="B3440" s="6"/>
      <c r="C3440" s="3"/>
      <c r="D3440" s="6"/>
      <c r="E3440" s="6"/>
      <c r="F3440" s="6"/>
      <c r="G3440" s="7"/>
    </row>
    <row r="3441" spans="1:7" x14ac:dyDescent="0.2">
      <c r="A3441" s="3"/>
      <c r="B3441" s="6"/>
      <c r="C3441" s="3"/>
      <c r="D3441" s="6"/>
      <c r="E3441" s="6"/>
      <c r="F3441" s="6"/>
      <c r="G3441" s="7"/>
    </row>
    <row r="3442" spans="1:7" x14ac:dyDescent="0.2">
      <c r="A3442" s="3"/>
      <c r="B3442" s="6"/>
      <c r="C3442" s="3"/>
      <c r="D3442" s="6"/>
      <c r="E3442" s="6"/>
      <c r="F3442" s="6"/>
      <c r="G3442" s="7"/>
    </row>
    <row r="3443" spans="1:7" x14ac:dyDescent="0.2">
      <c r="A3443" s="3"/>
      <c r="B3443" s="6"/>
      <c r="C3443" s="3"/>
      <c r="D3443" s="6"/>
      <c r="E3443" s="6"/>
      <c r="F3443" s="6"/>
      <c r="G3443" s="7"/>
    </row>
    <row r="3444" spans="1:7" x14ac:dyDescent="0.2">
      <c r="A3444" s="3"/>
      <c r="B3444" s="6"/>
      <c r="C3444" s="3"/>
      <c r="D3444" s="6"/>
      <c r="E3444" s="6"/>
      <c r="F3444" s="6"/>
      <c r="G3444" s="7"/>
    </row>
    <row r="3445" spans="1:7" x14ac:dyDescent="0.2">
      <c r="A3445" s="3"/>
      <c r="B3445" s="6"/>
      <c r="C3445" s="3"/>
      <c r="D3445" s="6"/>
      <c r="E3445" s="6"/>
      <c r="F3445" s="6"/>
      <c r="G3445" s="7"/>
    </row>
    <row r="3446" spans="1:7" x14ac:dyDescent="0.2">
      <c r="A3446" s="3"/>
      <c r="B3446" s="6"/>
      <c r="C3446" s="3"/>
      <c r="D3446" s="6"/>
      <c r="E3446" s="6"/>
      <c r="F3446" s="6"/>
      <c r="G3446" s="7"/>
    </row>
    <row r="3447" spans="1:7" x14ac:dyDescent="0.2">
      <c r="A3447" s="3"/>
      <c r="B3447" s="6"/>
      <c r="C3447" s="3"/>
      <c r="D3447" s="6"/>
      <c r="E3447" s="6"/>
      <c r="F3447" s="6"/>
      <c r="G3447" s="7"/>
    </row>
    <row r="3448" spans="1:7" x14ac:dyDescent="0.2">
      <c r="A3448" s="3"/>
      <c r="B3448" s="6"/>
      <c r="C3448" s="3"/>
      <c r="D3448" s="6"/>
      <c r="E3448" s="6"/>
      <c r="F3448" s="6"/>
      <c r="G3448" s="7"/>
    </row>
    <row r="3449" spans="1:7" x14ac:dyDescent="0.2">
      <c r="A3449" s="3"/>
      <c r="B3449" s="6"/>
      <c r="C3449" s="3"/>
      <c r="D3449" s="6"/>
      <c r="E3449" s="6"/>
      <c r="F3449" s="6"/>
      <c r="G3449" s="7"/>
    </row>
    <row r="3450" spans="1:7" x14ac:dyDescent="0.2">
      <c r="A3450" s="3"/>
      <c r="B3450" s="6"/>
      <c r="C3450" s="3"/>
      <c r="D3450" s="6"/>
      <c r="E3450" s="6"/>
      <c r="F3450" s="6"/>
      <c r="G3450" s="7"/>
    </row>
    <row r="3451" spans="1:7" x14ac:dyDescent="0.2">
      <c r="A3451" s="3"/>
      <c r="B3451" s="6"/>
      <c r="C3451" s="3"/>
      <c r="D3451" s="6"/>
      <c r="E3451" s="6"/>
      <c r="F3451" s="6"/>
      <c r="G3451" s="7"/>
    </row>
    <row r="3452" spans="1:7" x14ac:dyDescent="0.2">
      <c r="A3452" s="3"/>
      <c r="B3452" s="6"/>
      <c r="C3452" s="3"/>
      <c r="D3452" s="6"/>
      <c r="E3452" s="6"/>
      <c r="F3452" s="6"/>
      <c r="G3452" s="7"/>
    </row>
    <row r="3453" spans="1:7" x14ac:dyDescent="0.2">
      <c r="A3453" s="3"/>
      <c r="B3453" s="6"/>
      <c r="C3453" s="3"/>
      <c r="D3453" s="6"/>
      <c r="E3453" s="6"/>
      <c r="F3453" s="6"/>
      <c r="G3453" s="7"/>
    </row>
    <row r="3454" spans="1:7" x14ac:dyDescent="0.2">
      <c r="A3454" s="3"/>
      <c r="B3454" s="6"/>
      <c r="C3454" s="3"/>
      <c r="D3454" s="6"/>
      <c r="E3454" s="6"/>
      <c r="F3454" s="6"/>
      <c r="G3454" s="7"/>
    </row>
    <row r="3455" spans="1:7" x14ac:dyDescent="0.2">
      <c r="A3455" s="3"/>
      <c r="B3455" s="6"/>
      <c r="C3455" s="3"/>
      <c r="D3455" s="6"/>
      <c r="E3455" s="6"/>
      <c r="F3455" s="6"/>
      <c r="G3455" s="7"/>
    </row>
    <row r="3456" spans="1:7" x14ac:dyDescent="0.2">
      <c r="A3456" s="3"/>
      <c r="B3456" s="6"/>
      <c r="C3456" s="3"/>
      <c r="D3456" s="6"/>
      <c r="E3456" s="6"/>
      <c r="F3456" s="6"/>
      <c r="G3456" s="7"/>
    </row>
    <row r="3457" spans="1:7" x14ac:dyDescent="0.2">
      <c r="A3457" s="3"/>
      <c r="B3457" s="6"/>
      <c r="C3457" s="3"/>
      <c r="D3457" s="6"/>
      <c r="E3457" s="6"/>
      <c r="F3457" s="6"/>
      <c r="G3457" s="7"/>
    </row>
    <row r="3458" spans="1:7" x14ac:dyDescent="0.2">
      <c r="A3458" s="3"/>
      <c r="B3458" s="6"/>
      <c r="C3458" s="3"/>
      <c r="D3458" s="6"/>
      <c r="E3458" s="6"/>
      <c r="F3458" s="6"/>
      <c r="G3458" s="7"/>
    </row>
    <row r="3459" spans="1:7" x14ac:dyDescent="0.2">
      <c r="A3459" s="3"/>
      <c r="B3459" s="6"/>
      <c r="C3459" s="3"/>
      <c r="D3459" s="6"/>
      <c r="E3459" s="6"/>
      <c r="F3459" s="6"/>
      <c r="G3459" s="7"/>
    </row>
    <row r="3460" spans="1:7" x14ac:dyDescent="0.2">
      <c r="A3460" s="3"/>
      <c r="B3460" s="6"/>
      <c r="C3460" s="3"/>
      <c r="D3460" s="6"/>
      <c r="E3460" s="6"/>
      <c r="F3460" s="6"/>
      <c r="G3460" s="7"/>
    </row>
    <row r="3461" spans="1:7" x14ac:dyDescent="0.2">
      <c r="A3461" s="3"/>
      <c r="B3461" s="6"/>
      <c r="C3461" s="3"/>
      <c r="D3461" s="6"/>
      <c r="E3461" s="6"/>
      <c r="F3461" s="6"/>
      <c r="G3461" s="7"/>
    </row>
    <row r="3462" spans="1:7" x14ac:dyDescent="0.2">
      <c r="A3462" s="3"/>
      <c r="B3462" s="6"/>
      <c r="C3462" s="3"/>
      <c r="D3462" s="6"/>
      <c r="E3462" s="6"/>
      <c r="F3462" s="6"/>
      <c r="G3462" s="7"/>
    </row>
    <row r="3463" spans="1:7" x14ac:dyDescent="0.2">
      <c r="A3463" s="3"/>
      <c r="B3463" s="6"/>
      <c r="C3463" s="3"/>
      <c r="D3463" s="6"/>
      <c r="E3463" s="6"/>
      <c r="F3463" s="6"/>
      <c r="G3463" s="7"/>
    </row>
    <row r="3464" spans="1:7" x14ac:dyDescent="0.2">
      <c r="A3464" s="3"/>
      <c r="B3464" s="6"/>
      <c r="C3464" s="3"/>
      <c r="D3464" s="6"/>
      <c r="E3464" s="6"/>
      <c r="F3464" s="6"/>
      <c r="G3464" s="7"/>
    </row>
    <row r="3465" spans="1:7" x14ac:dyDescent="0.2">
      <c r="A3465" s="3"/>
      <c r="B3465" s="6"/>
      <c r="C3465" s="3"/>
      <c r="D3465" s="6"/>
      <c r="E3465" s="6"/>
      <c r="F3465" s="6"/>
      <c r="G3465" s="7"/>
    </row>
    <row r="3466" spans="1:7" x14ac:dyDescent="0.2">
      <c r="A3466" s="3"/>
      <c r="B3466" s="6"/>
      <c r="C3466" s="3"/>
      <c r="D3466" s="6"/>
      <c r="E3466" s="6"/>
      <c r="F3466" s="6"/>
      <c r="G3466" s="7"/>
    </row>
    <row r="3467" spans="1:7" x14ac:dyDescent="0.2">
      <c r="A3467" s="3"/>
      <c r="B3467" s="6"/>
      <c r="C3467" s="3"/>
      <c r="D3467" s="6"/>
      <c r="E3467" s="6"/>
      <c r="F3467" s="6"/>
      <c r="G3467" s="7"/>
    </row>
    <row r="3468" spans="1:7" x14ac:dyDescent="0.2">
      <c r="A3468" s="3"/>
      <c r="B3468" s="6"/>
      <c r="C3468" s="3"/>
      <c r="D3468" s="6"/>
      <c r="E3468" s="6"/>
      <c r="F3468" s="6"/>
      <c r="G3468" s="7"/>
    </row>
    <row r="3469" spans="1:7" x14ac:dyDescent="0.2">
      <c r="A3469" s="3"/>
      <c r="B3469" s="6"/>
      <c r="C3469" s="3"/>
      <c r="D3469" s="6"/>
      <c r="E3469" s="6"/>
      <c r="F3469" s="6"/>
      <c r="G3469" s="7"/>
    </row>
    <row r="3470" spans="1:7" x14ac:dyDescent="0.2">
      <c r="A3470" s="3"/>
      <c r="B3470" s="6"/>
      <c r="C3470" s="3"/>
      <c r="D3470" s="6"/>
      <c r="E3470" s="6"/>
      <c r="F3470" s="6"/>
      <c r="G3470" s="7"/>
    </row>
    <row r="3471" spans="1:7" x14ac:dyDescent="0.2">
      <c r="A3471" s="3"/>
      <c r="B3471" s="6"/>
      <c r="C3471" s="3"/>
      <c r="D3471" s="6"/>
      <c r="E3471" s="6"/>
      <c r="F3471" s="6"/>
      <c r="G3471" s="7"/>
    </row>
    <row r="3472" spans="1:7" x14ac:dyDescent="0.2">
      <c r="A3472" s="3"/>
      <c r="B3472" s="6"/>
      <c r="C3472" s="3"/>
      <c r="D3472" s="6"/>
      <c r="E3472" s="6"/>
      <c r="F3472" s="6"/>
      <c r="G3472" s="7"/>
    </row>
    <row r="3473" spans="1:7" x14ac:dyDescent="0.2">
      <c r="A3473" s="3"/>
      <c r="B3473" s="6"/>
      <c r="C3473" s="3"/>
      <c r="D3473" s="6"/>
      <c r="E3473" s="6"/>
      <c r="F3473" s="6"/>
      <c r="G3473" s="7"/>
    </row>
    <row r="3474" spans="1:7" x14ac:dyDescent="0.2">
      <c r="A3474" s="3"/>
      <c r="B3474" s="6"/>
      <c r="C3474" s="3"/>
      <c r="D3474" s="6"/>
      <c r="E3474" s="6"/>
      <c r="F3474" s="6"/>
      <c r="G3474" s="7"/>
    </row>
    <row r="3475" spans="1:7" x14ac:dyDescent="0.2">
      <c r="A3475" s="3"/>
      <c r="B3475" s="6"/>
      <c r="C3475" s="3"/>
      <c r="D3475" s="6"/>
      <c r="E3475" s="6"/>
      <c r="F3475" s="6"/>
      <c r="G3475" s="7"/>
    </row>
    <row r="3476" spans="1:7" x14ac:dyDescent="0.2">
      <c r="A3476" s="3"/>
      <c r="B3476" s="6"/>
      <c r="C3476" s="3"/>
      <c r="D3476" s="6"/>
      <c r="E3476" s="6"/>
      <c r="F3476" s="6"/>
      <c r="G3476" s="7"/>
    </row>
    <row r="3477" spans="1:7" x14ac:dyDescent="0.2">
      <c r="A3477" s="3"/>
      <c r="B3477" s="6"/>
      <c r="C3477" s="3"/>
      <c r="D3477" s="6"/>
      <c r="E3477" s="6"/>
      <c r="F3477" s="6"/>
      <c r="G3477" s="7"/>
    </row>
    <row r="3478" spans="1:7" x14ac:dyDescent="0.2">
      <c r="A3478" s="3"/>
      <c r="B3478" s="6"/>
      <c r="C3478" s="3"/>
      <c r="D3478" s="6"/>
      <c r="E3478" s="6"/>
      <c r="F3478" s="6"/>
      <c r="G3478" s="7"/>
    </row>
    <row r="3479" spans="1:7" x14ac:dyDescent="0.2">
      <c r="A3479" s="3"/>
      <c r="B3479" s="6"/>
      <c r="C3479" s="3"/>
      <c r="D3479" s="6"/>
      <c r="E3479" s="6"/>
      <c r="F3479" s="6"/>
      <c r="G3479" s="7"/>
    </row>
    <row r="3480" spans="1:7" x14ac:dyDescent="0.2">
      <c r="A3480" s="3"/>
      <c r="B3480" s="6"/>
      <c r="C3480" s="3"/>
      <c r="D3480" s="6"/>
      <c r="E3480" s="6"/>
      <c r="F3480" s="6"/>
      <c r="G3480" s="7"/>
    </row>
    <row r="3481" spans="1:7" x14ac:dyDescent="0.2">
      <c r="A3481" s="3"/>
      <c r="B3481" s="6"/>
      <c r="C3481" s="3"/>
      <c r="D3481" s="6"/>
      <c r="E3481" s="6"/>
      <c r="F3481" s="6"/>
      <c r="G3481" s="7"/>
    </row>
    <row r="3482" spans="1:7" x14ac:dyDescent="0.2">
      <c r="A3482" s="3"/>
      <c r="B3482" s="6"/>
      <c r="C3482" s="3"/>
      <c r="D3482" s="6"/>
      <c r="E3482" s="6"/>
      <c r="F3482" s="6"/>
      <c r="G3482" s="7"/>
    </row>
    <row r="3483" spans="1:7" x14ac:dyDescent="0.2">
      <c r="A3483" s="3"/>
      <c r="B3483" s="6"/>
      <c r="C3483" s="3"/>
      <c r="D3483" s="6"/>
      <c r="E3483" s="6"/>
      <c r="F3483" s="6"/>
      <c r="G3483" s="7"/>
    </row>
    <row r="3484" spans="1:7" x14ac:dyDescent="0.2">
      <c r="A3484" s="3"/>
      <c r="B3484" s="6"/>
      <c r="C3484" s="3"/>
      <c r="D3484" s="6"/>
      <c r="E3484" s="6"/>
      <c r="F3484" s="6"/>
      <c r="G3484" s="7"/>
    </row>
    <row r="3485" spans="1:7" x14ac:dyDescent="0.2">
      <c r="A3485" s="3"/>
      <c r="B3485" s="6"/>
      <c r="C3485" s="3"/>
      <c r="D3485" s="6"/>
      <c r="E3485" s="6"/>
      <c r="F3485" s="6"/>
      <c r="G3485" s="7"/>
    </row>
    <row r="3486" spans="1:7" x14ac:dyDescent="0.2">
      <c r="A3486" s="3"/>
      <c r="B3486" s="6"/>
      <c r="C3486" s="3"/>
      <c r="D3486" s="6"/>
      <c r="E3486" s="6"/>
      <c r="F3486" s="6"/>
      <c r="G3486" s="7"/>
    </row>
    <row r="3487" spans="1:7" x14ac:dyDescent="0.2">
      <c r="A3487" s="3"/>
      <c r="B3487" s="6"/>
      <c r="C3487" s="3"/>
      <c r="D3487" s="6"/>
      <c r="E3487" s="6"/>
      <c r="F3487" s="6"/>
      <c r="G3487" s="7"/>
    </row>
    <row r="3488" spans="1:7" x14ac:dyDescent="0.2">
      <c r="A3488" s="3"/>
      <c r="B3488" s="6"/>
      <c r="C3488" s="3"/>
      <c r="D3488" s="6"/>
      <c r="E3488" s="6"/>
      <c r="F3488" s="6"/>
      <c r="G3488" s="7"/>
    </row>
    <row r="3489" spans="1:7" x14ac:dyDescent="0.2">
      <c r="A3489" s="3"/>
      <c r="B3489" s="6"/>
      <c r="C3489" s="3"/>
      <c r="D3489" s="6"/>
      <c r="E3489" s="6"/>
      <c r="F3489" s="6"/>
      <c r="G3489" s="7"/>
    </row>
    <row r="3490" spans="1:7" x14ac:dyDescent="0.2">
      <c r="A3490" s="3"/>
      <c r="B3490" s="6"/>
      <c r="C3490" s="3"/>
      <c r="D3490" s="6"/>
      <c r="E3490" s="6"/>
      <c r="F3490" s="6"/>
      <c r="G3490" s="7"/>
    </row>
    <row r="3491" spans="1:7" x14ac:dyDescent="0.2">
      <c r="A3491" s="3"/>
      <c r="B3491" s="6"/>
      <c r="C3491" s="3"/>
      <c r="D3491" s="6"/>
      <c r="E3491" s="6"/>
      <c r="F3491" s="6"/>
      <c r="G3491" s="7"/>
    </row>
    <row r="3492" spans="1:7" x14ac:dyDescent="0.2">
      <c r="A3492" s="3"/>
      <c r="B3492" s="6"/>
      <c r="C3492" s="3"/>
      <c r="D3492" s="6"/>
      <c r="E3492" s="6"/>
      <c r="F3492" s="6"/>
      <c r="G3492" s="7"/>
    </row>
    <row r="3493" spans="1:7" x14ac:dyDescent="0.2">
      <c r="A3493" s="3"/>
      <c r="B3493" s="6"/>
      <c r="C3493" s="3"/>
      <c r="D3493" s="6"/>
      <c r="E3493" s="6"/>
      <c r="F3493" s="6"/>
      <c r="G3493" s="7"/>
    </row>
    <row r="3494" spans="1:7" x14ac:dyDescent="0.2">
      <c r="A3494" s="3"/>
      <c r="B3494" s="6"/>
      <c r="C3494" s="3"/>
      <c r="D3494" s="6"/>
      <c r="E3494" s="6"/>
      <c r="F3494" s="6"/>
      <c r="G3494" s="7"/>
    </row>
    <row r="3495" spans="1:7" x14ac:dyDescent="0.2">
      <c r="A3495" s="3"/>
      <c r="B3495" s="6"/>
      <c r="C3495" s="3"/>
      <c r="D3495" s="6"/>
      <c r="E3495" s="6"/>
      <c r="F3495" s="6"/>
      <c r="G3495" s="7"/>
    </row>
    <row r="3496" spans="1:7" x14ac:dyDescent="0.2">
      <c r="A3496" s="3"/>
      <c r="B3496" s="6"/>
      <c r="C3496" s="3"/>
      <c r="D3496" s="6"/>
      <c r="E3496" s="6"/>
      <c r="F3496" s="6"/>
      <c r="G3496" s="7"/>
    </row>
    <row r="3497" spans="1:7" x14ac:dyDescent="0.2">
      <c r="A3497" s="3"/>
      <c r="B3497" s="6"/>
      <c r="C3497" s="3"/>
      <c r="D3497" s="6"/>
      <c r="E3497" s="6"/>
      <c r="F3497" s="6"/>
      <c r="G3497" s="7"/>
    </row>
    <row r="3498" spans="1:7" x14ac:dyDescent="0.2">
      <c r="A3498" s="3"/>
      <c r="B3498" s="6"/>
      <c r="C3498" s="3"/>
      <c r="D3498" s="6"/>
      <c r="E3498" s="6"/>
      <c r="F3498" s="6"/>
      <c r="G3498" s="7"/>
    </row>
    <row r="3499" spans="1:7" x14ac:dyDescent="0.2">
      <c r="A3499" s="3"/>
      <c r="B3499" s="6"/>
      <c r="C3499" s="3"/>
      <c r="D3499" s="6"/>
      <c r="E3499" s="6"/>
      <c r="F3499" s="6"/>
      <c r="G3499" s="7"/>
    </row>
    <row r="3500" spans="1:7" x14ac:dyDescent="0.2">
      <c r="A3500" s="3"/>
      <c r="B3500" s="6"/>
      <c r="C3500" s="3"/>
      <c r="D3500" s="6"/>
      <c r="E3500" s="6"/>
      <c r="F3500" s="6"/>
      <c r="G3500" s="7"/>
    </row>
    <row r="3501" spans="1:7" x14ac:dyDescent="0.2">
      <c r="A3501" s="3"/>
      <c r="B3501" s="6"/>
      <c r="C3501" s="3"/>
      <c r="D3501" s="6"/>
      <c r="E3501" s="6"/>
      <c r="F3501" s="6"/>
      <c r="G3501" s="7"/>
    </row>
    <row r="3502" spans="1:7" x14ac:dyDescent="0.2">
      <c r="A3502" s="3"/>
      <c r="B3502" s="6"/>
      <c r="C3502" s="3"/>
      <c r="D3502" s="6"/>
      <c r="E3502" s="6"/>
      <c r="F3502" s="6"/>
      <c r="G3502" s="7"/>
    </row>
    <row r="3503" spans="1:7" x14ac:dyDescent="0.2">
      <c r="A3503" s="3"/>
      <c r="B3503" s="6"/>
      <c r="C3503" s="3"/>
      <c r="D3503" s="6"/>
      <c r="E3503" s="6"/>
      <c r="F3503" s="6"/>
      <c r="G3503" s="7"/>
    </row>
    <row r="3504" spans="1:7" x14ac:dyDescent="0.2">
      <c r="A3504" s="3"/>
      <c r="B3504" s="6"/>
      <c r="C3504" s="3"/>
      <c r="D3504" s="6"/>
      <c r="E3504" s="6"/>
      <c r="F3504" s="6"/>
      <c r="G3504" s="7"/>
    </row>
    <row r="3505" spans="1:7" x14ac:dyDescent="0.2">
      <c r="A3505" s="3"/>
      <c r="B3505" s="6"/>
      <c r="C3505" s="3"/>
      <c r="D3505" s="6"/>
      <c r="E3505" s="6"/>
      <c r="F3505" s="6"/>
      <c r="G3505" s="7"/>
    </row>
    <row r="3506" spans="1:7" x14ac:dyDescent="0.2">
      <c r="A3506" s="3"/>
      <c r="B3506" s="6"/>
      <c r="C3506" s="3"/>
      <c r="D3506" s="6"/>
      <c r="E3506" s="6"/>
      <c r="F3506" s="6"/>
      <c r="G3506" s="7"/>
    </row>
    <row r="3507" spans="1:7" x14ac:dyDescent="0.2">
      <c r="A3507" s="3"/>
      <c r="B3507" s="6"/>
      <c r="C3507" s="3"/>
      <c r="D3507" s="6"/>
      <c r="E3507" s="6"/>
      <c r="F3507" s="6"/>
      <c r="G3507" s="7"/>
    </row>
    <row r="3508" spans="1:7" x14ac:dyDescent="0.2">
      <c r="A3508" s="3"/>
      <c r="B3508" s="6"/>
      <c r="C3508" s="3"/>
      <c r="D3508" s="6"/>
      <c r="E3508" s="6"/>
      <c r="F3508" s="6"/>
      <c r="G3508" s="7"/>
    </row>
    <row r="3509" spans="1:7" x14ac:dyDescent="0.2">
      <c r="A3509" s="3"/>
      <c r="B3509" s="6"/>
      <c r="C3509" s="3"/>
      <c r="D3509" s="6"/>
      <c r="E3509" s="6"/>
      <c r="F3509" s="6"/>
      <c r="G3509" s="7"/>
    </row>
    <row r="3510" spans="1:7" x14ac:dyDescent="0.2">
      <c r="A3510" s="3"/>
      <c r="B3510" s="6"/>
      <c r="C3510" s="3"/>
      <c r="D3510" s="6"/>
      <c r="E3510" s="6"/>
      <c r="F3510" s="6"/>
      <c r="G3510" s="7"/>
    </row>
    <row r="3511" spans="1:7" x14ac:dyDescent="0.2">
      <c r="A3511" s="3"/>
      <c r="B3511" s="6"/>
      <c r="C3511" s="3"/>
      <c r="D3511" s="6"/>
      <c r="E3511" s="6"/>
      <c r="F3511" s="6"/>
      <c r="G3511" s="7"/>
    </row>
    <row r="3512" spans="1:7" x14ac:dyDescent="0.2">
      <c r="A3512" s="3"/>
      <c r="B3512" s="6"/>
      <c r="C3512" s="3"/>
      <c r="D3512" s="6"/>
      <c r="E3512" s="6"/>
      <c r="F3512" s="6"/>
      <c r="G3512" s="7"/>
    </row>
    <row r="3513" spans="1:7" x14ac:dyDescent="0.2">
      <c r="A3513" s="3"/>
      <c r="B3513" s="6"/>
      <c r="C3513" s="3"/>
      <c r="D3513" s="6"/>
      <c r="E3513" s="6"/>
      <c r="F3513" s="6"/>
      <c r="G3513" s="7"/>
    </row>
    <row r="3514" spans="1:7" x14ac:dyDescent="0.2">
      <c r="A3514" s="3"/>
      <c r="B3514" s="6"/>
      <c r="C3514" s="3"/>
      <c r="D3514" s="6"/>
      <c r="E3514" s="6"/>
      <c r="F3514" s="6"/>
      <c r="G3514" s="7"/>
    </row>
    <row r="3515" spans="1:7" x14ac:dyDescent="0.2">
      <c r="A3515" s="3"/>
      <c r="B3515" s="6"/>
      <c r="C3515" s="3"/>
      <c r="D3515" s="6"/>
      <c r="E3515" s="6"/>
      <c r="F3515" s="6"/>
      <c r="G3515" s="7"/>
    </row>
    <row r="3516" spans="1:7" x14ac:dyDescent="0.2">
      <c r="A3516" s="3"/>
      <c r="B3516" s="6"/>
      <c r="C3516" s="3"/>
      <c r="D3516" s="6"/>
      <c r="E3516" s="6"/>
      <c r="F3516" s="6"/>
      <c r="G3516" s="7"/>
    </row>
    <row r="3517" spans="1:7" x14ac:dyDescent="0.2">
      <c r="A3517" s="3"/>
      <c r="B3517" s="6"/>
      <c r="C3517" s="3"/>
      <c r="D3517" s="6"/>
      <c r="E3517" s="6"/>
      <c r="F3517" s="6"/>
      <c r="G3517" s="7"/>
    </row>
    <row r="3518" spans="1:7" x14ac:dyDescent="0.2">
      <c r="A3518" s="3"/>
      <c r="B3518" s="6"/>
      <c r="C3518" s="3"/>
      <c r="D3518" s="6"/>
      <c r="E3518" s="6"/>
      <c r="F3518" s="6"/>
      <c r="G3518" s="7"/>
    </row>
    <row r="3519" spans="1:7" x14ac:dyDescent="0.2">
      <c r="A3519" s="3"/>
      <c r="B3519" s="6"/>
      <c r="C3519" s="3"/>
      <c r="D3519" s="6"/>
      <c r="E3519" s="6"/>
      <c r="F3519" s="6"/>
      <c r="G3519" s="7"/>
    </row>
    <row r="3520" spans="1:7" x14ac:dyDescent="0.2">
      <c r="A3520" s="3"/>
      <c r="B3520" s="6"/>
      <c r="C3520" s="3"/>
      <c r="D3520" s="6"/>
      <c r="E3520" s="6"/>
      <c r="F3520" s="6"/>
      <c r="G3520" s="7"/>
    </row>
    <row r="3521" spans="1:7" x14ac:dyDescent="0.2">
      <c r="A3521" s="3"/>
      <c r="B3521" s="6"/>
      <c r="C3521" s="3"/>
      <c r="D3521" s="6"/>
      <c r="E3521" s="6"/>
      <c r="F3521" s="6"/>
      <c r="G3521" s="7"/>
    </row>
    <row r="3522" spans="1:7" x14ac:dyDescent="0.2">
      <c r="A3522" s="3"/>
      <c r="B3522" s="6"/>
      <c r="C3522" s="3"/>
      <c r="D3522" s="6"/>
      <c r="E3522" s="6"/>
      <c r="F3522" s="6"/>
      <c r="G3522" s="7"/>
    </row>
    <row r="3523" spans="1:7" x14ac:dyDescent="0.2">
      <c r="A3523" s="3"/>
      <c r="B3523" s="6"/>
      <c r="C3523" s="3"/>
      <c r="D3523" s="6"/>
      <c r="E3523" s="6"/>
      <c r="F3523" s="6"/>
      <c r="G3523" s="7"/>
    </row>
    <row r="3524" spans="1:7" x14ac:dyDescent="0.2">
      <c r="A3524" s="3"/>
      <c r="B3524" s="6"/>
      <c r="C3524" s="3"/>
      <c r="D3524" s="6"/>
      <c r="E3524" s="6"/>
      <c r="F3524" s="6"/>
      <c r="G3524" s="7"/>
    </row>
    <row r="3525" spans="1:7" x14ac:dyDescent="0.2">
      <c r="A3525" s="3"/>
      <c r="B3525" s="6"/>
      <c r="C3525" s="3"/>
      <c r="D3525" s="6"/>
      <c r="E3525" s="6"/>
      <c r="F3525" s="6"/>
      <c r="G3525" s="7"/>
    </row>
    <row r="3526" spans="1:7" x14ac:dyDescent="0.2">
      <c r="A3526" s="3"/>
      <c r="B3526" s="6"/>
      <c r="C3526" s="3"/>
      <c r="D3526" s="6"/>
      <c r="E3526" s="6"/>
      <c r="F3526" s="6"/>
      <c r="G3526" s="7"/>
    </row>
    <row r="3527" spans="1:7" x14ac:dyDescent="0.2">
      <c r="A3527" s="3"/>
      <c r="B3527" s="6"/>
      <c r="C3527" s="3"/>
      <c r="D3527" s="6"/>
      <c r="E3527" s="6"/>
      <c r="F3527" s="6"/>
      <c r="G3527" s="7"/>
    </row>
    <row r="3528" spans="1:7" x14ac:dyDescent="0.2">
      <c r="A3528" s="3"/>
      <c r="B3528" s="6"/>
      <c r="C3528" s="3"/>
      <c r="D3528" s="6"/>
      <c r="E3528" s="6"/>
      <c r="F3528" s="6"/>
      <c r="G3528" s="7"/>
    </row>
    <row r="3529" spans="1:7" x14ac:dyDescent="0.2">
      <c r="A3529" s="3"/>
      <c r="B3529" s="6"/>
      <c r="C3529" s="3"/>
      <c r="D3529" s="6"/>
      <c r="E3529" s="6"/>
      <c r="F3529" s="6"/>
      <c r="G3529" s="7"/>
    </row>
    <row r="3530" spans="1:7" x14ac:dyDescent="0.2">
      <c r="A3530" s="3"/>
      <c r="B3530" s="6"/>
      <c r="C3530" s="3"/>
      <c r="D3530" s="6"/>
      <c r="E3530" s="6"/>
      <c r="F3530" s="6"/>
      <c r="G3530" s="7"/>
    </row>
    <row r="3531" spans="1:7" x14ac:dyDescent="0.2">
      <c r="A3531" s="3"/>
      <c r="B3531" s="6"/>
      <c r="C3531" s="3"/>
      <c r="D3531" s="6"/>
      <c r="E3531" s="6"/>
      <c r="F3531" s="6"/>
      <c r="G3531" s="7"/>
    </row>
    <row r="3532" spans="1:7" x14ac:dyDescent="0.2">
      <c r="A3532" s="3"/>
      <c r="B3532" s="6"/>
      <c r="C3532" s="3"/>
      <c r="D3532" s="6"/>
      <c r="E3532" s="6"/>
      <c r="F3532" s="6"/>
      <c r="G3532" s="7"/>
    </row>
    <row r="3533" spans="1:7" x14ac:dyDescent="0.2">
      <c r="A3533" s="3"/>
      <c r="B3533" s="6"/>
      <c r="C3533" s="3"/>
      <c r="D3533" s="6"/>
      <c r="E3533" s="6"/>
      <c r="F3533" s="6"/>
      <c r="G3533" s="7"/>
    </row>
    <row r="3534" spans="1:7" x14ac:dyDescent="0.2">
      <c r="A3534" s="3"/>
      <c r="B3534" s="6"/>
      <c r="C3534" s="3"/>
      <c r="D3534" s="6"/>
      <c r="E3534" s="6"/>
      <c r="F3534" s="6"/>
      <c r="G3534" s="7"/>
    </row>
    <row r="3535" spans="1:7" x14ac:dyDescent="0.2">
      <c r="A3535" s="3"/>
      <c r="B3535" s="6"/>
      <c r="C3535" s="3"/>
      <c r="D3535" s="6"/>
      <c r="E3535" s="6"/>
      <c r="F3535" s="6"/>
      <c r="G3535" s="7"/>
    </row>
    <row r="3536" spans="1:7" x14ac:dyDescent="0.2">
      <c r="A3536" s="3"/>
      <c r="B3536" s="6"/>
      <c r="C3536" s="3"/>
      <c r="D3536" s="6"/>
      <c r="E3536" s="6"/>
      <c r="F3536" s="6"/>
      <c r="G3536" s="7"/>
    </row>
    <row r="3537" spans="1:7" x14ac:dyDescent="0.2">
      <c r="A3537" s="3"/>
      <c r="B3537" s="6"/>
      <c r="C3537" s="3"/>
      <c r="D3537" s="6"/>
      <c r="E3537" s="6"/>
      <c r="F3537" s="6"/>
      <c r="G3537" s="7"/>
    </row>
    <row r="3538" spans="1:7" x14ac:dyDescent="0.2">
      <c r="A3538" s="3"/>
      <c r="B3538" s="6"/>
      <c r="C3538" s="3"/>
      <c r="D3538" s="6"/>
      <c r="E3538" s="6"/>
      <c r="F3538" s="6"/>
      <c r="G3538" s="7"/>
    </row>
    <row r="3539" spans="1:7" x14ac:dyDescent="0.2">
      <c r="A3539" s="3"/>
      <c r="B3539" s="6"/>
      <c r="C3539" s="3"/>
      <c r="D3539" s="6"/>
      <c r="E3539" s="6"/>
      <c r="F3539" s="6"/>
      <c r="G3539" s="7"/>
    </row>
    <row r="3540" spans="1:7" x14ac:dyDescent="0.2">
      <c r="A3540" s="3"/>
      <c r="B3540" s="6"/>
      <c r="C3540" s="3"/>
      <c r="D3540" s="6"/>
      <c r="E3540" s="6"/>
      <c r="F3540" s="6"/>
      <c r="G3540" s="7"/>
    </row>
    <row r="3541" spans="1:7" x14ac:dyDescent="0.2">
      <c r="A3541" s="3"/>
      <c r="B3541" s="6"/>
      <c r="C3541" s="3"/>
      <c r="D3541" s="6"/>
      <c r="E3541" s="6"/>
      <c r="F3541" s="6"/>
      <c r="G3541" s="7"/>
    </row>
    <row r="3542" spans="1:7" x14ac:dyDescent="0.2">
      <c r="A3542" s="3"/>
      <c r="B3542" s="6"/>
      <c r="C3542" s="3"/>
      <c r="D3542" s="6"/>
      <c r="E3542" s="6"/>
      <c r="F3542" s="6"/>
      <c r="G3542" s="7"/>
    </row>
    <row r="3543" spans="1:7" x14ac:dyDescent="0.2">
      <c r="A3543" s="3"/>
      <c r="B3543" s="6"/>
      <c r="C3543" s="3"/>
      <c r="D3543" s="6"/>
      <c r="E3543" s="6"/>
      <c r="F3543" s="6"/>
      <c r="G3543" s="7"/>
    </row>
    <row r="3544" spans="1:7" x14ac:dyDescent="0.2">
      <c r="A3544" s="3"/>
      <c r="B3544" s="6"/>
      <c r="C3544" s="3"/>
      <c r="D3544" s="6"/>
      <c r="E3544" s="6"/>
      <c r="F3544" s="6"/>
      <c r="G3544" s="7"/>
    </row>
    <row r="3545" spans="1:7" x14ac:dyDescent="0.2">
      <c r="A3545" s="3"/>
      <c r="B3545" s="6"/>
      <c r="C3545" s="3"/>
      <c r="D3545" s="6"/>
      <c r="E3545" s="6"/>
      <c r="F3545" s="6"/>
      <c r="G3545" s="7"/>
    </row>
    <row r="3546" spans="1:7" x14ac:dyDescent="0.2">
      <c r="A3546" s="3"/>
      <c r="B3546" s="6"/>
      <c r="C3546" s="3"/>
      <c r="D3546" s="6"/>
      <c r="E3546" s="6"/>
      <c r="F3546" s="6"/>
      <c r="G3546" s="7"/>
    </row>
    <row r="3547" spans="1:7" x14ac:dyDescent="0.2">
      <c r="A3547" s="3"/>
      <c r="B3547" s="6"/>
      <c r="C3547" s="3"/>
      <c r="D3547" s="6"/>
      <c r="E3547" s="6"/>
      <c r="F3547" s="6"/>
      <c r="G3547" s="7"/>
    </row>
    <row r="3548" spans="1:7" x14ac:dyDescent="0.2">
      <c r="A3548" s="3"/>
      <c r="B3548" s="6"/>
      <c r="C3548" s="3"/>
      <c r="D3548" s="6"/>
      <c r="E3548" s="6"/>
      <c r="F3548" s="6"/>
      <c r="G3548" s="7"/>
    </row>
    <row r="3549" spans="1:7" x14ac:dyDescent="0.2">
      <c r="A3549" s="3"/>
      <c r="B3549" s="6"/>
      <c r="C3549" s="3"/>
      <c r="D3549" s="6"/>
      <c r="E3549" s="6"/>
      <c r="F3549" s="6"/>
      <c r="G3549" s="7"/>
    </row>
    <row r="3550" spans="1:7" x14ac:dyDescent="0.2">
      <c r="A3550" s="3"/>
      <c r="B3550" s="6"/>
      <c r="C3550" s="3"/>
      <c r="D3550" s="6"/>
      <c r="E3550" s="6"/>
      <c r="F3550" s="6"/>
      <c r="G3550" s="7"/>
    </row>
    <row r="3551" spans="1:7" x14ac:dyDescent="0.2">
      <c r="A3551" s="3"/>
      <c r="B3551" s="6"/>
      <c r="C3551" s="3"/>
      <c r="D3551" s="6"/>
      <c r="E3551" s="6"/>
      <c r="F3551" s="6"/>
      <c r="G3551" s="7"/>
    </row>
    <row r="3552" spans="1:7" x14ac:dyDescent="0.2">
      <c r="A3552" s="3"/>
      <c r="B3552" s="6"/>
      <c r="C3552" s="3"/>
      <c r="D3552" s="6"/>
      <c r="E3552" s="6"/>
      <c r="F3552" s="6"/>
      <c r="G3552" s="7"/>
    </row>
    <row r="3553" spans="1:7" x14ac:dyDescent="0.2">
      <c r="A3553" s="3"/>
      <c r="B3553" s="6"/>
      <c r="C3553" s="3"/>
      <c r="D3553" s="6"/>
      <c r="E3553" s="6"/>
      <c r="F3553" s="6"/>
      <c r="G3553" s="7"/>
    </row>
    <row r="3554" spans="1:7" x14ac:dyDescent="0.2">
      <c r="A3554" s="3"/>
      <c r="B3554" s="6"/>
      <c r="C3554" s="3"/>
      <c r="D3554" s="6"/>
      <c r="E3554" s="6"/>
      <c r="F3554" s="6"/>
      <c r="G3554" s="7"/>
    </row>
    <row r="3555" spans="1:7" x14ac:dyDescent="0.2">
      <c r="A3555" s="3"/>
      <c r="B3555" s="6"/>
      <c r="C3555" s="3"/>
      <c r="D3555" s="6"/>
      <c r="E3555" s="6"/>
      <c r="F3555" s="6"/>
      <c r="G3555" s="7"/>
    </row>
    <row r="3556" spans="1:7" x14ac:dyDescent="0.2">
      <c r="A3556" s="3"/>
      <c r="B3556" s="6"/>
      <c r="C3556" s="3"/>
      <c r="D3556" s="6"/>
      <c r="E3556" s="6"/>
      <c r="F3556" s="6"/>
      <c r="G3556" s="7"/>
    </row>
    <row r="3557" spans="1:7" x14ac:dyDescent="0.2">
      <c r="A3557" s="3"/>
      <c r="B3557" s="6"/>
      <c r="C3557" s="3"/>
      <c r="D3557" s="6"/>
      <c r="E3557" s="6"/>
      <c r="F3557" s="6"/>
      <c r="G3557" s="7"/>
    </row>
    <row r="3558" spans="1:7" x14ac:dyDescent="0.2">
      <c r="A3558" s="3"/>
      <c r="B3558" s="6"/>
      <c r="C3558" s="3"/>
      <c r="D3558" s="6"/>
      <c r="E3558" s="6"/>
      <c r="F3558" s="6"/>
      <c r="G3558" s="7"/>
    </row>
    <row r="3559" spans="1:7" x14ac:dyDescent="0.2">
      <c r="A3559" s="3"/>
      <c r="B3559" s="6"/>
      <c r="C3559" s="3"/>
      <c r="D3559" s="6"/>
      <c r="E3559" s="6"/>
      <c r="F3559" s="6"/>
      <c r="G3559" s="7"/>
    </row>
    <row r="3560" spans="1:7" x14ac:dyDescent="0.2">
      <c r="A3560" s="3"/>
      <c r="B3560" s="6"/>
      <c r="C3560" s="3"/>
      <c r="D3560" s="6"/>
      <c r="E3560" s="6"/>
      <c r="F3560" s="6"/>
      <c r="G3560" s="7"/>
    </row>
    <row r="3561" spans="1:7" x14ac:dyDescent="0.2">
      <c r="A3561" s="3"/>
      <c r="B3561" s="6"/>
      <c r="C3561" s="3"/>
      <c r="D3561" s="6"/>
      <c r="E3561" s="6"/>
      <c r="F3561" s="6"/>
      <c r="G3561" s="7"/>
    </row>
    <row r="3562" spans="1:7" x14ac:dyDescent="0.2">
      <c r="A3562" s="3"/>
      <c r="B3562" s="6"/>
      <c r="C3562" s="3"/>
      <c r="D3562" s="6"/>
      <c r="E3562" s="6"/>
      <c r="F3562" s="6"/>
      <c r="G3562" s="7"/>
    </row>
    <row r="3563" spans="1:7" x14ac:dyDescent="0.2">
      <c r="A3563" s="3"/>
      <c r="B3563" s="6"/>
      <c r="C3563" s="3"/>
      <c r="D3563" s="6"/>
      <c r="E3563" s="6"/>
      <c r="F3563" s="6"/>
      <c r="G3563" s="7"/>
    </row>
    <row r="3564" spans="1:7" x14ac:dyDescent="0.2">
      <c r="A3564" s="3"/>
      <c r="B3564" s="6"/>
      <c r="C3564" s="3"/>
      <c r="D3564" s="6"/>
      <c r="E3564" s="6"/>
      <c r="F3564" s="6"/>
      <c r="G3564" s="7"/>
    </row>
    <row r="3565" spans="1:7" x14ac:dyDescent="0.2">
      <c r="A3565" s="3"/>
      <c r="B3565" s="6"/>
      <c r="C3565" s="3"/>
      <c r="D3565" s="6"/>
      <c r="E3565" s="6"/>
      <c r="F3565" s="6"/>
      <c r="G3565" s="7"/>
    </row>
    <row r="3566" spans="1:7" x14ac:dyDescent="0.2">
      <c r="A3566" s="3"/>
      <c r="B3566" s="6"/>
      <c r="C3566" s="3"/>
      <c r="D3566" s="6"/>
      <c r="E3566" s="6"/>
      <c r="F3566" s="6"/>
      <c r="G3566" s="7"/>
    </row>
    <row r="3567" spans="1:7" x14ac:dyDescent="0.2">
      <c r="A3567" s="3"/>
      <c r="B3567" s="6"/>
      <c r="C3567" s="3"/>
      <c r="D3567" s="6"/>
      <c r="E3567" s="6"/>
      <c r="F3567" s="6"/>
      <c r="G3567" s="7"/>
    </row>
    <row r="3568" spans="1:7" x14ac:dyDescent="0.2">
      <c r="A3568" s="3"/>
      <c r="B3568" s="6"/>
      <c r="C3568" s="3"/>
      <c r="D3568" s="6"/>
      <c r="E3568" s="6"/>
      <c r="F3568" s="6"/>
      <c r="G3568" s="7"/>
    </row>
    <row r="3569" spans="1:7" x14ac:dyDescent="0.2">
      <c r="A3569" s="3"/>
      <c r="B3569" s="6"/>
      <c r="C3569" s="3"/>
      <c r="D3569" s="6"/>
      <c r="E3569" s="6"/>
      <c r="F3569" s="6"/>
      <c r="G3569" s="7"/>
    </row>
    <row r="3570" spans="1:7" x14ac:dyDescent="0.2">
      <c r="A3570" s="3"/>
      <c r="B3570" s="6"/>
      <c r="C3570" s="3"/>
      <c r="D3570" s="6"/>
      <c r="E3570" s="6"/>
      <c r="F3570" s="6"/>
      <c r="G3570" s="7"/>
    </row>
    <row r="3571" spans="1:7" x14ac:dyDescent="0.2">
      <c r="A3571" s="3"/>
      <c r="B3571" s="6"/>
      <c r="C3571" s="3"/>
      <c r="D3571" s="6"/>
      <c r="E3571" s="6"/>
      <c r="F3571" s="6"/>
      <c r="G3571" s="7"/>
    </row>
    <row r="3572" spans="1:7" x14ac:dyDescent="0.2">
      <c r="A3572" s="3"/>
      <c r="B3572" s="6"/>
      <c r="C3572" s="3"/>
      <c r="D3572" s="6"/>
      <c r="E3572" s="6"/>
      <c r="F3572" s="6"/>
      <c r="G3572" s="7"/>
    </row>
    <row r="3573" spans="1:7" x14ac:dyDescent="0.2">
      <c r="A3573" s="3"/>
      <c r="B3573" s="6"/>
      <c r="C3573" s="3"/>
      <c r="D3573" s="6"/>
      <c r="E3573" s="6"/>
      <c r="F3573" s="6"/>
      <c r="G3573" s="7"/>
    </row>
    <row r="3574" spans="1:7" x14ac:dyDescent="0.2">
      <c r="A3574" s="3"/>
      <c r="B3574" s="6"/>
      <c r="C3574" s="3"/>
      <c r="D3574" s="6"/>
      <c r="E3574" s="6"/>
      <c r="F3574" s="6"/>
      <c r="G3574" s="7"/>
    </row>
    <row r="3575" spans="1:7" x14ac:dyDescent="0.2">
      <c r="A3575" s="3"/>
      <c r="B3575" s="6"/>
      <c r="C3575" s="3"/>
      <c r="D3575" s="6"/>
      <c r="E3575" s="6"/>
      <c r="F3575" s="6"/>
      <c r="G3575" s="7"/>
    </row>
    <row r="3576" spans="1:7" x14ac:dyDescent="0.2">
      <c r="A3576" s="3"/>
      <c r="B3576" s="6"/>
      <c r="C3576" s="3"/>
      <c r="D3576" s="6"/>
      <c r="E3576" s="6"/>
      <c r="F3576" s="6"/>
      <c r="G3576" s="7"/>
    </row>
    <row r="3577" spans="1:7" x14ac:dyDescent="0.2">
      <c r="A3577" s="3"/>
      <c r="B3577" s="6"/>
      <c r="C3577" s="3"/>
      <c r="D3577" s="6"/>
      <c r="E3577" s="6"/>
      <c r="F3577" s="6"/>
      <c r="G3577" s="7"/>
    </row>
    <row r="3578" spans="1:7" x14ac:dyDescent="0.2">
      <c r="A3578" s="3"/>
      <c r="B3578" s="6"/>
      <c r="C3578" s="3"/>
      <c r="D3578" s="6"/>
      <c r="E3578" s="6"/>
      <c r="F3578" s="6"/>
      <c r="G3578" s="7"/>
    </row>
    <row r="3579" spans="1:7" x14ac:dyDescent="0.2">
      <c r="A3579" s="3"/>
      <c r="B3579" s="6"/>
      <c r="C3579" s="3"/>
      <c r="D3579" s="6"/>
      <c r="E3579" s="6"/>
      <c r="F3579" s="6"/>
      <c r="G3579" s="7"/>
    </row>
    <row r="3580" spans="1:7" x14ac:dyDescent="0.2">
      <c r="A3580" s="3"/>
      <c r="B3580" s="6"/>
      <c r="C3580" s="3"/>
      <c r="D3580" s="6"/>
      <c r="E3580" s="6"/>
      <c r="F3580" s="6"/>
      <c r="G3580" s="7"/>
    </row>
    <row r="3581" spans="1:7" x14ac:dyDescent="0.2">
      <c r="A3581" s="3"/>
      <c r="B3581" s="6"/>
      <c r="C3581" s="3"/>
      <c r="D3581" s="6"/>
      <c r="E3581" s="6"/>
      <c r="F3581" s="6"/>
      <c r="G3581" s="7"/>
    </row>
    <row r="3582" spans="1:7" x14ac:dyDescent="0.2">
      <c r="A3582" s="3"/>
      <c r="B3582" s="6"/>
      <c r="C3582" s="3"/>
      <c r="D3582" s="6"/>
      <c r="E3582" s="6"/>
      <c r="F3582" s="6"/>
      <c r="G3582" s="7"/>
    </row>
    <row r="3583" spans="1:7" x14ac:dyDescent="0.2">
      <c r="A3583" s="3"/>
      <c r="B3583" s="6"/>
      <c r="C3583" s="3"/>
      <c r="D3583" s="6"/>
      <c r="E3583" s="6"/>
      <c r="F3583" s="6"/>
      <c r="G3583" s="7"/>
    </row>
    <row r="3584" spans="1:7" x14ac:dyDescent="0.2">
      <c r="A3584" s="3"/>
      <c r="B3584" s="6"/>
      <c r="C3584" s="3"/>
      <c r="D3584" s="6"/>
      <c r="E3584" s="6"/>
      <c r="F3584" s="6"/>
      <c r="G3584" s="7"/>
    </row>
    <row r="3585" spans="1:7" x14ac:dyDescent="0.2">
      <c r="A3585" s="3"/>
      <c r="B3585" s="6"/>
      <c r="C3585" s="3"/>
      <c r="D3585" s="6"/>
      <c r="E3585" s="6"/>
      <c r="F3585" s="6"/>
      <c r="G3585" s="7"/>
    </row>
    <row r="3586" spans="1:7" x14ac:dyDescent="0.2">
      <c r="A3586" s="3"/>
      <c r="B3586" s="6"/>
      <c r="C3586" s="3"/>
      <c r="D3586" s="6"/>
      <c r="E3586" s="6"/>
      <c r="F3586" s="6"/>
      <c r="G3586" s="7"/>
    </row>
    <row r="3587" spans="1:7" x14ac:dyDescent="0.2">
      <c r="A3587" s="3"/>
      <c r="B3587" s="6"/>
      <c r="C3587" s="3"/>
      <c r="D3587" s="6"/>
      <c r="E3587" s="6"/>
      <c r="F3587" s="6"/>
      <c r="G3587" s="7"/>
    </row>
    <row r="3588" spans="1:7" x14ac:dyDescent="0.2">
      <c r="A3588" s="3"/>
      <c r="B3588" s="6"/>
      <c r="C3588" s="3"/>
      <c r="D3588" s="6"/>
      <c r="E3588" s="6"/>
      <c r="F3588" s="6"/>
      <c r="G3588" s="7"/>
    </row>
    <row r="3589" spans="1:7" x14ac:dyDescent="0.2">
      <c r="A3589" s="3"/>
      <c r="B3589" s="6"/>
      <c r="C3589" s="3"/>
      <c r="D3589" s="6"/>
      <c r="E3589" s="6"/>
      <c r="F3589" s="6"/>
      <c r="G3589" s="7"/>
    </row>
    <row r="3590" spans="1:7" x14ac:dyDescent="0.2">
      <c r="A3590" s="3"/>
      <c r="B3590" s="6"/>
      <c r="C3590" s="3"/>
      <c r="D3590" s="6"/>
      <c r="E3590" s="6"/>
      <c r="F3590" s="6"/>
      <c r="G3590" s="7"/>
    </row>
    <row r="3591" spans="1:7" x14ac:dyDescent="0.2">
      <c r="A3591" s="3"/>
      <c r="B3591" s="6"/>
      <c r="C3591" s="3"/>
      <c r="D3591" s="6"/>
      <c r="E3591" s="6"/>
      <c r="F3591" s="6"/>
      <c r="G3591" s="7"/>
    </row>
    <row r="3592" spans="1:7" x14ac:dyDescent="0.2">
      <c r="A3592" s="3"/>
      <c r="B3592" s="6"/>
      <c r="C3592" s="3"/>
      <c r="D3592" s="6"/>
      <c r="E3592" s="6"/>
      <c r="F3592" s="6"/>
      <c r="G3592" s="7"/>
    </row>
    <row r="3593" spans="1:7" x14ac:dyDescent="0.2">
      <c r="A3593" s="3"/>
      <c r="B3593" s="6"/>
      <c r="C3593" s="3"/>
      <c r="D3593" s="6"/>
      <c r="E3593" s="6"/>
      <c r="F3593" s="6"/>
      <c r="G3593" s="7"/>
    </row>
    <row r="3594" spans="1:7" x14ac:dyDescent="0.2">
      <c r="A3594" s="3"/>
      <c r="B3594" s="6"/>
      <c r="C3594" s="3"/>
      <c r="D3594" s="6"/>
      <c r="E3594" s="6"/>
      <c r="F3594" s="6"/>
      <c r="G3594" s="7"/>
    </row>
    <row r="3595" spans="1:7" x14ac:dyDescent="0.2">
      <c r="A3595" s="3"/>
      <c r="B3595" s="6"/>
      <c r="C3595" s="3"/>
      <c r="D3595" s="6"/>
      <c r="E3595" s="6"/>
      <c r="F3595" s="6"/>
      <c r="G3595" s="7"/>
    </row>
    <row r="3596" spans="1:7" x14ac:dyDescent="0.2">
      <c r="A3596" s="3"/>
      <c r="B3596" s="6"/>
      <c r="C3596" s="3"/>
      <c r="D3596" s="6"/>
      <c r="E3596" s="6"/>
      <c r="F3596" s="6"/>
      <c r="G3596" s="7"/>
    </row>
    <row r="3597" spans="1:7" x14ac:dyDescent="0.2">
      <c r="A3597" s="3"/>
      <c r="B3597" s="6"/>
      <c r="C3597" s="3"/>
      <c r="D3597" s="6"/>
      <c r="E3597" s="6"/>
      <c r="F3597" s="6"/>
      <c r="G3597" s="7"/>
    </row>
    <row r="3598" spans="1:7" x14ac:dyDescent="0.2">
      <c r="A3598" s="3"/>
      <c r="B3598" s="6"/>
      <c r="C3598" s="3"/>
      <c r="D3598" s="6"/>
      <c r="E3598" s="6"/>
      <c r="F3598" s="6"/>
      <c r="G3598" s="7"/>
    </row>
    <row r="3599" spans="1:7" x14ac:dyDescent="0.2">
      <c r="A3599" s="3"/>
      <c r="B3599" s="6"/>
      <c r="C3599" s="3"/>
      <c r="D3599" s="6"/>
      <c r="E3599" s="6"/>
      <c r="F3599" s="6"/>
      <c r="G3599" s="7"/>
    </row>
    <row r="3600" spans="1:7" x14ac:dyDescent="0.2">
      <c r="A3600" s="3"/>
      <c r="B3600" s="6"/>
      <c r="C3600" s="3"/>
      <c r="D3600" s="6"/>
      <c r="E3600" s="6"/>
      <c r="F3600" s="6"/>
      <c r="G3600" s="7"/>
    </row>
    <row r="3601" spans="1:7" x14ac:dyDescent="0.2">
      <c r="A3601" s="3"/>
      <c r="B3601" s="6"/>
      <c r="C3601" s="3"/>
      <c r="D3601" s="6"/>
      <c r="E3601" s="6"/>
      <c r="F3601" s="6"/>
      <c r="G3601" s="7"/>
    </row>
    <row r="3602" spans="1:7" x14ac:dyDescent="0.2">
      <c r="A3602" s="3"/>
      <c r="B3602" s="6"/>
      <c r="C3602" s="3"/>
      <c r="D3602" s="6"/>
      <c r="E3602" s="6"/>
      <c r="F3602" s="6"/>
      <c r="G3602" s="7"/>
    </row>
    <row r="3603" spans="1:7" x14ac:dyDescent="0.2">
      <c r="A3603" s="3"/>
      <c r="B3603" s="6"/>
      <c r="C3603" s="3"/>
      <c r="D3603" s="6"/>
      <c r="E3603" s="6"/>
      <c r="F3603" s="6"/>
      <c r="G3603" s="7"/>
    </row>
    <row r="3604" spans="1:7" x14ac:dyDescent="0.2">
      <c r="A3604" s="3"/>
      <c r="B3604" s="6"/>
      <c r="C3604" s="3"/>
      <c r="D3604" s="6"/>
      <c r="E3604" s="6"/>
      <c r="F3604" s="6"/>
      <c r="G3604" s="7"/>
    </row>
    <row r="3605" spans="1:7" x14ac:dyDescent="0.2">
      <c r="A3605" s="3"/>
      <c r="B3605" s="6"/>
      <c r="C3605" s="3"/>
      <c r="D3605" s="6"/>
      <c r="E3605" s="6"/>
      <c r="F3605" s="6"/>
      <c r="G3605" s="7"/>
    </row>
    <row r="3606" spans="1:7" x14ac:dyDescent="0.2">
      <c r="A3606" s="3"/>
      <c r="B3606" s="6"/>
      <c r="C3606" s="3"/>
      <c r="D3606" s="6"/>
      <c r="E3606" s="6"/>
      <c r="F3606" s="6"/>
      <c r="G3606" s="7"/>
    </row>
    <row r="3607" spans="1:7" x14ac:dyDescent="0.2">
      <c r="A3607" s="3"/>
      <c r="B3607" s="6"/>
      <c r="C3607" s="3"/>
      <c r="D3607" s="6"/>
      <c r="E3607" s="6"/>
      <c r="F3607" s="6"/>
      <c r="G3607" s="7"/>
    </row>
    <row r="3608" spans="1:7" x14ac:dyDescent="0.2">
      <c r="A3608" s="3"/>
      <c r="B3608" s="6"/>
      <c r="C3608" s="3"/>
      <c r="D3608" s="6"/>
      <c r="E3608" s="6"/>
      <c r="F3608" s="6"/>
      <c r="G3608" s="7"/>
    </row>
    <row r="3609" spans="1:7" x14ac:dyDescent="0.2">
      <c r="A3609" s="3"/>
      <c r="B3609" s="6"/>
      <c r="C3609" s="3"/>
      <c r="D3609" s="6"/>
      <c r="E3609" s="6"/>
      <c r="F3609" s="6"/>
      <c r="G3609" s="7"/>
    </row>
    <row r="3610" spans="1:7" x14ac:dyDescent="0.2">
      <c r="A3610" s="3"/>
      <c r="B3610" s="6"/>
      <c r="C3610" s="3"/>
      <c r="D3610" s="6"/>
      <c r="E3610" s="6"/>
      <c r="F3610" s="6"/>
      <c r="G3610" s="7"/>
    </row>
    <row r="3611" spans="1:7" x14ac:dyDescent="0.2">
      <c r="A3611" s="3"/>
      <c r="B3611" s="6"/>
      <c r="C3611" s="3"/>
      <c r="D3611" s="6"/>
      <c r="E3611" s="6"/>
      <c r="F3611" s="6"/>
      <c r="G3611" s="7"/>
    </row>
    <row r="3612" spans="1:7" x14ac:dyDescent="0.2">
      <c r="A3612" s="3"/>
      <c r="B3612" s="6"/>
      <c r="C3612" s="3"/>
      <c r="D3612" s="6"/>
      <c r="E3612" s="6"/>
      <c r="F3612" s="6"/>
      <c r="G3612" s="7"/>
    </row>
    <row r="3613" spans="1:7" x14ac:dyDescent="0.2">
      <c r="A3613" s="3"/>
      <c r="B3613" s="6"/>
      <c r="C3613" s="3"/>
      <c r="D3613" s="6"/>
      <c r="E3613" s="6"/>
      <c r="F3613" s="6"/>
      <c r="G3613" s="7"/>
    </row>
    <row r="3614" spans="1:7" x14ac:dyDescent="0.2">
      <c r="A3614" s="3"/>
      <c r="B3614" s="6"/>
      <c r="C3614" s="3"/>
      <c r="D3614" s="6"/>
      <c r="E3614" s="6"/>
      <c r="F3614" s="6"/>
      <c r="G3614" s="7"/>
    </row>
    <row r="3615" spans="1:7" x14ac:dyDescent="0.2">
      <c r="A3615" s="3"/>
      <c r="B3615" s="6"/>
      <c r="C3615" s="3"/>
      <c r="D3615" s="6"/>
      <c r="E3615" s="6"/>
      <c r="F3615" s="6"/>
      <c r="G3615" s="7"/>
    </row>
    <row r="3616" spans="1:7" x14ac:dyDescent="0.2">
      <c r="A3616" s="3"/>
      <c r="B3616" s="6"/>
      <c r="C3616" s="3"/>
      <c r="D3616" s="6"/>
      <c r="E3616" s="6"/>
      <c r="F3616" s="6"/>
      <c r="G3616" s="7"/>
    </row>
    <row r="3617" spans="1:7" x14ac:dyDescent="0.2">
      <c r="A3617" s="3"/>
      <c r="B3617" s="6"/>
      <c r="C3617" s="3"/>
      <c r="D3617" s="6"/>
      <c r="E3617" s="6"/>
      <c r="F3617" s="6"/>
      <c r="G3617" s="7"/>
    </row>
    <row r="3618" spans="1:7" x14ac:dyDescent="0.2">
      <c r="A3618" s="3"/>
      <c r="B3618" s="6"/>
      <c r="C3618" s="3"/>
      <c r="D3618" s="6"/>
      <c r="E3618" s="6"/>
      <c r="F3618" s="6"/>
      <c r="G3618" s="7"/>
    </row>
    <row r="3619" spans="1:7" x14ac:dyDescent="0.2">
      <c r="A3619" s="3"/>
      <c r="B3619" s="6"/>
      <c r="C3619" s="3"/>
      <c r="D3619" s="6"/>
      <c r="E3619" s="6"/>
      <c r="F3619" s="6"/>
      <c r="G3619" s="7"/>
    </row>
    <row r="3620" spans="1:7" x14ac:dyDescent="0.2">
      <c r="A3620" s="3"/>
      <c r="B3620" s="6"/>
      <c r="C3620" s="3"/>
      <c r="D3620" s="6"/>
      <c r="E3620" s="6"/>
      <c r="F3620" s="6"/>
      <c r="G3620" s="7"/>
    </row>
    <row r="3621" spans="1:7" x14ac:dyDescent="0.2">
      <c r="A3621" s="3"/>
      <c r="B3621" s="6"/>
      <c r="C3621" s="3"/>
      <c r="D3621" s="6"/>
      <c r="E3621" s="6"/>
      <c r="F3621" s="6"/>
      <c r="G3621" s="7"/>
    </row>
    <row r="3622" spans="1:7" x14ac:dyDescent="0.2">
      <c r="A3622" s="3"/>
      <c r="B3622" s="6"/>
      <c r="C3622" s="3"/>
      <c r="D3622" s="6"/>
      <c r="E3622" s="6"/>
      <c r="F3622" s="6"/>
      <c r="G3622" s="7"/>
    </row>
    <row r="3623" spans="1:7" x14ac:dyDescent="0.2">
      <c r="A3623" s="3"/>
      <c r="B3623" s="6"/>
      <c r="C3623" s="3"/>
      <c r="D3623" s="6"/>
      <c r="E3623" s="6"/>
      <c r="F3623" s="6"/>
      <c r="G3623" s="7"/>
    </row>
    <row r="3624" spans="1:7" x14ac:dyDescent="0.2">
      <c r="A3624" s="3"/>
      <c r="B3624" s="6"/>
      <c r="C3624" s="3"/>
      <c r="D3624" s="6"/>
      <c r="E3624" s="6"/>
      <c r="F3624" s="6"/>
      <c r="G3624" s="7"/>
    </row>
    <row r="3625" spans="1:7" x14ac:dyDescent="0.2">
      <c r="A3625" s="3"/>
      <c r="B3625" s="6"/>
      <c r="C3625" s="3"/>
      <c r="D3625" s="6"/>
      <c r="E3625" s="6"/>
      <c r="F3625" s="6"/>
      <c r="G3625" s="7"/>
    </row>
    <row r="3626" spans="1:7" x14ac:dyDescent="0.2">
      <c r="A3626" s="3"/>
      <c r="B3626" s="6"/>
      <c r="C3626" s="3"/>
      <c r="D3626" s="6"/>
      <c r="E3626" s="6"/>
      <c r="F3626" s="6"/>
      <c r="G3626" s="7"/>
    </row>
    <row r="3627" spans="1:7" x14ac:dyDescent="0.2">
      <c r="A3627" s="3"/>
      <c r="B3627" s="6"/>
      <c r="C3627" s="3"/>
      <c r="D3627" s="6"/>
      <c r="E3627" s="6"/>
      <c r="F3627" s="6"/>
      <c r="G3627" s="7"/>
    </row>
    <row r="3628" spans="1:7" x14ac:dyDescent="0.2">
      <c r="A3628" s="3"/>
      <c r="B3628" s="6"/>
      <c r="C3628" s="3"/>
      <c r="D3628" s="6"/>
      <c r="E3628" s="6"/>
      <c r="F3628" s="6"/>
      <c r="G3628" s="7"/>
    </row>
    <row r="3629" spans="1:7" x14ac:dyDescent="0.2">
      <c r="A3629" s="3"/>
      <c r="B3629" s="6"/>
      <c r="C3629" s="3"/>
      <c r="D3629" s="6"/>
      <c r="E3629" s="6"/>
      <c r="F3629" s="6"/>
      <c r="G3629" s="7"/>
    </row>
    <row r="3630" spans="1:7" x14ac:dyDescent="0.2">
      <c r="A3630" s="3"/>
      <c r="B3630" s="6"/>
      <c r="C3630" s="3"/>
      <c r="D3630" s="6"/>
      <c r="E3630" s="6"/>
      <c r="F3630" s="6"/>
      <c r="G3630" s="7"/>
    </row>
    <row r="3631" spans="1:7" x14ac:dyDescent="0.2">
      <c r="A3631" s="3"/>
      <c r="B3631" s="6"/>
      <c r="C3631" s="3"/>
      <c r="D3631" s="6"/>
      <c r="E3631" s="6"/>
      <c r="F3631" s="6"/>
      <c r="G3631" s="7"/>
    </row>
    <row r="3632" spans="1:7" x14ac:dyDescent="0.2">
      <c r="A3632" s="3"/>
      <c r="B3632" s="6"/>
      <c r="C3632" s="3"/>
      <c r="D3632" s="6"/>
      <c r="E3632" s="6"/>
      <c r="F3632" s="6"/>
      <c r="G3632" s="7"/>
    </row>
    <row r="3633" spans="1:7" x14ac:dyDescent="0.2">
      <c r="A3633" s="3"/>
      <c r="B3633" s="6"/>
      <c r="C3633" s="3"/>
      <c r="D3633" s="6"/>
      <c r="E3633" s="6"/>
      <c r="F3633" s="6"/>
      <c r="G3633" s="7"/>
    </row>
    <row r="3634" spans="1:7" x14ac:dyDescent="0.2">
      <c r="A3634" s="3"/>
      <c r="B3634" s="6"/>
      <c r="C3634" s="3"/>
      <c r="D3634" s="6"/>
      <c r="E3634" s="6"/>
      <c r="F3634" s="6"/>
      <c r="G3634" s="7"/>
    </row>
    <row r="3635" spans="1:7" x14ac:dyDescent="0.2">
      <c r="A3635" s="3"/>
      <c r="B3635" s="6"/>
      <c r="C3635" s="3"/>
      <c r="D3635" s="6"/>
      <c r="E3635" s="6"/>
      <c r="F3635" s="6"/>
      <c r="G3635" s="7"/>
    </row>
    <row r="3636" spans="1:7" x14ac:dyDescent="0.2">
      <c r="A3636" s="3"/>
      <c r="B3636" s="6"/>
      <c r="C3636" s="3"/>
      <c r="D3636" s="6"/>
      <c r="E3636" s="6"/>
      <c r="F3636" s="6"/>
      <c r="G3636" s="7"/>
    </row>
    <row r="3637" spans="1:7" x14ac:dyDescent="0.2">
      <c r="A3637" s="3"/>
      <c r="B3637" s="6"/>
      <c r="C3637" s="3"/>
      <c r="D3637" s="6"/>
      <c r="E3637" s="6"/>
      <c r="F3637" s="6"/>
      <c r="G3637" s="7"/>
    </row>
    <row r="3638" spans="1:7" x14ac:dyDescent="0.2">
      <c r="A3638" s="3"/>
      <c r="B3638" s="6"/>
      <c r="C3638" s="3"/>
      <c r="D3638" s="6"/>
      <c r="E3638" s="6"/>
      <c r="F3638" s="6"/>
      <c r="G3638" s="7"/>
    </row>
    <row r="3639" spans="1:7" x14ac:dyDescent="0.2">
      <c r="A3639" s="3"/>
      <c r="B3639" s="6"/>
      <c r="C3639" s="3"/>
      <c r="D3639" s="6"/>
      <c r="E3639" s="6"/>
      <c r="F3639" s="6"/>
      <c r="G3639" s="7"/>
    </row>
    <row r="3640" spans="1:7" x14ac:dyDescent="0.2">
      <c r="A3640" s="3"/>
      <c r="B3640" s="6"/>
      <c r="C3640" s="3"/>
      <c r="D3640" s="6"/>
      <c r="E3640" s="6"/>
      <c r="F3640" s="6"/>
      <c r="G3640" s="7"/>
    </row>
    <row r="3641" spans="1:7" x14ac:dyDescent="0.2">
      <c r="A3641" s="3"/>
      <c r="B3641" s="6"/>
      <c r="C3641" s="3"/>
      <c r="D3641" s="6"/>
      <c r="E3641" s="6"/>
      <c r="F3641" s="6"/>
      <c r="G3641" s="7"/>
    </row>
    <row r="3642" spans="1:7" x14ac:dyDescent="0.2">
      <c r="A3642" s="3"/>
      <c r="B3642" s="6"/>
      <c r="C3642" s="3"/>
      <c r="D3642" s="6"/>
      <c r="E3642" s="6"/>
      <c r="F3642" s="6"/>
      <c r="G3642" s="7"/>
    </row>
    <row r="3643" spans="1:7" x14ac:dyDescent="0.2">
      <c r="A3643" s="3"/>
      <c r="B3643" s="6"/>
      <c r="C3643" s="3"/>
      <c r="D3643" s="6"/>
      <c r="E3643" s="6"/>
      <c r="F3643" s="6"/>
      <c r="G3643" s="7"/>
    </row>
    <row r="3644" spans="1:7" x14ac:dyDescent="0.2">
      <c r="A3644" s="3"/>
      <c r="B3644" s="6"/>
      <c r="C3644" s="3"/>
      <c r="D3644" s="6"/>
      <c r="E3644" s="6"/>
      <c r="F3644" s="6"/>
      <c r="G3644" s="7"/>
    </row>
    <row r="3645" spans="1:7" x14ac:dyDescent="0.2">
      <c r="A3645" s="3"/>
      <c r="B3645" s="6"/>
      <c r="C3645" s="3"/>
      <c r="D3645" s="6"/>
      <c r="E3645" s="6"/>
      <c r="F3645" s="6"/>
      <c r="G3645" s="7"/>
    </row>
    <row r="3646" spans="1:7" x14ac:dyDescent="0.2">
      <c r="A3646" s="3"/>
      <c r="B3646" s="6"/>
      <c r="C3646" s="3"/>
      <c r="D3646" s="6"/>
      <c r="E3646" s="6"/>
      <c r="F3646" s="6"/>
      <c r="G3646" s="7"/>
    </row>
    <row r="3647" spans="1:7" x14ac:dyDescent="0.2">
      <c r="A3647" s="3"/>
      <c r="B3647" s="6"/>
      <c r="C3647" s="3"/>
      <c r="D3647" s="6"/>
      <c r="E3647" s="6"/>
      <c r="F3647" s="6"/>
      <c r="G3647" s="7"/>
    </row>
    <row r="3648" spans="1:7" x14ac:dyDescent="0.2">
      <c r="A3648" s="3"/>
      <c r="B3648" s="6"/>
      <c r="C3648" s="3"/>
      <c r="D3648" s="6"/>
      <c r="E3648" s="6"/>
      <c r="F3648" s="6"/>
      <c r="G3648" s="7"/>
    </row>
    <row r="3649" spans="1:7" x14ac:dyDescent="0.2">
      <c r="A3649" s="3"/>
      <c r="B3649" s="6"/>
      <c r="C3649" s="3"/>
      <c r="D3649" s="6"/>
      <c r="E3649" s="6"/>
      <c r="F3649" s="6"/>
      <c r="G3649" s="7"/>
    </row>
    <row r="3650" spans="1:7" x14ac:dyDescent="0.2">
      <c r="A3650" s="3"/>
      <c r="B3650" s="6"/>
      <c r="C3650" s="3"/>
      <c r="D3650" s="6"/>
      <c r="E3650" s="6"/>
      <c r="F3650" s="6"/>
      <c r="G3650" s="7"/>
    </row>
    <row r="3651" spans="1:7" x14ac:dyDescent="0.2">
      <c r="A3651" s="3"/>
      <c r="B3651" s="6"/>
      <c r="C3651" s="3"/>
      <c r="D3651" s="6"/>
      <c r="E3651" s="6"/>
      <c r="F3651" s="6"/>
      <c r="G3651" s="7"/>
    </row>
    <row r="3652" spans="1:7" x14ac:dyDescent="0.2">
      <c r="A3652" s="3"/>
      <c r="B3652" s="6"/>
      <c r="C3652" s="3"/>
      <c r="D3652" s="6"/>
      <c r="E3652" s="6"/>
      <c r="F3652" s="6"/>
      <c r="G3652" s="7"/>
    </row>
    <row r="3653" spans="1:7" x14ac:dyDescent="0.2">
      <c r="A3653" s="3"/>
      <c r="B3653" s="6"/>
      <c r="C3653" s="3"/>
      <c r="D3653" s="6"/>
      <c r="E3653" s="6"/>
      <c r="F3653" s="6"/>
      <c r="G3653" s="7"/>
    </row>
    <row r="3654" spans="1:7" x14ac:dyDescent="0.2">
      <c r="A3654" s="3"/>
      <c r="B3654" s="6"/>
      <c r="C3654" s="3"/>
      <c r="D3654" s="6"/>
      <c r="E3654" s="6"/>
      <c r="F3654" s="6"/>
      <c r="G3654" s="7"/>
    </row>
    <row r="3655" spans="1:7" x14ac:dyDescent="0.2">
      <c r="A3655" s="3"/>
      <c r="B3655" s="6"/>
      <c r="C3655" s="3"/>
      <c r="D3655" s="6"/>
      <c r="E3655" s="6"/>
      <c r="F3655" s="6"/>
      <c r="G3655" s="7"/>
    </row>
    <row r="3656" spans="1:7" x14ac:dyDescent="0.2">
      <c r="A3656" s="3"/>
      <c r="B3656" s="6"/>
      <c r="C3656" s="3"/>
      <c r="D3656" s="6"/>
      <c r="E3656" s="6"/>
      <c r="F3656" s="6"/>
      <c r="G3656" s="7"/>
    </row>
    <row r="3657" spans="1:7" x14ac:dyDescent="0.2">
      <c r="A3657" s="3"/>
      <c r="B3657" s="6"/>
      <c r="C3657" s="3"/>
      <c r="D3657" s="6"/>
      <c r="E3657" s="6"/>
      <c r="F3657" s="6"/>
      <c r="G3657" s="7"/>
    </row>
    <row r="3658" spans="1:7" x14ac:dyDescent="0.2">
      <c r="A3658" s="3"/>
      <c r="B3658" s="6"/>
      <c r="C3658" s="3"/>
      <c r="D3658" s="6"/>
      <c r="E3658" s="6"/>
      <c r="F3658" s="6"/>
      <c r="G3658" s="7"/>
    </row>
    <row r="3659" spans="1:7" x14ac:dyDescent="0.2">
      <c r="A3659" s="3"/>
      <c r="B3659" s="6"/>
      <c r="C3659" s="3"/>
      <c r="D3659" s="6"/>
      <c r="E3659" s="6"/>
      <c r="F3659" s="6"/>
      <c r="G3659" s="7"/>
    </row>
    <row r="3660" spans="1:7" x14ac:dyDescent="0.2">
      <c r="A3660" s="3"/>
      <c r="B3660" s="6"/>
      <c r="C3660" s="3"/>
      <c r="D3660" s="6"/>
      <c r="E3660" s="6"/>
      <c r="F3660" s="6"/>
      <c r="G3660" s="7"/>
    </row>
    <row r="3661" spans="1:7" x14ac:dyDescent="0.2">
      <c r="A3661" s="3"/>
      <c r="B3661" s="6"/>
      <c r="C3661" s="3"/>
      <c r="D3661" s="6"/>
      <c r="E3661" s="6"/>
      <c r="F3661" s="6"/>
      <c r="G3661" s="7"/>
    </row>
    <row r="3662" spans="1:7" x14ac:dyDescent="0.2">
      <c r="A3662" s="3"/>
      <c r="B3662" s="6"/>
      <c r="C3662" s="3"/>
      <c r="D3662" s="6"/>
      <c r="E3662" s="6"/>
      <c r="F3662" s="6"/>
      <c r="G3662" s="7"/>
    </row>
    <row r="3663" spans="1:7" x14ac:dyDescent="0.2">
      <c r="A3663" s="3"/>
      <c r="B3663" s="6"/>
      <c r="C3663" s="3"/>
      <c r="D3663" s="6"/>
      <c r="E3663" s="6"/>
      <c r="F3663" s="6"/>
      <c r="G3663" s="7"/>
    </row>
    <row r="3664" spans="1:7" x14ac:dyDescent="0.2">
      <c r="A3664" s="3"/>
      <c r="B3664" s="6"/>
      <c r="C3664" s="3"/>
      <c r="D3664" s="6"/>
      <c r="E3664" s="6"/>
      <c r="F3664" s="6"/>
      <c r="G3664" s="7"/>
    </row>
    <row r="3665" spans="1:7" x14ac:dyDescent="0.2">
      <c r="A3665" s="3"/>
      <c r="B3665" s="6"/>
      <c r="C3665" s="3"/>
      <c r="D3665" s="6"/>
      <c r="E3665" s="6"/>
      <c r="F3665" s="6"/>
      <c r="G3665" s="7"/>
    </row>
    <row r="3666" spans="1:7" x14ac:dyDescent="0.2">
      <c r="A3666" s="3"/>
      <c r="B3666" s="6"/>
      <c r="C3666" s="3"/>
      <c r="D3666" s="6"/>
      <c r="E3666" s="6"/>
      <c r="F3666" s="6"/>
      <c r="G3666" s="7"/>
    </row>
    <row r="3667" spans="1:7" x14ac:dyDescent="0.2">
      <c r="A3667" s="3"/>
      <c r="B3667" s="6"/>
      <c r="C3667" s="3"/>
      <c r="D3667" s="6"/>
      <c r="E3667" s="6"/>
      <c r="F3667" s="6"/>
      <c r="G3667" s="7"/>
    </row>
    <row r="3668" spans="1:7" x14ac:dyDescent="0.2">
      <c r="A3668" s="3"/>
      <c r="B3668" s="6"/>
      <c r="C3668" s="3"/>
      <c r="D3668" s="6"/>
      <c r="E3668" s="6"/>
      <c r="F3668" s="6"/>
      <c r="G3668" s="7"/>
    </row>
    <row r="3669" spans="1:7" x14ac:dyDescent="0.2">
      <c r="A3669" s="3"/>
      <c r="B3669" s="6"/>
      <c r="C3669" s="3"/>
      <c r="D3669" s="6"/>
      <c r="E3669" s="6"/>
      <c r="F3669" s="6"/>
      <c r="G3669" s="7"/>
    </row>
    <row r="3670" spans="1:7" x14ac:dyDescent="0.2">
      <c r="A3670" s="3"/>
      <c r="B3670" s="6"/>
      <c r="C3670" s="3"/>
      <c r="D3670" s="6"/>
      <c r="E3670" s="6"/>
      <c r="F3670" s="6"/>
      <c r="G3670" s="7"/>
    </row>
    <row r="3671" spans="1:7" x14ac:dyDescent="0.2">
      <c r="A3671" s="3"/>
      <c r="B3671" s="6"/>
      <c r="C3671" s="3"/>
      <c r="D3671" s="6"/>
      <c r="E3671" s="6"/>
      <c r="F3671" s="6"/>
      <c r="G3671" s="7"/>
    </row>
    <row r="3672" spans="1:7" x14ac:dyDescent="0.2">
      <c r="A3672" s="3"/>
      <c r="B3672" s="6"/>
      <c r="C3672" s="3"/>
      <c r="D3672" s="6"/>
      <c r="E3672" s="6"/>
      <c r="F3672" s="6"/>
      <c r="G3672" s="7"/>
    </row>
    <row r="3673" spans="1:7" x14ac:dyDescent="0.2">
      <c r="A3673" s="3"/>
      <c r="B3673" s="6"/>
      <c r="C3673" s="3"/>
      <c r="D3673" s="6"/>
      <c r="E3673" s="6"/>
      <c r="F3673" s="6"/>
      <c r="G3673" s="7"/>
    </row>
    <row r="3674" spans="1:7" x14ac:dyDescent="0.2">
      <c r="A3674" s="3"/>
      <c r="B3674" s="6"/>
      <c r="C3674" s="3"/>
      <c r="D3674" s="6"/>
      <c r="E3674" s="6"/>
      <c r="F3674" s="6"/>
      <c r="G3674" s="7"/>
    </row>
    <row r="3675" spans="1:7" x14ac:dyDescent="0.2">
      <c r="A3675" s="3"/>
      <c r="B3675" s="6"/>
      <c r="C3675" s="3"/>
      <c r="D3675" s="6"/>
      <c r="E3675" s="6"/>
      <c r="F3675" s="6"/>
      <c r="G3675" s="7"/>
    </row>
    <row r="3676" spans="1:7" x14ac:dyDescent="0.2">
      <c r="A3676" s="3"/>
      <c r="B3676" s="6"/>
      <c r="C3676" s="3"/>
      <c r="D3676" s="6"/>
      <c r="E3676" s="6"/>
      <c r="F3676" s="6"/>
      <c r="G3676" s="7"/>
    </row>
    <row r="3677" spans="1:7" x14ac:dyDescent="0.2">
      <c r="A3677" s="3"/>
      <c r="B3677" s="6"/>
      <c r="C3677" s="3"/>
      <c r="D3677" s="6"/>
      <c r="E3677" s="6"/>
      <c r="F3677" s="6"/>
      <c r="G3677" s="7"/>
    </row>
    <row r="3678" spans="1:7" x14ac:dyDescent="0.2">
      <c r="A3678" s="3"/>
      <c r="B3678" s="6"/>
      <c r="C3678" s="3"/>
      <c r="D3678" s="6"/>
      <c r="E3678" s="6"/>
      <c r="F3678" s="6"/>
      <c r="G3678" s="7"/>
    </row>
    <row r="3679" spans="1:7" x14ac:dyDescent="0.2">
      <c r="A3679" s="3"/>
      <c r="B3679" s="6"/>
      <c r="C3679" s="3"/>
      <c r="D3679" s="6"/>
      <c r="E3679" s="6"/>
      <c r="F3679" s="6"/>
      <c r="G3679" s="7"/>
    </row>
    <row r="3680" spans="1:7" x14ac:dyDescent="0.2">
      <c r="A3680" s="3"/>
      <c r="B3680" s="6"/>
      <c r="C3680" s="3"/>
      <c r="D3680" s="6"/>
      <c r="E3680" s="6"/>
      <c r="F3680" s="6"/>
      <c r="G3680" s="7"/>
    </row>
    <row r="3681" spans="1:7" x14ac:dyDescent="0.2">
      <c r="A3681" s="3"/>
      <c r="B3681" s="6"/>
      <c r="C3681" s="3"/>
      <c r="D3681" s="6"/>
      <c r="E3681" s="6"/>
      <c r="F3681" s="6"/>
      <c r="G3681" s="7"/>
    </row>
    <row r="3682" spans="1:7" x14ac:dyDescent="0.2">
      <c r="A3682" s="3"/>
      <c r="B3682" s="6"/>
      <c r="C3682" s="3"/>
      <c r="D3682" s="6"/>
      <c r="E3682" s="6"/>
      <c r="F3682" s="6"/>
      <c r="G3682" s="7"/>
    </row>
    <row r="3683" spans="1:7" x14ac:dyDescent="0.2">
      <c r="A3683" s="3"/>
      <c r="B3683" s="6"/>
      <c r="C3683" s="3"/>
      <c r="D3683" s="6"/>
      <c r="E3683" s="6"/>
      <c r="F3683" s="6"/>
      <c r="G3683" s="7"/>
    </row>
    <row r="3684" spans="1:7" x14ac:dyDescent="0.2">
      <c r="A3684" s="3"/>
      <c r="B3684" s="6"/>
      <c r="C3684" s="3"/>
      <c r="D3684" s="6"/>
      <c r="E3684" s="6"/>
      <c r="F3684" s="6"/>
      <c r="G3684" s="7"/>
    </row>
    <row r="3685" spans="1:7" x14ac:dyDescent="0.2">
      <c r="A3685" s="3"/>
      <c r="B3685" s="6"/>
      <c r="C3685" s="3"/>
      <c r="D3685" s="6"/>
      <c r="E3685" s="6"/>
      <c r="F3685" s="6"/>
      <c r="G3685" s="7"/>
    </row>
    <row r="3686" spans="1:7" x14ac:dyDescent="0.2">
      <c r="A3686" s="3"/>
      <c r="B3686" s="6"/>
      <c r="C3686" s="3"/>
      <c r="D3686" s="6"/>
      <c r="E3686" s="6"/>
      <c r="F3686" s="6"/>
      <c r="G3686" s="7"/>
    </row>
    <row r="3687" spans="1:7" x14ac:dyDescent="0.2">
      <c r="A3687" s="3"/>
      <c r="B3687" s="6"/>
      <c r="C3687" s="3"/>
      <c r="D3687" s="6"/>
      <c r="E3687" s="6"/>
      <c r="F3687" s="6"/>
      <c r="G3687" s="7"/>
    </row>
    <row r="3688" spans="1:7" x14ac:dyDescent="0.2">
      <c r="A3688" s="3"/>
      <c r="B3688" s="6"/>
      <c r="C3688" s="3"/>
      <c r="D3688" s="6"/>
      <c r="E3688" s="6"/>
      <c r="F3688" s="6"/>
      <c r="G3688" s="7"/>
    </row>
    <row r="3689" spans="1:7" x14ac:dyDescent="0.2">
      <c r="A3689" s="3"/>
      <c r="B3689" s="6"/>
      <c r="C3689" s="3"/>
      <c r="D3689" s="6"/>
      <c r="E3689" s="6"/>
      <c r="F3689" s="6"/>
      <c r="G3689" s="7"/>
    </row>
    <row r="3690" spans="1:7" x14ac:dyDescent="0.2">
      <c r="A3690" s="3"/>
      <c r="B3690" s="6"/>
      <c r="C3690" s="3"/>
      <c r="D3690" s="6"/>
      <c r="E3690" s="6"/>
      <c r="F3690" s="6"/>
      <c r="G3690" s="7"/>
    </row>
    <row r="3691" spans="1:7" x14ac:dyDescent="0.2">
      <c r="A3691" s="3"/>
      <c r="B3691" s="6"/>
      <c r="C3691" s="3"/>
      <c r="D3691" s="6"/>
      <c r="E3691" s="6"/>
      <c r="F3691" s="6"/>
      <c r="G3691" s="7"/>
    </row>
    <row r="3692" spans="1:7" x14ac:dyDescent="0.2">
      <c r="A3692" s="3"/>
      <c r="B3692" s="6"/>
      <c r="C3692" s="3"/>
      <c r="D3692" s="6"/>
      <c r="E3692" s="6"/>
      <c r="F3692" s="6"/>
      <c r="G3692" s="7"/>
    </row>
    <row r="3693" spans="1:7" x14ac:dyDescent="0.2">
      <c r="A3693" s="3"/>
      <c r="B3693" s="6"/>
      <c r="C3693" s="3"/>
      <c r="D3693" s="6"/>
      <c r="E3693" s="6"/>
      <c r="F3693" s="6"/>
      <c r="G3693" s="7"/>
    </row>
    <row r="3694" spans="1:7" x14ac:dyDescent="0.2">
      <c r="A3694" s="3"/>
      <c r="B3694" s="6"/>
      <c r="C3694" s="3"/>
      <c r="D3694" s="6"/>
      <c r="E3694" s="6"/>
      <c r="F3694" s="6"/>
      <c r="G3694" s="7"/>
    </row>
    <row r="3695" spans="1:7" x14ac:dyDescent="0.2">
      <c r="A3695" s="3"/>
      <c r="B3695" s="6"/>
      <c r="C3695" s="3"/>
      <c r="D3695" s="6"/>
      <c r="E3695" s="6"/>
      <c r="F3695" s="6"/>
      <c r="G3695" s="7"/>
    </row>
    <row r="3696" spans="1:7" x14ac:dyDescent="0.2">
      <c r="A3696" s="3"/>
      <c r="B3696" s="6"/>
      <c r="C3696" s="3"/>
      <c r="D3696" s="6"/>
      <c r="E3696" s="6"/>
      <c r="F3696" s="6"/>
      <c r="G3696" s="7"/>
    </row>
    <row r="3697" spans="1:7" x14ac:dyDescent="0.2">
      <c r="A3697" s="3"/>
      <c r="B3697" s="6"/>
      <c r="C3697" s="3"/>
      <c r="D3697" s="6"/>
      <c r="E3697" s="6"/>
      <c r="F3697" s="6"/>
      <c r="G3697" s="7"/>
    </row>
    <row r="3698" spans="1:7" x14ac:dyDescent="0.2">
      <c r="A3698" s="3"/>
      <c r="B3698" s="6"/>
      <c r="C3698" s="3"/>
      <c r="D3698" s="6"/>
      <c r="E3698" s="6"/>
      <c r="F3698" s="6"/>
      <c r="G3698" s="7"/>
    </row>
    <row r="3699" spans="1:7" x14ac:dyDescent="0.2">
      <c r="A3699" s="3"/>
      <c r="B3699" s="6"/>
      <c r="C3699" s="3"/>
      <c r="D3699" s="6"/>
      <c r="E3699" s="6"/>
      <c r="F3699" s="6"/>
      <c r="G3699" s="7"/>
    </row>
    <row r="3700" spans="1:7" x14ac:dyDescent="0.2">
      <c r="A3700" s="3"/>
      <c r="B3700" s="6"/>
      <c r="C3700" s="3"/>
      <c r="D3700" s="6"/>
      <c r="E3700" s="6"/>
      <c r="F3700" s="6"/>
      <c r="G3700" s="7"/>
    </row>
    <row r="3701" spans="1:7" x14ac:dyDescent="0.2">
      <c r="A3701" s="3"/>
      <c r="B3701" s="6"/>
      <c r="C3701" s="3"/>
      <c r="D3701" s="6"/>
      <c r="E3701" s="6"/>
      <c r="F3701" s="6"/>
      <c r="G3701" s="7"/>
    </row>
    <row r="3702" spans="1:7" x14ac:dyDescent="0.2">
      <c r="A3702" s="3"/>
      <c r="B3702" s="6"/>
      <c r="C3702" s="3"/>
      <c r="D3702" s="6"/>
      <c r="E3702" s="6"/>
      <c r="F3702" s="6"/>
      <c r="G3702" s="7"/>
    </row>
    <row r="3703" spans="1:7" x14ac:dyDescent="0.2">
      <c r="A3703" s="3"/>
      <c r="B3703" s="6"/>
      <c r="C3703" s="3"/>
      <c r="D3703" s="6"/>
      <c r="E3703" s="6"/>
      <c r="F3703" s="6"/>
      <c r="G3703" s="7"/>
    </row>
    <row r="3704" spans="1:7" x14ac:dyDescent="0.2">
      <c r="A3704" s="3"/>
      <c r="B3704" s="6"/>
      <c r="C3704" s="3"/>
      <c r="D3704" s="6"/>
      <c r="E3704" s="6"/>
      <c r="F3704" s="6"/>
      <c r="G3704" s="7"/>
    </row>
    <row r="3705" spans="1:7" x14ac:dyDescent="0.2">
      <c r="A3705" s="3"/>
      <c r="B3705" s="6"/>
      <c r="C3705" s="3"/>
      <c r="D3705" s="6"/>
      <c r="E3705" s="6"/>
      <c r="F3705" s="6"/>
      <c r="G3705" s="7"/>
    </row>
    <row r="3706" spans="1:7" x14ac:dyDescent="0.2">
      <c r="A3706" s="3"/>
      <c r="B3706" s="6"/>
      <c r="C3706" s="3"/>
      <c r="D3706" s="6"/>
      <c r="E3706" s="6"/>
      <c r="F3706" s="6"/>
      <c r="G3706" s="7"/>
    </row>
    <row r="3707" spans="1:7" x14ac:dyDescent="0.2">
      <c r="A3707" s="3"/>
      <c r="B3707" s="6"/>
      <c r="C3707" s="3"/>
      <c r="D3707" s="6"/>
      <c r="E3707" s="6"/>
      <c r="F3707" s="6"/>
      <c r="G3707" s="7"/>
    </row>
    <row r="3708" spans="1:7" x14ac:dyDescent="0.2">
      <c r="A3708" s="3"/>
      <c r="B3708" s="6"/>
      <c r="C3708" s="3"/>
      <c r="D3708" s="6"/>
      <c r="E3708" s="6"/>
      <c r="F3708" s="6"/>
      <c r="G3708" s="7"/>
    </row>
    <row r="3709" spans="1:7" x14ac:dyDescent="0.2">
      <c r="A3709" s="3"/>
      <c r="B3709" s="6"/>
      <c r="C3709" s="3"/>
      <c r="D3709" s="6"/>
      <c r="E3709" s="6"/>
      <c r="F3709" s="6"/>
      <c r="G3709" s="7"/>
    </row>
    <row r="3710" spans="1:7" x14ac:dyDescent="0.2">
      <c r="A3710" s="3"/>
      <c r="B3710" s="6"/>
      <c r="C3710" s="3"/>
      <c r="D3710" s="6"/>
      <c r="E3710" s="6"/>
      <c r="F3710" s="6"/>
      <c r="G3710" s="7"/>
    </row>
    <row r="3711" spans="1:7" x14ac:dyDescent="0.2">
      <c r="A3711" s="3"/>
      <c r="B3711" s="6"/>
      <c r="C3711" s="3"/>
      <c r="D3711" s="6"/>
      <c r="E3711" s="6"/>
      <c r="F3711" s="6"/>
      <c r="G3711" s="7"/>
    </row>
    <row r="3712" spans="1:7" x14ac:dyDescent="0.2">
      <c r="A3712" s="3"/>
      <c r="B3712" s="6"/>
      <c r="C3712" s="3"/>
      <c r="D3712" s="6"/>
      <c r="E3712" s="6"/>
      <c r="F3712" s="6"/>
      <c r="G3712" s="7"/>
    </row>
    <row r="3713" spans="1:7" x14ac:dyDescent="0.2">
      <c r="A3713" s="3"/>
      <c r="B3713" s="6"/>
      <c r="C3713" s="3"/>
      <c r="D3713" s="6"/>
      <c r="E3713" s="6"/>
      <c r="F3713" s="6"/>
      <c r="G3713" s="7"/>
    </row>
    <row r="3714" spans="1:7" x14ac:dyDescent="0.2">
      <c r="A3714" s="3"/>
      <c r="B3714" s="6"/>
      <c r="C3714" s="3"/>
      <c r="D3714" s="6"/>
      <c r="E3714" s="6"/>
      <c r="F3714" s="6"/>
      <c r="G3714" s="7"/>
    </row>
    <row r="3715" spans="1:7" x14ac:dyDescent="0.2">
      <c r="A3715" s="3"/>
      <c r="B3715" s="6"/>
      <c r="C3715" s="3"/>
      <c r="D3715" s="6"/>
      <c r="E3715" s="6"/>
      <c r="F3715" s="6"/>
      <c r="G3715" s="7"/>
    </row>
    <row r="3716" spans="1:7" x14ac:dyDescent="0.2">
      <c r="A3716" s="3"/>
      <c r="B3716" s="6"/>
      <c r="C3716" s="3"/>
      <c r="D3716" s="6"/>
      <c r="E3716" s="6"/>
      <c r="F3716" s="6"/>
      <c r="G3716" s="7"/>
    </row>
    <row r="3717" spans="1:7" x14ac:dyDescent="0.2">
      <c r="A3717" s="3"/>
      <c r="B3717" s="6"/>
      <c r="C3717" s="3"/>
      <c r="D3717" s="6"/>
      <c r="E3717" s="6"/>
      <c r="F3717" s="6"/>
      <c r="G3717" s="7"/>
    </row>
    <row r="3718" spans="1:7" x14ac:dyDescent="0.2">
      <c r="A3718" s="3"/>
      <c r="B3718" s="6"/>
      <c r="C3718" s="3"/>
      <c r="D3718" s="6"/>
      <c r="E3718" s="6"/>
      <c r="F3718" s="6"/>
      <c r="G3718" s="7"/>
    </row>
    <row r="3719" spans="1:7" x14ac:dyDescent="0.2">
      <c r="A3719" s="3"/>
      <c r="B3719" s="6"/>
      <c r="C3719" s="3"/>
      <c r="D3719" s="6"/>
      <c r="E3719" s="6"/>
      <c r="F3719" s="6"/>
      <c r="G3719" s="7"/>
    </row>
    <row r="3720" spans="1:7" x14ac:dyDescent="0.2">
      <c r="A3720" s="3"/>
      <c r="B3720" s="6"/>
      <c r="C3720" s="3"/>
      <c r="D3720" s="6"/>
      <c r="E3720" s="6"/>
      <c r="F3720" s="6"/>
      <c r="G3720" s="7"/>
    </row>
    <row r="3721" spans="1:7" x14ac:dyDescent="0.2">
      <c r="A3721" s="3"/>
      <c r="B3721" s="6"/>
      <c r="C3721" s="3"/>
      <c r="D3721" s="6"/>
      <c r="E3721" s="6"/>
      <c r="F3721" s="6"/>
      <c r="G3721" s="7"/>
    </row>
    <row r="3722" spans="1:7" x14ac:dyDescent="0.2">
      <c r="A3722" s="3"/>
      <c r="B3722" s="6"/>
      <c r="C3722" s="3"/>
      <c r="D3722" s="6"/>
      <c r="E3722" s="6"/>
      <c r="F3722" s="6"/>
      <c r="G3722" s="7"/>
    </row>
    <row r="3723" spans="1:7" x14ac:dyDescent="0.2">
      <c r="A3723" s="3"/>
      <c r="B3723" s="6"/>
      <c r="C3723" s="3"/>
      <c r="D3723" s="6"/>
      <c r="E3723" s="6"/>
      <c r="F3723" s="6"/>
      <c r="G3723" s="7"/>
    </row>
    <row r="3724" spans="1:7" x14ac:dyDescent="0.2">
      <c r="A3724" s="3"/>
      <c r="B3724" s="6"/>
      <c r="C3724" s="3"/>
      <c r="D3724" s="6"/>
      <c r="E3724" s="6"/>
      <c r="F3724" s="6"/>
      <c r="G3724" s="7"/>
    </row>
    <row r="3725" spans="1:7" x14ac:dyDescent="0.2">
      <c r="A3725" s="3"/>
      <c r="B3725" s="6"/>
      <c r="C3725" s="3"/>
      <c r="D3725" s="6"/>
      <c r="E3725" s="6"/>
      <c r="F3725" s="6"/>
      <c r="G3725" s="7"/>
    </row>
    <row r="3726" spans="1:7" x14ac:dyDescent="0.2">
      <c r="A3726" s="3"/>
      <c r="B3726" s="6"/>
      <c r="C3726" s="3"/>
      <c r="D3726" s="6"/>
      <c r="E3726" s="6"/>
      <c r="F3726" s="6"/>
      <c r="G3726" s="7"/>
    </row>
    <row r="3727" spans="1:7" x14ac:dyDescent="0.2">
      <c r="A3727" s="3"/>
      <c r="B3727" s="6"/>
      <c r="C3727" s="3"/>
      <c r="D3727" s="6"/>
      <c r="E3727" s="6"/>
      <c r="F3727" s="6"/>
      <c r="G3727" s="7"/>
    </row>
    <row r="3728" spans="1:7" x14ac:dyDescent="0.2">
      <c r="A3728" s="3"/>
      <c r="B3728" s="6"/>
      <c r="C3728" s="3"/>
      <c r="D3728" s="6"/>
      <c r="E3728" s="6"/>
      <c r="F3728" s="6"/>
      <c r="G3728" s="7"/>
    </row>
    <row r="3729" spans="1:7" x14ac:dyDescent="0.2">
      <c r="A3729" s="3"/>
      <c r="B3729" s="6"/>
      <c r="C3729" s="3"/>
      <c r="D3729" s="6"/>
      <c r="E3729" s="6"/>
      <c r="F3729" s="6"/>
      <c r="G3729" s="7"/>
    </row>
    <row r="3730" spans="1:7" x14ac:dyDescent="0.2">
      <c r="A3730" s="3"/>
      <c r="B3730" s="6"/>
      <c r="C3730" s="3"/>
      <c r="D3730" s="6"/>
      <c r="E3730" s="6"/>
      <c r="F3730" s="6"/>
      <c r="G3730" s="7"/>
    </row>
    <row r="3731" spans="1:7" x14ac:dyDescent="0.2">
      <c r="A3731" s="3"/>
      <c r="B3731" s="6"/>
      <c r="C3731" s="3"/>
      <c r="D3731" s="6"/>
      <c r="E3731" s="6"/>
      <c r="F3731" s="6"/>
      <c r="G3731" s="7"/>
    </row>
    <row r="3732" spans="1:7" x14ac:dyDescent="0.2">
      <c r="A3732" s="3"/>
      <c r="B3732" s="6"/>
      <c r="C3732" s="3"/>
      <c r="D3732" s="6"/>
      <c r="E3732" s="6"/>
      <c r="F3732" s="6"/>
      <c r="G3732" s="7"/>
    </row>
    <row r="3733" spans="1:7" x14ac:dyDescent="0.2">
      <c r="A3733" s="3"/>
      <c r="B3733" s="6"/>
      <c r="C3733" s="3"/>
      <c r="D3733" s="6"/>
      <c r="E3733" s="6"/>
      <c r="F3733" s="6"/>
      <c r="G3733" s="7"/>
    </row>
    <row r="3734" spans="1:7" x14ac:dyDescent="0.2">
      <c r="A3734" s="3"/>
      <c r="B3734" s="6"/>
      <c r="C3734" s="3"/>
      <c r="D3734" s="6"/>
      <c r="E3734" s="6"/>
      <c r="F3734" s="6"/>
      <c r="G3734" s="7"/>
    </row>
    <row r="3735" spans="1:7" x14ac:dyDescent="0.2">
      <c r="A3735" s="3"/>
      <c r="B3735" s="6"/>
      <c r="C3735" s="3"/>
      <c r="D3735" s="6"/>
      <c r="E3735" s="6"/>
      <c r="F3735" s="6"/>
      <c r="G3735" s="7"/>
    </row>
    <row r="3736" spans="1:7" x14ac:dyDescent="0.2">
      <c r="A3736" s="3"/>
      <c r="B3736" s="6"/>
      <c r="C3736" s="3"/>
      <c r="D3736" s="6"/>
      <c r="E3736" s="6"/>
      <c r="F3736" s="6"/>
      <c r="G3736" s="7"/>
    </row>
    <row r="3737" spans="1:7" x14ac:dyDescent="0.2">
      <c r="A3737" s="3"/>
      <c r="B3737" s="6"/>
      <c r="C3737" s="3"/>
      <c r="D3737" s="6"/>
      <c r="E3737" s="6"/>
      <c r="F3737" s="6"/>
      <c r="G3737" s="7"/>
    </row>
    <row r="3738" spans="1:7" x14ac:dyDescent="0.2">
      <c r="A3738" s="3"/>
      <c r="B3738" s="6"/>
      <c r="C3738" s="3"/>
      <c r="D3738" s="6"/>
      <c r="E3738" s="6"/>
      <c r="F3738" s="6"/>
      <c r="G3738" s="7"/>
    </row>
    <row r="3739" spans="1:7" x14ac:dyDescent="0.2">
      <c r="A3739" s="3"/>
      <c r="B3739" s="6"/>
      <c r="C3739" s="3"/>
      <c r="D3739" s="6"/>
      <c r="E3739" s="6"/>
      <c r="F3739" s="6"/>
      <c r="G3739" s="7"/>
    </row>
    <row r="3740" spans="1:7" x14ac:dyDescent="0.2">
      <c r="A3740" s="3"/>
      <c r="B3740" s="6"/>
      <c r="C3740" s="3"/>
      <c r="D3740" s="6"/>
      <c r="E3740" s="6"/>
      <c r="F3740" s="6"/>
      <c r="G3740" s="7"/>
    </row>
    <row r="3741" spans="1:7" x14ac:dyDescent="0.2">
      <c r="A3741" s="3"/>
      <c r="B3741" s="6"/>
      <c r="C3741" s="3"/>
      <c r="D3741" s="6"/>
      <c r="E3741" s="6"/>
      <c r="F3741" s="6"/>
      <c r="G3741" s="7"/>
    </row>
    <row r="3742" spans="1:7" x14ac:dyDescent="0.2">
      <c r="A3742" s="3"/>
      <c r="B3742" s="6"/>
      <c r="C3742" s="3"/>
      <c r="D3742" s="6"/>
      <c r="E3742" s="6"/>
      <c r="F3742" s="6"/>
      <c r="G3742" s="7"/>
    </row>
    <row r="3743" spans="1:7" x14ac:dyDescent="0.2">
      <c r="A3743" s="3"/>
      <c r="B3743" s="6"/>
      <c r="C3743" s="3"/>
      <c r="D3743" s="6"/>
      <c r="E3743" s="6"/>
      <c r="F3743" s="6"/>
      <c r="G3743" s="7"/>
    </row>
    <row r="3744" spans="1:7" x14ac:dyDescent="0.2">
      <c r="A3744" s="3"/>
      <c r="B3744" s="6"/>
      <c r="C3744" s="3"/>
      <c r="D3744" s="6"/>
      <c r="E3744" s="6"/>
      <c r="F3744" s="6"/>
      <c r="G3744" s="7"/>
    </row>
    <row r="3745" spans="1:7" x14ac:dyDescent="0.2">
      <c r="A3745" s="3"/>
      <c r="B3745" s="6"/>
      <c r="C3745" s="3"/>
      <c r="D3745" s="6"/>
      <c r="E3745" s="6"/>
      <c r="F3745" s="6"/>
      <c r="G3745" s="7"/>
    </row>
    <row r="3746" spans="1:7" x14ac:dyDescent="0.2">
      <c r="A3746" s="3"/>
      <c r="B3746" s="6"/>
      <c r="C3746" s="3"/>
      <c r="D3746" s="6"/>
      <c r="E3746" s="6"/>
      <c r="F3746" s="6"/>
      <c r="G3746" s="7"/>
    </row>
    <row r="3747" spans="1:7" x14ac:dyDescent="0.2">
      <c r="A3747" s="3"/>
      <c r="B3747" s="6"/>
      <c r="C3747" s="3"/>
      <c r="D3747" s="6"/>
      <c r="E3747" s="6"/>
      <c r="F3747" s="6"/>
      <c r="G3747" s="7"/>
    </row>
    <row r="3748" spans="1:7" x14ac:dyDescent="0.2">
      <c r="A3748" s="3"/>
      <c r="B3748" s="6"/>
      <c r="C3748" s="3"/>
      <c r="D3748" s="6"/>
      <c r="E3748" s="6"/>
      <c r="F3748" s="6"/>
      <c r="G3748" s="7"/>
    </row>
    <row r="3749" spans="1:7" x14ac:dyDescent="0.2">
      <c r="A3749" s="3"/>
      <c r="B3749" s="6"/>
      <c r="C3749" s="3"/>
      <c r="D3749" s="6"/>
      <c r="E3749" s="6"/>
      <c r="F3749" s="6"/>
      <c r="G3749" s="7"/>
    </row>
    <row r="3750" spans="1:7" x14ac:dyDescent="0.2">
      <c r="A3750" s="3"/>
      <c r="B3750" s="6"/>
      <c r="C3750" s="3"/>
      <c r="D3750" s="6"/>
      <c r="E3750" s="6"/>
      <c r="F3750" s="6"/>
      <c r="G3750" s="7"/>
    </row>
    <row r="3751" spans="1:7" x14ac:dyDescent="0.2">
      <c r="A3751" s="3"/>
      <c r="B3751" s="6"/>
      <c r="C3751" s="3"/>
      <c r="D3751" s="6"/>
      <c r="E3751" s="6"/>
      <c r="F3751" s="6"/>
      <c r="G3751" s="7"/>
    </row>
    <row r="3752" spans="1:7" x14ac:dyDescent="0.2">
      <c r="A3752" s="3"/>
      <c r="B3752" s="6"/>
      <c r="C3752" s="3"/>
      <c r="D3752" s="6"/>
      <c r="E3752" s="6"/>
      <c r="F3752" s="6"/>
      <c r="G3752" s="7"/>
    </row>
    <row r="3753" spans="1:7" x14ac:dyDescent="0.2">
      <c r="A3753" s="3"/>
      <c r="B3753" s="6"/>
      <c r="C3753" s="3"/>
      <c r="D3753" s="6"/>
      <c r="E3753" s="6"/>
      <c r="F3753" s="6"/>
      <c r="G3753" s="7"/>
    </row>
    <row r="3754" spans="1:7" x14ac:dyDescent="0.2">
      <c r="A3754" s="3"/>
      <c r="B3754" s="6"/>
      <c r="C3754" s="3"/>
      <c r="D3754" s="6"/>
      <c r="E3754" s="6"/>
      <c r="F3754" s="6"/>
      <c r="G3754" s="7"/>
    </row>
    <row r="3755" spans="1:7" x14ac:dyDescent="0.2">
      <c r="A3755" s="3"/>
      <c r="B3755" s="6"/>
      <c r="C3755" s="3"/>
      <c r="D3755" s="6"/>
      <c r="E3755" s="6"/>
      <c r="F3755" s="6"/>
      <c r="G3755" s="7"/>
    </row>
    <row r="3756" spans="1:7" x14ac:dyDescent="0.2">
      <c r="A3756" s="3"/>
      <c r="B3756" s="6"/>
      <c r="C3756" s="3"/>
      <c r="D3756" s="6"/>
      <c r="E3756" s="6"/>
      <c r="F3756" s="6"/>
      <c r="G3756" s="7"/>
    </row>
    <row r="3757" spans="1:7" x14ac:dyDescent="0.2">
      <c r="A3757" s="3"/>
      <c r="B3757" s="6"/>
      <c r="C3757" s="3"/>
      <c r="D3757" s="6"/>
      <c r="E3757" s="6"/>
      <c r="F3757" s="6"/>
      <c r="G3757" s="7"/>
    </row>
    <row r="3758" spans="1:7" x14ac:dyDescent="0.2">
      <c r="A3758" s="3"/>
      <c r="B3758" s="6"/>
      <c r="C3758" s="3"/>
      <c r="D3758" s="6"/>
      <c r="E3758" s="6"/>
      <c r="F3758" s="6"/>
      <c r="G3758" s="7"/>
    </row>
    <row r="3759" spans="1:7" x14ac:dyDescent="0.2">
      <c r="A3759" s="3"/>
      <c r="B3759" s="6"/>
      <c r="C3759" s="3"/>
      <c r="D3759" s="6"/>
      <c r="E3759" s="6"/>
      <c r="F3759" s="6"/>
      <c r="G3759" s="7"/>
    </row>
    <row r="3760" spans="1:7" x14ac:dyDescent="0.2">
      <c r="A3760" s="3"/>
      <c r="B3760" s="6"/>
      <c r="C3760" s="3"/>
      <c r="D3760" s="6"/>
      <c r="E3760" s="6"/>
      <c r="F3760" s="6"/>
      <c r="G3760" s="7"/>
    </row>
    <row r="3761" spans="1:7" x14ac:dyDescent="0.2">
      <c r="A3761" s="3"/>
      <c r="B3761" s="6"/>
      <c r="C3761" s="3"/>
      <c r="D3761" s="6"/>
      <c r="E3761" s="6"/>
      <c r="F3761" s="6"/>
      <c r="G3761" s="7"/>
    </row>
    <row r="3762" spans="1:7" x14ac:dyDescent="0.2">
      <c r="A3762" s="3"/>
      <c r="B3762" s="6"/>
      <c r="C3762" s="3"/>
      <c r="D3762" s="6"/>
      <c r="E3762" s="6"/>
      <c r="F3762" s="6"/>
      <c r="G3762" s="7"/>
    </row>
    <row r="3763" spans="1:7" x14ac:dyDescent="0.2">
      <c r="A3763" s="3"/>
      <c r="B3763" s="6"/>
      <c r="C3763" s="3"/>
      <c r="D3763" s="6"/>
      <c r="E3763" s="6"/>
      <c r="F3763" s="6"/>
      <c r="G3763" s="7"/>
    </row>
    <row r="3764" spans="1:7" x14ac:dyDescent="0.2">
      <c r="A3764" s="3"/>
      <c r="B3764" s="6"/>
      <c r="C3764" s="3"/>
      <c r="D3764" s="6"/>
      <c r="E3764" s="6"/>
      <c r="F3764" s="6"/>
      <c r="G3764" s="7"/>
    </row>
    <row r="3765" spans="1:7" x14ac:dyDescent="0.2">
      <c r="A3765" s="3"/>
      <c r="B3765" s="6"/>
      <c r="C3765" s="3"/>
      <c r="D3765" s="6"/>
      <c r="E3765" s="6"/>
      <c r="F3765" s="6"/>
      <c r="G3765" s="7"/>
    </row>
    <row r="3766" spans="1:7" x14ac:dyDescent="0.2">
      <c r="A3766" s="3"/>
      <c r="B3766" s="6"/>
      <c r="C3766" s="3"/>
      <c r="D3766" s="6"/>
      <c r="E3766" s="6"/>
      <c r="F3766" s="6"/>
      <c r="G3766" s="7"/>
    </row>
    <row r="3767" spans="1:7" x14ac:dyDescent="0.2">
      <c r="A3767" s="3"/>
      <c r="B3767" s="6"/>
      <c r="C3767" s="3"/>
      <c r="D3767" s="6"/>
      <c r="E3767" s="6"/>
      <c r="F3767" s="6"/>
      <c r="G3767" s="7"/>
    </row>
    <row r="3768" spans="1:7" x14ac:dyDescent="0.2">
      <c r="A3768" s="3"/>
      <c r="B3768" s="6"/>
      <c r="C3768" s="3"/>
      <c r="D3768" s="6"/>
      <c r="E3768" s="6"/>
      <c r="F3768" s="6"/>
      <c r="G3768" s="7"/>
    </row>
    <row r="3769" spans="1:7" x14ac:dyDescent="0.2">
      <c r="A3769" s="3"/>
      <c r="B3769" s="6"/>
      <c r="C3769" s="3"/>
      <c r="D3769" s="6"/>
      <c r="E3769" s="6"/>
      <c r="F3769" s="6"/>
      <c r="G3769" s="7"/>
    </row>
    <row r="3770" spans="1:7" x14ac:dyDescent="0.2">
      <c r="A3770" s="3"/>
      <c r="B3770" s="6"/>
      <c r="C3770" s="3"/>
      <c r="D3770" s="6"/>
      <c r="E3770" s="6"/>
      <c r="F3770" s="6"/>
      <c r="G3770" s="7"/>
    </row>
    <row r="3771" spans="1:7" x14ac:dyDescent="0.2">
      <c r="A3771" s="3"/>
      <c r="B3771" s="6"/>
      <c r="C3771" s="3"/>
      <c r="D3771" s="6"/>
      <c r="E3771" s="6"/>
      <c r="F3771" s="6"/>
      <c r="G3771" s="7"/>
    </row>
    <row r="3772" spans="1:7" x14ac:dyDescent="0.2">
      <c r="A3772" s="3"/>
      <c r="B3772" s="6"/>
      <c r="C3772" s="3"/>
      <c r="D3772" s="6"/>
      <c r="E3772" s="6"/>
      <c r="F3772" s="6"/>
      <c r="G3772" s="7"/>
    </row>
    <row r="3773" spans="1:7" x14ac:dyDescent="0.2">
      <c r="A3773" s="3"/>
      <c r="B3773" s="6"/>
      <c r="C3773" s="3"/>
      <c r="D3773" s="6"/>
      <c r="E3773" s="6"/>
      <c r="F3773" s="6"/>
      <c r="G3773" s="7"/>
    </row>
    <row r="3774" spans="1:7" x14ac:dyDescent="0.2">
      <c r="A3774" s="3"/>
      <c r="B3774" s="6"/>
      <c r="C3774" s="3"/>
      <c r="D3774" s="6"/>
      <c r="E3774" s="6"/>
      <c r="F3774" s="6"/>
      <c r="G3774" s="7"/>
    </row>
    <row r="3775" spans="1:7" x14ac:dyDescent="0.2">
      <c r="A3775" s="3"/>
      <c r="B3775" s="6"/>
      <c r="C3775" s="3"/>
      <c r="D3775" s="6"/>
      <c r="E3775" s="6"/>
      <c r="F3775" s="6"/>
      <c r="G3775" s="7"/>
    </row>
    <row r="3776" spans="1:7" x14ac:dyDescent="0.2">
      <c r="A3776" s="3"/>
      <c r="B3776" s="6"/>
      <c r="C3776" s="3"/>
      <c r="D3776" s="6"/>
      <c r="E3776" s="6"/>
      <c r="F3776" s="6"/>
      <c r="G3776" s="7"/>
    </row>
    <row r="3777" spans="1:7" x14ac:dyDescent="0.2">
      <c r="A3777" s="3"/>
      <c r="B3777" s="6"/>
      <c r="C3777" s="3"/>
      <c r="D3777" s="6"/>
      <c r="E3777" s="6"/>
      <c r="F3777" s="6"/>
      <c r="G3777" s="7"/>
    </row>
    <row r="3778" spans="1:7" x14ac:dyDescent="0.2">
      <c r="A3778" s="3"/>
      <c r="B3778" s="6"/>
      <c r="C3778" s="3"/>
      <c r="D3778" s="6"/>
      <c r="E3778" s="6"/>
      <c r="F3778" s="6"/>
      <c r="G3778" s="7"/>
    </row>
    <row r="3779" spans="1:7" x14ac:dyDescent="0.2">
      <c r="A3779" s="3"/>
      <c r="B3779" s="6"/>
      <c r="C3779" s="3"/>
      <c r="D3779" s="6"/>
      <c r="E3779" s="6"/>
      <c r="F3779" s="6"/>
      <c r="G3779" s="7"/>
    </row>
    <row r="3780" spans="1:7" x14ac:dyDescent="0.2">
      <c r="A3780" s="3"/>
      <c r="B3780" s="6"/>
      <c r="C3780" s="3"/>
      <c r="D3780" s="6"/>
      <c r="E3780" s="6"/>
      <c r="F3780" s="6"/>
      <c r="G3780" s="7"/>
    </row>
    <row r="3781" spans="1:7" x14ac:dyDescent="0.2">
      <c r="A3781" s="3"/>
      <c r="B3781" s="6"/>
      <c r="C3781" s="3"/>
      <c r="D3781" s="6"/>
      <c r="E3781" s="6"/>
      <c r="F3781" s="6"/>
      <c r="G3781" s="7"/>
    </row>
    <row r="3782" spans="1:7" x14ac:dyDescent="0.2">
      <c r="A3782" s="3"/>
      <c r="B3782" s="6"/>
      <c r="C3782" s="3"/>
      <c r="D3782" s="6"/>
      <c r="E3782" s="6"/>
      <c r="F3782" s="6"/>
      <c r="G3782" s="7"/>
    </row>
    <row r="3783" spans="1:7" x14ac:dyDescent="0.2">
      <c r="A3783" s="3"/>
      <c r="B3783" s="6"/>
      <c r="C3783" s="3"/>
      <c r="D3783" s="6"/>
      <c r="E3783" s="6"/>
      <c r="F3783" s="6"/>
      <c r="G3783" s="7"/>
    </row>
    <row r="3784" spans="1:7" x14ac:dyDescent="0.2">
      <c r="A3784" s="3"/>
      <c r="B3784" s="6"/>
      <c r="C3784" s="3"/>
      <c r="D3784" s="6"/>
      <c r="E3784" s="6"/>
      <c r="F3784" s="6"/>
      <c r="G3784" s="7"/>
    </row>
    <row r="3785" spans="1:7" x14ac:dyDescent="0.2">
      <c r="A3785" s="3"/>
      <c r="B3785" s="6"/>
      <c r="C3785" s="3"/>
      <c r="D3785" s="6"/>
      <c r="E3785" s="6"/>
      <c r="F3785" s="6"/>
      <c r="G3785" s="7"/>
    </row>
    <row r="3786" spans="1:7" x14ac:dyDescent="0.2">
      <c r="A3786" s="3"/>
      <c r="B3786" s="6"/>
      <c r="C3786" s="3"/>
      <c r="D3786" s="6"/>
      <c r="E3786" s="6"/>
      <c r="F3786" s="6"/>
      <c r="G3786" s="7"/>
    </row>
    <row r="3787" spans="1:7" x14ac:dyDescent="0.2">
      <c r="A3787" s="3"/>
      <c r="B3787" s="6"/>
      <c r="C3787" s="3"/>
      <c r="D3787" s="6"/>
      <c r="E3787" s="6"/>
      <c r="F3787" s="6"/>
      <c r="G3787" s="7"/>
    </row>
    <row r="3788" spans="1:7" x14ac:dyDescent="0.2">
      <c r="A3788" s="3"/>
      <c r="B3788" s="6"/>
      <c r="C3788" s="3"/>
      <c r="D3788" s="6"/>
      <c r="E3788" s="6"/>
      <c r="F3788" s="6"/>
      <c r="G3788" s="7"/>
    </row>
    <row r="3789" spans="1:7" x14ac:dyDescent="0.2">
      <c r="A3789" s="3"/>
      <c r="B3789" s="6"/>
      <c r="C3789" s="3"/>
      <c r="D3789" s="6"/>
      <c r="E3789" s="6"/>
      <c r="F3789" s="6"/>
      <c r="G3789" s="7"/>
    </row>
    <row r="3790" spans="1:7" x14ac:dyDescent="0.2">
      <c r="A3790" s="3"/>
      <c r="B3790" s="6"/>
      <c r="C3790" s="3"/>
      <c r="D3790" s="6"/>
      <c r="E3790" s="6"/>
      <c r="F3790" s="6"/>
      <c r="G3790" s="7"/>
    </row>
    <row r="3791" spans="1:7" x14ac:dyDescent="0.2">
      <c r="A3791" s="3"/>
      <c r="B3791" s="6"/>
      <c r="C3791" s="3"/>
      <c r="D3791" s="6"/>
      <c r="E3791" s="6"/>
      <c r="F3791" s="6"/>
      <c r="G3791" s="7"/>
    </row>
    <row r="3792" spans="1:7" x14ac:dyDescent="0.2">
      <c r="A3792" s="3"/>
      <c r="B3792" s="6"/>
      <c r="C3792" s="3"/>
      <c r="D3792" s="6"/>
      <c r="E3792" s="6"/>
      <c r="F3792" s="6"/>
      <c r="G3792" s="7"/>
    </row>
    <row r="3793" spans="1:7" x14ac:dyDescent="0.2">
      <c r="A3793" s="3"/>
      <c r="B3793" s="6"/>
      <c r="C3793" s="3"/>
      <c r="D3793" s="6"/>
      <c r="E3793" s="6"/>
      <c r="F3793" s="6"/>
      <c r="G3793" s="7"/>
    </row>
    <row r="3794" spans="1:7" x14ac:dyDescent="0.2">
      <c r="A3794" s="3"/>
      <c r="B3794" s="6"/>
      <c r="C3794" s="3"/>
      <c r="D3794" s="6"/>
      <c r="E3794" s="6"/>
      <c r="F3794" s="6"/>
      <c r="G3794" s="7"/>
    </row>
    <row r="3795" spans="1:7" x14ac:dyDescent="0.2">
      <c r="A3795" s="3"/>
      <c r="B3795" s="6"/>
      <c r="C3795" s="3"/>
      <c r="D3795" s="6"/>
      <c r="E3795" s="6"/>
      <c r="F3795" s="6"/>
      <c r="G3795" s="7"/>
    </row>
    <row r="3796" spans="1:7" x14ac:dyDescent="0.2">
      <c r="A3796" s="3"/>
      <c r="B3796" s="6"/>
      <c r="C3796" s="3"/>
      <c r="D3796" s="6"/>
      <c r="E3796" s="6"/>
      <c r="F3796" s="6"/>
      <c r="G3796" s="7"/>
    </row>
    <row r="3797" spans="1:7" x14ac:dyDescent="0.2">
      <c r="A3797" s="3"/>
      <c r="B3797" s="6"/>
      <c r="C3797" s="3"/>
      <c r="D3797" s="6"/>
      <c r="E3797" s="6"/>
      <c r="F3797" s="6"/>
      <c r="G3797" s="7"/>
    </row>
    <row r="3798" spans="1:7" x14ac:dyDescent="0.2">
      <c r="A3798" s="3"/>
      <c r="B3798" s="6"/>
      <c r="C3798" s="3"/>
      <c r="D3798" s="6"/>
      <c r="E3798" s="6"/>
      <c r="F3798" s="6"/>
      <c r="G3798" s="7"/>
    </row>
    <row r="3799" spans="1:7" x14ac:dyDescent="0.2">
      <c r="A3799" s="3"/>
      <c r="B3799" s="6"/>
      <c r="C3799" s="3"/>
      <c r="D3799" s="6"/>
      <c r="E3799" s="6"/>
      <c r="F3799" s="6"/>
      <c r="G3799" s="7"/>
    </row>
    <row r="3800" spans="1:7" x14ac:dyDescent="0.2">
      <c r="A3800" s="3"/>
      <c r="B3800" s="6"/>
      <c r="C3800" s="3"/>
      <c r="D3800" s="6"/>
      <c r="E3800" s="6"/>
      <c r="F3800" s="6"/>
      <c r="G3800" s="7"/>
    </row>
    <row r="3801" spans="1:7" x14ac:dyDescent="0.2">
      <c r="A3801" s="3"/>
      <c r="B3801" s="6"/>
      <c r="C3801" s="3"/>
      <c r="D3801" s="6"/>
      <c r="E3801" s="6"/>
      <c r="F3801" s="6"/>
      <c r="G3801" s="7"/>
    </row>
    <row r="3802" spans="1:7" x14ac:dyDescent="0.2">
      <c r="A3802" s="3"/>
      <c r="B3802" s="6"/>
      <c r="C3802" s="3"/>
      <c r="D3802" s="6"/>
      <c r="E3802" s="6"/>
      <c r="F3802" s="6"/>
      <c r="G3802" s="7"/>
    </row>
    <row r="3803" spans="1:7" x14ac:dyDescent="0.2">
      <c r="A3803" s="3"/>
      <c r="B3803" s="6"/>
      <c r="C3803" s="3"/>
      <c r="D3803" s="6"/>
      <c r="E3803" s="6"/>
      <c r="F3803" s="6"/>
      <c r="G3803" s="7"/>
    </row>
    <row r="3804" spans="1:7" x14ac:dyDescent="0.2">
      <c r="A3804" s="3"/>
      <c r="B3804" s="6"/>
      <c r="C3804" s="3"/>
      <c r="D3804" s="6"/>
      <c r="E3804" s="6"/>
      <c r="F3804" s="6"/>
      <c r="G3804" s="7"/>
    </row>
    <row r="3805" spans="1:7" x14ac:dyDescent="0.2">
      <c r="A3805" s="3"/>
      <c r="B3805" s="6"/>
      <c r="C3805" s="3"/>
      <c r="D3805" s="6"/>
      <c r="E3805" s="6"/>
      <c r="F3805" s="6"/>
      <c r="G3805" s="7"/>
    </row>
    <row r="3806" spans="1:7" x14ac:dyDescent="0.2">
      <c r="A3806" s="3"/>
      <c r="B3806" s="6"/>
      <c r="C3806" s="3"/>
      <c r="D3806" s="6"/>
      <c r="E3806" s="6"/>
      <c r="F3806" s="6"/>
      <c r="G3806" s="7"/>
    </row>
    <row r="3807" spans="1:7" x14ac:dyDescent="0.2">
      <c r="A3807" s="3"/>
      <c r="B3807" s="6"/>
      <c r="C3807" s="3"/>
      <c r="D3807" s="6"/>
      <c r="E3807" s="6"/>
      <c r="F3807" s="6"/>
      <c r="G3807" s="7"/>
    </row>
    <row r="3808" spans="1:7" x14ac:dyDescent="0.2">
      <c r="A3808" s="3"/>
      <c r="B3808" s="6"/>
      <c r="C3808" s="3"/>
      <c r="D3808" s="6"/>
      <c r="E3808" s="6"/>
      <c r="F3808" s="6"/>
      <c r="G3808" s="7"/>
    </row>
    <row r="3809" spans="1:7" x14ac:dyDescent="0.2">
      <c r="A3809" s="3"/>
      <c r="B3809" s="6"/>
      <c r="C3809" s="3"/>
      <c r="D3809" s="6"/>
      <c r="E3809" s="6"/>
      <c r="F3809" s="6"/>
      <c r="G3809" s="7"/>
    </row>
    <row r="3810" spans="1:7" x14ac:dyDescent="0.2">
      <c r="A3810" s="3"/>
      <c r="B3810" s="6"/>
      <c r="C3810" s="3"/>
      <c r="D3810" s="6"/>
      <c r="E3810" s="6"/>
      <c r="F3810" s="6"/>
      <c r="G3810" s="7"/>
    </row>
    <row r="3811" spans="1:7" x14ac:dyDescent="0.2">
      <c r="A3811" s="3"/>
      <c r="B3811" s="6"/>
      <c r="C3811" s="3"/>
      <c r="D3811" s="6"/>
      <c r="E3811" s="6"/>
      <c r="F3811" s="6"/>
      <c r="G3811" s="7"/>
    </row>
    <row r="3812" spans="1:7" x14ac:dyDescent="0.2">
      <c r="A3812" s="3"/>
      <c r="B3812" s="6"/>
      <c r="C3812" s="3"/>
      <c r="D3812" s="6"/>
      <c r="E3812" s="6"/>
      <c r="F3812" s="6"/>
      <c r="G3812" s="7"/>
    </row>
    <row r="3813" spans="1:7" x14ac:dyDescent="0.2">
      <c r="A3813" s="3"/>
      <c r="B3813" s="6"/>
      <c r="C3813" s="3"/>
      <c r="D3813" s="6"/>
      <c r="E3813" s="6"/>
      <c r="F3813" s="6"/>
      <c r="G3813" s="7"/>
    </row>
    <row r="3814" spans="1:7" x14ac:dyDescent="0.2">
      <c r="A3814" s="3"/>
      <c r="B3814" s="6"/>
      <c r="C3814" s="3"/>
      <c r="D3814" s="6"/>
      <c r="E3814" s="6"/>
      <c r="F3814" s="6"/>
      <c r="G3814" s="7"/>
    </row>
    <row r="3815" spans="1:7" x14ac:dyDescent="0.2">
      <c r="A3815" s="3"/>
      <c r="B3815" s="6"/>
      <c r="C3815" s="3"/>
      <c r="D3815" s="6"/>
      <c r="E3815" s="6"/>
      <c r="F3815" s="6"/>
      <c r="G3815" s="7"/>
    </row>
    <row r="3816" spans="1:7" x14ac:dyDescent="0.2">
      <c r="A3816" s="3"/>
      <c r="B3816" s="6"/>
      <c r="C3816" s="3"/>
      <c r="D3816" s="6"/>
      <c r="E3816" s="6"/>
      <c r="F3816" s="6"/>
      <c r="G3816" s="7"/>
    </row>
    <row r="3817" spans="1:7" x14ac:dyDescent="0.2">
      <c r="A3817" s="3"/>
      <c r="B3817" s="6"/>
      <c r="C3817" s="3"/>
      <c r="D3817" s="6"/>
      <c r="E3817" s="6"/>
      <c r="F3817" s="6"/>
      <c r="G3817" s="7"/>
    </row>
    <row r="3818" spans="1:7" x14ac:dyDescent="0.2">
      <c r="A3818" s="3"/>
      <c r="B3818" s="6"/>
      <c r="C3818" s="3"/>
      <c r="D3818" s="6"/>
      <c r="E3818" s="6"/>
      <c r="F3818" s="6"/>
      <c r="G3818" s="7"/>
    </row>
    <row r="3819" spans="1:7" x14ac:dyDescent="0.2">
      <c r="A3819" s="3"/>
      <c r="B3819" s="6"/>
      <c r="C3819" s="3"/>
      <c r="D3819" s="6"/>
      <c r="E3819" s="6"/>
      <c r="F3819" s="6"/>
      <c r="G3819" s="7"/>
    </row>
    <row r="3820" spans="1:7" x14ac:dyDescent="0.2">
      <c r="A3820" s="3"/>
      <c r="B3820" s="6"/>
      <c r="C3820" s="3"/>
      <c r="D3820" s="6"/>
      <c r="E3820" s="6"/>
      <c r="F3820" s="6"/>
      <c r="G3820" s="7"/>
    </row>
    <row r="3821" spans="1:7" x14ac:dyDescent="0.2">
      <c r="A3821" s="3"/>
      <c r="B3821" s="6"/>
      <c r="C3821" s="3"/>
      <c r="D3821" s="6"/>
      <c r="E3821" s="6"/>
      <c r="F3821" s="6"/>
      <c r="G3821" s="7"/>
    </row>
    <row r="3822" spans="1:7" x14ac:dyDescent="0.2">
      <c r="A3822" s="3"/>
      <c r="B3822" s="6"/>
      <c r="C3822" s="3"/>
      <c r="D3822" s="6"/>
      <c r="E3822" s="6"/>
      <c r="F3822" s="6"/>
      <c r="G3822" s="7"/>
    </row>
    <row r="3823" spans="1:7" x14ac:dyDescent="0.2">
      <c r="A3823" s="3"/>
      <c r="B3823" s="6"/>
      <c r="C3823" s="3"/>
      <c r="D3823" s="6"/>
      <c r="E3823" s="6"/>
      <c r="F3823" s="6"/>
      <c r="G3823" s="7"/>
    </row>
    <row r="3824" spans="1:7" x14ac:dyDescent="0.2">
      <c r="A3824" s="3"/>
      <c r="B3824" s="6"/>
      <c r="C3824" s="3"/>
      <c r="D3824" s="6"/>
      <c r="E3824" s="6"/>
      <c r="F3824" s="6"/>
      <c r="G3824" s="7"/>
    </row>
    <row r="3825" spans="1:7" x14ac:dyDescent="0.2">
      <c r="A3825" s="3"/>
      <c r="B3825" s="6"/>
      <c r="C3825" s="3"/>
      <c r="D3825" s="6"/>
      <c r="E3825" s="6"/>
      <c r="F3825" s="6"/>
      <c r="G3825" s="7"/>
    </row>
    <row r="3826" spans="1:7" x14ac:dyDescent="0.2">
      <c r="A3826" s="3"/>
      <c r="B3826" s="6"/>
      <c r="C3826" s="3"/>
      <c r="D3826" s="6"/>
      <c r="E3826" s="6"/>
      <c r="F3826" s="6"/>
      <c r="G3826" s="7"/>
    </row>
    <row r="3827" spans="1:7" x14ac:dyDescent="0.2">
      <c r="A3827" s="3"/>
      <c r="B3827" s="6"/>
      <c r="C3827" s="3"/>
      <c r="D3827" s="6"/>
      <c r="E3827" s="6"/>
      <c r="F3827" s="6"/>
      <c r="G3827" s="7"/>
    </row>
    <row r="3828" spans="1:7" x14ac:dyDescent="0.2">
      <c r="A3828" s="3"/>
      <c r="B3828" s="6"/>
      <c r="C3828" s="3"/>
      <c r="D3828" s="6"/>
      <c r="E3828" s="6"/>
      <c r="F3828" s="6"/>
      <c r="G3828" s="7"/>
    </row>
    <row r="3829" spans="1:7" x14ac:dyDescent="0.2">
      <c r="A3829" s="3"/>
      <c r="B3829" s="6"/>
      <c r="C3829" s="3"/>
      <c r="D3829" s="6"/>
      <c r="E3829" s="6"/>
      <c r="F3829" s="6"/>
      <c r="G3829" s="7"/>
    </row>
    <row r="3830" spans="1:7" x14ac:dyDescent="0.2">
      <c r="A3830" s="3"/>
      <c r="B3830" s="6"/>
      <c r="C3830" s="3"/>
      <c r="D3830" s="6"/>
      <c r="E3830" s="6"/>
      <c r="F3830" s="6"/>
      <c r="G3830" s="7"/>
    </row>
    <row r="3831" spans="1:7" x14ac:dyDescent="0.2">
      <c r="A3831" s="3"/>
      <c r="B3831" s="6"/>
      <c r="C3831" s="3"/>
      <c r="D3831" s="6"/>
      <c r="E3831" s="6"/>
      <c r="F3831" s="6"/>
      <c r="G3831" s="7"/>
    </row>
    <row r="3832" spans="1:7" x14ac:dyDescent="0.2">
      <c r="A3832" s="3"/>
      <c r="B3832" s="6"/>
      <c r="C3832" s="3"/>
      <c r="D3832" s="6"/>
      <c r="E3832" s="6"/>
      <c r="F3832" s="6"/>
      <c r="G3832" s="7"/>
    </row>
    <row r="3833" spans="1:7" x14ac:dyDescent="0.2">
      <c r="A3833" s="3"/>
      <c r="B3833" s="6"/>
      <c r="C3833" s="3"/>
      <c r="D3833" s="6"/>
      <c r="E3833" s="6"/>
      <c r="F3833" s="6"/>
      <c r="G3833" s="7"/>
    </row>
    <row r="3834" spans="1:7" x14ac:dyDescent="0.2">
      <c r="A3834" s="3"/>
      <c r="B3834" s="6"/>
      <c r="C3834" s="3"/>
      <c r="D3834" s="6"/>
      <c r="E3834" s="6"/>
      <c r="F3834" s="6"/>
      <c r="G3834" s="7"/>
    </row>
    <row r="3835" spans="1:7" x14ac:dyDescent="0.2">
      <c r="A3835" s="3"/>
      <c r="B3835" s="6"/>
      <c r="C3835" s="3"/>
      <c r="D3835" s="6"/>
      <c r="E3835" s="6"/>
      <c r="F3835" s="6"/>
      <c r="G3835" s="7"/>
    </row>
    <row r="3836" spans="1:7" x14ac:dyDescent="0.2">
      <c r="A3836" s="3"/>
      <c r="B3836" s="6"/>
      <c r="C3836" s="3"/>
      <c r="D3836" s="6"/>
      <c r="E3836" s="6"/>
      <c r="F3836" s="6"/>
      <c r="G3836" s="7"/>
    </row>
    <row r="3837" spans="1:7" x14ac:dyDescent="0.2">
      <c r="A3837" s="3"/>
      <c r="B3837" s="6"/>
      <c r="C3837" s="3"/>
      <c r="D3837" s="6"/>
      <c r="E3837" s="6"/>
      <c r="F3837" s="6"/>
      <c r="G3837" s="7"/>
    </row>
    <row r="3838" spans="1:7" x14ac:dyDescent="0.2">
      <c r="A3838" s="3"/>
      <c r="B3838" s="6"/>
      <c r="C3838" s="3"/>
      <c r="D3838" s="6"/>
      <c r="E3838" s="6"/>
      <c r="F3838" s="6"/>
      <c r="G3838" s="7"/>
    </row>
    <row r="3839" spans="1:7" x14ac:dyDescent="0.2">
      <c r="A3839" s="3"/>
      <c r="B3839" s="6"/>
      <c r="C3839" s="3"/>
      <c r="D3839" s="6"/>
      <c r="E3839" s="6"/>
      <c r="F3839" s="6"/>
      <c r="G3839" s="7"/>
    </row>
    <row r="3840" spans="1:7" x14ac:dyDescent="0.2">
      <c r="A3840" s="3"/>
      <c r="B3840" s="6"/>
      <c r="C3840" s="3"/>
      <c r="D3840" s="6"/>
      <c r="E3840" s="6"/>
      <c r="F3840" s="6"/>
      <c r="G3840" s="7"/>
    </row>
    <row r="3841" spans="1:7" x14ac:dyDescent="0.2">
      <c r="A3841" s="3"/>
      <c r="B3841" s="6"/>
      <c r="C3841" s="3"/>
      <c r="D3841" s="6"/>
      <c r="E3841" s="6"/>
      <c r="F3841" s="6"/>
      <c r="G3841" s="7"/>
    </row>
    <row r="3842" spans="1:7" x14ac:dyDescent="0.2">
      <c r="A3842" s="3"/>
      <c r="B3842" s="6"/>
      <c r="C3842" s="3"/>
      <c r="D3842" s="6"/>
      <c r="E3842" s="6"/>
      <c r="F3842" s="6"/>
      <c r="G3842" s="7"/>
    </row>
    <row r="3843" spans="1:7" x14ac:dyDescent="0.2">
      <c r="A3843" s="3"/>
      <c r="B3843" s="6"/>
      <c r="C3843" s="3"/>
      <c r="D3843" s="6"/>
      <c r="E3843" s="6"/>
      <c r="F3843" s="6"/>
      <c r="G3843" s="7"/>
    </row>
    <row r="3844" spans="1:7" x14ac:dyDescent="0.2">
      <c r="A3844" s="3"/>
      <c r="B3844" s="6"/>
      <c r="C3844" s="3"/>
      <c r="D3844" s="6"/>
      <c r="E3844" s="6"/>
      <c r="F3844" s="6"/>
      <c r="G3844" s="7"/>
    </row>
    <row r="3845" spans="1:7" x14ac:dyDescent="0.2">
      <c r="A3845" s="3"/>
      <c r="B3845" s="6"/>
      <c r="C3845" s="3"/>
      <c r="D3845" s="6"/>
      <c r="E3845" s="6"/>
      <c r="F3845" s="6"/>
      <c r="G3845" s="7"/>
    </row>
    <row r="3846" spans="1:7" x14ac:dyDescent="0.2">
      <c r="A3846" s="3"/>
      <c r="B3846" s="6"/>
      <c r="C3846" s="3"/>
      <c r="D3846" s="6"/>
      <c r="E3846" s="6"/>
      <c r="F3846" s="6"/>
      <c r="G3846" s="7"/>
    </row>
    <row r="3847" spans="1:7" x14ac:dyDescent="0.2">
      <c r="A3847" s="3"/>
      <c r="B3847" s="6"/>
      <c r="C3847" s="3"/>
      <c r="D3847" s="6"/>
      <c r="E3847" s="6"/>
      <c r="F3847" s="6"/>
      <c r="G3847" s="7"/>
    </row>
    <row r="3848" spans="1:7" x14ac:dyDescent="0.2">
      <c r="A3848" s="3"/>
      <c r="B3848" s="6"/>
      <c r="C3848" s="3"/>
      <c r="D3848" s="6"/>
      <c r="E3848" s="6"/>
      <c r="F3848" s="6"/>
      <c r="G3848" s="7"/>
    </row>
    <row r="3849" spans="1:7" x14ac:dyDescent="0.2">
      <c r="A3849" s="3"/>
      <c r="B3849" s="6"/>
      <c r="C3849" s="3"/>
      <c r="D3849" s="6"/>
      <c r="E3849" s="6"/>
      <c r="F3849" s="6"/>
      <c r="G3849" s="7"/>
    </row>
    <row r="3850" spans="1:7" x14ac:dyDescent="0.2">
      <c r="A3850" s="3"/>
      <c r="B3850" s="6"/>
      <c r="C3850" s="3"/>
      <c r="D3850" s="6"/>
      <c r="E3850" s="6"/>
      <c r="F3850" s="6"/>
      <c r="G3850" s="7"/>
    </row>
    <row r="3851" spans="1:7" x14ac:dyDescent="0.2">
      <c r="A3851" s="3"/>
      <c r="B3851" s="6"/>
      <c r="C3851" s="3"/>
      <c r="D3851" s="6"/>
      <c r="E3851" s="6"/>
      <c r="F3851" s="6"/>
      <c r="G3851" s="7"/>
    </row>
    <row r="3852" spans="1:7" x14ac:dyDescent="0.2">
      <c r="A3852" s="3"/>
      <c r="B3852" s="6"/>
      <c r="C3852" s="3"/>
      <c r="D3852" s="6"/>
      <c r="E3852" s="6"/>
      <c r="F3852" s="6"/>
      <c r="G3852" s="7"/>
    </row>
    <row r="3853" spans="1:7" x14ac:dyDescent="0.2">
      <c r="A3853" s="3"/>
      <c r="B3853" s="6"/>
      <c r="C3853" s="3"/>
      <c r="D3853" s="6"/>
      <c r="E3853" s="6"/>
      <c r="F3853" s="6"/>
      <c r="G3853" s="7"/>
    </row>
    <row r="3854" spans="1:7" x14ac:dyDescent="0.2">
      <c r="A3854" s="3"/>
      <c r="B3854" s="6"/>
      <c r="C3854" s="3"/>
      <c r="D3854" s="6"/>
      <c r="E3854" s="6"/>
      <c r="F3854" s="6"/>
      <c r="G3854" s="7"/>
    </row>
    <row r="3855" spans="1:7" x14ac:dyDescent="0.2">
      <c r="A3855" s="3"/>
      <c r="B3855" s="6"/>
      <c r="C3855" s="3"/>
      <c r="D3855" s="6"/>
      <c r="E3855" s="6"/>
      <c r="F3855" s="6"/>
      <c r="G3855" s="7"/>
    </row>
    <row r="3856" spans="1:7" x14ac:dyDescent="0.2">
      <c r="A3856" s="3"/>
      <c r="B3856" s="6"/>
      <c r="C3856" s="3"/>
      <c r="D3856" s="6"/>
      <c r="E3856" s="6"/>
      <c r="F3856" s="6"/>
      <c r="G3856" s="7"/>
    </row>
    <row r="3857" spans="1:7" x14ac:dyDescent="0.2">
      <c r="A3857" s="3"/>
      <c r="B3857" s="6"/>
      <c r="C3857" s="3"/>
      <c r="D3857" s="6"/>
      <c r="E3857" s="6"/>
      <c r="F3857" s="6"/>
      <c r="G3857" s="7"/>
    </row>
    <row r="3858" spans="1:7" x14ac:dyDescent="0.2">
      <c r="A3858" s="3"/>
      <c r="B3858" s="6"/>
      <c r="C3858" s="3"/>
      <c r="D3858" s="6"/>
      <c r="E3858" s="6"/>
      <c r="F3858" s="6"/>
      <c r="G3858" s="7"/>
    </row>
    <row r="3859" spans="1:7" x14ac:dyDescent="0.2">
      <c r="A3859" s="3"/>
      <c r="B3859" s="6"/>
      <c r="C3859" s="3"/>
      <c r="D3859" s="6"/>
      <c r="E3859" s="6"/>
      <c r="F3859" s="6"/>
      <c r="G3859" s="7"/>
    </row>
    <row r="3860" spans="1:7" x14ac:dyDescent="0.2">
      <c r="A3860" s="3"/>
      <c r="B3860" s="6"/>
      <c r="C3860" s="3"/>
      <c r="D3860" s="6"/>
      <c r="E3860" s="6"/>
      <c r="F3860" s="6"/>
      <c r="G3860" s="7"/>
    </row>
    <row r="3861" spans="1:7" x14ac:dyDescent="0.2">
      <c r="A3861" s="3"/>
      <c r="B3861" s="6"/>
      <c r="C3861" s="3"/>
      <c r="D3861" s="6"/>
      <c r="E3861" s="6"/>
      <c r="F3861" s="6"/>
      <c r="G3861" s="7"/>
    </row>
    <row r="3862" spans="1:7" x14ac:dyDescent="0.2">
      <c r="A3862" s="3"/>
      <c r="B3862" s="6"/>
      <c r="C3862" s="3"/>
      <c r="D3862" s="6"/>
      <c r="E3862" s="6"/>
      <c r="F3862" s="6"/>
      <c r="G3862" s="7"/>
    </row>
    <row r="3863" spans="1:7" x14ac:dyDescent="0.2">
      <c r="A3863" s="3"/>
      <c r="B3863" s="6"/>
      <c r="C3863" s="3"/>
      <c r="D3863" s="6"/>
      <c r="E3863" s="6"/>
      <c r="F3863" s="6"/>
      <c r="G3863" s="7"/>
    </row>
    <row r="3864" spans="1:7" x14ac:dyDescent="0.2">
      <c r="A3864" s="3"/>
      <c r="B3864" s="6"/>
      <c r="C3864" s="3"/>
      <c r="D3864" s="6"/>
      <c r="E3864" s="6"/>
      <c r="F3864" s="6"/>
      <c r="G3864" s="7"/>
    </row>
    <row r="3865" spans="1:7" x14ac:dyDescent="0.2">
      <c r="A3865" s="3"/>
      <c r="B3865" s="6"/>
      <c r="C3865" s="3"/>
      <c r="D3865" s="6"/>
      <c r="E3865" s="6"/>
      <c r="F3865" s="6"/>
      <c r="G3865" s="7"/>
    </row>
    <row r="3866" spans="1:7" x14ac:dyDescent="0.2">
      <c r="A3866" s="3"/>
      <c r="B3866" s="6"/>
      <c r="C3866" s="3"/>
      <c r="D3866" s="6"/>
      <c r="E3866" s="6"/>
      <c r="F3866" s="6"/>
      <c r="G3866" s="7"/>
    </row>
    <row r="3867" spans="1:7" x14ac:dyDescent="0.2">
      <c r="A3867" s="3"/>
      <c r="B3867" s="6"/>
      <c r="C3867" s="3"/>
      <c r="D3867" s="6"/>
      <c r="E3867" s="6"/>
      <c r="F3867" s="6"/>
      <c r="G3867" s="7"/>
    </row>
    <row r="3868" spans="1:7" x14ac:dyDescent="0.2">
      <c r="A3868" s="3"/>
      <c r="B3868" s="6"/>
      <c r="C3868" s="3"/>
      <c r="D3868" s="6"/>
      <c r="E3868" s="6"/>
      <c r="F3868" s="6"/>
      <c r="G3868" s="7"/>
    </row>
    <row r="3869" spans="1:7" x14ac:dyDescent="0.2">
      <c r="A3869" s="3"/>
      <c r="B3869" s="6"/>
      <c r="C3869" s="3"/>
      <c r="D3869" s="6"/>
      <c r="E3869" s="6"/>
      <c r="F3869" s="6"/>
      <c r="G3869" s="7"/>
    </row>
    <row r="3870" spans="1:7" x14ac:dyDescent="0.2">
      <c r="A3870" s="3"/>
      <c r="B3870" s="6"/>
      <c r="C3870" s="3"/>
      <c r="D3870" s="6"/>
      <c r="E3870" s="6"/>
      <c r="F3870" s="6"/>
      <c r="G3870" s="7"/>
    </row>
    <row r="3871" spans="1:7" x14ac:dyDescent="0.2">
      <c r="A3871" s="3"/>
      <c r="B3871" s="6"/>
      <c r="C3871" s="3"/>
      <c r="D3871" s="6"/>
      <c r="E3871" s="6"/>
      <c r="F3871" s="6"/>
      <c r="G3871" s="7"/>
    </row>
    <row r="3872" spans="1:7" x14ac:dyDescent="0.2">
      <c r="A3872" s="3"/>
      <c r="B3872" s="6"/>
      <c r="C3872" s="3"/>
      <c r="D3872" s="6"/>
      <c r="E3872" s="6"/>
      <c r="F3872" s="6"/>
      <c r="G3872" s="7"/>
    </row>
    <row r="3873" spans="1:7" x14ac:dyDescent="0.2">
      <c r="A3873" s="3"/>
      <c r="B3873" s="6"/>
      <c r="C3873" s="3"/>
      <c r="D3873" s="6"/>
      <c r="E3873" s="6"/>
      <c r="F3873" s="6"/>
      <c r="G3873" s="7"/>
    </row>
    <row r="3874" spans="1:7" x14ac:dyDescent="0.2">
      <c r="A3874" s="3"/>
      <c r="B3874" s="6"/>
      <c r="C3874" s="3"/>
      <c r="D3874" s="6"/>
      <c r="E3874" s="6"/>
      <c r="F3874" s="6"/>
      <c r="G3874" s="7"/>
    </row>
    <row r="3875" spans="1:7" x14ac:dyDescent="0.2">
      <c r="A3875" s="3"/>
      <c r="B3875" s="6"/>
      <c r="C3875" s="3"/>
      <c r="D3875" s="6"/>
      <c r="E3875" s="6"/>
      <c r="F3875" s="6"/>
      <c r="G3875" s="7"/>
    </row>
    <row r="3876" spans="1:7" x14ac:dyDescent="0.2">
      <c r="A3876" s="3"/>
      <c r="B3876" s="6"/>
      <c r="C3876" s="3"/>
      <c r="D3876" s="6"/>
      <c r="E3876" s="6"/>
      <c r="F3876" s="6"/>
      <c r="G3876" s="7"/>
    </row>
    <row r="3877" spans="1:7" x14ac:dyDescent="0.2">
      <c r="A3877" s="3"/>
      <c r="B3877" s="6"/>
      <c r="C3877" s="3"/>
      <c r="D3877" s="6"/>
      <c r="E3877" s="6"/>
      <c r="F3877" s="6"/>
      <c r="G3877" s="7"/>
    </row>
    <row r="3878" spans="1:7" x14ac:dyDescent="0.2">
      <c r="A3878" s="3"/>
      <c r="B3878" s="6"/>
      <c r="C3878" s="3"/>
      <c r="D3878" s="6"/>
      <c r="E3878" s="6"/>
      <c r="F3878" s="6"/>
      <c r="G3878" s="7"/>
    </row>
    <row r="3879" spans="1:7" x14ac:dyDescent="0.2">
      <c r="A3879" s="3"/>
      <c r="B3879" s="6"/>
      <c r="C3879" s="3"/>
      <c r="D3879" s="6"/>
      <c r="E3879" s="6"/>
      <c r="F3879" s="6"/>
      <c r="G3879" s="7"/>
    </row>
    <row r="3880" spans="1:7" x14ac:dyDescent="0.2">
      <c r="A3880" s="3"/>
      <c r="B3880" s="6"/>
      <c r="C3880" s="3"/>
      <c r="D3880" s="6"/>
      <c r="E3880" s="6"/>
      <c r="F3880" s="6"/>
      <c r="G3880" s="7"/>
    </row>
    <row r="3881" spans="1:7" x14ac:dyDescent="0.2">
      <c r="A3881" s="3"/>
      <c r="B3881" s="6"/>
      <c r="C3881" s="3"/>
      <c r="D3881" s="6"/>
      <c r="E3881" s="6"/>
      <c r="F3881" s="6"/>
      <c r="G3881" s="7"/>
    </row>
    <row r="3882" spans="1:7" x14ac:dyDescent="0.2">
      <c r="A3882" s="3"/>
      <c r="B3882" s="6"/>
      <c r="C3882" s="3"/>
      <c r="D3882" s="6"/>
      <c r="E3882" s="6"/>
      <c r="F3882" s="6"/>
      <c r="G3882" s="7"/>
    </row>
    <row r="3883" spans="1:7" x14ac:dyDescent="0.2">
      <c r="A3883" s="3"/>
      <c r="B3883" s="6"/>
      <c r="C3883" s="3"/>
      <c r="D3883" s="6"/>
      <c r="E3883" s="6"/>
      <c r="F3883" s="6"/>
      <c r="G3883" s="7"/>
    </row>
    <row r="3884" spans="1:7" x14ac:dyDescent="0.2">
      <c r="A3884" s="3"/>
      <c r="B3884" s="6"/>
      <c r="C3884" s="3"/>
      <c r="D3884" s="6"/>
      <c r="E3884" s="6"/>
      <c r="F3884" s="6"/>
      <c r="G3884" s="7"/>
    </row>
    <row r="3885" spans="1:7" x14ac:dyDescent="0.2">
      <c r="A3885" s="3"/>
      <c r="B3885" s="6"/>
      <c r="C3885" s="3"/>
      <c r="D3885" s="6"/>
      <c r="E3885" s="6"/>
      <c r="F3885" s="6"/>
      <c r="G3885" s="7"/>
    </row>
    <row r="3886" spans="1:7" x14ac:dyDescent="0.2">
      <c r="A3886" s="3"/>
      <c r="B3886" s="6"/>
      <c r="C3886" s="3"/>
      <c r="D3886" s="6"/>
      <c r="E3886" s="6"/>
      <c r="F3886" s="6"/>
      <c r="G3886" s="7"/>
    </row>
    <row r="3887" spans="1:7" x14ac:dyDescent="0.2">
      <c r="A3887" s="3"/>
      <c r="B3887" s="6"/>
      <c r="C3887" s="3"/>
      <c r="D3887" s="6"/>
      <c r="E3887" s="6"/>
      <c r="F3887" s="6"/>
      <c r="G3887" s="7"/>
    </row>
    <row r="3888" spans="1:7" x14ac:dyDescent="0.2">
      <c r="A3888" s="3"/>
      <c r="B3888" s="6"/>
      <c r="C3888" s="3"/>
      <c r="D3888" s="6"/>
      <c r="E3888" s="6"/>
      <c r="F3888" s="6"/>
      <c r="G3888" s="7"/>
    </row>
    <row r="3889" spans="1:7" x14ac:dyDescent="0.2">
      <c r="A3889" s="3"/>
      <c r="B3889" s="6"/>
      <c r="C3889" s="3"/>
      <c r="D3889" s="6"/>
      <c r="E3889" s="6"/>
      <c r="F3889" s="6"/>
      <c r="G3889" s="7"/>
    </row>
    <row r="3890" spans="1:7" x14ac:dyDescent="0.2">
      <c r="A3890" s="3"/>
      <c r="B3890" s="6"/>
      <c r="C3890" s="3"/>
      <c r="D3890" s="6"/>
      <c r="E3890" s="6"/>
      <c r="F3890" s="6"/>
      <c r="G3890" s="7"/>
    </row>
    <row r="3891" spans="1:7" x14ac:dyDescent="0.2">
      <c r="A3891" s="3"/>
      <c r="B3891" s="6"/>
      <c r="C3891" s="3"/>
      <c r="D3891" s="6"/>
      <c r="E3891" s="6"/>
      <c r="F3891" s="6"/>
      <c r="G3891" s="7"/>
    </row>
    <row r="3892" spans="1:7" x14ac:dyDescent="0.2">
      <c r="A3892" s="3"/>
      <c r="B3892" s="6"/>
      <c r="C3892" s="3"/>
      <c r="D3892" s="6"/>
      <c r="E3892" s="6"/>
      <c r="F3892" s="6"/>
      <c r="G3892" s="7"/>
    </row>
    <row r="3893" spans="1:7" x14ac:dyDescent="0.2">
      <c r="A3893" s="3"/>
      <c r="B3893" s="6"/>
      <c r="C3893" s="3"/>
      <c r="D3893" s="6"/>
      <c r="E3893" s="6"/>
      <c r="F3893" s="6"/>
      <c r="G3893" s="7"/>
    </row>
    <row r="3894" spans="1:7" x14ac:dyDescent="0.2">
      <c r="A3894" s="3"/>
      <c r="B3894" s="6"/>
      <c r="C3894" s="3"/>
      <c r="D3894" s="6"/>
      <c r="E3894" s="6"/>
      <c r="F3894" s="6"/>
      <c r="G3894" s="7"/>
    </row>
    <row r="3895" spans="1:7" x14ac:dyDescent="0.2">
      <c r="A3895" s="3"/>
      <c r="B3895" s="6"/>
      <c r="C3895" s="3"/>
      <c r="D3895" s="6"/>
      <c r="E3895" s="6"/>
      <c r="F3895" s="6"/>
      <c r="G3895" s="7"/>
    </row>
    <row r="3896" spans="1:7" x14ac:dyDescent="0.2">
      <c r="A3896" s="3"/>
      <c r="B3896" s="6"/>
      <c r="C3896" s="3"/>
      <c r="D3896" s="6"/>
      <c r="E3896" s="6"/>
      <c r="F3896" s="6"/>
      <c r="G3896" s="7"/>
    </row>
    <row r="3897" spans="1:7" x14ac:dyDescent="0.2">
      <c r="A3897" s="3"/>
      <c r="B3897" s="6"/>
      <c r="C3897" s="3"/>
      <c r="D3897" s="6"/>
      <c r="E3897" s="6"/>
      <c r="F3897" s="6"/>
      <c r="G3897" s="7"/>
    </row>
    <row r="3898" spans="1:7" x14ac:dyDescent="0.2">
      <c r="A3898" s="3"/>
      <c r="B3898" s="6"/>
      <c r="C3898" s="3"/>
      <c r="D3898" s="6"/>
      <c r="E3898" s="6"/>
      <c r="F3898" s="6"/>
      <c r="G3898" s="7"/>
    </row>
    <row r="3899" spans="1:7" x14ac:dyDescent="0.2">
      <c r="A3899" s="3"/>
      <c r="B3899" s="6"/>
      <c r="C3899" s="3"/>
      <c r="D3899" s="6"/>
      <c r="E3899" s="6"/>
      <c r="F3899" s="6"/>
      <c r="G3899" s="7"/>
    </row>
    <row r="3900" spans="1:7" x14ac:dyDescent="0.2">
      <c r="A3900" s="3"/>
      <c r="B3900" s="6"/>
      <c r="C3900" s="3"/>
      <c r="D3900" s="6"/>
      <c r="E3900" s="6"/>
      <c r="F3900" s="6"/>
      <c r="G3900" s="7"/>
    </row>
    <row r="3901" spans="1:7" x14ac:dyDescent="0.2">
      <c r="A3901" s="3"/>
      <c r="B3901" s="6"/>
      <c r="C3901" s="3"/>
      <c r="D3901" s="6"/>
      <c r="E3901" s="6"/>
      <c r="F3901" s="6"/>
      <c r="G3901" s="7"/>
    </row>
    <row r="3902" spans="1:7" x14ac:dyDescent="0.2">
      <c r="A3902" s="3"/>
      <c r="B3902" s="6"/>
      <c r="C3902" s="3"/>
      <c r="D3902" s="6"/>
      <c r="E3902" s="6"/>
      <c r="F3902" s="6"/>
      <c r="G3902" s="7"/>
    </row>
    <row r="3903" spans="1:7" x14ac:dyDescent="0.2">
      <c r="A3903" s="3"/>
      <c r="B3903" s="6"/>
      <c r="C3903" s="3"/>
      <c r="D3903" s="6"/>
      <c r="E3903" s="6"/>
      <c r="F3903" s="6"/>
      <c r="G3903" s="7"/>
    </row>
    <row r="3904" spans="1:7" x14ac:dyDescent="0.2">
      <c r="A3904" s="3"/>
      <c r="B3904" s="6"/>
      <c r="C3904" s="3"/>
      <c r="D3904" s="6"/>
      <c r="E3904" s="6"/>
      <c r="F3904" s="6"/>
      <c r="G3904" s="7"/>
    </row>
    <row r="3905" spans="1:7" x14ac:dyDescent="0.2">
      <c r="A3905" s="3"/>
      <c r="B3905" s="6"/>
      <c r="C3905" s="3"/>
      <c r="D3905" s="6"/>
      <c r="E3905" s="6"/>
      <c r="F3905" s="6"/>
      <c r="G3905" s="7"/>
    </row>
    <row r="3906" spans="1:7" x14ac:dyDescent="0.2">
      <c r="A3906" s="3"/>
      <c r="B3906" s="6"/>
      <c r="C3906" s="3"/>
      <c r="D3906" s="6"/>
      <c r="E3906" s="6"/>
      <c r="F3906" s="6"/>
      <c r="G3906" s="7"/>
    </row>
    <row r="3907" spans="1:7" x14ac:dyDescent="0.2">
      <c r="A3907" s="3"/>
      <c r="B3907" s="6"/>
      <c r="C3907" s="3"/>
      <c r="D3907" s="6"/>
      <c r="E3907" s="6"/>
      <c r="F3907" s="6"/>
      <c r="G3907" s="7"/>
    </row>
    <row r="3908" spans="1:7" x14ac:dyDescent="0.2">
      <c r="A3908" s="3"/>
      <c r="B3908" s="6"/>
      <c r="C3908" s="3"/>
      <c r="D3908" s="6"/>
      <c r="E3908" s="6"/>
      <c r="F3908" s="6"/>
      <c r="G3908" s="7"/>
    </row>
    <row r="3909" spans="1:7" x14ac:dyDescent="0.2">
      <c r="A3909" s="3"/>
      <c r="B3909" s="6"/>
      <c r="C3909" s="3"/>
      <c r="D3909" s="6"/>
      <c r="E3909" s="6"/>
      <c r="F3909" s="6"/>
      <c r="G3909" s="7"/>
    </row>
    <row r="3910" spans="1:7" x14ac:dyDescent="0.2">
      <c r="A3910" s="3"/>
      <c r="B3910" s="6"/>
      <c r="C3910" s="3"/>
      <c r="D3910" s="6"/>
      <c r="E3910" s="6"/>
      <c r="F3910" s="6"/>
      <c r="G3910" s="7"/>
    </row>
    <row r="3911" spans="1:7" x14ac:dyDescent="0.2">
      <c r="A3911" s="3"/>
      <c r="B3911" s="6"/>
      <c r="C3911" s="3"/>
      <c r="D3911" s="6"/>
      <c r="E3911" s="6"/>
      <c r="F3911" s="6"/>
      <c r="G3911" s="7"/>
    </row>
    <row r="3912" spans="1:7" x14ac:dyDescent="0.2">
      <c r="A3912" s="3"/>
      <c r="B3912" s="6"/>
      <c r="C3912" s="3"/>
      <c r="D3912" s="6"/>
      <c r="E3912" s="6"/>
      <c r="F3912" s="6"/>
      <c r="G3912" s="7"/>
    </row>
    <row r="3913" spans="1:7" x14ac:dyDescent="0.2">
      <c r="A3913" s="3"/>
      <c r="B3913" s="6"/>
      <c r="C3913" s="3"/>
      <c r="D3913" s="6"/>
      <c r="E3913" s="6"/>
      <c r="F3913" s="6"/>
      <c r="G3913" s="7"/>
    </row>
    <row r="3914" spans="1:7" x14ac:dyDescent="0.2">
      <c r="A3914" s="3"/>
      <c r="B3914" s="6"/>
      <c r="C3914" s="3"/>
      <c r="D3914" s="6"/>
      <c r="E3914" s="6"/>
      <c r="F3914" s="6"/>
      <c r="G3914" s="7"/>
    </row>
    <row r="3915" spans="1:7" x14ac:dyDescent="0.2">
      <c r="A3915" s="3"/>
      <c r="B3915" s="6"/>
      <c r="C3915" s="3"/>
      <c r="D3915" s="6"/>
      <c r="E3915" s="6"/>
      <c r="F3915" s="6"/>
      <c r="G3915" s="7"/>
    </row>
    <row r="3916" spans="1:7" x14ac:dyDescent="0.2">
      <c r="A3916" s="3"/>
      <c r="B3916" s="6"/>
      <c r="C3916" s="3"/>
      <c r="D3916" s="6"/>
      <c r="E3916" s="6"/>
      <c r="F3916" s="6"/>
      <c r="G3916" s="7"/>
    </row>
    <row r="3917" spans="1:7" x14ac:dyDescent="0.2">
      <c r="A3917" s="3"/>
      <c r="B3917" s="6"/>
      <c r="C3917" s="3"/>
      <c r="D3917" s="6"/>
      <c r="E3917" s="6"/>
      <c r="F3917" s="6"/>
      <c r="G3917" s="7"/>
    </row>
    <row r="3918" spans="1:7" x14ac:dyDescent="0.2">
      <c r="A3918" s="3"/>
      <c r="B3918" s="6"/>
      <c r="C3918" s="3"/>
      <c r="D3918" s="6"/>
      <c r="E3918" s="6"/>
      <c r="F3918" s="6"/>
      <c r="G3918" s="7"/>
    </row>
    <row r="3919" spans="1:7" x14ac:dyDescent="0.2">
      <c r="A3919" s="3"/>
      <c r="B3919" s="6"/>
      <c r="C3919" s="3"/>
      <c r="D3919" s="6"/>
      <c r="E3919" s="6"/>
      <c r="F3919" s="6"/>
      <c r="G3919" s="7"/>
    </row>
    <row r="3920" spans="1:7" x14ac:dyDescent="0.2">
      <c r="A3920" s="3"/>
      <c r="B3920" s="6"/>
      <c r="C3920" s="3"/>
      <c r="D3920" s="6"/>
      <c r="E3920" s="6"/>
      <c r="F3920" s="6"/>
      <c r="G3920" s="7"/>
    </row>
    <row r="3921" spans="1:7" x14ac:dyDescent="0.2">
      <c r="A3921" s="3"/>
      <c r="B3921" s="6"/>
      <c r="C3921" s="3"/>
      <c r="D3921" s="6"/>
      <c r="E3921" s="6"/>
      <c r="F3921" s="6"/>
      <c r="G3921" s="7"/>
    </row>
    <row r="3922" spans="1:7" x14ac:dyDescent="0.2">
      <c r="A3922" s="3"/>
      <c r="B3922" s="6"/>
      <c r="C3922" s="3"/>
      <c r="D3922" s="6"/>
      <c r="E3922" s="6"/>
      <c r="F3922" s="6"/>
      <c r="G3922" s="7"/>
    </row>
    <row r="3923" spans="1:7" x14ac:dyDescent="0.2">
      <c r="A3923" s="3"/>
      <c r="B3923" s="6"/>
      <c r="C3923" s="3"/>
      <c r="D3923" s="6"/>
      <c r="E3923" s="6"/>
      <c r="F3923" s="6"/>
      <c r="G3923" s="7"/>
    </row>
    <row r="3924" spans="1:7" x14ac:dyDescent="0.2">
      <c r="A3924" s="3"/>
      <c r="B3924" s="6"/>
      <c r="C3924" s="3"/>
      <c r="D3924" s="6"/>
      <c r="E3924" s="6"/>
      <c r="F3924" s="6"/>
      <c r="G3924" s="7"/>
    </row>
    <row r="3925" spans="1:7" x14ac:dyDescent="0.2">
      <c r="A3925" s="3"/>
      <c r="B3925" s="6"/>
      <c r="C3925" s="3"/>
      <c r="D3925" s="6"/>
      <c r="E3925" s="6"/>
      <c r="F3925" s="6"/>
      <c r="G3925" s="7"/>
    </row>
    <row r="3926" spans="1:7" x14ac:dyDescent="0.2">
      <c r="A3926" s="3"/>
      <c r="B3926" s="6"/>
      <c r="C3926" s="3"/>
      <c r="D3926" s="6"/>
      <c r="E3926" s="6"/>
      <c r="F3926" s="6"/>
      <c r="G3926" s="7"/>
    </row>
    <row r="3927" spans="1:7" x14ac:dyDescent="0.2">
      <c r="A3927" s="3"/>
      <c r="B3927" s="6"/>
      <c r="C3927" s="3"/>
      <c r="D3927" s="6"/>
      <c r="E3927" s="6"/>
      <c r="F3927" s="6"/>
      <c r="G3927" s="7"/>
    </row>
    <row r="3928" spans="1:7" x14ac:dyDescent="0.2">
      <c r="A3928" s="3"/>
      <c r="B3928" s="6"/>
      <c r="C3928" s="3"/>
      <c r="D3928" s="6"/>
      <c r="E3928" s="6"/>
      <c r="F3928" s="6"/>
      <c r="G3928" s="7"/>
    </row>
    <row r="3929" spans="1:7" x14ac:dyDescent="0.2">
      <c r="A3929" s="3"/>
      <c r="B3929" s="6"/>
      <c r="C3929" s="3"/>
      <c r="D3929" s="6"/>
      <c r="E3929" s="6"/>
      <c r="F3929" s="6"/>
      <c r="G3929" s="7"/>
    </row>
    <row r="3930" spans="1:7" x14ac:dyDescent="0.2">
      <c r="A3930" s="3"/>
      <c r="B3930" s="6"/>
      <c r="C3930" s="3"/>
      <c r="D3930" s="6"/>
      <c r="E3930" s="6"/>
      <c r="F3930" s="6"/>
      <c r="G3930" s="7"/>
    </row>
    <row r="3931" spans="1:7" x14ac:dyDescent="0.2">
      <c r="A3931" s="3"/>
      <c r="B3931" s="6"/>
      <c r="C3931" s="3"/>
      <c r="D3931" s="6"/>
      <c r="E3931" s="6"/>
      <c r="F3931" s="6"/>
      <c r="G3931" s="7"/>
    </row>
    <row r="3932" spans="1:7" x14ac:dyDescent="0.2">
      <c r="A3932" s="3"/>
      <c r="B3932" s="6"/>
      <c r="C3932" s="3"/>
      <c r="D3932" s="6"/>
      <c r="E3932" s="6"/>
      <c r="F3932" s="6"/>
      <c r="G3932" s="7"/>
    </row>
    <row r="3933" spans="1:7" x14ac:dyDescent="0.2">
      <c r="A3933" s="3"/>
      <c r="B3933" s="6"/>
      <c r="C3933" s="3"/>
      <c r="D3933" s="6"/>
      <c r="E3933" s="6"/>
      <c r="F3933" s="6"/>
      <c r="G3933" s="7"/>
    </row>
    <row r="3934" spans="1:7" x14ac:dyDescent="0.2">
      <c r="A3934" s="3"/>
      <c r="B3934" s="6"/>
      <c r="C3934" s="3"/>
      <c r="D3934" s="6"/>
      <c r="E3934" s="6"/>
      <c r="F3934" s="6"/>
      <c r="G3934" s="7"/>
    </row>
    <row r="3935" spans="1:7" x14ac:dyDescent="0.2">
      <c r="A3935" s="3"/>
      <c r="B3935" s="6"/>
      <c r="C3935" s="3"/>
      <c r="D3935" s="6"/>
      <c r="E3935" s="6"/>
      <c r="F3935" s="6"/>
      <c r="G3935" s="7"/>
    </row>
    <row r="3936" spans="1:7" x14ac:dyDescent="0.2">
      <c r="A3936" s="3"/>
      <c r="B3936" s="6"/>
      <c r="C3936" s="3"/>
      <c r="D3936" s="6"/>
      <c r="E3936" s="6"/>
      <c r="F3936" s="6"/>
      <c r="G3936" s="7"/>
    </row>
    <row r="3937" spans="1:7" x14ac:dyDescent="0.2">
      <c r="A3937" s="3"/>
      <c r="B3937" s="6"/>
      <c r="C3937" s="3"/>
      <c r="D3937" s="6"/>
      <c r="E3937" s="6"/>
      <c r="F3937" s="6"/>
      <c r="G3937" s="7"/>
    </row>
    <row r="3938" spans="1:7" x14ac:dyDescent="0.2">
      <c r="A3938" s="3"/>
      <c r="B3938" s="6"/>
      <c r="C3938" s="3"/>
      <c r="D3938" s="6"/>
      <c r="E3938" s="6"/>
      <c r="F3938" s="6"/>
      <c r="G3938" s="7"/>
    </row>
    <row r="3939" spans="1:7" x14ac:dyDescent="0.2">
      <c r="A3939" s="3"/>
      <c r="B3939" s="6"/>
      <c r="C3939" s="3"/>
      <c r="D3939" s="6"/>
      <c r="E3939" s="6"/>
      <c r="F3939" s="6"/>
      <c r="G3939" s="7"/>
    </row>
    <row r="3940" spans="1:7" x14ac:dyDescent="0.2">
      <c r="A3940" s="3"/>
      <c r="B3940" s="6"/>
      <c r="C3940" s="3"/>
      <c r="D3940" s="6"/>
      <c r="E3940" s="6"/>
      <c r="F3940" s="6"/>
      <c r="G3940" s="7"/>
    </row>
    <row r="3941" spans="1:7" x14ac:dyDescent="0.2">
      <c r="A3941" s="3"/>
      <c r="B3941" s="6"/>
      <c r="C3941" s="3"/>
      <c r="D3941" s="6"/>
      <c r="E3941" s="6"/>
      <c r="F3941" s="6"/>
      <c r="G3941" s="7"/>
    </row>
    <row r="3942" spans="1:7" x14ac:dyDescent="0.2">
      <c r="A3942" s="3"/>
      <c r="B3942" s="6"/>
      <c r="C3942" s="3"/>
      <c r="D3942" s="6"/>
      <c r="E3942" s="6"/>
      <c r="F3942" s="6"/>
      <c r="G3942" s="7"/>
    </row>
    <row r="3943" spans="1:7" x14ac:dyDescent="0.2">
      <c r="A3943" s="3"/>
      <c r="B3943" s="6"/>
      <c r="C3943" s="3"/>
      <c r="D3943" s="6"/>
      <c r="E3943" s="6"/>
      <c r="F3943" s="6"/>
      <c r="G3943" s="7"/>
    </row>
    <row r="3944" spans="1:7" x14ac:dyDescent="0.2">
      <c r="A3944" s="3"/>
      <c r="B3944" s="6"/>
      <c r="C3944" s="3"/>
      <c r="D3944" s="6"/>
      <c r="E3944" s="6"/>
      <c r="F3944" s="6"/>
      <c r="G3944" s="7"/>
    </row>
    <row r="3945" spans="1:7" x14ac:dyDescent="0.2">
      <c r="A3945" s="3"/>
      <c r="B3945" s="6"/>
      <c r="C3945" s="3"/>
      <c r="D3945" s="6"/>
      <c r="E3945" s="6"/>
      <c r="F3945" s="6"/>
      <c r="G3945" s="7"/>
    </row>
    <row r="3946" spans="1:7" x14ac:dyDescent="0.2">
      <c r="A3946" s="3"/>
      <c r="B3946" s="6"/>
      <c r="C3946" s="3"/>
      <c r="D3946" s="6"/>
      <c r="E3946" s="6"/>
      <c r="F3946" s="6"/>
      <c r="G3946" s="7"/>
    </row>
    <row r="3947" spans="1:7" x14ac:dyDescent="0.2">
      <c r="A3947" s="3"/>
      <c r="B3947" s="6"/>
      <c r="C3947" s="3"/>
      <c r="D3947" s="6"/>
      <c r="E3947" s="6"/>
      <c r="F3947" s="6"/>
      <c r="G3947" s="7"/>
    </row>
    <row r="3948" spans="1:7" x14ac:dyDescent="0.2">
      <c r="A3948" s="3"/>
      <c r="B3948" s="6"/>
      <c r="C3948" s="3"/>
      <c r="D3948" s="6"/>
      <c r="E3948" s="6"/>
      <c r="F3948" s="6"/>
      <c r="G3948" s="7"/>
    </row>
    <row r="3949" spans="1:7" x14ac:dyDescent="0.2">
      <c r="A3949" s="3"/>
      <c r="B3949" s="6"/>
      <c r="C3949" s="3"/>
      <c r="D3949" s="6"/>
      <c r="E3949" s="6"/>
      <c r="F3949" s="6"/>
      <c r="G3949" s="7"/>
    </row>
    <row r="3950" spans="1:7" x14ac:dyDescent="0.2">
      <c r="A3950" s="3"/>
      <c r="B3950" s="6"/>
      <c r="C3950" s="3"/>
      <c r="D3950" s="6"/>
      <c r="E3950" s="6"/>
      <c r="F3950" s="6"/>
      <c r="G3950" s="7"/>
    </row>
    <row r="3951" spans="1:7" x14ac:dyDescent="0.2">
      <c r="A3951" s="3"/>
      <c r="B3951" s="6"/>
      <c r="C3951" s="3"/>
      <c r="D3951" s="6"/>
      <c r="E3951" s="6"/>
      <c r="F3951" s="6"/>
      <c r="G3951" s="7"/>
    </row>
    <row r="3952" spans="1:7" x14ac:dyDescent="0.2">
      <c r="A3952" s="3"/>
      <c r="B3952" s="6"/>
      <c r="C3952" s="3"/>
      <c r="D3952" s="6"/>
      <c r="E3952" s="6"/>
      <c r="F3952" s="6"/>
      <c r="G3952" s="7"/>
    </row>
    <row r="3953" spans="1:7" x14ac:dyDescent="0.2">
      <c r="A3953" s="3"/>
      <c r="B3953" s="6"/>
      <c r="C3953" s="3"/>
      <c r="D3953" s="6"/>
      <c r="E3953" s="6"/>
      <c r="F3953" s="6"/>
      <c r="G3953" s="7"/>
    </row>
    <row r="3954" spans="1:7" x14ac:dyDescent="0.2">
      <c r="A3954" s="3"/>
      <c r="B3954" s="6"/>
      <c r="C3954" s="3"/>
      <c r="D3954" s="6"/>
      <c r="E3954" s="6"/>
      <c r="F3954" s="6"/>
      <c r="G3954" s="7"/>
    </row>
    <row r="3955" spans="1:7" x14ac:dyDescent="0.2">
      <c r="A3955" s="3"/>
      <c r="B3955" s="6"/>
      <c r="C3955" s="3"/>
      <c r="D3955" s="6"/>
      <c r="E3955" s="6"/>
      <c r="F3955" s="6"/>
      <c r="G3955" s="7"/>
    </row>
    <row r="3956" spans="1:7" x14ac:dyDescent="0.2">
      <c r="A3956" s="3"/>
      <c r="B3956" s="6"/>
      <c r="C3956" s="3"/>
      <c r="D3956" s="6"/>
      <c r="E3956" s="6"/>
      <c r="F3956" s="6"/>
      <c r="G3956" s="7"/>
    </row>
    <row r="3957" spans="1:7" x14ac:dyDescent="0.2">
      <c r="A3957" s="3"/>
      <c r="B3957" s="6"/>
      <c r="C3957" s="3"/>
      <c r="D3957" s="6"/>
      <c r="E3957" s="6"/>
      <c r="F3957" s="6"/>
      <c r="G3957" s="7"/>
    </row>
    <row r="3958" spans="1:7" x14ac:dyDescent="0.2">
      <c r="A3958" s="3"/>
      <c r="B3958" s="6"/>
      <c r="C3958" s="3"/>
      <c r="D3958" s="6"/>
      <c r="E3958" s="6"/>
      <c r="F3958" s="6"/>
      <c r="G3958" s="7"/>
    </row>
    <row r="3959" spans="1:7" x14ac:dyDescent="0.2">
      <c r="A3959" s="3"/>
      <c r="B3959" s="6"/>
      <c r="C3959" s="3"/>
      <c r="D3959" s="6"/>
      <c r="E3959" s="6"/>
      <c r="F3959" s="6"/>
      <c r="G3959" s="7"/>
    </row>
    <row r="3960" spans="1:7" x14ac:dyDescent="0.2">
      <c r="A3960" s="3"/>
      <c r="B3960" s="6"/>
      <c r="C3960" s="3"/>
      <c r="D3960" s="6"/>
      <c r="E3960" s="6"/>
      <c r="F3960" s="6"/>
      <c r="G3960" s="7"/>
    </row>
    <row r="3961" spans="1:7" x14ac:dyDescent="0.2">
      <c r="A3961" s="3"/>
      <c r="B3961" s="6"/>
      <c r="C3961" s="3"/>
      <c r="D3961" s="6"/>
      <c r="E3961" s="6"/>
      <c r="F3961" s="6"/>
      <c r="G3961" s="7"/>
    </row>
    <row r="3962" spans="1:7" x14ac:dyDescent="0.2">
      <c r="A3962" s="3"/>
      <c r="B3962" s="6"/>
      <c r="C3962" s="3"/>
      <c r="D3962" s="6"/>
      <c r="E3962" s="6"/>
      <c r="F3962" s="6"/>
      <c r="G3962" s="7"/>
    </row>
    <row r="3963" spans="1:7" x14ac:dyDescent="0.2">
      <c r="A3963" s="3"/>
      <c r="B3963" s="6"/>
      <c r="C3963" s="3"/>
      <c r="D3963" s="6"/>
      <c r="E3963" s="6"/>
      <c r="F3963" s="6"/>
      <c r="G3963" s="7"/>
    </row>
    <row r="3964" spans="1:7" x14ac:dyDescent="0.2">
      <c r="A3964" s="3"/>
      <c r="B3964" s="6"/>
      <c r="C3964" s="3"/>
      <c r="D3964" s="6"/>
      <c r="E3964" s="6"/>
      <c r="F3964" s="6"/>
      <c r="G3964" s="7"/>
    </row>
    <row r="3965" spans="1:7" x14ac:dyDescent="0.2">
      <c r="A3965" s="3"/>
      <c r="B3965" s="6"/>
      <c r="C3965" s="3"/>
      <c r="D3965" s="6"/>
      <c r="E3965" s="6"/>
      <c r="F3965" s="6"/>
      <c r="G3965" s="7"/>
    </row>
    <row r="3966" spans="1:7" x14ac:dyDescent="0.2">
      <c r="A3966" s="3"/>
      <c r="B3966" s="6"/>
      <c r="C3966" s="3"/>
      <c r="D3966" s="6"/>
      <c r="E3966" s="6"/>
      <c r="F3966" s="6"/>
      <c r="G3966" s="7"/>
    </row>
    <row r="3967" spans="1:7" x14ac:dyDescent="0.2">
      <c r="A3967" s="3"/>
      <c r="B3967" s="6"/>
      <c r="C3967" s="3"/>
      <c r="D3967" s="6"/>
      <c r="E3967" s="6"/>
      <c r="F3967" s="6"/>
      <c r="G3967" s="7"/>
    </row>
    <row r="3968" spans="1:7" x14ac:dyDescent="0.2">
      <c r="A3968" s="3"/>
      <c r="B3968" s="6"/>
      <c r="C3968" s="3"/>
      <c r="D3968" s="6"/>
      <c r="E3968" s="6"/>
      <c r="F3968" s="6"/>
      <c r="G3968" s="7"/>
    </row>
    <row r="3969" spans="1:7" x14ac:dyDescent="0.2">
      <c r="A3969" s="3"/>
      <c r="B3969" s="6"/>
      <c r="C3969" s="3"/>
      <c r="D3969" s="6"/>
      <c r="E3969" s="6"/>
      <c r="F3969" s="6"/>
      <c r="G3969" s="7"/>
    </row>
    <row r="3970" spans="1:7" x14ac:dyDescent="0.2">
      <c r="A3970" s="3"/>
      <c r="B3970" s="6"/>
      <c r="C3970" s="3"/>
      <c r="D3970" s="6"/>
      <c r="E3970" s="6"/>
      <c r="F3970" s="6"/>
      <c r="G3970" s="7"/>
    </row>
    <row r="3971" spans="1:7" x14ac:dyDescent="0.2">
      <c r="A3971" s="3"/>
      <c r="B3971" s="6"/>
      <c r="C3971" s="3"/>
      <c r="D3971" s="6"/>
      <c r="E3971" s="6"/>
      <c r="F3971" s="6"/>
      <c r="G3971" s="7"/>
    </row>
    <row r="3972" spans="1:7" x14ac:dyDescent="0.2">
      <c r="A3972" s="3"/>
      <c r="B3972" s="6"/>
      <c r="C3972" s="3"/>
      <c r="D3972" s="6"/>
      <c r="E3972" s="6"/>
      <c r="F3972" s="6"/>
      <c r="G3972" s="7"/>
    </row>
    <row r="3973" spans="1:7" x14ac:dyDescent="0.2">
      <c r="A3973" s="3"/>
      <c r="B3973" s="6"/>
      <c r="C3973" s="3"/>
      <c r="D3973" s="6"/>
      <c r="E3973" s="6"/>
      <c r="F3973" s="6"/>
      <c r="G3973" s="7"/>
    </row>
    <row r="3974" spans="1:7" x14ac:dyDescent="0.2">
      <c r="A3974" s="3"/>
      <c r="B3974" s="6"/>
      <c r="C3974" s="3"/>
      <c r="D3974" s="6"/>
      <c r="E3974" s="6"/>
      <c r="F3974" s="6"/>
      <c r="G3974" s="7"/>
    </row>
    <row r="3975" spans="1:7" x14ac:dyDescent="0.2">
      <c r="A3975" s="3"/>
      <c r="B3975" s="6"/>
      <c r="C3975" s="3"/>
      <c r="D3975" s="6"/>
      <c r="E3975" s="6"/>
      <c r="F3975" s="6"/>
      <c r="G3975" s="7"/>
    </row>
    <row r="3976" spans="1:7" x14ac:dyDescent="0.2">
      <c r="A3976" s="3"/>
      <c r="B3976" s="6"/>
      <c r="C3976" s="3"/>
      <c r="D3976" s="6"/>
      <c r="E3976" s="6"/>
      <c r="F3976" s="6"/>
      <c r="G3976" s="7"/>
    </row>
    <row r="3977" spans="1:7" x14ac:dyDescent="0.2">
      <c r="A3977" s="3"/>
      <c r="B3977" s="6"/>
      <c r="C3977" s="3"/>
      <c r="D3977" s="6"/>
      <c r="E3977" s="6"/>
      <c r="F3977" s="6"/>
      <c r="G3977" s="7"/>
    </row>
    <row r="3978" spans="1:7" x14ac:dyDescent="0.2">
      <c r="A3978" s="3"/>
      <c r="B3978" s="6"/>
      <c r="C3978" s="3"/>
      <c r="D3978" s="6"/>
      <c r="E3978" s="6"/>
      <c r="F3978" s="6"/>
      <c r="G3978" s="7"/>
    </row>
    <row r="3979" spans="1:7" x14ac:dyDescent="0.2">
      <c r="A3979" s="3"/>
      <c r="B3979" s="6"/>
      <c r="C3979" s="3"/>
      <c r="D3979" s="6"/>
      <c r="E3979" s="6"/>
      <c r="F3979" s="6"/>
      <c r="G3979" s="7"/>
    </row>
    <row r="3980" spans="1:7" x14ac:dyDescent="0.2">
      <c r="A3980" s="3"/>
      <c r="B3980" s="6"/>
      <c r="C3980" s="3"/>
      <c r="D3980" s="6"/>
      <c r="E3980" s="6"/>
      <c r="F3980" s="6"/>
      <c r="G3980" s="7"/>
    </row>
    <row r="3981" spans="1:7" x14ac:dyDescent="0.2">
      <c r="A3981" s="3"/>
      <c r="B3981" s="6"/>
      <c r="C3981" s="3"/>
      <c r="D3981" s="6"/>
      <c r="E3981" s="6"/>
      <c r="F3981" s="6"/>
      <c r="G3981" s="7"/>
    </row>
    <row r="3982" spans="1:7" x14ac:dyDescent="0.2">
      <c r="A3982" s="3"/>
      <c r="B3982" s="6"/>
      <c r="C3982" s="3"/>
      <c r="D3982" s="6"/>
      <c r="E3982" s="6"/>
      <c r="F3982" s="6"/>
      <c r="G3982" s="7"/>
    </row>
    <row r="3983" spans="1:7" x14ac:dyDescent="0.2">
      <c r="A3983" s="3"/>
      <c r="B3983" s="6"/>
      <c r="C3983" s="3"/>
      <c r="D3983" s="6"/>
      <c r="E3983" s="6"/>
      <c r="F3983" s="6"/>
      <c r="G3983" s="7"/>
    </row>
    <row r="3984" spans="1:7" x14ac:dyDescent="0.2">
      <c r="A3984" s="3"/>
      <c r="B3984" s="6"/>
      <c r="C3984" s="3"/>
      <c r="D3984" s="6"/>
      <c r="E3984" s="6"/>
      <c r="F3984" s="6"/>
      <c r="G3984" s="7"/>
    </row>
    <row r="3985" spans="1:7" x14ac:dyDescent="0.2">
      <c r="A3985" s="3"/>
      <c r="B3985" s="6"/>
      <c r="C3985" s="3"/>
      <c r="D3985" s="6"/>
      <c r="E3985" s="6"/>
      <c r="F3985" s="6"/>
      <c r="G3985" s="7"/>
    </row>
    <row r="3986" spans="1:7" x14ac:dyDescent="0.2">
      <c r="A3986" s="3"/>
      <c r="B3986" s="6"/>
      <c r="C3986" s="3"/>
      <c r="D3986" s="6"/>
      <c r="E3986" s="6"/>
      <c r="F3986" s="6"/>
      <c r="G3986" s="7"/>
    </row>
    <row r="3987" spans="1:7" x14ac:dyDescent="0.2">
      <c r="A3987" s="3"/>
      <c r="B3987" s="6"/>
      <c r="C3987" s="3"/>
      <c r="D3987" s="6"/>
      <c r="E3987" s="6"/>
      <c r="F3987" s="6"/>
      <c r="G3987" s="7"/>
    </row>
    <row r="3988" spans="1:7" x14ac:dyDescent="0.2">
      <c r="A3988" s="3"/>
      <c r="B3988" s="6"/>
      <c r="C3988" s="3"/>
      <c r="D3988" s="6"/>
      <c r="E3988" s="6"/>
      <c r="F3988" s="6"/>
      <c r="G3988" s="7"/>
    </row>
    <row r="3989" spans="1:7" x14ac:dyDescent="0.2">
      <c r="A3989" s="3"/>
      <c r="B3989" s="6"/>
      <c r="C3989" s="3"/>
      <c r="D3989" s="6"/>
      <c r="E3989" s="6"/>
      <c r="F3989" s="6"/>
      <c r="G3989" s="7"/>
    </row>
    <row r="3990" spans="1:7" x14ac:dyDescent="0.2">
      <c r="A3990" s="3"/>
      <c r="B3990" s="6"/>
      <c r="C3990" s="3"/>
      <c r="D3990" s="6"/>
      <c r="E3990" s="6"/>
      <c r="F3990" s="6"/>
      <c r="G3990" s="7"/>
    </row>
    <row r="3991" spans="1:7" x14ac:dyDescent="0.2">
      <c r="A3991" s="3"/>
      <c r="B3991" s="6"/>
      <c r="C3991" s="3"/>
      <c r="D3991" s="6"/>
      <c r="E3991" s="6"/>
      <c r="F3991" s="6"/>
      <c r="G3991" s="7"/>
    </row>
    <row r="3992" spans="1:7" x14ac:dyDescent="0.2">
      <c r="A3992" s="3"/>
      <c r="B3992" s="6"/>
      <c r="C3992" s="3"/>
      <c r="D3992" s="6"/>
      <c r="E3992" s="6"/>
      <c r="F3992" s="6"/>
      <c r="G3992" s="7"/>
    </row>
    <row r="3993" spans="1:7" x14ac:dyDescent="0.2">
      <c r="A3993" s="3"/>
      <c r="B3993" s="6"/>
      <c r="C3993" s="3"/>
      <c r="D3993" s="6"/>
      <c r="E3993" s="6"/>
      <c r="F3993" s="6"/>
      <c r="G3993" s="7"/>
    </row>
    <row r="3994" spans="1:7" x14ac:dyDescent="0.2">
      <c r="A3994" s="3"/>
      <c r="B3994" s="6"/>
      <c r="C3994" s="3"/>
      <c r="D3994" s="6"/>
      <c r="E3994" s="6"/>
      <c r="F3994" s="6"/>
      <c r="G3994" s="7"/>
    </row>
    <row r="3995" spans="1:7" x14ac:dyDescent="0.2">
      <c r="A3995" s="3"/>
      <c r="B3995" s="6"/>
      <c r="C3995" s="3"/>
      <c r="D3995" s="6"/>
      <c r="E3995" s="6"/>
      <c r="F3995" s="6"/>
      <c r="G3995" s="7"/>
    </row>
    <row r="3996" spans="1:7" x14ac:dyDescent="0.2">
      <c r="A3996" s="3"/>
      <c r="B3996" s="6"/>
      <c r="C3996" s="3"/>
      <c r="D3996" s="6"/>
      <c r="E3996" s="6"/>
      <c r="F3996" s="6"/>
      <c r="G3996" s="7"/>
    </row>
    <row r="3997" spans="1:7" x14ac:dyDescent="0.2">
      <c r="A3997" s="3"/>
      <c r="B3997" s="6"/>
      <c r="C3997" s="3"/>
      <c r="D3997" s="6"/>
      <c r="E3997" s="6"/>
      <c r="F3997" s="6"/>
      <c r="G3997" s="7"/>
    </row>
    <row r="3998" spans="1:7" x14ac:dyDescent="0.2">
      <c r="A3998" s="3"/>
      <c r="B3998" s="6"/>
      <c r="C3998" s="3"/>
      <c r="D3998" s="6"/>
      <c r="E3998" s="6"/>
      <c r="F3998" s="6"/>
      <c r="G3998" s="7"/>
    </row>
    <row r="3999" spans="1:7" x14ac:dyDescent="0.2">
      <c r="A3999" s="3"/>
      <c r="B3999" s="6"/>
      <c r="C3999" s="3"/>
      <c r="D3999" s="6"/>
      <c r="E3999" s="6"/>
      <c r="F3999" s="6"/>
      <c r="G3999" s="7"/>
    </row>
    <row r="4000" spans="1:7" x14ac:dyDescent="0.2">
      <c r="A4000" s="3"/>
      <c r="B4000" s="6"/>
      <c r="C4000" s="3"/>
      <c r="D4000" s="6"/>
      <c r="E4000" s="6"/>
      <c r="F4000" s="6"/>
      <c r="G4000" s="7"/>
    </row>
    <row r="4001" spans="1:7" x14ac:dyDescent="0.2">
      <c r="A4001" s="3"/>
      <c r="B4001" s="6"/>
      <c r="C4001" s="3"/>
      <c r="D4001" s="6"/>
      <c r="E4001" s="6"/>
      <c r="F4001" s="6"/>
      <c r="G4001" s="7"/>
    </row>
    <row r="4002" spans="1:7" x14ac:dyDescent="0.2">
      <c r="A4002" s="3"/>
      <c r="B4002" s="6"/>
      <c r="C4002" s="3"/>
      <c r="D4002" s="6"/>
      <c r="E4002" s="6"/>
      <c r="F4002" s="6"/>
      <c r="G4002" s="7"/>
    </row>
    <row r="4003" spans="1:7" x14ac:dyDescent="0.2">
      <c r="A4003" s="3"/>
      <c r="B4003" s="6"/>
      <c r="C4003" s="3"/>
      <c r="D4003" s="6"/>
      <c r="E4003" s="6"/>
      <c r="F4003" s="6"/>
      <c r="G4003" s="7"/>
    </row>
    <row r="4004" spans="1:7" x14ac:dyDescent="0.2">
      <c r="A4004" s="3"/>
      <c r="B4004" s="6"/>
      <c r="C4004" s="3"/>
      <c r="D4004" s="6"/>
      <c r="E4004" s="6"/>
      <c r="F4004" s="6"/>
      <c r="G4004" s="7"/>
    </row>
    <row r="4005" spans="1:7" x14ac:dyDescent="0.2">
      <c r="A4005" s="3"/>
      <c r="B4005" s="6"/>
      <c r="C4005" s="3"/>
      <c r="D4005" s="6"/>
      <c r="E4005" s="6"/>
      <c r="F4005" s="6"/>
      <c r="G4005" s="7"/>
    </row>
    <row r="4006" spans="1:7" x14ac:dyDescent="0.2">
      <c r="A4006" s="3"/>
      <c r="B4006" s="6"/>
      <c r="C4006" s="3"/>
      <c r="D4006" s="6"/>
      <c r="E4006" s="6"/>
      <c r="F4006" s="6"/>
      <c r="G4006" s="7"/>
    </row>
    <row r="4007" spans="1:7" x14ac:dyDescent="0.2">
      <c r="A4007" s="3"/>
      <c r="B4007" s="6"/>
      <c r="C4007" s="3"/>
      <c r="D4007" s="6"/>
      <c r="E4007" s="6"/>
      <c r="F4007" s="6"/>
      <c r="G4007" s="7"/>
    </row>
    <row r="4008" spans="1:7" x14ac:dyDescent="0.2">
      <c r="A4008" s="3"/>
      <c r="B4008" s="6"/>
      <c r="C4008" s="3"/>
      <c r="D4008" s="6"/>
      <c r="E4008" s="6"/>
      <c r="F4008" s="6"/>
      <c r="G4008" s="7"/>
    </row>
    <row r="4009" spans="1:7" x14ac:dyDescent="0.2">
      <c r="A4009" s="3"/>
      <c r="B4009" s="6"/>
      <c r="C4009" s="3"/>
      <c r="D4009" s="6"/>
      <c r="E4009" s="6"/>
      <c r="F4009" s="6"/>
      <c r="G4009" s="7"/>
    </row>
    <row r="4010" spans="1:7" x14ac:dyDescent="0.2">
      <c r="A4010" s="3"/>
      <c r="B4010" s="6"/>
      <c r="C4010" s="3"/>
      <c r="D4010" s="6"/>
      <c r="E4010" s="6"/>
      <c r="F4010" s="6"/>
      <c r="G4010" s="7"/>
    </row>
    <row r="4011" spans="1:7" x14ac:dyDescent="0.2">
      <c r="A4011" s="3"/>
      <c r="B4011" s="6"/>
      <c r="C4011" s="3"/>
      <c r="D4011" s="6"/>
      <c r="E4011" s="6"/>
      <c r="F4011" s="6"/>
      <c r="G4011" s="7"/>
    </row>
    <row r="4012" spans="1:7" x14ac:dyDescent="0.2">
      <c r="A4012" s="3"/>
      <c r="B4012" s="6"/>
      <c r="C4012" s="3"/>
      <c r="D4012" s="6"/>
      <c r="E4012" s="6"/>
      <c r="F4012" s="6"/>
      <c r="G4012" s="7"/>
    </row>
    <row r="4013" spans="1:7" x14ac:dyDescent="0.2">
      <c r="A4013" s="3"/>
      <c r="B4013" s="6"/>
      <c r="C4013" s="3"/>
      <c r="D4013" s="6"/>
      <c r="E4013" s="6"/>
      <c r="F4013" s="6"/>
      <c r="G4013" s="7"/>
    </row>
    <row r="4014" spans="1:7" x14ac:dyDescent="0.2">
      <c r="A4014" s="3"/>
      <c r="B4014" s="6"/>
      <c r="C4014" s="3"/>
      <c r="D4014" s="6"/>
      <c r="E4014" s="6"/>
      <c r="F4014" s="6"/>
      <c r="G4014" s="7"/>
    </row>
    <row r="4015" spans="1:7" x14ac:dyDescent="0.2">
      <c r="A4015" s="3"/>
      <c r="B4015" s="6"/>
      <c r="C4015" s="3"/>
      <c r="D4015" s="6"/>
      <c r="E4015" s="6"/>
      <c r="F4015" s="6"/>
      <c r="G4015" s="7"/>
    </row>
    <row r="4016" spans="1:7" x14ac:dyDescent="0.2">
      <c r="A4016" s="3"/>
      <c r="B4016" s="6"/>
      <c r="C4016" s="3"/>
      <c r="D4016" s="6"/>
      <c r="E4016" s="6"/>
      <c r="F4016" s="6"/>
      <c r="G4016" s="7"/>
    </row>
    <row r="4017" spans="1:7" x14ac:dyDescent="0.2">
      <c r="A4017" s="3"/>
      <c r="B4017" s="6"/>
      <c r="C4017" s="3"/>
      <c r="D4017" s="6"/>
      <c r="E4017" s="6"/>
      <c r="F4017" s="6"/>
      <c r="G4017" s="7"/>
    </row>
    <row r="4018" spans="1:7" x14ac:dyDescent="0.2">
      <c r="A4018" s="3"/>
      <c r="B4018" s="6"/>
      <c r="C4018" s="3"/>
      <c r="D4018" s="6"/>
      <c r="E4018" s="6"/>
      <c r="F4018" s="6"/>
      <c r="G4018" s="7"/>
    </row>
    <row r="4019" spans="1:7" x14ac:dyDescent="0.2">
      <c r="A4019" s="3"/>
      <c r="B4019" s="6"/>
      <c r="C4019" s="3"/>
      <c r="D4019" s="6"/>
      <c r="E4019" s="6"/>
      <c r="F4019" s="6"/>
      <c r="G4019" s="7"/>
    </row>
    <row r="4020" spans="1:7" x14ac:dyDescent="0.2">
      <c r="A4020" s="3"/>
      <c r="B4020" s="6"/>
      <c r="C4020" s="3"/>
      <c r="D4020" s="6"/>
      <c r="E4020" s="6"/>
      <c r="F4020" s="6"/>
      <c r="G4020" s="7"/>
    </row>
    <row r="4021" spans="1:7" x14ac:dyDescent="0.2">
      <c r="A4021" s="3"/>
      <c r="B4021" s="6"/>
      <c r="C4021" s="3"/>
      <c r="D4021" s="6"/>
      <c r="E4021" s="6"/>
      <c r="F4021" s="6"/>
      <c r="G4021" s="7"/>
    </row>
    <row r="4022" spans="1:7" x14ac:dyDescent="0.2">
      <c r="A4022" s="3"/>
      <c r="B4022" s="6"/>
      <c r="C4022" s="3"/>
      <c r="D4022" s="6"/>
      <c r="E4022" s="6"/>
      <c r="F4022" s="6"/>
      <c r="G4022" s="7"/>
    </row>
    <row r="4023" spans="1:7" x14ac:dyDescent="0.2">
      <c r="A4023" s="3"/>
      <c r="B4023" s="6"/>
      <c r="C4023" s="3"/>
      <c r="D4023" s="6"/>
      <c r="E4023" s="6"/>
      <c r="F4023" s="6"/>
      <c r="G4023" s="7"/>
    </row>
    <row r="4024" spans="1:7" x14ac:dyDescent="0.2">
      <c r="A4024" s="3"/>
      <c r="B4024" s="6"/>
      <c r="C4024" s="3"/>
      <c r="D4024" s="6"/>
      <c r="E4024" s="6"/>
      <c r="F4024" s="6"/>
      <c r="G4024" s="7"/>
    </row>
    <row r="4025" spans="1:7" x14ac:dyDescent="0.2">
      <c r="A4025" s="3"/>
      <c r="B4025" s="6"/>
      <c r="C4025" s="3"/>
      <c r="D4025" s="6"/>
      <c r="E4025" s="6"/>
      <c r="F4025" s="6"/>
      <c r="G4025" s="7"/>
    </row>
    <row r="4026" spans="1:7" x14ac:dyDescent="0.2">
      <c r="A4026" s="3"/>
      <c r="B4026" s="6"/>
      <c r="C4026" s="3"/>
      <c r="D4026" s="6"/>
      <c r="E4026" s="6"/>
      <c r="F4026" s="6"/>
      <c r="G4026" s="7"/>
    </row>
    <row r="4027" spans="1:7" x14ac:dyDescent="0.2">
      <c r="A4027" s="3"/>
      <c r="B4027" s="6"/>
      <c r="C4027" s="3"/>
      <c r="D4027" s="6"/>
      <c r="E4027" s="6"/>
      <c r="F4027" s="6"/>
      <c r="G4027" s="7"/>
    </row>
    <row r="4028" spans="1:7" x14ac:dyDescent="0.2">
      <c r="A4028" s="3"/>
      <c r="B4028" s="6"/>
      <c r="C4028" s="3"/>
      <c r="D4028" s="6"/>
      <c r="E4028" s="6"/>
      <c r="F4028" s="6"/>
      <c r="G4028" s="7"/>
    </row>
    <row r="4029" spans="1:7" x14ac:dyDescent="0.2">
      <c r="A4029" s="3"/>
      <c r="B4029" s="6"/>
      <c r="C4029" s="3"/>
      <c r="D4029" s="6"/>
      <c r="E4029" s="6"/>
      <c r="F4029" s="6"/>
      <c r="G4029" s="7"/>
    </row>
    <row r="4030" spans="1:7" x14ac:dyDescent="0.2">
      <c r="A4030" s="3"/>
      <c r="B4030" s="6"/>
      <c r="C4030" s="3"/>
      <c r="D4030" s="6"/>
      <c r="E4030" s="6"/>
      <c r="F4030" s="6"/>
      <c r="G4030" s="7"/>
    </row>
    <row r="4031" spans="1:7" x14ac:dyDescent="0.2">
      <c r="A4031" s="3"/>
      <c r="B4031" s="6"/>
      <c r="C4031" s="3"/>
      <c r="D4031" s="6"/>
      <c r="E4031" s="6"/>
      <c r="F4031" s="6"/>
      <c r="G4031" s="7"/>
    </row>
    <row r="4032" spans="1:7" x14ac:dyDescent="0.2">
      <c r="A4032" s="3"/>
      <c r="B4032" s="6"/>
      <c r="C4032" s="3"/>
      <c r="D4032" s="6"/>
      <c r="E4032" s="6"/>
      <c r="F4032" s="6"/>
      <c r="G4032" s="7"/>
    </row>
    <row r="4033" spans="1:7" x14ac:dyDescent="0.2">
      <c r="A4033" s="3"/>
      <c r="B4033" s="6"/>
      <c r="C4033" s="3"/>
      <c r="D4033" s="6"/>
      <c r="E4033" s="6"/>
      <c r="F4033" s="6"/>
      <c r="G4033" s="7"/>
    </row>
    <row r="4034" spans="1:7" x14ac:dyDescent="0.2">
      <c r="A4034" s="3"/>
      <c r="B4034" s="6"/>
      <c r="C4034" s="3"/>
      <c r="D4034" s="6"/>
      <c r="E4034" s="6"/>
      <c r="F4034" s="6"/>
      <c r="G4034" s="7"/>
    </row>
    <row r="4035" spans="1:7" x14ac:dyDescent="0.2">
      <c r="A4035" s="3"/>
      <c r="B4035" s="6"/>
      <c r="C4035" s="3"/>
      <c r="D4035" s="6"/>
      <c r="E4035" s="6"/>
      <c r="F4035" s="6"/>
      <c r="G4035" s="7"/>
    </row>
    <row r="4036" spans="1:7" x14ac:dyDescent="0.2">
      <c r="A4036" s="3"/>
      <c r="B4036" s="6"/>
      <c r="C4036" s="3"/>
      <c r="D4036" s="6"/>
      <c r="E4036" s="6"/>
      <c r="F4036" s="6"/>
      <c r="G4036" s="7"/>
    </row>
    <row r="4037" spans="1:7" x14ac:dyDescent="0.2">
      <c r="A4037" s="3"/>
      <c r="B4037" s="6"/>
      <c r="C4037" s="3"/>
      <c r="D4037" s="6"/>
      <c r="E4037" s="6"/>
      <c r="F4037" s="6"/>
      <c r="G4037" s="7"/>
    </row>
    <row r="4038" spans="1:7" x14ac:dyDescent="0.2">
      <c r="A4038" s="3"/>
      <c r="B4038" s="6"/>
      <c r="C4038" s="3"/>
      <c r="D4038" s="6"/>
      <c r="E4038" s="6"/>
      <c r="F4038" s="6"/>
      <c r="G4038" s="7"/>
    </row>
    <row r="4039" spans="1:7" x14ac:dyDescent="0.2">
      <c r="A4039" s="3"/>
      <c r="B4039" s="6"/>
      <c r="C4039" s="3"/>
      <c r="D4039" s="6"/>
      <c r="E4039" s="6"/>
      <c r="F4039" s="6"/>
      <c r="G4039" s="7"/>
    </row>
    <row r="4040" spans="1:7" x14ac:dyDescent="0.2">
      <c r="A4040" s="3"/>
      <c r="B4040" s="6"/>
      <c r="C4040" s="3"/>
      <c r="D4040" s="6"/>
      <c r="E4040" s="6"/>
      <c r="F4040" s="6"/>
      <c r="G4040" s="7"/>
    </row>
    <row r="4041" spans="1:7" x14ac:dyDescent="0.2">
      <c r="A4041" s="3"/>
      <c r="B4041" s="6"/>
      <c r="C4041" s="3"/>
      <c r="D4041" s="6"/>
      <c r="E4041" s="6"/>
      <c r="F4041" s="6"/>
      <c r="G4041" s="7"/>
    </row>
    <row r="4042" spans="1:7" x14ac:dyDescent="0.2">
      <c r="A4042" s="3"/>
      <c r="B4042" s="6"/>
      <c r="C4042" s="3"/>
      <c r="D4042" s="6"/>
      <c r="E4042" s="6"/>
      <c r="F4042" s="6"/>
      <c r="G4042" s="7"/>
    </row>
    <row r="4043" spans="1:7" x14ac:dyDescent="0.2">
      <c r="A4043" s="3"/>
      <c r="B4043" s="6"/>
      <c r="C4043" s="3"/>
      <c r="D4043" s="6"/>
      <c r="E4043" s="6"/>
      <c r="F4043" s="6"/>
      <c r="G4043" s="7"/>
    </row>
    <row r="4044" spans="1:7" x14ac:dyDescent="0.2">
      <c r="A4044" s="3"/>
      <c r="B4044" s="6"/>
      <c r="C4044" s="3"/>
      <c r="D4044" s="6"/>
      <c r="E4044" s="6"/>
      <c r="F4044" s="6"/>
      <c r="G4044" s="7"/>
    </row>
    <row r="4045" spans="1:7" x14ac:dyDescent="0.2">
      <c r="A4045" s="3"/>
      <c r="B4045" s="6"/>
      <c r="C4045" s="3"/>
      <c r="D4045" s="6"/>
      <c r="E4045" s="6"/>
      <c r="F4045" s="6"/>
      <c r="G4045" s="7"/>
    </row>
    <row r="4046" spans="1:7" x14ac:dyDescent="0.2">
      <c r="A4046" s="3"/>
      <c r="B4046" s="6"/>
      <c r="C4046" s="3"/>
      <c r="D4046" s="6"/>
      <c r="E4046" s="6"/>
      <c r="F4046" s="6"/>
      <c r="G4046" s="7"/>
    </row>
    <row r="4047" spans="1:7" x14ac:dyDescent="0.2">
      <c r="A4047" s="3"/>
      <c r="B4047" s="6"/>
      <c r="C4047" s="3"/>
      <c r="D4047" s="6"/>
      <c r="E4047" s="6"/>
      <c r="F4047" s="6"/>
      <c r="G4047" s="7"/>
    </row>
    <row r="4048" spans="1:7" x14ac:dyDescent="0.2">
      <c r="A4048" s="3"/>
      <c r="B4048" s="6"/>
      <c r="C4048" s="3"/>
      <c r="D4048" s="6"/>
      <c r="E4048" s="6"/>
      <c r="F4048" s="6"/>
      <c r="G4048" s="7"/>
    </row>
    <row r="4049" spans="1:7" x14ac:dyDescent="0.2">
      <c r="A4049" s="3"/>
      <c r="B4049" s="6"/>
      <c r="C4049" s="3"/>
      <c r="D4049" s="6"/>
      <c r="E4049" s="6"/>
      <c r="F4049" s="6"/>
      <c r="G4049" s="7"/>
    </row>
    <row r="4050" spans="1:7" x14ac:dyDescent="0.2">
      <c r="A4050" s="3"/>
      <c r="B4050" s="6"/>
      <c r="C4050" s="3"/>
      <c r="D4050" s="6"/>
      <c r="E4050" s="6"/>
      <c r="F4050" s="6"/>
      <c r="G4050" s="7"/>
    </row>
    <row r="4051" spans="1:7" x14ac:dyDescent="0.2">
      <c r="A4051" s="3"/>
      <c r="B4051" s="6"/>
      <c r="C4051" s="3"/>
      <c r="D4051" s="6"/>
      <c r="E4051" s="6"/>
      <c r="F4051" s="6"/>
      <c r="G4051" s="7"/>
    </row>
    <row r="4052" spans="1:7" x14ac:dyDescent="0.2">
      <c r="A4052" s="3"/>
      <c r="B4052" s="6"/>
      <c r="C4052" s="3"/>
      <c r="D4052" s="6"/>
      <c r="E4052" s="6"/>
      <c r="F4052" s="6"/>
      <c r="G4052" s="7"/>
    </row>
    <row r="4053" spans="1:7" x14ac:dyDescent="0.2">
      <c r="A4053" s="3"/>
      <c r="B4053" s="6"/>
      <c r="C4053" s="3"/>
      <c r="D4053" s="6"/>
      <c r="E4053" s="6"/>
      <c r="F4053" s="6"/>
      <c r="G4053" s="7"/>
    </row>
    <row r="4054" spans="1:7" x14ac:dyDescent="0.2">
      <c r="A4054" s="3"/>
      <c r="B4054" s="6"/>
      <c r="C4054" s="3"/>
      <c r="D4054" s="6"/>
      <c r="E4054" s="6"/>
      <c r="F4054" s="6"/>
      <c r="G4054" s="7"/>
    </row>
    <row r="4055" spans="1:7" x14ac:dyDescent="0.2">
      <c r="A4055" s="3"/>
      <c r="B4055" s="6"/>
      <c r="C4055" s="3"/>
      <c r="D4055" s="6"/>
      <c r="E4055" s="6"/>
      <c r="F4055" s="6"/>
      <c r="G4055" s="7"/>
    </row>
    <row r="4056" spans="1:7" x14ac:dyDescent="0.2">
      <c r="A4056" s="3"/>
      <c r="B4056" s="6"/>
      <c r="C4056" s="3"/>
      <c r="D4056" s="6"/>
      <c r="E4056" s="6"/>
      <c r="F4056" s="6"/>
      <c r="G4056" s="7"/>
    </row>
    <row r="4057" spans="1:7" x14ac:dyDescent="0.2">
      <c r="A4057" s="3"/>
      <c r="B4057" s="6"/>
      <c r="C4057" s="3"/>
      <c r="D4057" s="6"/>
      <c r="E4057" s="6"/>
      <c r="F4057" s="6"/>
      <c r="G4057" s="7"/>
    </row>
    <row r="4058" spans="1:7" x14ac:dyDescent="0.2">
      <c r="A4058" s="3"/>
      <c r="B4058" s="6"/>
      <c r="C4058" s="3"/>
      <c r="D4058" s="6"/>
      <c r="E4058" s="6"/>
      <c r="F4058" s="6"/>
      <c r="G4058" s="7"/>
    </row>
    <row r="4059" spans="1:7" x14ac:dyDescent="0.2">
      <c r="A4059" s="3"/>
      <c r="B4059" s="6"/>
      <c r="C4059" s="3"/>
      <c r="D4059" s="6"/>
      <c r="E4059" s="6"/>
      <c r="F4059" s="6"/>
      <c r="G4059" s="7"/>
    </row>
    <row r="4060" spans="1:7" x14ac:dyDescent="0.2">
      <c r="A4060" s="3"/>
      <c r="B4060" s="6"/>
      <c r="C4060" s="3"/>
      <c r="D4060" s="6"/>
      <c r="E4060" s="6"/>
      <c r="F4060" s="6"/>
      <c r="G4060" s="7"/>
    </row>
    <row r="4061" spans="1:7" x14ac:dyDescent="0.2">
      <c r="A4061" s="3"/>
      <c r="B4061" s="6"/>
      <c r="C4061" s="3"/>
      <c r="D4061" s="6"/>
      <c r="E4061" s="6"/>
      <c r="F4061" s="6"/>
      <c r="G4061" s="7"/>
    </row>
    <row r="4062" spans="1:7" x14ac:dyDescent="0.2">
      <c r="A4062" s="3"/>
      <c r="B4062" s="6"/>
      <c r="C4062" s="3"/>
      <c r="D4062" s="6"/>
      <c r="E4062" s="6"/>
      <c r="F4062" s="6"/>
      <c r="G4062" s="7"/>
    </row>
    <row r="4063" spans="1:7" x14ac:dyDescent="0.2">
      <c r="A4063" s="3"/>
      <c r="B4063" s="6"/>
      <c r="C4063" s="3"/>
      <c r="D4063" s="6"/>
      <c r="E4063" s="6"/>
      <c r="F4063" s="6"/>
      <c r="G4063" s="7"/>
    </row>
    <row r="4064" spans="1:7" x14ac:dyDescent="0.2">
      <c r="A4064" s="3"/>
      <c r="B4064" s="6"/>
      <c r="C4064" s="3"/>
      <c r="D4064" s="6"/>
      <c r="E4064" s="6"/>
      <c r="F4064" s="6"/>
      <c r="G4064" s="7"/>
    </row>
    <row r="4065" spans="1:7" x14ac:dyDescent="0.2">
      <c r="A4065" s="3"/>
      <c r="B4065" s="6"/>
      <c r="C4065" s="3"/>
      <c r="D4065" s="6"/>
      <c r="E4065" s="6"/>
      <c r="F4065" s="6"/>
      <c r="G4065" s="7"/>
    </row>
    <row r="4066" spans="1:7" x14ac:dyDescent="0.2">
      <c r="A4066" s="3"/>
      <c r="B4066" s="6"/>
      <c r="C4066" s="3"/>
      <c r="D4066" s="6"/>
      <c r="E4066" s="6"/>
      <c r="F4066" s="6"/>
      <c r="G4066" s="7"/>
    </row>
    <row r="4067" spans="1:7" x14ac:dyDescent="0.2">
      <c r="A4067" s="3"/>
      <c r="B4067" s="6"/>
      <c r="C4067" s="3"/>
      <c r="D4067" s="6"/>
      <c r="E4067" s="6"/>
      <c r="F4067" s="6"/>
      <c r="G4067" s="7"/>
    </row>
    <row r="4068" spans="1:7" x14ac:dyDescent="0.2">
      <c r="A4068" s="3"/>
      <c r="B4068" s="6"/>
      <c r="C4068" s="3"/>
      <c r="D4068" s="6"/>
      <c r="E4068" s="6"/>
      <c r="F4068" s="6"/>
      <c r="G4068" s="7"/>
    </row>
    <row r="4069" spans="1:7" x14ac:dyDescent="0.2">
      <c r="A4069" s="3"/>
      <c r="B4069" s="6"/>
      <c r="C4069" s="3"/>
      <c r="D4069" s="6"/>
      <c r="E4069" s="6"/>
      <c r="F4069" s="6"/>
      <c r="G4069" s="7"/>
    </row>
    <row r="4070" spans="1:7" x14ac:dyDescent="0.2">
      <c r="A4070" s="3"/>
      <c r="B4070" s="6"/>
      <c r="C4070" s="3"/>
      <c r="D4070" s="6"/>
      <c r="E4070" s="6"/>
      <c r="F4070" s="6"/>
      <c r="G4070" s="7"/>
    </row>
    <row r="4071" spans="1:7" x14ac:dyDescent="0.2">
      <c r="A4071" s="3"/>
      <c r="B4071" s="6"/>
      <c r="C4071" s="3"/>
      <c r="D4071" s="6"/>
      <c r="E4071" s="6"/>
      <c r="F4071" s="6"/>
      <c r="G4071" s="7"/>
    </row>
    <row r="4072" spans="1:7" x14ac:dyDescent="0.2">
      <c r="A4072" s="3"/>
      <c r="B4072" s="6"/>
      <c r="C4072" s="3"/>
      <c r="D4072" s="6"/>
      <c r="E4072" s="6"/>
      <c r="F4072" s="6"/>
      <c r="G4072" s="7"/>
    </row>
    <row r="4073" spans="1:7" x14ac:dyDescent="0.2">
      <c r="A4073" s="3"/>
      <c r="B4073" s="6"/>
      <c r="C4073" s="3"/>
      <c r="D4073" s="6"/>
      <c r="E4073" s="6"/>
      <c r="F4073" s="6"/>
      <c r="G4073" s="7"/>
    </row>
    <row r="4074" spans="1:7" x14ac:dyDescent="0.2">
      <c r="A4074" s="3"/>
      <c r="B4074" s="6"/>
      <c r="C4074" s="3"/>
      <c r="D4074" s="6"/>
      <c r="E4074" s="6"/>
      <c r="F4074" s="6"/>
      <c r="G4074" s="7"/>
    </row>
    <row r="4075" spans="1:7" x14ac:dyDescent="0.2">
      <c r="A4075" s="3"/>
      <c r="B4075" s="6"/>
      <c r="C4075" s="3"/>
      <c r="D4075" s="6"/>
      <c r="E4075" s="6"/>
      <c r="F4075" s="6"/>
      <c r="G4075" s="7"/>
    </row>
    <row r="4076" spans="1:7" x14ac:dyDescent="0.2">
      <c r="A4076" s="3"/>
      <c r="B4076" s="6"/>
      <c r="C4076" s="3"/>
      <c r="D4076" s="6"/>
      <c r="E4076" s="6"/>
      <c r="F4076" s="6"/>
      <c r="G4076" s="7"/>
    </row>
    <row r="4077" spans="1:7" x14ac:dyDescent="0.2">
      <c r="A4077" s="3"/>
      <c r="B4077" s="6"/>
      <c r="C4077" s="3"/>
      <c r="D4077" s="6"/>
      <c r="E4077" s="6"/>
      <c r="F4077" s="6"/>
      <c r="G4077" s="7"/>
    </row>
    <row r="4078" spans="1:7" x14ac:dyDescent="0.2">
      <c r="A4078" s="3"/>
      <c r="B4078" s="6"/>
      <c r="C4078" s="3"/>
      <c r="D4078" s="6"/>
      <c r="E4078" s="6"/>
      <c r="F4078" s="6"/>
      <c r="G4078" s="7"/>
    </row>
    <row r="4079" spans="1:7" x14ac:dyDescent="0.2">
      <c r="A4079" s="3"/>
      <c r="B4079" s="6"/>
      <c r="C4079" s="3"/>
      <c r="D4079" s="6"/>
      <c r="E4079" s="6"/>
      <c r="F4079" s="6"/>
      <c r="G4079" s="7"/>
    </row>
    <row r="4080" spans="1:7" x14ac:dyDescent="0.2">
      <c r="A4080" s="3"/>
      <c r="B4080" s="6"/>
      <c r="C4080" s="3"/>
      <c r="D4080" s="6"/>
      <c r="E4080" s="6"/>
      <c r="F4080" s="6"/>
      <c r="G4080" s="7"/>
    </row>
    <row r="4081" spans="1:7" x14ac:dyDescent="0.2">
      <c r="A4081" s="3"/>
      <c r="B4081" s="6"/>
      <c r="C4081" s="3"/>
      <c r="D4081" s="6"/>
      <c r="E4081" s="6"/>
      <c r="F4081" s="6"/>
      <c r="G4081" s="7"/>
    </row>
    <row r="4082" spans="1:7" x14ac:dyDescent="0.2">
      <c r="A4082" s="3"/>
      <c r="B4082" s="6"/>
      <c r="C4082" s="3"/>
      <c r="D4082" s="6"/>
      <c r="E4082" s="6"/>
      <c r="F4082" s="6"/>
      <c r="G4082" s="7"/>
    </row>
    <row r="4083" spans="1:7" x14ac:dyDescent="0.2">
      <c r="A4083" s="3"/>
      <c r="B4083" s="6"/>
      <c r="C4083" s="3"/>
      <c r="D4083" s="6"/>
      <c r="E4083" s="6"/>
      <c r="F4083" s="6"/>
      <c r="G4083" s="7"/>
    </row>
    <row r="4084" spans="1:7" x14ac:dyDescent="0.2">
      <c r="A4084" s="3"/>
      <c r="B4084" s="6"/>
      <c r="C4084" s="3"/>
      <c r="D4084" s="6"/>
      <c r="E4084" s="6"/>
      <c r="F4084" s="6"/>
      <c r="G4084" s="7"/>
    </row>
    <row r="4085" spans="1:7" x14ac:dyDescent="0.2">
      <c r="A4085" s="3"/>
      <c r="B4085" s="6"/>
      <c r="C4085" s="3"/>
      <c r="D4085" s="6"/>
      <c r="E4085" s="6"/>
      <c r="F4085" s="6"/>
      <c r="G4085" s="7"/>
    </row>
    <row r="4086" spans="1:7" x14ac:dyDescent="0.2">
      <c r="A4086" s="3"/>
      <c r="B4086" s="6"/>
      <c r="C4086" s="3"/>
      <c r="D4086" s="6"/>
      <c r="E4086" s="6"/>
      <c r="F4086" s="6"/>
      <c r="G4086" s="7"/>
    </row>
    <row r="4087" spans="1:7" x14ac:dyDescent="0.2">
      <c r="A4087" s="3"/>
      <c r="B4087" s="6"/>
      <c r="C4087" s="3"/>
      <c r="D4087" s="6"/>
      <c r="E4087" s="6"/>
      <c r="F4087" s="6"/>
      <c r="G4087" s="7"/>
    </row>
    <row r="4088" spans="1:7" x14ac:dyDescent="0.2">
      <c r="A4088" s="3"/>
      <c r="B4088" s="6"/>
      <c r="C4088" s="3"/>
      <c r="D4088" s="6"/>
      <c r="E4088" s="6"/>
      <c r="F4088" s="6"/>
      <c r="G4088" s="7"/>
    </row>
    <row r="4089" spans="1:7" x14ac:dyDescent="0.2">
      <c r="A4089" s="3"/>
      <c r="B4089" s="6"/>
      <c r="C4089" s="3"/>
      <c r="D4089" s="6"/>
      <c r="E4089" s="6"/>
      <c r="F4089" s="6"/>
      <c r="G4089" s="7"/>
    </row>
    <row r="4090" spans="1:7" x14ac:dyDescent="0.2">
      <c r="A4090" s="3"/>
      <c r="B4090" s="6"/>
      <c r="C4090" s="3"/>
      <c r="D4090" s="6"/>
      <c r="E4090" s="6"/>
      <c r="F4090" s="6"/>
      <c r="G4090" s="7"/>
    </row>
    <row r="4091" spans="1:7" x14ac:dyDescent="0.2">
      <c r="A4091" s="3"/>
      <c r="B4091" s="6"/>
      <c r="C4091" s="3"/>
      <c r="D4091" s="6"/>
      <c r="E4091" s="6"/>
      <c r="F4091" s="6"/>
      <c r="G4091" s="7"/>
    </row>
    <row r="4092" spans="1:7" x14ac:dyDescent="0.2">
      <c r="A4092" s="3"/>
      <c r="B4092" s="6"/>
      <c r="C4092" s="3"/>
      <c r="D4092" s="6"/>
      <c r="E4092" s="6"/>
      <c r="F4092" s="6"/>
      <c r="G4092" s="7"/>
    </row>
    <row r="4093" spans="1:7" x14ac:dyDescent="0.2">
      <c r="A4093" s="3"/>
      <c r="B4093" s="6"/>
      <c r="C4093" s="3"/>
      <c r="D4093" s="6"/>
      <c r="E4093" s="6"/>
      <c r="F4093" s="6"/>
      <c r="G4093" s="7"/>
    </row>
    <row r="4094" spans="1:7" x14ac:dyDescent="0.2">
      <c r="A4094" s="3"/>
      <c r="B4094" s="6"/>
      <c r="C4094" s="3"/>
      <c r="D4094" s="6"/>
      <c r="E4094" s="6"/>
      <c r="F4094" s="6"/>
      <c r="G4094" s="7"/>
    </row>
    <row r="4095" spans="1:7" x14ac:dyDescent="0.2">
      <c r="A4095" s="3"/>
      <c r="B4095" s="6"/>
      <c r="C4095" s="3"/>
      <c r="D4095" s="6"/>
      <c r="E4095" s="6"/>
      <c r="F4095" s="6"/>
      <c r="G4095" s="7"/>
    </row>
    <row r="4096" spans="1:7" x14ac:dyDescent="0.2">
      <c r="A4096" s="3"/>
      <c r="B4096" s="6"/>
      <c r="C4096" s="3"/>
      <c r="D4096" s="6"/>
      <c r="E4096" s="6"/>
      <c r="F4096" s="6"/>
      <c r="G4096" s="7"/>
    </row>
    <row r="4097" spans="1:7" x14ac:dyDescent="0.2">
      <c r="A4097" s="3"/>
      <c r="B4097" s="6"/>
      <c r="C4097" s="3"/>
      <c r="D4097" s="6"/>
      <c r="E4097" s="6"/>
      <c r="F4097" s="6"/>
      <c r="G4097" s="7"/>
    </row>
    <row r="4098" spans="1:7" x14ac:dyDescent="0.2">
      <c r="A4098" s="3"/>
      <c r="B4098" s="6"/>
      <c r="C4098" s="3"/>
      <c r="D4098" s="6"/>
      <c r="E4098" s="6"/>
      <c r="F4098" s="6"/>
      <c r="G4098" s="7"/>
    </row>
    <row r="4099" spans="1:7" x14ac:dyDescent="0.2">
      <c r="A4099" s="3"/>
      <c r="B4099" s="6"/>
      <c r="C4099" s="3"/>
      <c r="D4099" s="6"/>
      <c r="E4099" s="6"/>
      <c r="F4099" s="6"/>
      <c r="G4099" s="7"/>
    </row>
    <row r="4100" spans="1:7" x14ac:dyDescent="0.2">
      <c r="A4100" s="3"/>
      <c r="B4100" s="6"/>
      <c r="C4100" s="3"/>
      <c r="D4100" s="6"/>
      <c r="E4100" s="6"/>
      <c r="F4100" s="6"/>
      <c r="G4100" s="7"/>
    </row>
    <row r="4101" spans="1:7" x14ac:dyDescent="0.2">
      <c r="A4101" s="3"/>
      <c r="B4101" s="6"/>
      <c r="C4101" s="3"/>
      <c r="D4101" s="6"/>
      <c r="E4101" s="6"/>
      <c r="F4101" s="6"/>
      <c r="G4101" s="7"/>
    </row>
    <row r="4102" spans="1:7" x14ac:dyDescent="0.2">
      <c r="A4102" s="3"/>
      <c r="B4102" s="6"/>
      <c r="C4102" s="3"/>
      <c r="D4102" s="6"/>
      <c r="E4102" s="6"/>
      <c r="F4102" s="6"/>
      <c r="G4102" s="7"/>
    </row>
    <row r="4103" spans="1:7" x14ac:dyDescent="0.2">
      <c r="A4103" s="3"/>
      <c r="B4103" s="6"/>
      <c r="C4103" s="3"/>
      <c r="D4103" s="6"/>
      <c r="E4103" s="6"/>
      <c r="F4103" s="6"/>
      <c r="G4103" s="7"/>
    </row>
    <row r="4104" spans="1:7" x14ac:dyDescent="0.2">
      <c r="A4104" s="3"/>
      <c r="B4104" s="6"/>
      <c r="C4104" s="3"/>
      <c r="D4104" s="6"/>
      <c r="E4104" s="6"/>
      <c r="F4104" s="6"/>
      <c r="G4104" s="7"/>
    </row>
    <row r="4105" spans="1:7" x14ac:dyDescent="0.2">
      <c r="A4105" s="3"/>
      <c r="B4105" s="6"/>
      <c r="C4105" s="3"/>
      <c r="D4105" s="6"/>
      <c r="E4105" s="6"/>
      <c r="F4105" s="6"/>
      <c r="G4105" s="7"/>
    </row>
    <row r="4106" spans="1:7" x14ac:dyDescent="0.2">
      <c r="A4106" s="3"/>
      <c r="B4106" s="6"/>
      <c r="C4106" s="3"/>
      <c r="D4106" s="6"/>
      <c r="E4106" s="6"/>
      <c r="F4106" s="6"/>
      <c r="G4106" s="7"/>
    </row>
    <row r="4107" spans="1:7" x14ac:dyDescent="0.2">
      <c r="A4107" s="3"/>
      <c r="B4107" s="6"/>
      <c r="C4107" s="3"/>
      <c r="D4107" s="6"/>
      <c r="E4107" s="6"/>
      <c r="F4107" s="6"/>
      <c r="G4107" s="7"/>
    </row>
    <row r="4108" spans="1:7" x14ac:dyDescent="0.2">
      <c r="A4108" s="3"/>
      <c r="B4108" s="6"/>
      <c r="C4108" s="3"/>
      <c r="D4108" s="6"/>
      <c r="E4108" s="6"/>
      <c r="F4108" s="6"/>
      <c r="G4108" s="7"/>
    </row>
    <row r="4109" spans="1:7" x14ac:dyDescent="0.2">
      <c r="A4109" s="3"/>
      <c r="B4109" s="6"/>
      <c r="C4109" s="3"/>
      <c r="D4109" s="6"/>
      <c r="E4109" s="6"/>
      <c r="F4109" s="6"/>
      <c r="G4109" s="7"/>
    </row>
    <row r="4110" spans="1:7" x14ac:dyDescent="0.2">
      <c r="A4110" s="3"/>
      <c r="B4110" s="6"/>
      <c r="C4110" s="3"/>
      <c r="D4110" s="6"/>
      <c r="E4110" s="6"/>
      <c r="F4110" s="6"/>
      <c r="G4110" s="7"/>
    </row>
    <row r="4111" spans="1:7" x14ac:dyDescent="0.2">
      <c r="A4111" s="3"/>
      <c r="B4111" s="6"/>
      <c r="C4111" s="3"/>
      <c r="D4111" s="6"/>
      <c r="E4111" s="6"/>
      <c r="F4111" s="6"/>
      <c r="G4111" s="7"/>
    </row>
    <row r="4112" spans="1:7" x14ac:dyDescent="0.2">
      <c r="A4112" s="3"/>
      <c r="B4112" s="6"/>
      <c r="C4112" s="3"/>
      <c r="D4112" s="6"/>
      <c r="E4112" s="6"/>
      <c r="F4112" s="6"/>
      <c r="G4112" s="7"/>
    </row>
    <row r="4113" spans="1:7" x14ac:dyDescent="0.2">
      <c r="A4113" s="3"/>
      <c r="B4113" s="6"/>
      <c r="C4113" s="3"/>
      <c r="D4113" s="6"/>
      <c r="E4113" s="6"/>
      <c r="F4113" s="6"/>
      <c r="G4113" s="7"/>
    </row>
    <row r="4114" spans="1:7" x14ac:dyDescent="0.2">
      <c r="A4114" s="3"/>
      <c r="B4114" s="6"/>
      <c r="C4114" s="3"/>
      <c r="D4114" s="6"/>
      <c r="E4114" s="6"/>
      <c r="F4114" s="6"/>
      <c r="G4114" s="7"/>
    </row>
    <row r="4115" spans="1:7" x14ac:dyDescent="0.2">
      <c r="A4115" s="3"/>
      <c r="B4115" s="6"/>
      <c r="C4115" s="3"/>
      <c r="D4115" s="6"/>
      <c r="E4115" s="6"/>
      <c r="F4115" s="6"/>
      <c r="G4115" s="7"/>
    </row>
    <row r="4116" spans="1:7" x14ac:dyDescent="0.2">
      <c r="A4116" s="3"/>
      <c r="B4116" s="6"/>
      <c r="C4116" s="3"/>
      <c r="D4116" s="6"/>
      <c r="E4116" s="6"/>
      <c r="F4116" s="6"/>
      <c r="G4116" s="7"/>
    </row>
    <row r="4117" spans="1:7" x14ac:dyDescent="0.2">
      <c r="A4117" s="3"/>
      <c r="B4117" s="6"/>
      <c r="C4117" s="3"/>
      <c r="D4117" s="6"/>
      <c r="E4117" s="6"/>
      <c r="F4117" s="6"/>
      <c r="G4117" s="7"/>
    </row>
    <row r="4118" spans="1:7" x14ac:dyDescent="0.2">
      <c r="A4118" s="3"/>
      <c r="B4118" s="6"/>
      <c r="C4118" s="3"/>
      <c r="D4118" s="6"/>
      <c r="E4118" s="6"/>
      <c r="F4118" s="6"/>
      <c r="G4118" s="7"/>
    </row>
    <row r="4119" spans="1:7" x14ac:dyDescent="0.2">
      <c r="A4119" s="3"/>
      <c r="B4119" s="6"/>
      <c r="C4119" s="3"/>
      <c r="D4119" s="6"/>
      <c r="E4119" s="6"/>
      <c r="F4119" s="6"/>
      <c r="G4119" s="7"/>
    </row>
    <row r="4120" spans="1:7" x14ac:dyDescent="0.2">
      <c r="A4120" s="3"/>
      <c r="B4120" s="6"/>
      <c r="C4120" s="3"/>
      <c r="D4120" s="6"/>
      <c r="E4120" s="6"/>
      <c r="F4120" s="6"/>
      <c r="G4120" s="7"/>
    </row>
    <row r="4121" spans="1:7" x14ac:dyDescent="0.2">
      <c r="A4121" s="3"/>
      <c r="B4121" s="6"/>
      <c r="C4121" s="3"/>
      <c r="D4121" s="6"/>
      <c r="E4121" s="6"/>
      <c r="F4121" s="6"/>
      <c r="G4121" s="7"/>
    </row>
    <row r="4122" spans="1:7" x14ac:dyDescent="0.2">
      <c r="A4122" s="3"/>
      <c r="B4122" s="6"/>
      <c r="C4122" s="3"/>
      <c r="D4122" s="6"/>
      <c r="E4122" s="6"/>
      <c r="F4122" s="6"/>
      <c r="G4122" s="7"/>
    </row>
    <row r="4123" spans="1:7" x14ac:dyDescent="0.2">
      <c r="A4123" s="3"/>
      <c r="B4123" s="6"/>
      <c r="C4123" s="3"/>
      <c r="D4123" s="6"/>
      <c r="E4123" s="6"/>
      <c r="F4123" s="6"/>
      <c r="G4123" s="7"/>
    </row>
    <row r="4124" spans="1:7" x14ac:dyDescent="0.2">
      <c r="A4124" s="3"/>
      <c r="B4124" s="6"/>
      <c r="C4124" s="3"/>
      <c r="D4124" s="6"/>
      <c r="E4124" s="6"/>
      <c r="F4124" s="6"/>
      <c r="G4124" s="7"/>
    </row>
    <row r="4125" spans="1:7" x14ac:dyDescent="0.2">
      <c r="A4125" s="3"/>
      <c r="B4125" s="6"/>
      <c r="C4125" s="3"/>
      <c r="D4125" s="6"/>
      <c r="E4125" s="6"/>
      <c r="F4125" s="6"/>
      <c r="G4125" s="7"/>
    </row>
    <row r="4126" spans="1:7" x14ac:dyDescent="0.2">
      <c r="A4126" s="3"/>
      <c r="B4126" s="6"/>
      <c r="C4126" s="3"/>
      <c r="D4126" s="6"/>
      <c r="E4126" s="6"/>
      <c r="F4126" s="6"/>
      <c r="G4126" s="7"/>
    </row>
    <row r="4127" spans="1:7" x14ac:dyDescent="0.2">
      <c r="A4127" s="3"/>
      <c r="B4127" s="6"/>
      <c r="C4127" s="3"/>
      <c r="D4127" s="6"/>
      <c r="E4127" s="6"/>
      <c r="F4127" s="6"/>
      <c r="G4127" s="7"/>
    </row>
    <row r="4128" spans="1:7" x14ac:dyDescent="0.2">
      <c r="A4128" s="3"/>
      <c r="B4128" s="6"/>
      <c r="C4128" s="3"/>
      <c r="D4128" s="6"/>
      <c r="E4128" s="6"/>
      <c r="F4128" s="6"/>
      <c r="G4128" s="7"/>
    </row>
    <row r="4129" spans="1:7" x14ac:dyDescent="0.2">
      <c r="A4129" s="3"/>
      <c r="B4129" s="6"/>
      <c r="C4129" s="3"/>
      <c r="D4129" s="6"/>
      <c r="E4129" s="6"/>
      <c r="F4129" s="6"/>
      <c r="G4129" s="7"/>
    </row>
    <row r="4130" spans="1:7" x14ac:dyDescent="0.2">
      <c r="A4130" s="3"/>
      <c r="B4130" s="6"/>
      <c r="C4130" s="3"/>
      <c r="D4130" s="6"/>
      <c r="E4130" s="6"/>
      <c r="F4130" s="6"/>
      <c r="G4130" s="7"/>
    </row>
    <row r="4131" spans="1:7" x14ac:dyDescent="0.2">
      <c r="A4131" s="3"/>
      <c r="B4131" s="6"/>
      <c r="C4131" s="3"/>
      <c r="D4131" s="6"/>
      <c r="E4131" s="6"/>
      <c r="F4131" s="6"/>
      <c r="G4131" s="7"/>
    </row>
    <row r="4132" spans="1:7" x14ac:dyDescent="0.2">
      <c r="A4132" s="3"/>
      <c r="B4132" s="6"/>
      <c r="C4132" s="3"/>
      <c r="D4132" s="6"/>
      <c r="E4132" s="6"/>
      <c r="F4132" s="6"/>
      <c r="G4132" s="7"/>
    </row>
    <row r="4133" spans="1:7" x14ac:dyDescent="0.2">
      <c r="A4133" s="3"/>
      <c r="B4133" s="6"/>
      <c r="C4133" s="3"/>
      <c r="D4133" s="6"/>
      <c r="E4133" s="6"/>
      <c r="F4133" s="6"/>
      <c r="G4133" s="7"/>
    </row>
    <row r="4134" spans="1:7" x14ac:dyDescent="0.2">
      <c r="A4134" s="3"/>
      <c r="B4134" s="6"/>
      <c r="C4134" s="3"/>
      <c r="D4134" s="6"/>
      <c r="E4134" s="6"/>
      <c r="F4134" s="6"/>
      <c r="G4134" s="7"/>
    </row>
    <row r="4135" spans="1:7" x14ac:dyDescent="0.2">
      <c r="A4135" s="3"/>
      <c r="B4135" s="6"/>
      <c r="C4135" s="3"/>
      <c r="D4135" s="6"/>
      <c r="E4135" s="6"/>
      <c r="F4135" s="6"/>
      <c r="G4135" s="7"/>
    </row>
    <row r="4136" spans="1:7" x14ac:dyDescent="0.2">
      <c r="A4136" s="3"/>
      <c r="B4136" s="6"/>
      <c r="C4136" s="3"/>
      <c r="D4136" s="6"/>
      <c r="E4136" s="6"/>
      <c r="F4136" s="6"/>
      <c r="G4136" s="7"/>
    </row>
    <row r="4137" spans="1:7" x14ac:dyDescent="0.2">
      <c r="A4137" s="3"/>
      <c r="B4137" s="6"/>
      <c r="C4137" s="3"/>
      <c r="D4137" s="6"/>
      <c r="E4137" s="6"/>
      <c r="F4137" s="6"/>
      <c r="G4137" s="7"/>
    </row>
    <row r="4138" spans="1:7" x14ac:dyDescent="0.2">
      <c r="A4138" s="3"/>
      <c r="B4138" s="6"/>
      <c r="C4138" s="3"/>
      <c r="D4138" s="6"/>
      <c r="E4138" s="6"/>
      <c r="F4138" s="6"/>
      <c r="G4138" s="7"/>
    </row>
    <row r="4139" spans="1:7" x14ac:dyDescent="0.2">
      <c r="A4139" s="3"/>
      <c r="B4139" s="6"/>
      <c r="C4139" s="3"/>
      <c r="D4139" s="6"/>
      <c r="E4139" s="6"/>
      <c r="F4139" s="6"/>
      <c r="G4139" s="7"/>
    </row>
    <row r="4140" spans="1:7" x14ac:dyDescent="0.2">
      <c r="A4140" s="3"/>
      <c r="B4140" s="6"/>
      <c r="C4140" s="3"/>
      <c r="D4140" s="6"/>
      <c r="E4140" s="6"/>
      <c r="F4140" s="6"/>
      <c r="G4140" s="7"/>
    </row>
    <row r="4141" spans="1:7" x14ac:dyDescent="0.2">
      <c r="A4141" s="3"/>
      <c r="B4141" s="6"/>
      <c r="C4141" s="3"/>
      <c r="D4141" s="6"/>
      <c r="E4141" s="6"/>
      <c r="F4141" s="6"/>
      <c r="G4141" s="7"/>
    </row>
    <row r="4142" spans="1:7" x14ac:dyDescent="0.2">
      <c r="A4142" s="3"/>
      <c r="B4142" s="6"/>
      <c r="C4142" s="3"/>
      <c r="D4142" s="6"/>
      <c r="E4142" s="6"/>
      <c r="F4142" s="6"/>
      <c r="G4142" s="7"/>
    </row>
    <row r="4143" spans="1:7" x14ac:dyDescent="0.2">
      <c r="A4143" s="3"/>
      <c r="B4143" s="6"/>
      <c r="C4143" s="3"/>
      <c r="D4143" s="6"/>
      <c r="E4143" s="6"/>
      <c r="F4143" s="6"/>
      <c r="G4143" s="7"/>
    </row>
    <row r="4144" spans="1:7" x14ac:dyDescent="0.2">
      <c r="A4144" s="3"/>
      <c r="B4144" s="6"/>
      <c r="C4144" s="3"/>
      <c r="D4144" s="6"/>
      <c r="E4144" s="6"/>
      <c r="F4144" s="6"/>
      <c r="G4144" s="7"/>
    </row>
    <row r="4145" spans="1:7" x14ac:dyDescent="0.2">
      <c r="A4145" s="3"/>
      <c r="B4145" s="6"/>
      <c r="C4145" s="3"/>
      <c r="D4145" s="6"/>
      <c r="E4145" s="6"/>
      <c r="F4145" s="6"/>
      <c r="G4145" s="7"/>
    </row>
    <row r="4146" spans="1:7" x14ac:dyDescent="0.2">
      <c r="A4146" s="3"/>
      <c r="B4146" s="6"/>
      <c r="C4146" s="3"/>
      <c r="D4146" s="6"/>
      <c r="E4146" s="6"/>
      <c r="F4146" s="6"/>
      <c r="G4146" s="7"/>
    </row>
    <row r="4147" spans="1:7" x14ac:dyDescent="0.2">
      <c r="A4147" s="3"/>
      <c r="B4147" s="6"/>
      <c r="C4147" s="3"/>
      <c r="D4147" s="6"/>
      <c r="E4147" s="6"/>
      <c r="F4147" s="6"/>
      <c r="G4147" s="7"/>
    </row>
    <row r="4148" spans="1:7" x14ac:dyDescent="0.2">
      <c r="A4148" s="3"/>
      <c r="B4148" s="6"/>
      <c r="C4148" s="3"/>
      <c r="D4148" s="6"/>
      <c r="E4148" s="6"/>
      <c r="F4148" s="6"/>
      <c r="G4148" s="7"/>
    </row>
    <row r="4149" spans="1:7" x14ac:dyDescent="0.2">
      <c r="A4149" s="3"/>
      <c r="B4149" s="6"/>
      <c r="C4149" s="3"/>
      <c r="D4149" s="6"/>
      <c r="E4149" s="6"/>
      <c r="F4149" s="6"/>
      <c r="G4149" s="7"/>
    </row>
    <row r="4150" spans="1:7" x14ac:dyDescent="0.2">
      <c r="A4150" s="3"/>
      <c r="B4150" s="6"/>
      <c r="C4150" s="3"/>
      <c r="D4150" s="6"/>
      <c r="E4150" s="6"/>
      <c r="F4150" s="6"/>
      <c r="G4150" s="7"/>
    </row>
    <row r="4151" spans="1:7" x14ac:dyDescent="0.2">
      <c r="A4151" s="3"/>
      <c r="B4151" s="6"/>
      <c r="C4151" s="3"/>
      <c r="D4151" s="6"/>
      <c r="E4151" s="6"/>
      <c r="F4151" s="6"/>
      <c r="G4151" s="7"/>
    </row>
    <row r="4152" spans="1:7" x14ac:dyDescent="0.2">
      <c r="A4152" s="3"/>
      <c r="B4152" s="6"/>
      <c r="C4152" s="3"/>
      <c r="D4152" s="6"/>
      <c r="E4152" s="6"/>
      <c r="F4152" s="6"/>
      <c r="G4152" s="7"/>
    </row>
    <row r="4153" spans="1:7" x14ac:dyDescent="0.2">
      <c r="A4153" s="3"/>
      <c r="B4153" s="6"/>
      <c r="C4153" s="3"/>
      <c r="D4153" s="6"/>
      <c r="E4153" s="6"/>
      <c r="F4153" s="6"/>
      <c r="G4153" s="7"/>
    </row>
    <row r="4154" spans="1:7" x14ac:dyDescent="0.2">
      <c r="A4154" s="3"/>
      <c r="B4154" s="6"/>
      <c r="C4154" s="3"/>
      <c r="D4154" s="6"/>
      <c r="E4154" s="6"/>
      <c r="F4154" s="6"/>
      <c r="G4154" s="7"/>
    </row>
    <row r="4155" spans="1:7" x14ac:dyDescent="0.2">
      <c r="A4155" s="3"/>
      <c r="B4155" s="6"/>
      <c r="C4155" s="3"/>
      <c r="D4155" s="6"/>
      <c r="E4155" s="6"/>
      <c r="F4155" s="6"/>
      <c r="G4155" s="7"/>
    </row>
    <row r="4156" spans="1:7" x14ac:dyDescent="0.2">
      <c r="A4156" s="3"/>
      <c r="B4156" s="6"/>
      <c r="C4156" s="3"/>
      <c r="D4156" s="6"/>
      <c r="E4156" s="6"/>
      <c r="F4156" s="6"/>
      <c r="G4156" s="7"/>
    </row>
    <row r="4157" spans="1:7" x14ac:dyDescent="0.2">
      <c r="A4157" s="3"/>
      <c r="B4157" s="6"/>
      <c r="C4157" s="3"/>
      <c r="D4157" s="6"/>
      <c r="E4157" s="6"/>
      <c r="F4157" s="6"/>
      <c r="G4157" s="7"/>
    </row>
    <row r="4158" spans="1:7" x14ac:dyDescent="0.2">
      <c r="A4158" s="3"/>
      <c r="B4158" s="6"/>
      <c r="C4158" s="3"/>
      <c r="D4158" s="6"/>
      <c r="E4158" s="6"/>
      <c r="F4158" s="6"/>
      <c r="G4158" s="7"/>
    </row>
    <row r="4159" spans="1:7" x14ac:dyDescent="0.2">
      <c r="A4159" s="3"/>
      <c r="B4159" s="6"/>
      <c r="C4159" s="3"/>
      <c r="D4159" s="6"/>
      <c r="E4159" s="6"/>
      <c r="F4159" s="6"/>
      <c r="G4159" s="7"/>
    </row>
    <row r="4160" spans="1:7" x14ac:dyDescent="0.2">
      <c r="A4160" s="3"/>
      <c r="B4160" s="6"/>
      <c r="C4160" s="3"/>
      <c r="D4160" s="6"/>
      <c r="E4160" s="6"/>
      <c r="F4160" s="6"/>
      <c r="G4160" s="7"/>
    </row>
    <row r="4161" spans="1:7" x14ac:dyDescent="0.2">
      <c r="A4161" s="3"/>
      <c r="B4161" s="6"/>
      <c r="C4161" s="3"/>
      <c r="D4161" s="6"/>
      <c r="E4161" s="6"/>
      <c r="F4161" s="6"/>
      <c r="G4161" s="7"/>
    </row>
    <row r="4162" spans="1:7" x14ac:dyDescent="0.2">
      <c r="A4162" s="3"/>
      <c r="B4162" s="6"/>
      <c r="C4162" s="3"/>
      <c r="D4162" s="6"/>
      <c r="E4162" s="6"/>
      <c r="F4162" s="6"/>
      <c r="G4162" s="7"/>
    </row>
    <row r="4163" spans="1:7" x14ac:dyDescent="0.2">
      <c r="A4163" s="3"/>
      <c r="B4163" s="6"/>
      <c r="C4163" s="3"/>
      <c r="D4163" s="6"/>
      <c r="E4163" s="6"/>
      <c r="F4163" s="6"/>
      <c r="G4163" s="7"/>
    </row>
    <row r="4164" spans="1:7" x14ac:dyDescent="0.2">
      <c r="A4164" s="3"/>
      <c r="B4164" s="6"/>
      <c r="C4164" s="3"/>
      <c r="D4164" s="6"/>
      <c r="E4164" s="6"/>
      <c r="F4164" s="6"/>
      <c r="G4164" s="7"/>
    </row>
    <row r="4165" spans="1:7" x14ac:dyDescent="0.2">
      <c r="A4165" s="3"/>
      <c r="B4165" s="6"/>
      <c r="C4165" s="3"/>
      <c r="D4165" s="6"/>
      <c r="E4165" s="6"/>
      <c r="F4165" s="6"/>
      <c r="G4165" s="7"/>
    </row>
    <row r="4166" spans="1:7" x14ac:dyDescent="0.2">
      <c r="A4166" s="3"/>
      <c r="B4166" s="6"/>
      <c r="C4166" s="3"/>
      <c r="D4166" s="6"/>
      <c r="E4166" s="6"/>
      <c r="F4166" s="6"/>
      <c r="G4166" s="7"/>
    </row>
    <row r="4167" spans="1:7" x14ac:dyDescent="0.2">
      <c r="A4167" s="3"/>
      <c r="B4167" s="6"/>
      <c r="C4167" s="3"/>
      <c r="D4167" s="6"/>
      <c r="E4167" s="6"/>
      <c r="F4167" s="6"/>
      <c r="G4167" s="7"/>
    </row>
    <row r="4168" spans="1:7" x14ac:dyDescent="0.2">
      <c r="A4168" s="3"/>
      <c r="B4168" s="6"/>
      <c r="C4168" s="3"/>
      <c r="D4168" s="6"/>
      <c r="E4168" s="6"/>
      <c r="F4168" s="6"/>
      <c r="G4168" s="7"/>
    </row>
    <row r="4169" spans="1:7" x14ac:dyDescent="0.2">
      <c r="A4169" s="3"/>
      <c r="B4169" s="6"/>
      <c r="C4169" s="3"/>
      <c r="D4169" s="6"/>
      <c r="E4169" s="6"/>
      <c r="F4169" s="6"/>
      <c r="G4169" s="7"/>
    </row>
    <row r="4170" spans="1:7" x14ac:dyDescent="0.2">
      <c r="A4170" s="3"/>
      <c r="B4170" s="6"/>
      <c r="C4170" s="3"/>
      <c r="D4170" s="6"/>
      <c r="E4170" s="6"/>
      <c r="F4170" s="6"/>
      <c r="G4170" s="7"/>
    </row>
    <row r="4171" spans="1:7" x14ac:dyDescent="0.2">
      <c r="A4171" s="3"/>
      <c r="B4171" s="6"/>
      <c r="C4171" s="3"/>
      <c r="D4171" s="6"/>
      <c r="E4171" s="6"/>
      <c r="F4171" s="6"/>
      <c r="G4171" s="7"/>
    </row>
    <row r="4172" spans="1:7" x14ac:dyDescent="0.2">
      <c r="A4172" s="3"/>
      <c r="B4172" s="6"/>
      <c r="C4172" s="3"/>
      <c r="D4172" s="6"/>
      <c r="E4172" s="6"/>
      <c r="F4172" s="6"/>
      <c r="G4172" s="7"/>
    </row>
    <row r="4173" spans="1:7" x14ac:dyDescent="0.2">
      <c r="A4173" s="3"/>
      <c r="B4173" s="6"/>
      <c r="C4173" s="3"/>
      <c r="D4173" s="6"/>
      <c r="E4173" s="6"/>
      <c r="F4173" s="6"/>
      <c r="G4173" s="7"/>
    </row>
    <row r="4174" spans="1:7" x14ac:dyDescent="0.2">
      <c r="A4174" s="3"/>
      <c r="B4174" s="6"/>
      <c r="C4174" s="3"/>
      <c r="D4174" s="6"/>
      <c r="E4174" s="6"/>
      <c r="F4174" s="6"/>
      <c r="G4174" s="7"/>
    </row>
    <row r="4175" spans="1:7" x14ac:dyDescent="0.2">
      <c r="A4175" s="3"/>
      <c r="B4175" s="6"/>
      <c r="C4175" s="3"/>
      <c r="D4175" s="6"/>
      <c r="E4175" s="6"/>
      <c r="F4175" s="6"/>
      <c r="G4175" s="7"/>
    </row>
    <row r="4176" spans="1:7" x14ac:dyDescent="0.2">
      <c r="A4176" s="3"/>
      <c r="B4176" s="6"/>
      <c r="C4176" s="3"/>
      <c r="D4176" s="6"/>
      <c r="E4176" s="6"/>
      <c r="F4176" s="6"/>
      <c r="G4176" s="7"/>
    </row>
    <row r="4177" spans="1:7" x14ac:dyDescent="0.2">
      <c r="A4177" s="3"/>
      <c r="B4177" s="6"/>
      <c r="C4177" s="3"/>
      <c r="D4177" s="6"/>
      <c r="E4177" s="6"/>
      <c r="F4177" s="6"/>
      <c r="G4177" s="7"/>
    </row>
    <row r="4178" spans="1:7" x14ac:dyDescent="0.2">
      <c r="A4178" s="3"/>
      <c r="B4178" s="6"/>
      <c r="C4178" s="3"/>
      <c r="D4178" s="6"/>
      <c r="E4178" s="6"/>
      <c r="F4178" s="6"/>
      <c r="G4178" s="7"/>
    </row>
    <row r="4179" spans="1:7" x14ac:dyDescent="0.2">
      <c r="A4179" s="3"/>
      <c r="B4179" s="6"/>
      <c r="C4179" s="3"/>
      <c r="D4179" s="6"/>
      <c r="E4179" s="6"/>
      <c r="F4179" s="6"/>
      <c r="G4179" s="7"/>
    </row>
    <row r="4180" spans="1:7" x14ac:dyDescent="0.2">
      <c r="A4180" s="3"/>
      <c r="B4180" s="6"/>
      <c r="C4180" s="3"/>
      <c r="D4180" s="6"/>
      <c r="E4180" s="6"/>
      <c r="F4180" s="6"/>
      <c r="G4180" s="7"/>
    </row>
    <row r="4181" spans="1:7" x14ac:dyDescent="0.2">
      <c r="A4181" s="3"/>
      <c r="B4181" s="6"/>
      <c r="C4181" s="3"/>
      <c r="D4181" s="6"/>
      <c r="E4181" s="6"/>
      <c r="F4181" s="6"/>
      <c r="G4181" s="7"/>
    </row>
    <row r="4182" spans="1:7" x14ac:dyDescent="0.2">
      <c r="A4182" s="3"/>
      <c r="B4182" s="6"/>
      <c r="C4182" s="3"/>
      <c r="D4182" s="6"/>
      <c r="E4182" s="6"/>
      <c r="F4182" s="6"/>
      <c r="G4182" s="7"/>
    </row>
    <row r="4183" spans="1:7" x14ac:dyDescent="0.2">
      <c r="A4183" s="3"/>
      <c r="B4183" s="6"/>
      <c r="C4183" s="3"/>
      <c r="D4183" s="6"/>
      <c r="E4183" s="6"/>
      <c r="F4183" s="6"/>
      <c r="G4183" s="7"/>
    </row>
    <row r="4184" spans="1:7" x14ac:dyDescent="0.2">
      <c r="A4184" s="3"/>
      <c r="B4184" s="6"/>
      <c r="C4184" s="3"/>
      <c r="D4184" s="6"/>
      <c r="E4184" s="6"/>
      <c r="F4184" s="6"/>
      <c r="G4184" s="7"/>
    </row>
    <row r="4185" spans="1:7" x14ac:dyDescent="0.2">
      <c r="A4185" s="3"/>
      <c r="B4185" s="6"/>
      <c r="C4185" s="3"/>
      <c r="D4185" s="6"/>
      <c r="E4185" s="6"/>
      <c r="F4185" s="6"/>
      <c r="G4185" s="7"/>
    </row>
    <row r="4186" spans="1:7" x14ac:dyDescent="0.2">
      <c r="A4186" s="3"/>
      <c r="B4186" s="6"/>
      <c r="C4186" s="3"/>
      <c r="D4186" s="6"/>
      <c r="E4186" s="6"/>
      <c r="F4186" s="6"/>
      <c r="G4186" s="7"/>
    </row>
    <row r="4187" spans="1:7" x14ac:dyDescent="0.2">
      <c r="A4187" s="3"/>
      <c r="B4187" s="6"/>
      <c r="C4187" s="3"/>
      <c r="D4187" s="6"/>
      <c r="E4187" s="6"/>
      <c r="F4187" s="6"/>
      <c r="G4187" s="7"/>
    </row>
    <row r="4188" spans="1:7" x14ac:dyDescent="0.2">
      <c r="A4188" s="3"/>
      <c r="B4188" s="6"/>
      <c r="C4188" s="3"/>
      <c r="D4188" s="6"/>
      <c r="E4188" s="6"/>
      <c r="F4188" s="6"/>
      <c r="G4188" s="7"/>
    </row>
    <row r="4189" spans="1:7" x14ac:dyDescent="0.2">
      <c r="A4189" s="3"/>
      <c r="B4189" s="6"/>
      <c r="C4189" s="3"/>
      <c r="D4189" s="6"/>
      <c r="E4189" s="6"/>
      <c r="F4189" s="6"/>
      <c r="G4189" s="7"/>
    </row>
    <row r="4190" spans="1:7" x14ac:dyDescent="0.2">
      <c r="A4190" s="3"/>
      <c r="B4190" s="6"/>
      <c r="C4190" s="3"/>
      <c r="D4190" s="6"/>
      <c r="E4190" s="6"/>
      <c r="F4190" s="6"/>
      <c r="G4190" s="7"/>
    </row>
    <row r="4191" spans="1:7" x14ac:dyDescent="0.2">
      <c r="A4191" s="3"/>
      <c r="B4191" s="6"/>
      <c r="C4191" s="3"/>
      <c r="D4191" s="6"/>
      <c r="E4191" s="6"/>
      <c r="F4191" s="6"/>
      <c r="G4191" s="7"/>
    </row>
    <row r="4192" spans="1:7" x14ac:dyDescent="0.2">
      <c r="A4192" s="3"/>
      <c r="B4192" s="6"/>
      <c r="C4192" s="3"/>
      <c r="D4192" s="6"/>
      <c r="E4192" s="6"/>
      <c r="F4192" s="6"/>
      <c r="G4192" s="7"/>
    </row>
    <row r="4193" spans="1:7" x14ac:dyDescent="0.2">
      <c r="A4193" s="3"/>
      <c r="B4193" s="6"/>
      <c r="C4193" s="3"/>
      <c r="D4193" s="6"/>
      <c r="E4193" s="6"/>
      <c r="F4193" s="6"/>
      <c r="G4193" s="7"/>
    </row>
    <row r="4194" spans="1:7" x14ac:dyDescent="0.2">
      <c r="A4194" s="3"/>
      <c r="B4194" s="6"/>
      <c r="C4194" s="3"/>
      <c r="D4194" s="6"/>
      <c r="E4194" s="6"/>
      <c r="F4194" s="6"/>
      <c r="G4194" s="7"/>
    </row>
    <row r="4195" spans="1:7" x14ac:dyDescent="0.2">
      <c r="A4195" s="3"/>
      <c r="B4195" s="6"/>
      <c r="C4195" s="3"/>
      <c r="D4195" s="6"/>
      <c r="E4195" s="6"/>
      <c r="F4195" s="6"/>
      <c r="G4195" s="7"/>
    </row>
    <row r="4196" spans="1:7" x14ac:dyDescent="0.2">
      <c r="A4196" s="3"/>
      <c r="B4196" s="6"/>
      <c r="C4196" s="3"/>
      <c r="D4196" s="6"/>
      <c r="E4196" s="6"/>
      <c r="F4196" s="6"/>
      <c r="G4196" s="7"/>
    </row>
    <row r="4197" spans="1:7" x14ac:dyDescent="0.2">
      <c r="A4197" s="3"/>
      <c r="B4197" s="6"/>
      <c r="C4197" s="3"/>
      <c r="D4197" s="6"/>
      <c r="E4197" s="6"/>
      <c r="F4197" s="6"/>
      <c r="G4197" s="7"/>
    </row>
    <row r="4198" spans="1:7" x14ac:dyDescent="0.2">
      <c r="A4198" s="3"/>
      <c r="B4198" s="6"/>
      <c r="C4198" s="3"/>
      <c r="D4198" s="6"/>
      <c r="E4198" s="6"/>
      <c r="F4198" s="6"/>
      <c r="G4198" s="7"/>
    </row>
    <row r="4199" spans="1:7" x14ac:dyDescent="0.2">
      <c r="A4199" s="3"/>
      <c r="B4199" s="6"/>
      <c r="C4199" s="3"/>
      <c r="D4199" s="6"/>
      <c r="E4199" s="6"/>
      <c r="F4199" s="6"/>
      <c r="G4199" s="7"/>
    </row>
    <row r="4200" spans="1:7" x14ac:dyDescent="0.2">
      <c r="A4200" s="3"/>
      <c r="B4200" s="6"/>
      <c r="C4200" s="3"/>
      <c r="D4200" s="6"/>
      <c r="E4200" s="6"/>
      <c r="F4200" s="6"/>
      <c r="G4200" s="7"/>
    </row>
    <row r="4201" spans="1:7" x14ac:dyDescent="0.2">
      <c r="A4201" s="3"/>
      <c r="B4201" s="6"/>
      <c r="C4201" s="3"/>
      <c r="D4201" s="6"/>
      <c r="E4201" s="6"/>
      <c r="F4201" s="6"/>
      <c r="G4201" s="7"/>
    </row>
    <row r="4202" spans="1:7" x14ac:dyDescent="0.2">
      <c r="A4202" s="3"/>
      <c r="B4202" s="6"/>
      <c r="C4202" s="3"/>
      <c r="D4202" s="6"/>
      <c r="E4202" s="6"/>
      <c r="F4202" s="6"/>
      <c r="G4202" s="7"/>
    </row>
    <row r="4203" spans="1:7" x14ac:dyDescent="0.2">
      <c r="A4203" s="3"/>
      <c r="B4203" s="6"/>
      <c r="C4203" s="3"/>
      <c r="D4203" s="6"/>
      <c r="E4203" s="6"/>
      <c r="F4203" s="6"/>
      <c r="G4203" s="7"/>
    </row>
    <row r="4204" spans="1:7" x14ac:dyDescent="0.2">
      <c r="A4204" s="3"/>
      <c r="B4204" s="6"/>
      <c r="C4204" s="3"/>
      <c r="D4204" s="6"/>
      <c r="E4204" s="6"/>
      <c r="F4204" s="6"/>
      <c r="G4204" s="7"/>
    </row>
    <row r="4205" spans="1:7" x14ac:dyDescent="0.2">
      <c r="A4205" s="3"/>
      <c r="B4205" s="6"/>
      <c r="C4205" s="3"/>
      <c r="D4205" s="6"/>
      <c r="E4205" s="6"/>
      <c r="F4205" s="6"/>
      <c r="G4205" s="7"/>
    </row>
    <row r="4206" spans="1:7" x14ac:dyDescent="0.2">
      <c r="A4206" s="3"/>
      <c r="B4206" s="6"/>
      <c r="C4206" s="3"/>
      <c r="D4206" s="6"/>
      <c r="E4206" s="6"/>
      <c r="F4206" s="6"/>
      <c r="G4206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2501"/>
  <sheetViews>
    <sheetView workbookViewId="0"/>
  </sheetViews>
  <sheetFormatPr defaultColWidth="12.5703125" defaultRowHeight="15.75" customHeight="1" x14ac:dyDescent="0.2"/>
  <sheetData>
    <row r="1" spans="1:26" x14ac:dyDescent="0.2">
      <c r="A1" s="8" t="s">
        <v>11</v>
      </c>
      <c r="B1" s="9" t="s">
        <v>12</v>
      </c>
      <c r="C1" s="10" t="s">
        <v>13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11">
        <v>45293</v>
      </c>
      <c r="B2" s="12">
        <f ca="1">IFERROR(__xludf.DUMMYFUNCTION("COUNTUNIQUEIFS(purchases!$A$2:$A$2001,purchases!D2:D2001,A2)"),1)</f>
        <v>1</v>
      </c>
      <c r="C2" s="13">
        <f ca="1">VLOOKUP(A2,purchases!$D$2:$F$2001,3,FALSE)</f>
        <v>45292</v>
      </c>
    </row>
    <row r="3" spans="1:26" x14ac:dyDescent="0.2">
      <c r="A3" s="11">
        <v>45294</v>
      </c>
      <c r="B3" s="12">
        <f ca="1">IFERROR(__xludf.DUMMYFUNCTION("COUNTUNIQUEIFS(purchases!$A$2:$A$2001,purchases!D3:D2002,A3)"),3)</f>
        <v>3</v>
      </c>
      <c r="C3" s="13">
        <f ca="1">VLOOKUP(A3,purchases!$D$2:$F$2001,3,FALSE)</f>
        <v>45292</v>
      </c>
    </row>
    <row r="4" spans="1:26" x14ac:dyDescent="0.2">
      <c r="A4" s="11">
        <v>45295</v>
      </c>
      <c r="B4" s="12">
        <f ca="1">IFERROR(__xludf.DUMMYFUNCTION("COUNTUNIQUEIFS(purchases!$A$2:$A$2001,purchases!D4:D2003,A4)"),8)</f>
        <v>8</v>
      </c>
      <c r="C4" s="13">
        <f ca="1">VLOOKUP(A4,purchases!$D$2:$F$2001,3,FALSE)</f>
        <v>45292</v>
      </c>
    </row>
    <row r="5" spans="1:26" x14ac:dyDescent="0.2">
      <c r="A5" s="11">
        <v>45296</v>
      </c>
      <c r="B5" s="12">
        <f ca="1">IFERROR(__xludf.DUMMYFUNCTION("COUNTUNIQUEIFS(purchases!$A$2:$A$2001,purchases!D5:D2004,A5)"),8)</f>
        <v>8</v>
      </c>
      <c r="C5" s="13">
        <f ca="1">VLOOKUP(A5,purchases!$D$2:$F$2001,3,FALSE)</f>
        <v>45292</v>
      </c>
    </row>
    <row r="6" spans="1:26" x14ac:dyDescent="0.2">
      <c r="A6" s="11">
        <v>45297</v>
      </c>
      <c r="B6" s="12">
        <f ca="1">IFERROR(__xludf.DUMMYFUNCTION("COUNTUNIQUEIFS(purchases!$A$2:$A$2001,purchases!D6:D2005,A6)"),6)</f>
        <v>6</v>
      </c>
      <c r="C6" s="13">
        <f ca="1">VLOOKUP(A6,purchases!$D$2:$F$2001,3,FALSE)</f>
        <v>45292</v>
      </c>
    </row>
    <row r="7" spans="1:26" x14ac:dyDescent="0.2">
      <c r="A7" s="11">
        <v>45298</v>
      </c>
      <c r="B7" s="12">
        <f ca="1">IFERROR(__xludf.DUMMYFUNCTION("COUNTUNIQUEIFS(purchases!$A$2:$A$2001,purchases!D7:D2006,A7)"),5)</f>
        <v>5</v>
      </c>
      <c r="C7" s="13">
        <f ca="1">VLOOKUP(A7,purchases!$D$2:$F$2001,3,FALSE)</f>
        <v>45292</v>
      </c>
    </row>
    <row r="8" spans="1:26" x14ac:dyDescent="0.2">
      <c r="A8" s="11">
        <v>45299</v>
      </c>
      <c r="B8" s="12">
        <f ca="1">IFERROR(__xludf.DUMMYFUNCTION("COUNTUNIQUEIFS(purchases!$A$2:$A$2001,purchases!D8:D2007,A8)"),8)</f>
        <v>8</v>
      </c>
      <c r="C8" s="13">
        <f ca="1">VLOOKUP(A8,purchases!$D$2:$F$2001,3,FALSE)</f>
        <v>45292</v>
      </c>
    </row>
    <row r="9" spans="1:26" x14ac:dyDescent="0.2">
      <c r="A9" s="11">
        <v>45300</v>
      </c>
      <c r="B9" s="12">
        <f ca="1">IFERROR(__xludf.DUMMYFUNCTION("COUNTUNIQUEIFS(purchases!$A$2:$A$2001,purchases!D9:D2008,A9)"),5)</f>
        <v>5</v>
      </c>
      <c r="C9" s="13">
        <f ca="1">VLOOKUP(A9,purchases!$D$2:$F$2001,3,FALSE)</f>
        <v>45292</v>
      </c>
    </row>
    <row r="10" spans="1:26" x14ac:dyDescent="0.2">
      <c r="A10" s="11">
        <v>45301</v>
      </c>
      <c r="B10" s="12">
        <f ca="1">IFERROR(__xludf.DUMMYFUNCTION("COUNTUNIQUEIFS(purchases!$A$2:$A$2001,purchases!D10:D2009,A10)"),16)</f>
        <v>16</v>
      </c>
      <c r="C10" s="13">
        <f ca="1">VLOOKUP(A10,purchases!$D$2:$F$2001,3,FALSE)</f>
        <v>45292</v>
      </c>
    </row>
    <row r="11" spans="1:26" x14ac:dyDescent="0.2">
      <c r="A11" s="11">
        <v>45302</v>
      </c>
      <c r="B11" s="12">
        <f ca="1">IFERROR(__xludf.DUMMYFUNCTION("COUNTUNIQUEIFS(purchases!$A$2:$A$2001,purchases!D11:D2010,A11)"),13)</f>
        <v>13</v>
      </c>
      <c r="C11" s="13">
        <f ca="1">VLOOKUP(A11,purchases!$D$2:$F$2001,3,FALSE)</f>
        <v>45292</v>
      </c>
    </row>
    <row r="12" spans="1:26" x14ac:dyDescent="0.2">
      <c r="A12" s="11">
        <v>45303</v>
      </c>
      <c r="B12" s="12">
        <f ca="1">IFERROR(__xludf.DUMMYFUNCTION("COUNTUNIQUEIFS(purchases!$A$2:$A$2001,purchases!D12:D2011,A12)"),11)</f>
        <v>11</v>
      </c>
      <c r="C12" s="13">
        <f ca="1">VLOOKUP(A12,purchases!$D$2:$F$2001,3,FALSE)</f>
        <v>45292</v>
      </c>
    </row>
    <row r="13" spans="1:26" x14ac:dyDescent="0.2">
      <c r="A13" s="11">
        <v>45304</v>
      </c>
      <c r="B13" s="12">
        <f ca="1">IFERROR(__xludf.DUMMYFUNCTION("COUNTUNIQUEIFS(purchases!$A$2:$A$2001,purchases!D13:D2012,A13)"),13)</f>
        <v>13</v>
      </c>
      <c r="C13" s="13">
        <f ca="1">VLOOKUP(A13,purchases!$D$2:$F$2001,3,FALSE)</f>
        <v>45292</v>
      </c>
    </row>
    <row r="14" spans="1:26" x14ac:dyDescent="0.2">
      <c r="A14" s="11">
        <v>45305</v>
      </c>
      <c r="B14" s="12">
        <f ca="1">IFERROR(__xludf.DUMMYFUNCTION("COUNTUNIQUEIFS(purchases!$A$2:$A$2001,purchases!D14:D2013,A14)"),9)</f>
        <v>9</v>
      </c>
      <c r="C14" s="13">
        <f ca="1">VLOOKUP(A14,purchases!$D$2:$F$2001,3,FALSE)</f>
        <v>45292</v>
      </c>
    </row>
    <row r="15" spans="1:26" x14ac:dyDescent="0.2">
      <c r="A15" s="11">
        <v>45306</v>
      </c>
      <c r="B15" s="12">
        <f ca="1">IFERROR(__xludf.DUMMYFUNCTION("COUNTUNIQUEIFS(purchases!$A$2:$A$2001,purchases!D15:D2014,A15)"),12)</f>
        <v>12</v>
      </c>
      <c r="C15" s="13">
        <f ca="1">VLOOKUP(A15,purchases!$D$2:$F$2001,3,FALSE)</f>
        <v>45292</v>
      </c>
    </row>
    <row r="16" spans="1:26" x14ac:dyDescent="0.2">
      <c r="A16" s="11">
        <v>45307</v>
      </c>
      <c r="B16" s="12">
        <f ca="1">IFERROR(__xludf.DUMMYFUNCTION("COUNTUNIQUEIFS(purchases!$A$2:$A$2001,purchases!D16:D2015,A16)"),16)</f>
        <v>16</v>
      </c>
      <c r="C16" s="13">
        <f ca="1">VLOOKUP(A16,purchases!$D$2:$F$2001,3,FALSE)</f>
        <v>45292</v>
      </c>
    </row>
    <row r="17" spans="1:3" x14ac:dyDescent="0.2">
      <c r="A17" s="11">
        <v>45308</v>
      </c>
      <c r="B17" s="12">
        <f ca="1">IFERROR(__xludf.DUMMYFUNCTION("COUNTUNIQUEIFS(purchases!$A$2:$A$2001,purchases!D17:D2016,A17)"),15)</f>
        <v>15</v>
      </c>
      <c r="C17" s="13">
        <f ca="1">VLOOKUP(A17,purchases!$D$2:$F$2001,3,FALSE)</f>
        <v>45292</v>
      </c>
    </row>
    <row r="18" spans="1:3" x14ac:dyDescent="0.2">
      <c r="A18" s="11">
        <v>45309</v>
      </c>
      <c r="B18" s="12">
        <f ca="1">IFERROR(__xludf.DUMMYFUNCTION("COUNTUNIQUEIFS(purchases!$A$2:$A$2001,purchases!D18:D2017,A18)"),10)</f>
        <v>10</v>
      </c>
      <c r="C18" s="13">
        <f ca="1">VLOOKUP(A18,purchases!$D$2:$F$2001,3,FALSE)</f>
        <v>45292</v>
      </c>
    </row>
    <row r="19" spans="1:3" x14ac:dyDescent="0.2">
      <c r="A19" s="11">
        <v>45310</v>
      </c>
      <c r="B19" s="12">
        <f ca="1">IFERROR(__xludf.DUMMYFUNCTION("COUNTUNIQUEIFS(purchases!$A$2:$A$2001,purchases!D19:D2018,A19)"),12)</f>
        <v>12</v>
      </c>
      <c r="C19" s="13">
        <f ca="1">VLOOKUP(A19,purchases!$D$2:$F$2001,3,FALSE)</f>
        <v>45292</v>
      </c>
    </row>
    <row r="20" spans="1:3" x14ac:dyDescent="0.2">
      <c r="A20" s="11">
        <v>45311</v>
      </c>
      <c r="B20" s="12">
        <f ca="1">IFERROR(__xludf.DUMMYFUNCTION("COUNTUNIQUEIFS(purchases!$A$2:$A$2001,purchases!D20:D2019,A20)"),13)</f>
        <v>13</v>
      </c>
      <c r="C20" s="13">
        <f ca="1">VLOOKUP(A20,purchases!$D$2:$F$2001,3,FALSE)</f>
        <v>45292</v>
      </c>
    </row>
    <row r="21" spans="1:3" x14ac:dyDescent="0.2">
      <c r="A21" s="11">
        <v>45312</v>
      </c>
      <c r="B21" s="12">
        <f ca="1">IFERROR(__xludf.DUMMYFUNCTION("COUNTUNIQUEIFS(purchases!$A$2:$A$2001,purchases!D21:D2020,A21)"),6)</f>
        <v>6</v>
      </c>
      <c r="C21" s="13">
        <f ca="1">VLOOKUP(A21,purchases!$D$2:$F$2001,3,FALSE)</f>
        <v>45292</v>
      </c>
    </row>
    <row r="22" spans="1:3" x14ac:dyDescent="0.2">
      <c r="A22" s="11">
        <v>45313</v>
      </c>
      <c r="B22" s="12">
        <f ca="1">IFERROR(__xludf.DUMMYFUNCTION("COUNTUNIQUEIFS(purchases!$A$2:$A$2001,purchases!D22:D2021,A22)"),13)</f>
        <v>13</v>
      </c>
      <c r="C22" s="13">
        <f ca="1">VLOOKUP(A22,purchases!$D$2:$F$2001,3,FALSE)</f>
        <v>45292</v>
      </c>
    </row>
    <row r="23" spans="1:3" x14ac:dyDescent="0.2">
      <c r="A23" s="11">
        <v>45314</v>
      </c>
      <c r="B23" s="12">
        <f ca="1">IFERROR(__xludf.DUMMYFUNCTION("COUNTUNIQUEIFS(purchases!$A$2:$A$2001,purchases!D23:D2022,A23)"),8)</f>
        <v>8</v>
      </c>
      <c r="C23" s="13">
        <f ca="1">VLOOKUP(A23,purchases!$D$2:$F$2001,3,FALSE)</f>
        <v>45292</v>
      </c>
    </row>
    <row r="24" spans="1:3" x14ac:dyDescent="0.2">
      <c r="A24" s="11">
        <v>45315</v>
      </c>
      <c r="B24" s="12">
        <f ca="1">IFERROR(__xludf.DUMMYFUNCTION("COUNTUNIQUEIFS(purchases!$A$2:$A$2001,purchases!D24:D2023,A24)"),12)</f>
        <v>12</v>
      </c>
      <c r="C24" s="13">
        <f ca="1">VLOOKUP(A24,purchases!$D$2:$F$2001,3,FALSE)</f>
        <v>45292</v>
      </c>
    </row>
    <row r="25" spans="1:3" x14ac:dyDescent="0.2">
      <c r="A25" s="11">
        <v>45316</v>
      </c>
      <c r="B25" s="12">
        <f ca="1">IFERROR(__xludf.DUMMYFUNCTION("COUNTUNIQUEIFS(purchases!$A$2:$A$2001,purchases!D25:D2024,A25)"),12)</f>
        <v>12</v>
      </c>
      <c r="C25" s="13">
        <f ca="1">VLOOKUP(A25,purchases!$D$2:$F$2001,3,FALSE)</f>
        <v>45292</v>
      </c>
    </row>
    <row r="26" spans="1:3" x14ac:dyDescent="0.2">
      <c r="A26" s="11">
        <v>45317</v>
      </c>
      <c r="B26" s="12">
        <f ca="1">IFERROR(__xludf.DUMMYFUNCTION("COUNTUNIQUEIFS(purchases!$A$2:$A$2001,purchases!D26:D2025,A26)"),14)</f>
        <v>14</v>
      </c>
      <c r="C26" s="13">
        <f ca="1">VLOOKUP(A26,purchases!$D$2:$F$2001,3,FALSE)</f>
        <v>45292</v>
      </c>
    </row>
    <row r="27" spans="1:3" x14ac:dyDescent="0.2">
      <c r="A27" s="11">
        <v>45318</v>
      </c>
      <c r="B27" s="12">
        <f ca="1">IFERROR(__xludf.DUMMYFUNCTION("COUNTUNIQUEIFS(purchases!$A$2:$A$2001,purchases!D27:D2026,A27)"),10)</f>
        <v>10</v>
      </c>
      <c r="C27" s="13">
        <f ca="1">VLOOKUP(A27,purchases!$D$2:$F$2001,3,FALSE)</f>
        <v>45292</v>
      </c>
    </row>
    <row r="28" spans="1:3" x14ac:dyDescent="0.2">
      <c r="A28" s="11">
        <v>45319</v>
      </c>
      <c r="B28" s="12">
        <f ca="1">IFERROR(__xludf.DUMMYFUNCTION("COUNTUNIQUEIFS(purchases!$A$2:$A$2001,purchases!D28:D2027,A28)"),4)</f>
        <v>4</v>
      </c>
      <c r="C28" s="13">
        <f ca="1">VLOOKUP(A28,purchases!$D$2:$F$2001,3,FALSE)</f>
        <v>45292</v>
      </c>
    </row>
    <row r="29" spans="1:3" x14ac:dyDescent="0.2">
      <c r="A29" s="11">
        <v>45320</v>
      </c>
      <c r="B29" s="12">
        <f ca="1">IFERROR(__xludf.DUMMYFUNCTION("COUNTUNIQUEIFS(purchases!$A$2:$A$2001,purchases!D29:D2028,A29)"),21)</f>
        <v>21</v>
      </c>
      <c r="C29" s="13">
        <f ca="1">VLOOKUP(A29,purchases!$D$2:$F$2001,3,FALSE)</f>
        <v>45292</v>
      </c>
    </row>
    <row r="30" spans="1:3" x14ac:dyDescent="0.2">
      <c r="A30" s="11">
        <v>45321</v>
      </c>
      <c r="B30" s="12">
        <f ca="1">IFERROR(__xludf.DUMMYFUNCTION("COUNTUNIQUEIFS(purchases!$A$2:$A$2001,purchases!D30:D2029,A30)"),7)</f>
        <v>7</v>
      </c>
      <c r="C30" s="13">
        <f ca="1">VLOOKUP(A30,purchases!$D$2:$F$2001,3,FALSE)</f>
        <v>45292</v>
      </c>
    </row>
    <row r="31" spans="1:3" x14ac:dyDescent="0.2">
      <c r="A31" s="11">
        <v>45322</v>
      </c>
      <c r="B31" s="12">
        <f ca="1">IFERROR(__xludf.DUMMYFUNCTION("COUNTUNIQUEIFS(purchases!$A$2:$A$2001,purchases!D31:D2030,A31)"),4)</f>
        <v>4</v>
      </c>
      <c r="C31" s="13">
        <f ca="1">VLOOKUP(A31,purchases!$D$2:$F$2001,3,FALSE)</f>
        <v>45292</v>
      </c>
    </row>
    <row r="32" spans="1:3" x14ac:dyDescent="0.2">
      <c r="A32" s="11">
        <v>45323</v>
      </c>
      <c r="B32" s="12">
        <f ca="1">IFERROR(__xludf.DUMMYFUNCTION("COUNTUNIQUEIFS(purchases!$A$2:$A$2001,purchases!D32:D2031,A32)"),11)</f>
        <v>11</v>
      </c>
      <c r="C32" s="13">
        <f ca="1">VLOOKUP(A32,purchases!$D$2:$F$2001,3,FALSE)</f>
        <v>45323</v>
      </c>
    </row>
    <row r="33" spans="1:3" x14ac:dyDescent="0.2">
      <c r="A33" s="11">
        <v>45324</v>
      </c>
      <c r="B33" s="12">
        <f ca="1">IFERROR(__xludf.DUMMYFUNCTION("COUNTUNIQUEIFS(purchases!$A$2:$A$2001,purchases!D33:D2032,A33)"),11)</f>
        <v>11</v>
      </c>
      <c r="C33" s="13">
        <f ca="1">VLOOKUP(A33,purchases!$D$2:$F$2001,3,FALSE)</f>
        <v>45323</v>
      </c>
    </row>
    <row r="34" spans="1:3" x14ac:dyDescent="0.2">
      <c r="A34" s="11">
        <v>45325</v>
      </c>
      <c r="B34" s="12">
        <f ca="1">IFERROR(__xludf.DUMMYFUNCTION("COUNTUNIQUEIFS(purchases!$A$2:$A$2001,purchases!D34:D2033,A34)"),12)</f>
        <v>12</v>
      </c>
      <c r="C34" s="13">
        <f ca="1">VLOOKUP(A34,purchases!$D$2:$F$2001,3,FALSE)</f>
        <v>45323</v>
      </c>
    </row>
    <row r="35" spans="1:3" x14ac:dyDescent="0.2">
      <c r="A35" s="11">
        <v>45326</v>
      </c>
      <c r="B35" s="12">
        <f ca="1">IFERROR(__xludf.DUMMYFUNCTION("COUNTUNIQUEIFS(purchases!$A$2:$A$2001,purchases!D35:D2034,A35)"),13)</f>
        <v>13</v>
      </c>
      <c r="C35" s="13">
        <f ca="1">VLOOKUP(A35,purchases!$D$2:$F$2001,3,FALSE)</f>
        <v>45323</v>
      </c>
    </row>
    <row r="36" spans="1:3" x14ac:dyDescent="0.2">
      <c r="A36" s="11">
        <v>45327</v>
      </c>
      <c r="B36" s="12">
        <f ca="1">IFERROR(__xludf.DUMMYFUNCTION("COUNTUNIQUEIFS(purchases!$A$2:$A$2001,purchases!D36:D2035,A36)"),14)</f>
        <v>14</v>
      </c>
      <c r="C36" s="13">
        <f ca="1">VLOOKUP(A36,purchases!$D$2:$F$2001,3,FALSE)</f>
        <v>45323</v>
      </c>
    </row>
    <row r="37" spans="1:3" x14ac:dyDescent="0.2">
      <c r="A37" s="11">
        <v>45328</v>
      </c>
      <c r="B37" s="12">
        <f ca="1">IFERROR(__xludf.DUMMYFUNCTION("COUNTUNIQUEIFS(purchases!$A$2:$A$2001,purchases!D37:D2036,A37)"),10)</f>
        <v>10</v>
      </c>
      <c r="C37" s="13">
        <f ca="1">VLOOKUP(A37,purchases!$D$2:$F$2001,3,FALSE)</f>
        <v>45323</v>
      </c>
    </row>
    <row r="38" spans="1:3" x14ac:dyDescent="0.2">
      <c r="A38" s="11">
        <v>45329</v>
      </c>
      <c r="B38" s="12">
        <f ca="1">IFERROR(__xludf.DUMMYFUNCTION("COUNTUNIQUEIFS(purchases!$A$2:$A$2001,purchases!D38:D2037,A38)"),19)</f>
        <v>19</v>
      </c>
      <c r="C38" s="13">
        <f ca="1">VLOOKUP(A38,purchases!$D$2:$F$2001,3,FALSE)</f>
        <v>45323</v>
      </c>
    </row>
    <row r="39" spans="1:3" x14ac:dyDescent="0.2">
      <c r="A39" s="11">
        <v>45330</v>
      </c>
      <c r="B39" s="12">
        <f ca="1">IFERROR(__xludf.DUMMYFUNCTION("COUNTUNIQUEIFS(purchases!$A$2:$A$2001,purchases!D39:D2038,A39)"),7)</f>
        <v>7</v>
      </c>
      <c r="C39" s="13">
        <f ca="1">VLOOKUP(A39,purchases!$D$2:$F$2001,3,FALSE)</f>
        <v>45323</v>
      </c>
    </row>
    <row r="40" spans="1:3" x14ac:dyDescent="0.2">
      <c r="A40" s="11">
        <v>45331</v>
      </c>
      <c r="B40" s="12">
        <f ca="1">IFERROR(__xludf.DUMMYFUNCTION("COUNTUNIQUEIFS(purchases!$A$2:$A$2001,purchases!D40:D2039,A40)"),9)</f>
        <v>9</v>
      </c>
      <c r="C40" s="13">
        <f ca="1">VLOOKUP(A40,purchases!$D$2:$F$2001,3,FALSE)</f>
        <v>45323</v>
      </c>
    </row>
    <row r="41" spans="1:3" x14ac:dyDescent="0.2">
      <c r="A41" s="11">
        <v>45332</v>
      </c>
      <c r="B41" s="12">
        <f ca="1">IFERROR(__xludf.DUMMYFUNCTION("COUNTUNIQUEIFS(purchases!$A$2:$A$2001,purchases!D41:D2040,A41)"),16)</f>
        <v>16</v>
      </c>
      <c r="C41" s="13">
        <f ca="1">VLOOKUP(A41,purchases!$D$2:$F$2001,3,FALSE)</f>
        <v>45323</v>
      </c>
    </row>
    <row r="42" spans="1:3" x14ac:dyDescent="0.2">
      <c r="A42" s="11">
        <v>45333</v>
      </c>
      <c r="B42" s="12">
        <f ca="1">IFERROR(__xludf.DUMMYFUNCTION("COUNTUNIQUEIFS(purchases!$A$2:$A$2001,purchases!D42:D2041,A42)"),7)</f>
        <v>7</v>
      </c>
      <c r="C42" s="13">
        <f ca="1">VLOOKUP(A42,purchases!$D$2:$F$2001,3,FALSE)</f>
        <v>45323</v>
      </c>
    </row>
    <row r="43" spans="1:3" x14ac:dyDescent="0.2">
      <c r="A43" s="11">
        <v>45334</v>
      </c>
      <c r="B43" s="12">
        <f ca="1">IFERROR(__xludf.DUMMYFUNCTION("COUNTUNIQUEIFS(purchases!$A$2:$A$2001,purchases!D43:D2042,A43)"),10)</f>
        <v>10</v>
      </c>
      <c r="C43" s="13">
        <f ca="1">VLOOKUP(A43,purchases!$D$2:$F$2001,3,FALSE)</f>
        <v>45323</v>
      </c>
    </row>
    <row r="44" spans="1:3" x14ac:dyDescent="0.2">
      <c r="A44" s="11">
        <v>45335</v>
      </c>
      <c r="B44" s="12">
        <f ca="1">IFERROR(__xludf.DUMMYFUNCTION("COUNTUNIQUEIFS(purchases!$A$2:$A$2001,purchases!D44:D2043,A44)"),14)</f>
        <v>14</v>
      </c>
      <c r="C44" s="13">
        <f ca="1">VLOOKUP(A44,purchases!$D$2:$F$2001,3,FALSE)</f>
        <v>45323</v>
      </c>
    </row>
    <row r="45" spans="1:3" x14ac:dyDescent="0.2">
      <c r="A45" s="11">
        <v>45336</v>
      </c>
      <c r="B45" s="12">
        <f ca="1">IFERROR(__xludf.DUMMYFUNCTION("COUNTUNIQUEIFS(purchases!$A$2:$A$2001,purchases!D45:D2044,A45)"),13)</f>
        <v>13</v>
      </c>
      <c r="C45" s="13">
        <f ca="1">VLOOKUP(A45,purchases!$D$2:$F$2001,3,FALSE)</f>
        <v>45323</v>
      </c>
    </row>
    <row r="46" spans="1:3" x14ac:dyDescent="0.2">
      <c r="A46" s="11">
        <v>45337</v>
      </c>
      <c r="B46" s="12">
        <f ca="1">IFERROR(__xludf.DUMMYFUNCTION("COUNTUNIQUEIFS(purchases!$A$2:$A$2001,purchases!D46:D2045,A46)"),14)</f>
        <v>14</v>
      </c>
      <c r="C46" s="13">
        <f ca="1">VLOOKUP(A46,purchases!$D$2:$F$2001,3,FALSE)</f>
        <v>45323</v>
      </c>
    </row>
    <row r="47" spans="1:3" x14ac:dyDescent="0.2">
      <c r="A47" s="11">
        <v>45338</v>
      </c>
      <c r="B47" s="12">
        <f ca="1">IFERROR(__xludf.DUMMYFUNCTION("COUNTUNIQUEIFS(purchases!$A$2:$A$2001,purchases!D47:D2046,A47)"),8)</f>
        <v>8</v>
      </c>
      <c r="C47" s="13">
        <f ca="1">VLOOKUP(A47,purchases!$D$2:$F$2001,3,FALSE)</f>
        <v>45323</v>
      </c>
    </row>
    <row r="48" spans="1:3" x14ac:dyDescent="0.2">
      <c r="A48" s="11">
        <v>45339</v>
      </c>
      <c r="B48" s="12">
        <f ca="1">IFERROR(__xludf.DUMMYFUNCTION("COUNTUNIQUEIFS(purchases!$A$2:$A$2001,purchases!D48:D2047,A48)"),9)</f>
        <v>9</v>
      </c>
      <c r="C48" s="13">
        <f ca="1">VLOOKUP(A48,purchases!$D$2:$F$2001,3,FALSE)</f>
        <v>45323</v>
      </c>
    </row>
    <row r="49" spans="1:3" x14ac:dyDescent="0.2">
      <c r="A49" s="11">
        <v>45340</v>
      </c>
      <c r="B49" s="12">
        <f ca="1">IFERROR(__xludf.DUMMYFUNCTION("COUNTUNIQUEIFS(purchases!$A$2:$A$2001,purchases!D49:D2048,A49)"),4)</f>
        <v>4</v>
      </c>
      <c r="C49" s="13">
        <f ca="1">VLOOKUP(A49,purchases!$D$2:$F$2001,3,FALSE)</f>
        <v>45323</v>
      </c>
    </row>
    <row r="50" spans="1:3" x14ac:dyDescent="0.2">
      <c r="A50" s="11">
        <v>45341</v>
      </c>
      <c r="B50" s="12">
        <f ca="1">IFERROR(__xludf.DUMMYFUNCTION("COUNTUNIQUEIFS(purchases!$A$2:$A$2001,purchases!D50:D2049,A50)"),13)</f>
        <v>13</v>
      </c>
      <c r="C50" s="13">
        <f ca="1">VLOOKUP(A50,purchases!$D$2:$F$2001,3,FALSE)</f>
        <v>45323</v>
      </c>
    </row>
    <row r="51" spans="1:3" x14ac:dyDescent="0.2">
      <c r="A51" s="11">
        <v>45342</v>
      </c>
      <c r="B51" s="12">
        <f ca="1">IFERROR(__xludf.DUMMYFUNCTION("COUNTUNIQUEIFS(purchases!$A$2:$A$2001,purchases!D51:D2050,A51)"),11)</f>
        <v>11</v>
      </c>
      <c r="C51" s="13">
        <f ca="1">VLOOKUP(A51,purchases!$D$2:$F$2001,3,FALSE)</f>
        <v>45323</v>
      </c>
    </row>
    <row r="52" spans="1:3" x14ac:dyDescent="0.2">
      <c r="A52" s="11">
        <v>45343</v>
      </c>
      <c r="B52" s="12">
        <f ca="1">IFERROR(__xludf.DUMMYFUNCTION("COUNTUNIQUEIFS(purchases!$A$2:$A$2001,purchases!D52:D2051,A52)"),9)</f>
        <v>9</v>
      </c>
      <c r="C52" s="13">
        <f ca="1">VLOOKUP(A52,purchases!$D$2:$F$2001,3,FALSE)</f>
        <v>45323</v>
      </c>
    </row>
    <row r="53" spans="1:3" x14ac:dyDescent="0.2">
      <c r="A53" s="11">
        <v>45344</v>
      </c>
      <c r="B53" s="12">
        <f ca="1">IFERROR(__xludf.DUMMYFUNCTION("COUNTUNIQUEIFS(purchases!$A$2:$A$2001,purchases!D53:D2052,A53)"),14)</f>
        <v>14</v>
      </c>
      <c r="C53" s="13">
        <f ca="1">VLOOKUP(A53,purchases!$D$2:$F$2001,3,FALSE)</f>
        <v>45323</v>
      </c>
    </row>
    <row r="54" spans="1:3" x14ac:dyDescent="0.2">
      <c r="A54" s="11">
        <v>45345</v>
      </c>
      <c r="B54" s="12">
        <f ca="1">IFERROR(__xludf.DUMMYFUNCTION("COUNTUNIQUEIFS(purchases!$A$2:$A$2001,purchases!D54:D2053,A54)"),11)</f>
        <v>11</v>
      </c>
      <c r="C54" s="13">
        <f ca="1">VLOOKUP(A54,purchases!$D$2:$F$2001,3,FALSE)</f>
        <v>45323</v>
      </c>
    </row>
    <row r="55" spans="1:3" x14ac:dyDescent="0.2">
      <c r="A55" s="11">
        <v>45346</v>
      </c>
      <c r="B55" s="12">
        <f ca="1">IFERROR(__xludf.DUMMYFUNCTION("COUNTUNIQUEIFS(purchases!$A$2:$A$2001,purchases!D55:D2054,A55)"),8)</f>
        <v>8</v>
      </c>
      <c r="C55" s="13">
        <f ca="1">VLOOKUP(A55,purchases!$D$2:$F$2001,3,FALSE)</f>
        <v>45323</v>
      </c>
    </row>
    <row r="56" spans="1:3" x14ac:dyDescent="0.2">
      <c r="A56" s="11">
        <v>45347</v>
      </c>
      <c r="B56" s="12">
        <f ca="1">IFERROR(__xludf.DUMMYFUNCTION("COUNTUNIQUEIFS(purchases!$A$2:$A$2001,purchases!D56:D2055,A56)"),6)</f>
        <v>6</v>
      </c>
      <c r="C56" s="13">
        <f ca="1">VLOOKUP(A56,purchases!$D$2:$F$2001,3,FALSE)</f>
        <v>45323</v>
      </c>
    </row>
    <row r="57" spans="1:3" x14ac:dyDescent="0.2">
      <c r="A57" s="11">
        <v>45348</v>
      </c>
      <c r="B57" s="12">
        <f ca="1">IFERROR(__xludf.DUMMYFUNCTION("COUNTUNIQUEIFS(purchases!$A$2:$A$2001,purchases!D57:D2056,A57)"),15)</f>
        <v>15</v>
      </c>
      <c r="C57" s="13">
        <f ca="1">VLOOKUP(A57,purchases!$D$2:$F$2001,3,FALSE)</f>
        <v>45323</v>
      </c>
    </row>
    <row r="58" spans="1:3" x14ac:dyDescent="0.2">
      <c r="A58" s="11">
        <v>45349</v>
      </c>
      <c r="B58" s="12">
        <f ca="1">IFERROR(__xludf.DUMMYFUNCTION("COUNTUNIQUEIFS(purchases!$A$2:$A$2001,purchases!D58:D2057,A58)"),13)</f>
        <v>13</v>
      </c>
      <c r="C58" s="13">
        <f ca="1">VLOOKUP(A58,purchases!$D$2:$F$2001,3,FALSE)</f>
        <v>45323</v>
      </c>
    </row>
    <row r="59" spans="1:3" x14ac:dyDescent="0.2">
      <c r="A59" s="11">
        <v>45350</v>
      </c>
      <c r="B59" s="12">
        <f ca="1">IFERROR(__xludf.DUMMYFUNCTION("COUNTUNIQUEIFS(purchases!$A$2:$A$2001,purchases!D59:D2058,A59)"),5)</f>
        <v>5</v>
      </c>
      <c r="C59" s="13">
        <f ca="1">VLOOKUP(A59,purchases!$D$2:$F$2001,3,FALSE)</f>
        <v>45323</v>
      </c>
    </row>
    <row r="60" spans="1:3" x14ac:dyDescent="0.2">
      <c r="A60" s="11">
        <v>45351</v>
      </c>
      <c r="B60" s="12">
        <f ca="1">IFERROR(__xludf.DUMMYFUNCTION("COUNTUNIQUEIFS(purchases!$A$2:$A$2001,purchases!D60:D2059,A60)"),13)</f>
        <v>13</v>
      </c>
      <c r="C60" s="13">
        <f ca="1">VLOOKUP(A60,purchases!$D$2:$F$2001,3,FALSE)</f>
        <v>45323</v>
      </c>
    </row>
    <row r="61" spans="1:3" x14ac:dyDescent="0.2">
      <c r="A61" s="11">
        <v>45352</v>
      </c>
      <c r="B61" s="12">
        <f ca="1">IFERROR(__xludf.DUMMYFUNCTION("COUNTUNIQUEIFS(purchases!$A$2:$A$2001,purchases!D61:D2060,A61)"),14)</f>
        <v>14</v>
      </c>
      <c r="C61" s="13">
        <f ca="1">VLOOKUP(A61,purchases!$D$2:$F$2001,3,FALSE)</f>
        <v>45352</v>
      </c>
    </row>
    <row r="62" spans="1:3" x14ac:dyDescent="0.2">
      <c r="A62" s="11">
        <v>45353</v>
      </c>
      <c r="B62" s="12">
        <f ca="1">IFERROR(__xludf.DUMMYFUNCTION("COUNTUNIQUEIFS(purchases!$A$2:$A$2001,purchases!D62:D2061,A62)"),8)</f>
        <v>8</v>
      </c>
      <c r="C62" s="13">
        <f ca="1">VLOOKUP(A62,purchases!$D$2:$F$2001,3,FALSE)</f>
        <v>45352</v>
      </c>
    </row>
    <row r="63" spans="1:3" x14ac:dyDescent="0.2">
      <c r="A63" s="11">
        <v>45354</v>
      </c>
      <c r="B63" s="12">
        <f ca="1">IFERROR(__xludf.DUMMYFUNCTION("COUNTUNIQUEIFS(purchases!$A$2:$A$2001,purchases!D63:D2062,A63)"),9)</f>
        <v>9</v>
      </c>
      <c r="C63" s="13">
        <f ca="1">VLOOKUP(A63,purchases!$D$2:$F$2001,3,FALSE)</f>
        <v>45352</v>
      </c>
    </row>
    <row r="64" spans="1:3" x14ac:dyDescent="0.2">
      <c r="A64" s="11">
        <v>45355</v>
      </c>
      <c r="B64" s="12">
        <f ca="1">IFERROR(__xludf.DUMMYFUNCTION("COUNTUNIQUEIFS(purchases!$A$2:$A$2001,purchases!D64:D2063,A64)"),9)</f>
        <v>9</v>
      </c>
      <c r="C64" s="13">
        <f ca="1">VLOOKUP(A64,purchases!$D$2:$F$2001,3,FALSE)</f>
        <v>45352</v>
      </c>
    </row>
    <row r="65" spans="1:3" x14ac:dyDescent="0.2">
      <c r="A65" s="11">
        <v>45356</v>
      </c>
      <c r="B65" s="12">
        <f ca="1">IFERROR(__xludf.DUMMYFUNCTION("COUNTUNIQUEIFS(purchases!$A$2:$A$2001,purchases!D65:D2064,A65)"),7)</f>
        <v>7</v>
      </c>
      <c r="C65" s="13">
        <f ca="1">VLOOKUP(A65,purchases!$D$2:$F$2001,3,FALSE)</f>
        <v>45352</v>
      </c>
    </row>
    <row r="66" spans="1:3" x14ac:dyDescent="0.2">
      <c r="A66" s="11">
        <v>45357</v>
      </c>
      <c r="B66" s="12">
        <f ca="1">IFERROR(__xludf.DUMMYFUNCTION("COUNTUNIQUEIFS(purchases!$A$2:$A$2001,purchases!D66:D2065,A66)"),13)</f>
        <v>13</v>
      </c>
      <c r="C66" s="13">
        <f ca="1">VLOOKUP(A66,purchases!$D$2:$F$2001,3,FALSE)</f>
        <v>45352</v>
      </c>
    </row>
    <row r="67" spans="1:3" x14ac:dyDescent="0.2">
      <c r="A67" s="11">
        <v>45358</v>
      </c>
      <c r="B67" s="12">
        <f ca="1">IFERROR(__xludf.DUMMYFUNCTION("COUNTUNIQUEIFS(purchases!$A$2:$A$2001,purchases!D67:D2066,A67)"),7)</f>
        <v>7</v>
      </c>
      <c r="C67" s="13">
        <f ca="1">VLOOKUP(A67,purchases!$D$2:$F$2001,3,FALSE)</f>
        <v>45352</v>
      </c>
    </row>
    <row r="68" spans="1:3" x14ac:dyDescent="0.2">
      <c r="A68" s="11">
        <v>45359</v>
      </c>
      <c r="B68" s="12">
        <f ca="1">IFERROR(__xludf.DUMMYFUNCTION("COUNTUNIQUEIFS(purchases!$A$2:$A$2001,purchases!D68:D2067,A68)"),14)</f>
        <v>14</v>
      </c>
      <c r="C68" s="13">
        <f ca="1">VLOOKUP(A68,purchases!$D$2:$F$2001,3,FALSE)</f>
        <v>45352</v>
      </c>
    </row>
    <row r="69" spans="1:3" x14ac:dyDescent="0.2">
      <c r="A69" s="11">
        <v>45360</v>
      </c>
      <c r="B69" s="12">
        <f ca="1">IFERROR(__xludf.DUMMYFUNCTION("COUNTUNIQUEIFS(purchases!$A$2:$A$2001,purchases!D69:D2068,A69)"),12)</f>
        <v>12</v>
      </c>
      <c r="C69" s="13">
        <f ca="1">VLOOKUP(A69,purchases!$D$2:$F$2001,3,FALSE)</f>
        <v>45352</v>
      </c>
    </row>
    <row r="70" spans="1:3" x14ac:dyDescent="0.2">
      <c r="A70" s="11">
        <v>45361</v>
      </c>
      <c r="B70" s="12">
        <f ca="1">IFERROR(__xludf.DUMMYFUNCTION("COUNTUNIQUEIFS(purchases!$A$2:$A$2001,purchases!D70:D2069,A70)"),18)</f>
        <v>18</v>
      </c>
      <c r="C70" s="13">
        <f ca="1">VLOOKUP(A70,purchases!$D$2:$F$2001,3,FALSE)</f>
        <v>45352</v>
      </c>
    </row>
    <row r="71" spans="1:3" x14ac:dyDescent="0.2">
      <c r="A71" s="11">
        <v>45362</v>
      </c>
      <c r="B71" s="12">
        <f ca="1">IFERROR(__xludf.DUMMYFUNCTION("COUNTUNIQUEIFS(purchases!$A$2:$A$2001,purchases!D71:D2070,A71)"),12)</f>
        <v>12</v>
      </c>
      <c r="C71" s="13">
        <f ca="1">VLOOKUP(A71,purchases!$D$2:$F$2001,3,FALSE)</f>
        <v>45352</v>
      </c>
    </row>
    <row r="72" spans="1:3" x14ac:dyDescent="0.2">
      <c r="A72" s="11">
        <v>45363</v>
      </c>
      <c r="B72" s="12">
        <f ca="1">IFERROR(__xludf.DUMMYFUNCTION("COUNTUNIQUEIFS(purchases!$A$2:$A$2001,purchases!D72:D2071,A72)"),7)</f>
        <v>7</v>
      </c>
      <c r="C72" s="13">
        <f ca="1">VLOOKUP(A72,purchases!$D$2:$F$2001,3,FALSE)</f>
        <v>45352</v>
      </c>
    </row>
    <row r="73" spans="1:3" x14ac:dyDescent="0.2">
      <c r="A73" s="11">
        <v>45364</v>
      </c>
      <c r="B73" s="12">
        <f ca="1">IFERROR(__xludf.DUMMYFUNCTION("COUNTUNIQUEIFS(purchases!$A$2:$A$2001,purchases!D73:D2072,A73)"),16)</f>
        <v>16</v>
      </c>
      <c r="C73" s="13">
        <f ca="1">VLOOKUP(A73,purchases!$D$2:$F$2001,3,FALSE)</f>
        <v>45352</v>
      </c>
    </row>
    <row r="74" spans="1:3" x14ac:dyDescent="0.2">
      <c r="A74" s="11">
        <v>45365</v>
      </c>
      <c r="B74" s="12">
        <f ca="1">IFERROR(__xludf.DUMMYFUNCTION("COUNTUNIQUEIFS(purchases!$A$2:$A$2001,purchases!D74:D2073,A74)"),17)</f>
        <v>17</v>
      </c>
      <c r="C74" s="13">
        <f ca="1">VLOOKUP(A74,purchases!$D$2:$F$2001,3,FALSE)</f>
        <v>45352</v>
      </c>
    </row>
    <row r="75" spans="1:3" x14ac:dyDescent="0.2">
      <c r="A75" s="11">
        <v>45366</v>
      </c>
      <c r="B75" s="12">
        <f ca="1">IFERROR(__xludf.DUMMYFUNCTION("COUNTUNIQUEIFS(purchases!$A$2:$A$2001,purchases!D75:D2074,A75)"),10)</f>
        <v>10</v>
      </c>
      <c r="C75" s="13">
        <f ca="1">VLOOKUP(A75,purchases!$D$2:$F$2001,3,FALSE)</f>
        <v>45352</v>
      </c>
    </row>
    <row r="76" spans="1:3" x14ac:dyDescent="0.2">
      <c r="A76" s="11">
        <v>45367</v>
      </c>
      <c r="B76" s="12">
        <f ca="1">IFERROR(__xludf.DUMMYFUNCTION("COUNTUNIQUEIFS(purchases!$A$2:$A$2001,purchases!D76:D2075,A76)"),9)</f>
        <v>9</v>
      </c>
      <c r="C76" s="13">
        <f ca="1">VLOOKUP(A76,purchases!$D$2:$F$2001,3,FALSE)</f>
        <v>45352</v>
      </c>
    </row>
    <row r="77" spans="1:3" x14ac:dyDescent="0.2">
      <c r="A77" s="11">
        <v>45368</v>
      </c>
      <c r="B77" s="12">
        <f ca="1">IFERROR(__xludf.DUMMYFUNCTION("COUNTUNIQUEIFS(purchases!$A$2:$A$2001,purchases!D77:D2076,A77)"),11)</f>
        <v>11</v>
      </c>
      <c r="C77" s="13">
        <f ca="1">VLOOKUP(A77,purchases!$D$2:$F$2001,3,FALSE)</f>
        <v>45352</v>
      </c>
    </row>
    <row r="78" spans="1:3" x14ac:dyDescent="0.2">
      <c r="A78" s="11">
        <v>45369</v>
      </c>
      <c r="B78" s="12">
        <f ca="1">IFERROR(__xludf.DUMMYFUNCTION("COUNTUNIQUEIFS(purchases!$A$2:$A$2001,purchases!D78:D2077,A78)"),11)</f>
        <v>11</v>
      </c>
      <c r="C78" s="13">
        <f ca="1">VLOOKUP(A78,purchases!$D$2:$F$2001,3,FALSE)</f>
        <v>45352</v>
      </c>
    </row>
    <row r="79" spans="1:3" x14ac:dyDescent="0.2">
      <c r="A79" s="11">
        <v>45370</v>
      </c>
      <c r="B79" s="12">
        <f ca="1">IFERROR(__xludf.DUMMYFUNCTION("COUNTUNIQUEIFS(purchases!$A$2:$A$2001,purchases!D79:D2078,A79)"),11)</f>
        <v>11</v>
      </c>
      <c r="C79" s="13">
        <f ca="1">VLOOKUP(A79,purchases!$D$2:$F$2001,3,FALSE)</f>
        <v>45352</v>
      </c>
    </row>
    <row r="80" spans="1:3" x14ac:dyDescent="0.2">
      <c r="A80" s="11">
        <v>45371</v>
      </c>
      <c r="B80" s="12">
        <f ca="1">IFERROR(__xludf.DUMMYFUNCTION("COUNTUNIQUEIFS(purchases!$A$2:$A$2001,purchases!D80:D2079,A80)"),9)</f>
        <v>9</v>
      </c>
      <c r="C80" s="13">
        <f ca="1">VLOOKUP(A80,purchases!$D$2:$F$2001,3,FALSE)</f>
        <v>45352</v>
      </c>
    </row>
    <row r="81" spans="1:3" x14ac:dyDescent="0.2">
      <c r="A81" s="11">
        <v>45372</v>
      </c>
      <c r="B81" s="12">
        <f ca="1">IFERROR(__xludf.DUMMYFUNCTION("COUNTUNIQUEIFS(purchases!$A$2:$A$2001,purchases!D81:D2080,A81)"),14)</f>
        <v>14</v>
      </c>
      <c r="C81" s="13">
        <f ca="1">VLOOKUP(A81,purchases!$D$2:$F$2001,3,FALSE)</f>
        <v>45352</v>
      </c>
    </row>
    <row r="82" spans="1:3" x14ac:dyDescent="0.2">
      <c r="A82" s="11">
        <v>45373</v>
      </c>
      <c r="B82" s="12">
        <f ca="1">IFERROR(__xludf.DUMMYFUNCTION("COUNTUNIQUEIFS(purchases!$A$2:$A$2001,purchases!D82:D2081,A82)"),14)</f>
        <v>14</v>
      </c>
      <c r="C82" s="13">
        <f ca="1">VLOOKUP(A82,purchases!$D$2:$F$2001,3,FALSE)</f>
        <v>45352</v>
      </c>
    </row>
    <row r="83" spans="1:3" x14ac:dyDescent="0.2">
      <c r="A83" s="11">
        <v>45374</v>
      </c>
      <c r="B83" s="12">
        <f ca="1">IFERROR(__xludf.DUMMYFUNCTION("COUNTUNIQUEIFS(purchases!$A$2:$A$2001,purchases!D83:D2082,A83)"),23)</f>
        <v>23</v>
      </c>
      <c r="C83" s="13">
        <f ca="1">VLOOKUP(A83,purchases!$D$2:$F$2001,3,FALSE)</f>
        <v>45352</v>
      </c>
    </row>
    <row r="84" spans="1:3" x14ac:dyDescent="0.2">
      <c r="A84" s="11">
        <v>45375</v>
      </c>
      <c r="B84" s="12">
        <f ca="1">IFERROR(__xludf.DUMMYFUNCTION("COUNTUNIQUEIFS(purchases!$A$2:$A$2001,purchases!D84:D2083,A84)"),12)</f>
        <v>12</v>
      </c>
      <c r="C84" s="13">
        <f ca="1">VLOOKUP(A84,purchases!$D$2:$F$2001,3,FALSE)</f>
        <v>45352</v>
      </c>
    </row>
    <row r="85" spans="1:3" x14ac:dyDescent="0.2">
      <c r="A85" s="11">
        <v>45376</v>
      </c>
      <c r="B85" s="12">
        <f ca="1">IFERROR(__xludf.DUMMYFUNCTION("COUNTUNIQUEIFS(purchases!$A$2:$A$2001,purchases!D85:D2084,A85)"),9)</f>
        <v>9</v>
      </c>
      <c r="C85" s="13">
        <f ca="1">VLOOKUP(A85,purchases!$D$2:$F$2001,3,FALSE)</f>
        <v>45352</v>
      </c>
    </row>
    <row r="86" spans="1:3" x14ac:dyDescent="0.2">
      <c r="A86" s="11">
        <v>45377</v>
      </c>
      <c r="B86" s="12">
        <f ca="1">IFERROR(__xludf.DUMMYFUNCTION("COUNTUNIQUEIFS(purchases!$A$2:$A$2001,purchases!D86:D2085,A86)"),15)</f>
        <v>15</v>
      </c>
      <c r="C86" s="13">
        <f ca="1">VLOOKUP(A86,purchases!$D$2:$F$2001,3,FALSE)</f>
        <v>45352</v>
      </c>
    </row>
    <row r="87" spans="1:3" x14ac:dyDescent="0.2">
      <c r="A87" s="11">
        <v>45378</v>
      </c>
      <c r="B87" s="12">
        <f ca="1">IFERROR(__xludf.DUMMYFUNCTION("COUNTUNIQUEIFS(purchases!$A$2:$A$2001,purchases!D87:D2086,A87)"),10)</f>
        <v>10</v>
      </c>
      <c r="C87" s="13">
        <f ca="1">VLOOKUP(A87,purchases!$D$2:$F$2001,3,FALSE)</f>
        <v>45352</v>
      </c>
    </row>
    <row r="88" spans="1:3" x14ac:dyDescent="0.2">
      <c r="A88" s="11">
        <v>45379</v>
      </c>
      <c r="B88" s="12">
        <f ca="1">IFERROR(__xludf.DUMMYFUNCTION("COUNTUNIQUEIFS(purchases!$A$2:$A$2001,purchases!D88:D2087,A88)"),17)</f>
        <v>17</v>
      </c>
      <c r="C88" s="13">
        <f ca="1">VLOOKUP(A88,purchases!$D$2:$F$2001,3,FALSE)</f>
        <v>45352</v>
      </c>
    </row>
    <row r="89" spans="1:3" x14ac:dyDescent="0.2">
      <c r="A89" s="11">
        <v>45380</v>
      </c>
      <c r="B89" s="12">
        <f ca="1">IFERROR(__xludf.DUMMYFUNCTION("COUNTUNIQUEIFS(purchases!$A$2:$A$2001,purchases!D89:D2088,A89)"),14)</f>
        <v>14</v>
      </c>
      <c r="C89" s="13">
        <f ca="1">VLOOKUP(A89,purchases!$D$2:$F$2001,3,FALSE)</f>
        <v>45352</v>
      </c>
    </row>
    <row r="90" spans="1:3" x14ac:dyDescent="0.2">
      <c r="A90" s="11">
        <v>45381</v>
      </c>
      <c r="B90" s="12">
        <f ca="1">IFERROR(__xludf.DUMMYFUNCTION("COUNTUNIQUEIFS(purchases!$A$2:$A$2001,purchases!D90:D2089,A90)"),10)</f>
        <v>10</v>
      </c>
      <c r="C90" s="13">
        <f ca="1">VLOOKUP(A90,purchases!$D$2:$F$2001,3,FALSE)</f>
        <v>45352</v>
      </c>
    </row>
    <row r="91" spans="1:3" x14ac:dyDescent="0.2">
      <c r="A91" s="11">
        <v>45382</v>
      </c>
      <c r="B91" s="12">
        <f ca="1">IFERROR(__xludf.DUMMYFUNCTION("COUNTUNIQUEIFS(purchases!$A$2:$A$2001,purchases!D91:D2090,A91)"),15)</f>
        <v>15</v>
      </c>
      <c r="C91" s="13">
        <f ca="1">VLOOKUP(A91,purchases!$D$2:$F$2001,3,FALSE)</f>
        <v>45352</v>
      </c>
    </row>
    <row r="92" spans="1:3" x14ac:dyDescent="0.2">
      <c r="A92" s="11">
        <v>45383</v>
      </c>
      <c r="B92" s="12">
        <f ca="1">IFERROR(__xludf.DUMMYFUNCTION("COUNTUNIQUEIFS(purchases!$A$2:$A$2001,purchases!D92:D2091,A92)"),13)</f>
        <v>13</v>
      </c>
      <c r="C92" s="13">
        <f ca="1">VLOOKUP(A92,purchases!$D$2:$F$2001,3,FALSE)</f>
        <v>45383</v>
      </c>
    </row>
    <row r="93" spans="1:3" x14ac:dyDescent="0.2">
      <c r="A93" s="11">
        <v>45384</v>
      </c>
      <c r="B93" s="12">
        <f ca="1">IFERROR(__xludf.DUMMYFUNCTION("COUNTUNIQUEIFS(purchases!$A$2:$A$2001,purchases!D93:D2092,A93)"),7)</f>
        <v>7</v>
      </c>
      <c r="C93" s="13">
        <f ca="1">VLOOKUP(A93,purchases!$D$2:$F$2001,3,FALSE)</f>
        <v>45383</v>
      </c>
    </row>
    <row r="94" spans="1:3" x14ac:dyDescent="0.2">
      <c r="A94" s="11">
        <v>45385</v>
      </c>
      <c r="B94" s="12">
        <f ca="1">IFERROR(__xludf.DUMMYFUNCTION("COUNTUNIQUEIFS(purchases!$A$2:$A$2001,purchases!D94:D2093,A94)"),10)</f>
        <v>10</v>
      </c>
      <c r="C94" s="13">
        <f ca="1">VLOOKUP(A94,purchases!$D$2:$F$2001,3,FALSE)</f>
        <v>45383</v>
      </c>
    </row>
    <row r="95" spans="1:3" x14ac:dyDescent="0.2">
      <c r="A95" s="11">
        <v>45386</v>
      </c>
      <c r="B95" s="12">
        <f ca="1">IFERROR(__xludf.DUMMYFUNCTION("COUNTUNIQUEIFS(purchases!$A$2:$A$2001,purchases!D95:D2094,A95)"),14)</f>
        <v>14</v>
      </c>
      <c r="C95" s="13">
        <f ca="1">VLOOKUP(A95,purchases!$D$2:$F$2001,3,FALSE)</f>
        <v>45383</v>
      </c>
    </row>
    <row r="96" spans="1:3" x14ac:dyDescent="0.2">
      <c r="A96" s="11">
        <v>45387</v>
      </c>
      <c r="B96" s="12">
        <f ca="1">IFERROR(__xludf.DUMMYFUNCTION("COUNTUNIQUEIFS(purchases!$A$2:$A$2001,purchases!D96:D2095,A96)"),8)</f>
        <v>8</v>
      </c>
      <c r="C96" s="13">
        <f ca="1">VLOOKUP(A96,purchases!$D$2:$F$2001,3,FALSE)</f>
        <v>45383</v>
      </c>
    </row>
    <row r="97" spans="1:3" x14ac:dyDescent="0.2">
      <c r="A97" s="11">
        <v>45388</v>
      </c>
      <c r="B97" s="12">
        <f ca="1">IFERROR(__xludf.DUMMYFUNCTION("COUNTUNIQUEIFS(purchases!$A$2:$A$2001,purchases!D97:D2096,A97)"),10)</f>
        <v>10</v>
      </c>
      <c r="C97" s="13">
        <f ca="1">VLOOKUP(A97,purchases!$D$2:$F$2001,3,FALSE)</f>
        <v>45383</v>
      </c>
    </row>
    <row r="98" spans="1:3" x14ac:dyDescent="0.2">
      <c r="A98" s="11">
        <v>45389</v>
      </c>
      <c r="B98" s="12">
        <f ca="1">IFERROR(__xludf.DUMMYFUNCTION("COUNTUNIQUEIFS(purchases!$A$2:$A$2001,purchases!D98:D2097,A98)"),9)</f>
        <v>9</v>
      </c>
      <c r="C98" s="13">
        <f ca="1">VLOOKUP(A98,purchases!$D$2:$F$2001,3,FALSE)</f>
        <v>45383</v>
      </c>
    </row>
    <row r="99" spans="1:3" x14ac:dyDescent="0.2">
      <c r="A99" s="11">
        <v>45390</v>
      </c>
      <c r="B99" s="12">
        <f ca="1">IFERROR(__xludf.DUMMYFUNCTION("COUNTUNIQUEIFS(purchases!$A$2:$A$2001,purchases!D99:D2098,A99)"),6)</f>
        <v>6</v>
      </c>
      <c r="C99" s="13">
        <f ca="1">VLOOKUP(A99,purchases!$D$2:$F$2001,3,FALSE)</f>
        <v>45383</v>
      </c>
    </row>
    <row r="100" spans="1:3" x14ac:dyDescent="0.2">
      <c r="A100" s="11">
        <v>45391</v>
      </c>
      <c r="B100" s="12">
        <f ca="1">IFERROR(__xludf.DUMMYFUNCTION("COUNTUNIQUEIFS(purchases!$A$2:$A$2001,purchases!D100:D2099,A100)"),9)</f>
        <v>9</v>
      </c>
      <c r="C100" s="13">
        <f ca="1">VLOOKUP(A100,purchases!$D$2:$F$2001,3,FALSE)</f>
        <v>45383</v>
      </c>
    </row>
    <row r="101" spans="1:3" x14ac:dyDescent="0.2">
      <c r="A101" s="11">
        <v>45392</v>
      </c>
      <c r="B101" s="12">
        <f ca="1">IFERROR(__xludf.DUMMYFUNCTION("COUNTUNIQUEIFS(purchases!$A$2:$A$2001,purchases!D101:D2100,A101)"),17)</f>
        <v>17</v>
      </c>
      <c r="C101" s="13">
        <f ca="1">VLOOKUP(A101,purchases!$D$2:$F$2001,3,FALSE)</f>
        <v>45383</v>
      </c>
    </row>
    <row r="102" spans="1:3" x14ac:dyDescent="0.2">
      <c r="A102" s="11">
        <v>45393</v>
      </c>
      <c r="B102" s="12">
        <f ca="1">IFERROR(__xludf.DUMMYFUNCTION("COUNTUNIQUEIFS(purchases!$A$2:$A$2001,purchases!D102:D2101,A102)"),8)</f>
        <v>8</v>
      </c>
      <c r="C102" s="13">
        <f ca="1">VLOOKUP(A102,purchases!$D$2:$F$2001,3,FALSE)</f>
        <v>45383</v>
      </c>
    </row>
    <row r="103" spans="1:3" x14ac:dyDescent="0.2">
      <c r="A103" s="11">
        <v>45394</v>
      </c>
      <c r="B103" s="12">
        <f ca="1">IFERROR(__xludf.DUMMYFUNCTION("COUNTUNIQUEIFS(purchases!$A$2:$A$2001,purchases!D103:D2102,A103)"),12)</f>
        <v>12</v>
      </c>
      <c r="C103" s="13">
        <f ca="1">VLOOKUP(A103,purchases!$D$2:$F$2001,3,FALSE)</f>
        <v>45383</v>
      </c>
    </row>
    <row r="104" spans="1:3" x14ac:dyDescent="0.2">
      <c r="A104" s="11">
        <v>45395</v>
      </c>
      <c r="B104" s="12">
        <f ca="1">IFERROR(__xludf.DUMMYFUNCTION("COUNTUNIQUEIFS(purchases!$A$2:$A$2001,purchases!D104:D2103,A104)"),6)</f>
        <v>6</v>
      </c>
      <c r="C104" s="13">
        <f ca="1">VLOOKUP(A104,purchases!$D$2:$F$2001,3,FALSE)</f>
        <v>45383</v>
      </c>
    </row>
    <row r="105" spans="1:3" x14ac:dyDescent="0.2">
      <c r="A105" s="11">
        <v>45396</v>
      </c>
      <c r="B105" s="12">
        <f ca="1">IFERROR(__xludf.DUMMYFUNCTION("COUNTUNIQUEIFS(purchases!$A$2:$A$2001,purchases!D105:D2104,A105)"),14)</f>
        <v>14</v>
      </c>
      <c r="C105" s="13">
        <f ca="1">VLOOKUP(A105,purchases!$D$2:$F$2001,3,FALSE)</f>
        <v>45383</v>
      </c>
    </row>
    <row r="106" spans="1:3" x14ac:dyDescent="0.2">
      <c r="A106" s="11">
        <v>45397</v>
      </c>
      <c r="B106" s="12">
        <f ca="1">IFERROR(__xludf.DUMMYFUNCTION("COUNTUNIQUEIFS(purchases!$A$2:$A$2001,purchases!D106:D2105,A106)"),9)</f>
        <v>9</v>
      </c>
      <c r="C106" s="13">
        <f ca="1">VLOOKUP(A106,purchases!$D$2:$F$2001,3,FALSE)</f>
        <v>45383</v>
      </c>
    </row>
    <row r="107" spans="1:3" x14ac:dyDescent="0.2">
      <c r="A107" s="11">
        <v>45398</v>
      </c>
      <c r="B107" s="12">
        <f ca="1">IFERROR(__xludf.DUMMYFUNCTION("COUNTUNIQUEIFS(purchases!$A$2:$A$2001,purchases!D107:D2106,A107)"),7)</f>
        <v>7</v>
      </c>
      <c r="C107" s="13">
        <f ca="1">VLOOKUP(A107,purchases!$D$2:$F$2001,3,FALSE)</f>
        <v>45383</v>
      </c>
    </row>
    <row r="108" spans="1:3" x14ac:dyDescent="0.2">
      <c r="A108" s="11">
        <v>45399</v>
      </c>
      <c r="B108" s="12">
        <f ca="1">IFERROR(__xludf.DUMMYFUNCTION("COUNTUNIQUEIFS(purchases!$A$2:$A$2001,purchases!D108:D2107,A108)"),14)</f>
        <v>14</v>
      </c>
      <c r="C108" s="13">
        <f ca="1">VLOOKUP(A108,purchases!$D$2:$F$2001,3,FALSE)</f>
        <v>45383</v>
      </c>
    </row>
    <row r="109" spans="1:3" x14ac:dyDescent="0.2">
      <c r="A109" s="11">
        <v>45400</v>
      </c>
      <c r="B109" s="12">
        <f ca="1">IFERROR(__xludf.DUMMYFUNCTION("COUNTUNIQUEIFS(purchases!$A$2:$A$2001,purchases!D109:D2108,A109)"),10)</f>
        <v>10</v>
      </c>
      <c r="C109" s="13">
        <f ca="1">VLOOKUP(A109,purchases!$D$2:$F$2001,3,FALSE)</f>
        <v>45383</v>
      </c>
    </row>
    <row r="110" spans="1:3" x14ac:dyDescent="0.2">
      <c r="A110" s="11">
        <v>45401</v>
      </c>
      <c r="B110" s="12">
        <f ca="1">IFERROR(__xludf.DUMMYFUNCTION("COUNTUNIQUEIFS(purchases!$A$2:$A$2001,purchases!D110:D2109,A110)"),10)</f>
        <v>10</v>
      </c>
      <c r="C110" s="13">
        <f ca="1">VLOOKUP(A110,purchases!$D$2:$F$2001,3,FALSE)</f>
        <v>45383</v>
      </c>
    </row>
    <row r="111" spans="1:3" x14ac:dyDescent="0.2">
      <c r="A111" s="11">
        <v>45402</v>
      </c>
      <c r="B111" s="12">
        <f ca="1">IFERROR(__xludf.DUMMYFUNCTION("COUNTUNIQUEIFS(purchases!$A$2:$A$2001,purchases!D111:D2110,A111)"),13)</f>
        <v>13</v>
      </c>
      <c r="C111" s="13">
        <f ca="1">VLOOKUP(A111,purchases!$D$2:$F$2001,3,FALSE)</f>
        <v>45383</v>
      </c>
    </row>
    <row r="112" spans="1:3" x14ac:dyDescent="0.2">
      <c r="A112" s="11">
        <v>45403</v>
      </c>
      <c r="B112" s="12">
        <f ca="1">IFERROR(__xludf.DUMMYFUNCTION("COUNTUNIQUEIFS(purchases!$A$2:$A$2001,purchases!D112:D2111,A112)"),18)</f>
        <v>18</v>
      </c>
      <c r="C112" s="13">
        <f ca="1">VLOOKUP(A112,purchases!$D$2:$F$2001,3,FALSE)</f>
        <v>45383</v>
      </c>
    </row>
    <row r="113" spans="1:3" x14ac:dyDescent="0.2">
      <c r="A113" s="11">
        <v>45404</v>
      </c>
      <c r="B113" s="12">
        <f ca="1">IFERROR(__xludf.DUMMYFUNCTION("COUNTUNIQUEIFS(purchases!$A$2:$A$2001,purchases!D113:D2112,A113)"),9)</f>
        <v>9</v>
      </c>
      <c r="C113" s="13">
        <f ca="1">VLOOKUP(A113,purchases!$D$2:$F$2001,3,FALSE)</f>
        <v>45383</v>
      </c>
    </row>
    <row r="114" spans="1:3" x14ac:dyDescent="0.2">
      <c r="A114" s="11">
        <v>45405</v>
      </c>
      <c r="B114" s="12">
        <f ca="1">IFERROR(__xludf.DUMMYFUNCTION("COUNTUNIQUEIFS(purchases!$A$2:$A$2001,purchases!D114:D2113,A114)"),16)</f>
        <v>16</v>
      </c>
      <c r="C114" s="13">
        <f ca="1">VLOOKUP(A114,purchases!$D$2:$F$2001,3,FALSE)</f>
        <v>45383</v>
      </c>
    </row>
    <row r="115" spans="1:3" x14ac:dyDescent="0.2">
      <c r="A115" s="11">
        <v>45406</v>
      </c>
      <c r="B115" s="12">
        <f ca="1">IFERROR(__xludf.DUMMYFUNCTION("COUNTUNIQUEIFS(purchases!$A$2:$A$2001,purchases!D115:D2114,A115)"),13)</f>
        <v>13</v>
      </c>
      <c r="C115" s="13">
        <f ca="1">VLOOKUP(A115,purchases!$D$2:$F$2001,3,FALSE)</f>
        <v>45383</v>
      </c>
    </row>
    <row r="116" spans="1:3" x14ac:dyDescent="0.2">
      <c r="A116" s="11">
        <v>45407</v>
      </c>
      <c r="B116" s="12">
        <f ca="1">IFERROR(__xludf.DUMMYFUNCTION("COUNTUNIQUEIFS(purchases!$A$2:$A$2001,purchases!D116:D2115,A116)"),12)</f>
        <v>12</v>
      </c>
      <c r="C116" s="13">
        <f ca="1">VLOOKUP(A116,purchases!$D$2:$F$2001,3,FALSE)</f>
        <v>45383</v>
      </c>
    </row>
    <row r="117" spans="1:3" x14ac:dyDescent="0.2">
      <c r="A117" s="11">
        <v>45408</v>
      </c>
      <c r="B117" s="12">
        <f ca="1">IFERROR(__xludf.DUMMYFUNCTION("COUNTUNIQUEIFS(purchases!$A$2:$A$2001,purchases!D117:D2116,A117)"),8)</f>
        <v>8</v>
      </c>
      <c r="C117" s="13">
        <f ca="1">VLOOKUP(A117,purchases!$D$2:$F$2001,3,FALSE)</f>
        <v>45383</v>
      </c>
    </row>
    <row r="118" spans="1:3" x14ac:dyDescent="0.2">
      <c r="A118" s="11">
        <v>45409</v>
      </c>
      <c r="B118" s="12">
        <f ca="1">IFERROR(__xludf.DUMMYFUNCTION("COUNTUNIQUEIFS(purchases!$A$2:$A$2001,purchases!D118:D2117,A118)"),7)</f>
        <v>7</v>
      </c>
      <c r="C118" s="13">
        <f ca="1">VLOOKUP(A118,purchases!$D$2:$F$2001,3,FALSE)</f>
        <v>45383</v>
      </c>
    </row>
    <row r="119" spans="1:3" x14ac:dyDescent="0.2">
      <c r="A119" s="11">
        <v>45410</v>
      </c>
      <c r="B119" s="12">
        <f ca="1">IFERROR(__xludf.DUMMYFUNCTION("COUNTUNIQUEIFS(purchases!$A$2:$A$2001,purchases!D119:D2118,A119)"),9)</f>
        <v>9</v>
      </c>
      <c r="C119" s="13">
        <f ca="1">VLOOKUP(A119,purchases!$D$2:$F$2001,3,FALSE)</f>
        <v>45383</v>
      </c>
    </row>
    <row r="120" spans="1:3" x14ac:dyDescent="0.2">
      <c r="A120" s="11">
        <v>45411</v>
      </c>
      <c r="B120" s="12">
        <f ca="1">IFERROR(__xludf.DUMMYFUNCTION("COUNTUNIQUEIFS(purchases!$A$2:$A$2001,purchases!D120:D2119,A120)"),6)</f>
        <v>6</v>
      </c>
      <c r="C120" s="13">
        <f ca="1">VLOOKUP(A120,purchases!$D$2:$F$2001,3,FALSE)</f>
        <v>45383</v>
      </c>
    </row>
    <row r="121" spans="1:3" x14ac:dyDescent="0.2">
      <c r="A121" s="11">
        <v>45412</v>
      </c>
      <c r="B121" s="12">
        <f ca="1">IFERROR(__xludf.DUMMYFUNCTION("COUNTUNIQUEIFS(purchases!$A$2:$A$2001,purchases!D121:D2120,A121)"),14)</f>
        <v>14</v>
      </c>
      <c r="C121" s="13">
        <f ca="1">VLOOKUP(A121,purchases!$D$2:$F$2001,3,FALSE)</f>
        <v>45383</v>
      </c>
    </row>
    <row r="122" spans="1:3" x14ac:dyDescent="0.2">
      <c r="A122" s="11">
        <v>45413</v>
      </c>
      <c r="B122" s="12">
        <f ca="1">IFERROR(__xludf.DUMMYFUNCTION("COUNTUNIQUEIFS(purchases!$A$2:$A$2001,purchases!D122:D2121,A122)"),9)</f>
        <v>9</v>
      </c>
      <c r="C122" s="13">
        <f ca="1">VLOOKUP(A122,purchases!$D$2:$F$2001,3,FALSE)</f>
        <v>45413</v>
      </c>
    </row>
    <row r="123" spans="1:3" x14ac:dyDescent="0.2">
      <c r="A123" s="11">
        <v>45414</v>
      </c>
      <c r="B123" s="12">
        <f ca="1">IFERROR(__xludf.DUMMYFUNCTION("COUNTUNIQUEIFS(purchases!$A$2:$A$2001,purchases!D123:D2122,A123)"),9)</f>
        <v>9</v>
      </c>
      <c r="C123" s="13">
        <f ca="1">VLOOKUP(A123,purchases!$D$2:$F$2001,3,FALSE)</f>
        <v>45413</v>
      </c>
    </row>
    <row r="124" spans="1:3" x14ac:dyDescent="0.2">
      <c r="A124" s="11">
        <v>45415</v>
      </c>
      <c r="B124" s="12">
        <f ca="1">IFERROR(__xludf.DUMMYFUNCTION("COUNTUNIQUEIFS(purchases!$A$2:$A$2001,purchases!D124:D2123,A124)"),8)</f>
        <v>8</v>
      </c>
      <c r="C124" s="13">
        <f ca="1">VLOOKUP(A124,purchases!$D$2:$F$2001,3,FALSE)</f>
        <v>45413</v>
      </c>
    </row>
    <row r="125" spans="1:3" x14ac:dyDescent="0.2">
      <c r="A125" s="11">
        <v>45416</v>
      </c>
      <c r="B125" s="12">
        <f ca="1">IFERROR(__xludf.DUMMYFUNCTION("COUNTUNIQUEIFS(purchases!$A$2:$A$2001,purchases!D125:D2124,A125)"),9)</f>
        <v>9</v>
      </c>
      <c r="C125" s="13">
        <f ca="1">VLOOKUP(A125,purchases!$D$2:$F$2001,3,FALSE)</f>
        <v>45413</v>
      </c>
    </row>
    <row r="126" spans="1:3" x14ac:dyDescent="0.2">
      <c r="A126" s="11">
        <v>45417</v>
      </c>
      <c r="B126" s="12">
        <f ca="1">IFERROR(__xludf.DUMMYFUNCTION("COUNTUNIQUEIFS(purchases!$A$2:$A$2001,purchases!D126:D2125,A126)"),13)</f>
        <v>13</v>
      </c>
      <c r="C126" s="13">
        <f ca="1">VLOOKUP(A126,purchases!$D$2:$F$2001,3,FALSE)</f>
        <v>45413</v>
      </c>
    </row>
    <row r="127" spans="1:3" x14ac:dyDescent="0.2">
      <c r="A127" s="11">
        <v>45418</v>
      </c>
      <c r="B127" s="12">
        <f ca="1">IFERROR(__xludf.DUMMYFUNCTION("COUNTUNIQUEIFS(purchases!$A$2:$A$2001,purchases!D127:D2126,A127)"),10)</f>
        <v>10</v>
      </c>
      <c r="C127" s="13">
        <f ca="1">VLOOKUP(A127,purchases!$D$2:$F$2001,3,FALSE)</f>
        <v>45413</v>
      </c>
    </row>
    <row r="128" spans="1:3" x14ac:dyDescent="0.2">
      <c r="A128" s="11">
        <v>45419</v>
      </c>
      <c r="B128" s="12">
        <f ca="1">IFERROR(__xludf.DUMMYFUNCTION("COUNTUNIQUEIFS(purchases!$A$2:$A$2001,purchases!D128:D2127,A128)"),9)</f>
        <v>9</v>
      </c>
      <c r="C128" s="13">
        <f ca="1">VLOOKUP(A128,purchases!$D$2:$F$2001,3,FALSE)</f>
        <v>45413</v>
      </c>
    </row>
    <row r="129" spans="1:3" x14ac:dyDescent="0.2">
      <c r="A129" s="11">
        <v>45420</v>
      </c>
      <c r="B129" s="12">
        <f ca="1">IFERROR(__xludf.DUMMYFUNCTION("COUNTUNIQUEIFS(purchases!$A$2:$A$2001,purchases!D129:D2128,A129)"),13)</f>
        <v>13</v>
      </c>
      <c r="C129" s="13">
        <f ca="1">VLOOKUP(A129,purchases!$D$2:$F$2001,3,FALSE)</f>
        <v>45413</v>
      </c>
    </row>
    <row r="130" spans="1:3" x14ac:dyDescent="0.2">
      <c r="A130" s="11">
        <v>45421</v>
      </c>
      <c r="B130" s="12">
        <f ca="1">IFERROR(__xludf.DUMMYFUNCTION("COUNTUNIQUEIFS(purchases!$A$2:$A$2001,purchases!D130:D2129,A130)"),15)</f>
        <v>15</v>
      </c>
      <c r="C130" s="13">
        <f ca="1">VLOOKUP(A130,purchases!$D$2:$F$2001,3,FALSE)</f>
        <v>45413</v>
      </c>
    </row>
    <row r="131" spans="1:3" x14ac:dyDescent="0.2">
      <c r="A131" s="11">
        <v>45422</v>
      </c>
      <c r="B131" s="12">
        <f ca="1">IFERROR(__xludf.DUMMYFUNCTION("COUNTUNIQUEIFS(purchases!$A$2:$A$2001,purchases!D131:D2130,A131)"),8)</f>
        <v>8</v>
      </c>
      <c r="C131" s="13">
        <f ca="1">VLOOKUP(A131,purchases!$D$2:$F$2001,3,FALSE)</f>
        <v>45413</v>
      </c>
    </row>
    <row r="132" spans="1:3" x14ac:dyDescent="0.2">
      <c r="A132" s="11">
        <v>45423</v>
      </c>
      <c r="B132" s="12">
        <f ca="1">IFERROR(__xludf.DUMMYFUNCTION("COUNTUNIQUEIFS(purchases!$A$2:$A$2001,purchases!D132:D2131,A132)"),6)</f>
        <v>6</v>
      </c>
      <c r="C132" s="13">
        <f ca="1">VLOOKUP(A132,purchases!$D$2:$F$2001,3,FALSE)</f>
        <v>45413</v>
      </c>
    </row>
    <row r="133" spans="1:3" x14ac:dyDescent="0.2">
      <c r="A133" s="11">
        <v>45424</v>
      </c>
      <c r="B133" s="12">
        <f ca="1">IFERROR(__xludf.DUMMYFUNCTION("COUNTUNIQUEIFS(purchases!$A$2:$A$2001,purchases!D133:D2132,A133)"),8)</f>
        <v>8</v>
      </c>
      <c r="C133" s="13">
        <f ca="1">VLOOKUP(A133,purchases!$D$2:$F$2001,3,FALSE)</f>
        <v>45413</v>
      </c>
    </row>
    <row r="134" spans="1:3" x14ac:dyDescent="0.2">
      <c r="A134" s="11">
        <v>45425</v>
      </c>
      <c r="B134" s="12">
        <f ca="1">IFERROR(__xludf.DUMMYFUNCTION("COUNTUNIQUEIFS(purchases!$A$2:$A$2001,purchases!D134:D2133,A134)"),17)</f>
        <v>17</v>
      </c>
      <c r="C134" s="13">
        <f ca="1">VLOOKUP(A134,purchases!$D$2:$F$2001,3,FALSE)</f>
        <v>45413</v>
      </c>
    </row>
    <row r="135" spans="1:3" x14ac:dyDescent="0.2">
      <c r="A135" s="11">
        <v>45426</v>
      </c>
      <c r="B135" s="12">
        <f ca="1">IFERROR(__xludf.DUMMYFUNCTION("COUNTUNIQUEIFS(purchases!$A$2:$A$2001,purchases!D135:D2134,A135)"),13)</f>
        <v>13</v>
      </c>
      <c r="C135" s="13">
        <f ca="1">VLOOKUP(A135,purchases!$D$2:$F$2001,3,FALSE)</f>
        <v>45413</v>
      </c>
    </row>
    <row r="136" spans="1:3" x14ac:dyDescent="0.2">
      <c r="A136" s="11">
        <v>45427</v>
      </c>
      <c r="B136" s="12">
        <f ca="1">IFERROR(__xludf.DUMMYFUNCTION("COUNTUNIQUEIFS(purchases!$A$2:$A$2001,purchases!D136:D2135,A136)"),7)</f>
        <v>7</v>
      </c>
      <c r="C136" s="13">
        <f ca="1">VLOOKUP(A136,purchases!$D$2:$F$2001,3,FALSE)</f>
        <v>45413</v>
      </c>
    </row>
    <row r="137" spans="1:3" x14ac:dyDescent="0.2">
      <c r="A137" s="11">
        <v>45428</v>
      </c>
      <c r="B137" s="12">
        <f ca="1">IFERROR(__xludf.DUMMYFUNCTION("COUNTUNIQUEIFS(purchases!$A$2:$A$2001,purchases!D137:D2136,A137)"),8)</f>
        <v>8</v>
      </c>
      <c r="C137" s="13">
        <f ca="1">VLOOKUP(A137,purchases!$D$2:$F$2001,3,FALSE)</f>
        <v>45413</v>
      </c>
    </row>
    <row r="138" spans="1:3" x14ac:dyDescent="0.2">
      <c r="A138" s="11">
        <v>45429</v>
      </c>
      <c r="B138" s="12">
        <f ca="1">IFERROR(__xludf.DUMMYFUNCTION("COUNTUNIQUEIFS(purchases!$A$2:$A$2001,purchases!D138:D2137,A138)"),6)</f>
        <v>6</v>
      </c>
      <c r="C138" s="13">
        <f ca="1">VLOOKUP(A138,purchases!$D$2:$F$2001,3,FALSE)</f>
        <v>45413</v>
      </c>
    </row>
    <row r="139" spans="1:3" x14ac:dyDescent="0.2">
      <c r="A139" s="11">
        <v>45430</v>
      </c>
      <c r="B139" s="12">
        <f ca="1">IFERROR(__xludf.DUMMYFUNCTION("COUNTUNIQUEIFS(purchases!$A$2:$A$2001,purchases!D139:D2138,A139)"),10)</f>
        <v>10</v>
      </c>
      <c r="C139" s="13">
        <f ca="1">VLOOKUP(A139,purchases!$D$2:$F$2001,3,FALSE)</f>
        <v>45413</v>
      </c>
    </row>
    <row r="140" spans="1:3" x14ac:dyDescent="0.2">
      <c r="A140" s="11">
        <v>45431</v>
      </c>
      <c r="B140" s="12">
        <f ca="1">IFERROR(__xludf.DUMMYFUNCTION("COUNTUNIQUEIFS(purchases!$A$2:$A$2001,purchases!D140:D2139,A140)"),13)</f>
        <v>13</v>
      </c>
      <c r="C140" s="13">
        <f ca="1">VLOOKUP(A140,purchases!$D$2:$F$2001,3,FALSE)</f>
        <v>45413</v>
      </c>
    </row>
    <row r="141" spans="1:3" x14ac:dyDescent="0.2">
      <c r="A141" s="11">
        <v>45432</v>
      </c>
      <c r="B141" s="12">
        <f ca="1">IFERROR(__xludf.DUMMYFUNCTION("COUNTUNIQUEIFS(purchases!$A$2:$A$2001,purchases!D141:D2140,A141)"),11)</f>
        <v>11</v>
      </c>
      <c r="C141" s="13">
        <f ca="1">VLOOKUP(A141,purchases!$D$2:$F$2001,3,FALSE)</f>
        <v>45413</v>
      </c>
    </row>
    <row r="142" spans="1:3" x14ac:dyDescent="0.2">
      <c r="A142" s="11">
        <v>45433</v>
      </c>
      <c r="B142" s="12">
        <f ca="1">IFERROR(__xludf.DUMMYFUNCTION("COUNTUNIQUEIFS(purchases!$A$2:$A$2001,purchases!D142:D2141,A142)"),8)</f>
        <v>8</v>
      </c>
      <c r="C142" s="13">
        <f ca="1">VLOOKUP(A142,purchases!$D$2:$F$2001,3,FALSE)</f>
        <v>45413</v>
      </c>
    </row>
    <row r="143" spans="1:3" x14ac:dyDescent="0.2">
      <c r="A143" s="11">
        <v>45434</v>
      </c>
      <c r="B143" s="12">
        <f ca="1">IFERROR(__xludf.DUMMYFUNCTION("COUNTUNIQUEIFS(purchases!$A$2:$A$2001,purchases!D143:D2142,A143)"),5)</f>
        <v>5</v>
      </c>
      <c r="C143" s="13">
        <f ca="1">VLOOKUP(A143,purchases!$D$2:$F$2001,3,FALSE)</f>
        <v>45413</v>
      </c>
    </row>
    <row r="144" spans="1:3" x14ac:dyDescent="0.2">
      <c r="A144" s="11">
        <v>45435</v>
      </c>
      <c r="B144" s="12">
        <f ca="1">IFERROR(__xludf.DUMMYFUNCTION("COUNTUNIQUEIFS(purchases!$A$2:$A$2001,purchases!D144:D2143,A144)"),14)</f>
        <v>14</v>
      </c>
      <c r="C144" s="13">
        <f ca="1">VLOOKUP(A144,purchases!$D$2:$F$2001,3,FALSE)</f>
        <v>45413</v>
      </c>
    </row>
    <row r="145" spans="1:3" x14ac:dyDescent="0.2">
      <c r="A145" s="11">
        <v>45436</v>
      </c>
      <c r="B145" s="12">
        <f ca="1">IFERROR(__xludf.DUMMYFUNCTION("COUNTUNIQUEIFS(purchases!$A$2:$A$2001,purchases!D145:D2144,A145)"),11)</f>
        <v>11</v>
      </c>
      <c r="C145" s="13">
        <f ca="1">VLOOKUP(A145,purchases!$D$2:$F$2001,3,FALSE)</f>
        <v>45413</v>
      </c>
    </row>
    <row r="146" spans="1:3" x14ac:dyDescent="0.2">
      <c r="A146" s="11">
        <v>45437</v>
      </c>
      <c r="B146" s="12">
        <f ca="1">IFERROR(__xludf.DUMMYFUNCTION("COUNTUNIQUEIFS(purchases!$A$2:$A$2001,purchases!D146:D2145,A146)"),16)</f>
        <v>16</v>
      </c>
      <c r="C146" s="13">
        <f ca="1">VLOOKUP(A146,purchases!$D$2:$F$2001,3,FALSE)</f>
        <v>45413</v>
      </c>
    </row>
    <row r="147" spans="1:3" x14ac:dyDescent="0.2">
      <c r="A147" s="11">
        <v>45438</v>
      </c>
      <c r="B147" s="12">
        <f ca="1">IFERROR(__xludf.DUMMYFUNCTION("COUNTUNIQUEIFS(purchases!$A$2:$A$2001,purchases!D147:D2146,A147)"),11)</f>
        <v>11</v>
      </c>
      <c r="C147" s="13">
        <f ca="1">VLOOKUP(A147,purchases!$D$2:$F$2001,3,FALSE)</f>
        <v>45413</v>
      </c>
    </row>
    <row r="148" spans="1:3" x14ac:dyDescent="0.2">
      <c r="A148" s="11">
        <v>45439</v>
      </c>
      <c r="B148" s="12">
        <f ca="1">IFERROR(__xludf.DUMMYFUNCTION("COUNTUNIQUEIFS(purchases!$A$2:$A$2001,purchases!D148:D2147,A148)"),8)</f>
        <v>8</v>
      </c>
      <c r="C148" s="13">
        <f ca="1">VLOOKUP(A148,purchases!$D$2:$F$2001,3,FALSE)</f>
        <v>45413</v>
      </c>
    </row>
    <row r="149" spans="1:3" x14ac:dyDescent="0.2">
      <c r="A149" s="11">
        <v>45440</v>
      </c>
      <c r="B149" s="12">
        <f ca="1">IFERROR(__xludf.DUMMYFUNCTION("COUNTUNIQUEIFS(purchases!$A$2:$A$2001,purchases!D149:D2148,A149)"),9)</f>
        <v>9</v>
      </c>
      <c r="C149" s="13">
        <f ca="1">VLOOKUP(A149,purchases!$D$2:$F$2001,3,FALSE)</f>
        <v>45413</v>
      </c>
    </row>
    <row r="150" spans="1:3" x14ac:dyDescent="0.2">
      <c r="A150" s="11">
        <v>45441</v>
      </c>
      <c r="B150" s="12">
        <f ca="1">IFERROR(__xludf.DUMMYFUNCTION("COUNTUNIQUEIFS(purchases!$A$2:$A$2001,purchases!D150:D2149,A150)"),15)</f>
        <v>15</v>
      </c>
      <c r="C150" s="13">
        <f ca="1">VLOOKUP(A150,purchases!$D$2:$F$2001,3,FALSE)</f>
        <v>45413</v>
      </c>
    </row>
    <row r="151" spans="1:3" x14ac:dyDescent="0.2">
      <c r="A151" s="11">
        <v>45442</v>
      </c>
      <c r="B151" s="12">
        <f ca="1">IFERROR(__xludf.DUMMYFUNCTION("COUNTUNIQUEIFS(purchases!$A$2:$A$2001,purchases!D151:D2150,A151)"),7)</f>
        <v>7</v>
      </c>
      <c r="C151" s="13">
        <f ca="1">VLOOKUP(A151,purchases!$D$2:$F$2001,3,FALSE)</f>
        <v>45413</v>
      </c>
    </row>
    <row r="152" spans="1:3" x14ac:dyDescent="0.2">
      <c r="A152" s="11">
        <v>45443</v>
      </c>
      <c r="B152" s="12">
        <f ca="1">IFERROR(__xludf.DUMMYFUNCTION("COUNTUNIQUEIFS(purchases!$A$2:$A$2001,purchases!D152:D2151,A152)"),10)</f>
        <v>10</v>
      </c>
      <c r="C152" s="13">
        <f ca="1">VLOOKUP(A152,purchases!$D$2:$F$2001,3,FALSE)</f>
        <v>45413</v>
      </c>
    </row>
    <row r="153" spans="1:3" x14ac:dyDescent="0.2">
      <c r="A153" s="11">
        <v>45444</v>
      </c>
      <c r="B153" s="12">
        <f ca="1">IFERROR(__xludf.DUMMYFUNCTION("COUNTUNIQUEIFS(purchases!$A$2:$A$2001,purchases!D153:D2152,A153)"),13)</f>
        <v>13</v>
      </c>
      <c r="C153" s="13">
        <f ca="1">VLOOKUP(A153,purchases!$D$2:$F$2001,3,FALSE)</f>
        <v>45444</v>
      </c>
    </row>
    <row r="154" spans="1:3" x14ac:dyDescent="0.2">
      <c r="A154" s="11">
        <v>45445</v>
      </c>
      <c r="B154" s="12">
        <f ca="1">IFERROR(__xludf.DUMMYFUNCTION("COUNTUNIQUEIFS(purchases!$A$2:$A$2001,purchases!D154:D2153,A154)"),8)</f>
        <v>8</v>
      </c>
      <c r="C154" s="13">
        <f ca="1">VLOOKUP(A154,purchases!$D$2:$F$2001,3,FALSE)</f>
        <v>45444</v>
      </c>
    </row>
    <row r="155" spans="1:3" x14ac:dyDescent="0.2">
      <c r="A155" s="11">
        <v>45446</v>
      </c>
      <c r="B155" s="12">
        <f ca="1">IFERROR(__xludf.DUMMYFUNCTION("COUNTUNIQUEIFS(purchases!$A$2:$A$2001,purchases!D155:D2154,A155)"),8)</f>
        <v>8</v>
      </c>
      <c r="C155" s="13">
        <f ca="1">VLOOKUP(A155,purchases!$D$2:$F$2001,3,FALSE)</f>
        <v>45444</v>
      </c>
    </row>
    <row r="156" spans="1:3" x14ac:dyDescent="0.2">
      <c r="A156" s="11">
        <v>45447</v>
      </c>
      <c r="B156" s="12">
        <f ca="1">IFERROR(__xludf.DUMMYFUNCTION("COUNTUNIQUEIFS(purchases!$A$2:$A$2001,purchases!D156:D2155,A156)"),18)</f>
        <v>18</v>
      </c>
      <c r="C156" s="13">
        <f ca="1">VLOOKUP(A156,purchases!$D$2:$F$2001,3,FALSE)</f>
        <v>45444</v>
      </c>
    </row>
    <row r="157" spans="1:3" x14ac:dyDescent="0.2">
      <c r="A157" s="11">
        <v>45448</v>
      </c>
      <c r="B157" s="12">
        <f ca="1">IFERROR(__xludf.DUMMYFUNCTION("COUNTUNIQUEIFS(purchases!$A$2:$A$2001,purchases!D157:D2156,A157)"),12)</f>
        <v>12</v>
      </c>
      <c r="C157" s="13">
        <f ca="1">VLOOKUP(A157,purchases!$D$2:$F$2001,3,FALSE)</f>
        <v>45444</v>
      </c>
    </row>
    <row r="158" spans="1:3" x14ac:dyDescent="0.2">
      <c r="A158" s="11">
        <v>45449</v>
      </c>
      <c r="B158" s="12">
        <f ca="1">IFERROR(__xludf.DUMMYFUNCTION("COUNTUNIQUEIFS(purchases!$A$2:$A$2001,purchases!D158:D2157,A158)"),8)</f>
        <v>8</v>
      </c>
      <c r="C158" s="13">
        <f ca="1">VLOOKUP(A158,purchases!$D$2:$F$2001,3,FALSE)</f>
        <v>45444</v>
      </c>
    </row>
    <row r="159" spans="1:3" x14ac:dyDescent="0.2">
      <c r="A159" s="11">
        <v>45450</v>
      </c>
      <c r="B159" s="12">
        <f ca="1">IFERROR(__xludf.DUMMYFUNCTION("COUNTUNIQUEIFS(purchases!$A$2:$A$2001,purchases!D159:D2158,A159)"),7)</f>
        <v>7</v>
      </c>
      <c r="C159" s="13">
        <f ca="1">VLOOKUP(A159,purchases!$D$2:$F$2001,3,FALSE)</f>
        <v>45444</v>
      </c>
    </row>
    <row r="160" spans="1:3" x14ac:dyDescent="0.2">
      <c r="A160" s="11">
        <v>45451</v>
      </c>
      <c r="B160" s="12">
        <f ca="1">IFERROR(__xludf.DUMMYFUNCTION("COUNTUNIQUEIFS(purchases!$A$2:$A$2001,purchases!D160:D2159,A160)"),11)</f>
        <v>11</v>
      </c>
      <c r="C160" s="13">
        <f ca="1">VLOOKUP(A160,purchases!$D$2:$F$2001,3,FALSE)</f>
        <v>45444</v>
      </c>
    </row>
    <row r="161" spans="1:3" x14ac:dyDescent="0.2">
      <c r="A161" s="11">
        <v>45452</v>
      </c>
      <c r="B161" s="12">
        <f ca="1">IFERROR(__xludf.DUMMYFUNCTION("COUNTUNIQUEIFS(purchases!$A$2:$A$2001,purchases!D161:D2160,A161)"),7)</f>
        <v>7</v>
      </c>
      <c r="C161" s="13">
        <f ca="1">VLOOKUP(A161,purchases!$D$2:$F$2001,3,FALSE)</f>
        <v>45444</v>
      </c>
    </row>
    <row r="162" spans="1:3" x14ac:dyDescent="0.2">
      <c r="A162" s="11">
        <v>45453</v>
      </c>
      <c r="B162" s="12">
        <f ca="1">IFERROR(__xludf.DUMMYFUNCTION("COUNTUNIQUEIFS(purchases!$A$2:$A$2001,purchases!D162:D2161,A162)"),10)</f>
        <v>10</v>
      </c>
      <c r="C162" s="13">
        <f ca="1">VLOOKUP(A162,purchases!$D$2:$F$2001,3,FALSE)</f>
        <v>45444</v>
      </c>
    </row>
    <row r="163" spans="1:3" x14ac:dyDescent="0.2">
      <c r="A163" s="11">
        <v>45454</v>
      </c>
      <c r="B163" s="12">
        <f ca="1">IFERROR(__xludf.DUMMYFUNCTION("COUNTUNIQUEIFS(purchases!$A$2:$A$2001,purchases!D163:D2162,A163)"),12)</f>
        <v>12</v>
      </c>
      <c r="C163" s="13">
        <f ca="1">VLOOKUP(A163,purchases!$D$2:$F$2001,3,FALSE)</f>
        <v>45444</v>
      </c>
    </row>
    <row r="164" spans="1:3" x14ac:dyDescent="0.2">
      <c r="A164" s="11">
        <v>45455</v>
      </c>
      <c r="B164" s="12">
        <f ca="1">IFERROR(__xludf.DUMMYFUNCTION("COUNTUNIQUEIFS(purchases!$A$2:$A$2001,purchases!D164:D2163,A164)"),12)</f>
        <v>12</v>
      </c>
      <c r="C164" s="13">
        <f ca="1">VLOOKUP(A164,purchases!$D$2:$F$2001,3,FALSE)</f>
        <v>45444</v>
      </c>
    </row>
    <row r="165" spans="1:3" x14ac:dyDescent="0.2">
      <c r="A165" s="11">
        <v>45456</v>
      </c>
      <c r="B165" s="12">
        <f ca="1">IFERROR(__xludf.DUMMYFUNCTION("COUNTUNIQUEIFS(purchases!$A$2:$A$2001,purchases!D165:D2164,A165)"),7)</f>
        <v>7</v>
      </c>
      <c r="C165" s="13">
        <f ca="1">VLOOKUP(A165,purchases!$D$2:$F$2001,3,FALSE)</f>
        <v>45444</v>
      </c>
    </row>
    <row r="166" spans="1:3" x14ac:dyDescent="0.2">
      <c r="A166" s="11">
        <v>45457</v>
      </c>
      <c r="B166" s="12">
        <f ca="1">IFERROR(__xludf.DUMMYFUNCTION("COUNTUNIQUEIFS(purchases!$A$2:$A$2001,purchases!D166:D2165,A166)"),14)</f>
        <v>14</v>
      </c>
      <c r="C166" s="13">
        <f ca="1">VLOOKUP(A166,purchases!$D$2:$F$2001,3,FALSE)</f>
        <v>45444</v>
      </c>
    </row>
    <row r="167" spans="1:3" x14ac:dyDescent="0.2">
      <c r="A167" s="11">
        <v>45458</v>
      </c>
      <c r="B167" s="12">
        <f ca="1">IFERROR(__xludf.DUMMYFUNCTION("COUNTUNIQUEIFS(purchases!$A$2:$A$2001,purchases!D167:D2166,A167)"),9)</f>
        <v>9</v>
      </c>
      <c r="C167" s="13">
        <f ca="1">VLOOKUP(A167,purchases!$D$2:$F$2001,3,FALSE)</f>
        <v>45444</v>
      </c>
    </row>
    <row r="168" spans="1:3" x14ac:dyDescent="0.2">
      <c r="A168" s="11">
        <v>45459</v>
      </c>
      <c r="B168" s="12">
        <f ca="1">IFERROR(__xludf.DUMMYFUNCTION("COUNTUNIQUEIFS(purchases!$A$2:$A$2001,purchases!D168:D2167,A168)"),15)</f>
        <v>15</v>
      </c>
      <c r="C168" s="13">
        <f ca="1">VLOOKUP(A168,purchases!$D$2:$F$2001,3,FALSE)</f>
        <v>45444</v>
      </c>
    </row>
    <row r="169" spans="1:3" x14ac:dyDescent="0.2">
      <c r="A169" s="11">
        <v>45460</v>
      </c>
      <c r="B169" s="12">
        <f ca="1">IFERROR(__xludf.DUMMYFUNCTION("COUNTUNIQUEIFS(purchases!$A$2:$A$2001,purchases!D169:D2168,A169)"),13)</f>
        <v>13</v>
      </c>
      <c r="C169" s="13">
        <f ca="1">VLOOKUP(A169,purchases!$D$2:$F$2001,3,FALSE)</f>
        <v>45444</v>
      </c>
    </row>
    <row r="170" spans="1:3" x14ac:dyDescent="0.2">
      <c r="A170" s="11">
        <v>45461</v>
      </c>
      <c r="B170" s="12">
        <f ca="1">IFERROR(__xludf.DUMMYFUNCTION("COUNTUNIQUEIFS(purchases!$A$2:$A$2001,purchases!D170:D2169,A170)"),7)</f>
        <v>7</v>
      </c>
      <c r="C170" s="13">
        <f ca="1">VLOOKUP(A170,purchases!$D$2:$F$2001,3,FALSE)</f>
        <v>45444</v>
      </c>
    </row>
    <row r="171" spans="1:3" x14ac:dyDescent="0.2">
      <c r="A171" s="11">
        <v>45462</v>
      </c>
      <c r="B171" s="12">
        <f ca="1">IFERROR(__xludf.DUMMYFUNCTION("COUNTUNIQUEIFS(purchases!$A$2:$A$2001,purchases!D171:D2170,A171)"),8)</f>
        <v>8</v>
      </c>
      <c r="C171" s="13">
        <f ca="1">VLOOKUP(A171,purchases!$D$2:$F$2001,3,FALSE)</f>
        <v>45444</v>
      </c>
    </row>
    <row r="172" spans="1:3" x14ac:dyDescent="0.2">
      <c r="A172" s="11">
        <v>45463</v>
      </c>
      <c r="B172" s="12">
        <f ca="1">IFERROR(__xludf.DUMMYFUNCTION("COUNTUNIQUEIFS(purchases!$A$2:$A$2001,purchases!D172:D2171,A172)"),9)</f>
        <v>9</v>
      </c>
      <c r="C172" s="13">
        <f ca="1">VLOOKUP(A172,purchases!$D$2:$F$2001,3,FALSE)</f>
        <v>45444</v>
      </c>
    </row>
    <row r="173" spans="1:3" x14ac:dyDescent="0.2">
      <c r="A173" s="11">
        <v>45464</v>
      </c>
      <c r="B173" s="12">
        <f ca="1">IFERROR(__xludf.DUMMYFUNCTION("COUNTUNIQUEIFS(purchases!$A$2:$A$2001,purchases!D173:D2172,A173)"),8)</f>
        <v>8</v>
      </c>
      <c r="C173" s="13">
        <f ca="1">VLOOKUP(A173,purchases!$D$2:$F$2001,3,FALSE)</f>
        <v>45444</v>
      </c>
    </row>
    <row r="174" spans="1:3" x14ac:dyDescent="0.2">
      <c r="A174" s="11">
        <v>45465</v>
      </c>
      <c r="B174" s="12">
        <f ca="1">IFERROR(__xludf.DUMMYFUNCTION("COUNTUNIQUEIFS(purchases!$A$2:$A$2001,purchases!D174:D2173,A174)"),9)</f>
        <v>9</v>
      </c>
      <c r="C174" s="13">
        <f ca="1">VLOOKUP(A174,purchases!$D$2:$F$2001,3,FALSE)</f>
        <v>45444</v>
      </c>
    </row>
    <row r="175" spans="1:3" x14ac:dyDescent="0.2">
      <c r="A175" s="11">
        <v>45466</v>
      </c>
      <c r="B175" s="12">
        <f ca="1">IFERROR(__xludf.DUMMYFUNCTION("COUNTUNIQUEIFS(purchases!$A$2:$A$2001,purchases!D175:D2174,A175)"),9)</f>
        <v>9</v>
      </c>
      <c r="C175" s="13">
        <f ca="1">VLOOKUP(A175,purchases!$D$2:$F$2001,3,FALSE)</f>
        <v>45444</v>
      </c>
    </row>
    <row r="176" spans="1:3" x14ac:dyDescent="0.2">
      <c r="A176" s="11">
        <v>45467</v>
      </c>
      <c r="B176" s="12">
        <f ca="1">IFERROR(__xludf.DUMMYFUNCTION("COUNTUNIQUEIFS(purchases!$A$2:$A$2001,purchases!D176:D2175,A176)"),9)</f>
        <v>9</v>
      </c>
      <c r="C176" s="13">
        <f ca="1">VLOOKUP(A176,purchases!$D$2:$F$2001,3,FALSE)</f>
        <v>45444</v>
      </c>
    </row>
    <row r="177" spans="1:3" x14ac:dyDescent="0.2">
      <c r="A177" s="11">
        <v>45468</v>
      </c>
      <c r="B177" s="12">
        <f ca="1">IFERROR(__xludf.DUMMYFUNCTION("COUNTUNIQUEIFS(purchases!$A$2:$A$2001,purchases!D177:D2176,A177)"),17)</f>
        <v>17</v>
      </c>
      <c r="C177" s="13">
        <f ca="1">VLOOKUP(A177,purchases!$D$2:$F$2001,3,FALSE)</f>
        <v>45444</v>
      </c>
    </row>
    <row r="178" spans="1:3" x14ac:dyDescent="0.2">
      <c r="A178" s="11">
        <v>45469</v>
      </c>
      <c r="B178" s="12">
        <f ca="1">IFERROR(__xludf.DUMMYFUNCTION("COUNTUNIQUEIFS(purchases!$A$2:$A$2001,purchases!D178:D2177,A178)"),8)</f>
        <v>8</v>
      </c>
      <c r="C178" s="13">
        <f ca="1">VLOOKUP(A178,purchases!$D$2:$F$2001,3,FALSE)</f>
        <v>45444</v>
      </c>
    </row>
    <row r="179" spans="1:3" x14ac:dyDescent="0.2">
      <c r="A179" s="11">
        <v>45470</v>
      </c>
      <c r="B179" s="12">
        <f ca="1">IFERROR(__xludf.DUMMYFUNCTION("COUNTUNIQUEIFS(purchases!$A$2:$A$2001,purchases!D179:D2178,A179)"),8)</f>
        <v>8</v>
      </c>
      <c r="C179" s="13">
        <f ca="1">VLOOKUP(A179,purchases!$D$2:$F$2001,3,FALSE)</f>
        <v>45444</v>
      </c>
    </row>
    <row r="180" spans="1:3" x14ac:dyDescent="0.2">
      <c r="A180" s="11">
        <v>45471</v>
      </c>
      <c r="B180" s="12">
        <f ca="1">IFERROR(__xludf.DUMMYFUNCTION("COUNTUNIQUEIFS(purchases!$A$2:$A$2001,purchases!D180:D2179,A180)"),11)</f>
        <v>11</v>
      </c>
      <c r="C180" s="13">
        <f ca="1">VLOOKUP(A180,purchases!$D$2:$F$2001,3,FALSE)</f>
        <v>45444</v>
      </c>
    </row>
    <row r="181" spans="1:3" x14ac:dyDescent="0.2">
      <c r="A181" s="11">
        <v>45472</v>
      </c>
      <c r="B181" s="12">
        <f ca="1">IFERROR(__xludf.DUMMYFUNCTION("COUNTUNIQUEIFS(purchases!$A$2:$A$2001,purchases!D181:D2180,A181)"),12)</f>
        <v>12</v>
      </c>
      <c r="C181" s="13">
        <f ca="1">VLOOKUP(A181,purchases!$D$2:$F$2001,3,FALSE)</f>
        <v>45444</v>
      </c>
    </row>
    <row r="182" spans="1:3" x14ac:dyDescent="0.2">
      <c r="A182" s="11">
        <v>45473</v>
      </c>
      <c r="B182" s="12">
        <f ca="1">IFERROR(__xludf.DUMMYFUNCTION("COUNTUNIQUEIFS(purchases!$A$2:$A$2001,purchases!D182:D2181,A182)"),6)</f>
        <v>6</v>
      </c>
      <c r="C182" s="13">
        <f ca="1">VLOOKUP(A182,purchases!$D$2:$F$2001,3,FALSE)</f>
        <v>45444</v>
      </c>
    </row>
    <row r="183" spans="1:3" x14ac:dyDescent="0.2">
      <c r="A183" s="11">
        <v>45474</v>
      </c>
      <c r="B183" s="12">
        <f ca="1">IFERROR(__xludf.DUMMYFUNCTION("COUNTUNIQUEIFS(purchases!$A$2:$A$2001,purchases!D183:D2182,A183)"),16)</f>
        <v>16</v>
      </c>
      <c r="C183" s="13">
        <f ca="1">VLOOKUP(A183,purchases!$D$2:$F$2001,3,FALSE)</f>
        <v>45474</v>
      </c>
    </row>
    <row r="184" spans="1:3" x14ac:dyDescent="0.2">
      <c r="A184" s="11">
        <v>45475</v>
      </c>
      <c r="B184" s="12">
        <f ca="1">IFERROR(__xludf.DUMMYFUNCTION("COUNTUNIQUEIFS(purchases!$A$2:$A$2001,purchases!D184:D2183,A184)"),13)</f>
        <v>13</v>
      </c>
      <c r="C184" s="13">
        <f ca="1">VLOOKUP(A184,purchases!$D$2:$F$2001,3,FALSE)</f>
        <v>45474</v>
      </c>
    </row>
    <row r="185" spans="1:3" x14ac:dyDescent="0.2">
      <c r="A185" s="11">
        <v>45476</v>
      </c>
      <c r="B185" s="12">
        <f ca="1">IFERROR(__xludf.DUMMYFUNCTION("COUNTUNIQUEIFS(purchases!$A$2:$A$2001,purchases!D185:D2184,A185)"),10)</f>
        <v>10</v>
      </c>
      <c r="C185" s="13">
        <f ca="1">VLOOKUP(A185,purchases!$D$2:$F$2001,3,FALSE)</f>
        <v>45474</v>
      </c>
    </row>
    <row r="186" spans="1:3" x14ac:dyDescent="0.2">
      <c r="A186" s="11">
        <v>45477</v>
      </c>
      <c r="B186" s="12">
        <f ca="1">IFERROR(__xludf.DUMMYFUNCTION("COUNTUNIQUEIFS(purchases!$A$2:$A$2001,purchases!D186:D2185,A186)"),6)</f>
        <v>6</v>
      </c>
      <c r="C186" s="13">
        <f ca="1">VLOOKUP(A186,purchases!$D$2:$F$2001,3,FALSE)</f>
        <v>45474</v>
      </c>
    </row>
    <row r="187" spans="1:3" x14ac:dyDescent="0.2">
      <c r="A187" s="11">
        <v>45478</v>
      </c>
      <c r="B187" s="12">
        <f ca="1">IFERROR(__xludf.DUMMYFUNCTION("COUNTUNIQUEIFS(purchases!$A$2:$A$2001,purchases!D187:D2186,A187)"),12)</f>
        <v>12</v>
      </c>
      <c r="C187" s="13">
        <f ca="1">VLOOKUP(A187,purchases!$D$2:$F$2001,3,FALSE)</f>
        <v>45474</v>
      </c>
    </row>
    <row r="188" spans="1:3" x14ac:dyDescent="0.2">
      <c r="A188" s="11">
        <v>45479</v>
      </c>
      <c r="B188" s="12">
        <f ca="1">IFERROR(__xludf.DUMMYFUNCTION("COUNTUNIQUEIFS(purchases!$A$2:$A$2001,purchases!D188:D2187,A188)"),4)</f>
        <v>4</v>
      </c>
      <c r="C188" s="13">
        <f ca="1">VLOOKUP(A188,purchases!$D$2:$F$2001,3,FALSE)</f>
        <v>45474</v>
      </c>
    </row>
    <row r="189" spans="1:3" x14ac:dyDescent="0.2">
      <c r="A189" s="11">
        <v>45480</v>
      </c>
      <c r="B189" s="12">
        <f ca="1">IFERROR(__xludf.DUMMYFUNCTION("COUNTUNIQUEIFS(purchases!$A$2:$A$2001,purchases!D189:D2188,A189)"),6)</f>
        <v>6</v>
      </c>
      <c r="C189" s="13">
        <f ca="1">VLOOKUP(A189,purchases!$D$2:$F$2001,3,FALSE)</f>
        <v>45474</v>
      </c>
    </row>
    <row r="190" spans="1:3" x14ac:dyDescent="0.2">
      <c r="A190" s="11">
        <v>45482</v>
      </c>
      <c r="B190" s="12">
        <f ca="1">IFERROR(__xludf.DUMMYFUNCTION("COUNTUNIQUEIFS(purchases!$A$2:$A$2001,purchases!D190:D2189,A190)"),3)</f>
        <v>3</v>
      </c>
      <c r="C190" s="13">
        <f ca="1">VLOOKUP(A190,purchases!$D$2:$F$2001,3,FALSE)</f>
        <v>45474</v>
      </c>
    </row>
    <row r="191" spans="1:3" x14ac:dyDescent="0.2">
      <c r="A191" s="6"/>
      <c r="B191" s="3"/>
      <c r="C191" s="6"/>
    </row>
    <row r="192" spans="1:3" x14ac:dyDescent="0.2">
      <c r="A192" s="6"/>
      <c r="B192" s="3"/>
      <c r="C192" s="6"/>
    </row>
    <row r="193" spans="1:3" x14ac:dyDescent="0.2">
      <c r="A193" s="6"/>
      <c r="B193" s="3"/>
      <c r="C193" s="6"/>
    </row>
    <row r="194" spans="1:3" x14ac:dyDescent="0.2">
      <c r="A194" s="6"/>
      <c r="B194" s="3"/>
      <c r="C194" s="6"/>
    </row>
    <row r="195" spans="1:3" x14ac:dyDescent="0.2">
      <c r="A195" s="6"/>
      <c r="B195" s="3"/>
      <c r="C195" s="6"/>
    </row>
    <row r="196" spans="1:3" x14ac:dyDescent="0.2">
      <c r="A196" s="6"/>
      <c r="B196" s="3"/>
      <c r="C196" s="6"/>
    </row>
    <row r="197" spans="1:3" x14ac:dyDescent="0.2">
      <c r="A197" s="6"/>
      <c r="B197" s="3"/>
      <c r="C197" s="6"/>
    </row>
    <row r="198" spans="1:3" x14ac:dyDescent="0.2">
      <c r="A198" s="6"/>
      <c r="B198" s="3"/>
      <c r="C198" s="6"/>
    </row>
    <row r="199" spans="1:3" x14ac:dyDescent="0.2">
      <c r="A199" s="6"/>
      <c r="B199" s="3"/>
      <c r="C199" s="6"/>
    </row>
    <row r="200" spans="1:3" x14ac:dyDescent="0.2">
      <c r="A200" s="6"/>
      <c r="B200" s="3"/>
      <c r="C200" s="6"/>
    </row>
    <row r="201" spans="1:3" x14ac:dyDescent="0.2">
      <c r="A201" s="6"/>
      <c r="B201" s="3"/>
      <c r="C201" s="6"/>
    </row>
    <row r="202" spans="1:3" x14ac:dyDescent="0.2">
      <c r="A202" s="6"/>
      <c r="B202" s="3"/>
      <c r="C202" s="6"/>
    </row>
    <row r="203" spans="1:3" x14ac:dyDescent="0.2">
      <c r="A203" s="6"/>
      <c r="B203" s="3"/>
      <c r="C203" s="6"/>
    </row>
    <row r="204" spans="1:3" x14ac:dyDescent="0.2">
      <c r="A204" s="6"/>
      <c r="B204" s="3"/>
      <c r="C204" s="6"/>
    </row>
    <row r="205" spans="1:3" x14ac:dyDescent="0.2">
      <c r="A205" s="6"/>
      <c r="B205" s="3"/>
      <c r="C205" s="6"/>
    </row>
    <row r="206" spans="1:3" x14ac:dyDescent="0.2">
      <c r="A206" s="6"/>
      <c r="B206" s="3"/>
      <c r="C206" s="6"/>
    </row>
    <row r="207" spans="1:3" x14ac:dyDescent="0.2">
      <c r="A207" s="6"/>
      <c r="B207" s="3"/>
      <c r="C207" s="6"/>
    </row>
    <row r="208" spans="1:3" x14ac:dyDescent="0.2">
      <c r="A208" s="6"/>
      <c r="B208" s="3"/>
      <c r="C208" s="6"/>
    </row>
    <row r="209" spans="1:3" x14ac:dyDescent="0.2">
      <c r="A209" s="6"/>
      <c r="B209" s="3"/>
      <c r="C209" s="6"/>
    </row>
    <row r="210" spans="1:3" x14ac:dyDescent="0.2">
      <c r="A210" s="6"/>
      <c r="B210" s="3"/>
      <c r="C210" s="6"/>
    </row>
    <row r="211" spans="1:3" x14ac:dyDescent="0.2">
      <c r="A211" s="6"/>
      <c r="B211" s="3"/>
      <c r="C211" s="6"/>
    </row>
    <row r="212" spans="1:3" x14ac:dyDescent="0.2">
      <c r="A212" s="6"/>
      <c r="B212" s="3"/>
      <c r="C212" s="6"/>
    </row>
    <row r="213" spans="1:3" x14ac:dyDescent="0.2">
      <c r="A213" s="6"/>
      <c r="B213" s="3"/>
      <c r="C213" s="6"/>
    </row>
    <row r="214" spans="1:3" x14ac:dyDescent="0.2">
      <c r="A214" s="6"/>
      <c r="B214" s="3"/>
      <c r="C214" s="6"/>
    </row>
    <row r="215" spans="1:3" x14ac:dyDescent="0.2">
      <c r="A215" s="6"/>
      <c r="B215" s="3"/>
      <c r="C215" s="6"/>
    </row>
    <row r="216" spans="1:3" x14ac:dyDescent="0.2">
      <c r="A216" s="6"/>
      <c r="B216" s="3"/>
      <c r="C216" s="6"/>
    </row>
    <row r="217" spans="1:3" x14ac:dyDescent="0.2">
      <c r="A217" s="6"/>
      <c r="B217" s="3"/>
      <c r="C217" s="6"/>
    </row>
    <row r="218" spans="1:3" x14ac:dyDescent="0.2">
      <c r="A218" s="6"/>
      <c r="B218" s="3"/>
      <c r="C218" s="6"/>
    </row>
    <row r="219" spans="1:3" x14ac:dyDescent="0.2">
      <c r="A219" s="6"/>
      <c r="B219" s="3"/>
      <c r="C219" s="6"/>
    </row>
    <row r="220" spans="1:3" x14ac:dyDescent="0.2">
      <c r="A220" s="6"/>
      <c r="B220" s="3"/>
      <c r="C220" s="6"/>
    </row>
    <row r="221" spans="1:3" x14ac:dyDescent="0.2">
      <c r="A221" s="6"/>
      <c r="B221" s="3"/>
      <c r="C221" s="6"/>
    </row>
    <row r="222" spans="1:3" x14ac:dyDescent="0.2">
      <c r="A222" s="6"/>
      <c r="B222" s="3"/>
      <c r="C222" s="6"/>
    </row>
    <row r="223" spans="1:3" x14ac:dyDescent="0.2">
      <c r="A223" s="6"/>
      <c r="B223" s="3"/>
      <c r="C223" s="6"/>
    </row>
    <row r="224" spans="1:3" x14ac:dyDescent="0.2">
      <c r="A224" s="6"/>
      <c r="B224" s="3"/>
      <c r="C224" s="6"/>
    </row>
    <row r="225" spans="1:3" x14ac:dyDescent="0.2">
      <c r="A225" s="6"/>
      <c r="B225" s="3"/>
      <c r="C225" s="6"/>
    </row>
    <row r="226" spans="1:3" x14ac:dyDescent="0.2">
      <c r="A226" s="6"/>
      <c r="B226" s="3"/>
      <c r="C226" s="6"/>
    </row>
    <row r="227" spans="1:3" x14ac:dyDescent="0.2">
      <c r="A227" s="6"/>
      <c r="B227" s="3"/>
      <c r="C227" s="6"/>
    </row>
    <row r="228" spans="1:3" x14ac:dyDescent="0.2">
      <c r="A228" s="6"/>
      <c r="B228" s="3"/>
      <c r="C228" s="6"/>
    </row>
    <row r="229" spans="1:3" x14ac:dyDescent="0.2">
      <c r="A229" s="6"/>
      <c r="B229" s="3"/>
      <c r="C229" s="6"/>
    </row>
    <row r="230" spans="1:3" x14ac:dyDescent="0.2">
      <c r="A230" s="6"/>
      <c r="B230" s="3"/>
      <c r="C230" s="6"/>
    </row>
    <row r="231" spans="1:3" x14ac:dyDescent="0.2">
      <c r="A231" s="6"/>
      <c r="B231" s="3"/>
      <c r="C231" s="6"/>
    </row>
    <row r="232" spans="1:3" x14ac:dyDescent="0.2">
      <c r="A232" s="6"/>
      <c r="B232" s="3"/>
      <c r="C232" s="6"/>
    </row>
    <row r="233" spans="1:3" x14ac:dyDescent="0.2">
      <c r="A233" s="6"/>
      <c r="B233" s="3"/>
      <c r="C233" s="6"/>
    </row>
    <row r="234" spans="1:3" x14ac:dyDescent="0.2">
      <c r="A234" s="6"/>
      <c r="B234" s="3"/>
      <c r="C234" s="6"/>
    </row>
    <row r="235" spans="1:3" x14ac:dyDescent="0.2">
      <c r="A235" s="6"/>
      <c r="B235" s="3"/>
      <c r="C235" s="6"/>
    </row>
    <row r="236" spans="1:3" x14ac:dyDescent="0.2">
      <c r="A236" s="6"/>
      <c r="B236" s="3"/>
      <c r="C236" s="6"/>
    </row>
    <row r="237" spans="1:3" x14ac:dyDescent="0.2">
      <c r="A237" s="6"/>
      <c r="B237" s="3"/>
      <c r="C237" s="6"/>
    </row>
    <row r="238" spans="1:3" x14ac:dyDescent="0.2">
      <c r="A238" s="6"/>
      <c r="B238" s="3"/>
      <c r="C238" s="6"/>
    </row>
    <row r="239" spans="1:3" x14ac:dyDescent="0.2">
      <c r="A239" s="6"/>
      <c r="B239" s="3"/>
      <c r="C239" s="6"/>
    </row>
    <row r="240" spans="1:3" x14ac:dyDescent="0.2">
      <c r="A240" s="6"/>
      <c r="B240" s="3"/>
      <c r="C240" s="6"/>
    </row>
    <row r="241" spans="1:3" x14ac:dyDescent="0.2">
      <c r="A241" s="6"/>
      <c r="B241" s="3"/>
      <c r="C241" s="6"/>
    </row>
    <row r="242" spans="1:3" x14ac:dyDescent="0.2">
      <c r="A242" s="6"/>
      <c r="B242" s="3"/>
      <c r="C242" s="6"/>
    </row>
    <row r="243" spans="1:3" x14ac:dyDescent="0.2">
      <c r="A243" s="6"/>
      <c r="B243" s="3"/>
      <c r="C243" s="6"/>
    </row>
    <row r="244" spans="1:3" x14ac:dyDescent="0.2">
      <c r="A244" s="6"/>
      <c r="B244" s="3"/>
      <c r="C244" s="6"/>
    </row>
    <row r="245" spans="1:3" x14ac:dyDescent="0.2">
      <c r="A245" s="6"/>
      <c r="B245" s="3"/>
      <c r="C245" s="6"/>
    </row>
    <row r="246" spans="1:3" x14ac:dyDescent="0.2">
      <c r="A246" s="6"/>
      <c r="B246" s="3"/>
      <c r="C246" s="6"/>
    </row>
    <row r="247" spans="1:3" x14ac:dyDescent="0.2">
      <c r="A247" s="6"/>
      <c r="B247" s="3"/>
      <c r="C247" s="6"/>
    </row>
    <row r="248" spans="1:3" x14ac:dyDescent="0.2">
      <c r="A248" s="6"/>
      <c r="B248" s="3"/>
      <c r="C248" s="6"/>
    </row>
    <row r="249" spans="1:3" x14ac:dyDescent="0.2">
      <c r="A249" s="6"/>
      <c r="B249" s="3"/>
      <c r="C249" s="6"/>
    </row>
    <row r="250" spans="1:3" x14ac:dyDescent="0.2">
      <c r="A250" s="6"/>
      <c r="B250" s="3"/>
      <c r="C250" s="6"/>
    </row>
    <row r="251" spans="1:3" x14ac:dyDescent="0.2">
      <c r="A251" s="6"/>
      <c r="B251" s="3"/>
      <c r="C251" s="6"/>
    </row>
    <row r="252" spans="1:3" x14ac:dyDescent="0.2">
      <c r="A252" s="6"/>
      <c r="B252" s="3"/>
      <c r="C252" s="6"/>
    </row>
    <row r="253" spans="1:3" x14ac:dyDescent="0.2">
      <c r="A253" s="6"/>
      <c r="B253" s="3"/>
      <c r="C253" s="6"/>
    </row>
    <row r="254" spans="1:3" x14ac:dyDescent="0.2">
      <c r="A254" s="6"/>
      <c r="B254" s="3"/>
      <c r="C254" s="6"/>
    </row>
    <row r="255" spans="1:3" x14ac:dyDescent="0.2">
      <c r="A255" s="6"/>
      <c r="B255" s="3"/>
      <c r="C255" s="6"/>
    </row>
    <row r="256" spans="1:3" x14ac:dyDescent="0.2">
      <c r="A256" s="6"/>
      <c r="B256" s="3"/>
      <c r="C256" s="6"/>
    </row>
    <row r="257" spans="1:3" x14ac:dyDescent="0.2">
      <c r="A257" s="6"/>
      <c r="B257" s="3"/>
      <c r="C257" s="6"/>
    </row>
    <row r="258" spans="1:3" x14ac:dyDescent="0.2">
      <c r="A258" s="6"/>
      <c r="B258" s="3"/>
      <c r="C258" s="6"/>
    </row>
    <row r="259" spans="1:3" x14ac:dyDescent="0.2">
      <c r="A259" s="6"/>
      <c r="B259" s="3"/>
      <c r="C259" s="6"/>
    </row>
    <row r="260" spans="1:3" x14ac:dyDescent="0.2">
      <c r="A260" s="6"/>
      <c r="B260" s="3"/>
      <c r="C260" s="6"/>
    </row>
    <row r="261" spans="1:3" x14ac:dyDescent="0.2">
      <c r="A261" s="6"/>
      <c r="B261" s="3"/>
      <c r="C261" s="6"/>
    </row>
    <row r="262" spans="1:3" x14ac:dyDescent="0.2">
      <c r="A262" s="6"/>
      <c r="B262" s="3"/>
      <c r="C262" s="6"/>
    </row>
    <row r="263" spans="1:3" x14ac:dyDescent="0.2">
      <c r="A263" s="6"/>
      <c r="B263" s="3"/>
      <c r="C263" s="6"/>
    </row>
    <row r="264" spans="1:3" x14ac:dyDescent="0.2">
      <c r="A264" s="6"/>
      <c r="B264" s="3"/>
      <c r="C264" s="6"/>
    </row>
    <row r="265" spans="1:3" x14ac:dyDescent="0.2">
      <c r="A265" s="6"/>
      <c r="B265" s="3"/>
      <c r="C265" s="6"/>
    </row>
    <row r="266" spans="1:3" x14ac:dyDescent="0.2">
      <c r="A266" s="6"/>
      <c r="B266" s="3"/>
      <c r="C266" s="6"/>
    </row>
    <row r="267" spans="1:3" x14ac:dyDescent="0.2">
      <c r="A267" s="6"/>
      <c r="B267" s="3"/>
      <c r="C267" s="6"/>
    </row>
    <row r="268" spans="1:3" x14ac:dyDescent="0.2">
      <c r="A268" s="6"/>
      <c r="B268" s="3"/>
      <c r="C268" s="6"/>
    </row>
    <row r="269" spans="1:3" x14ac:dyDescent="0.2">
      <c r="A269" s="6"/>
      <c r="B269" s="3"/>
      <c r="C269" s="6"/>
    </row>
    <row r="270" spans="1:3" x14ac:dyDescent="0.2">
      <c r="A270" s="6"/>
      <c r="B270" s="3"/>
      <c r="C270" s="6"/>
    </row>
    <row r="271" spans="1:3" x14ac:dyDescent="0.2">
      <c r="A271" s="6"/>
      <c r="B271" s="3"/>
      <c r="C271" s="6"/>
    </row>
    <row r="272" spans="1:3" x14ac:dyDescent="0.2">
      <c r="A272" s="6"/>
      <c r="B272" s="3"/>
      <c r="C272" s="6"/>
    </row>
    <row r="273" spans="1:3" x14ac:dyDescent="0.2">
      <c r="A273" s="6"/>
      <c r="B273" s="3"/>
      <c r="C273" s="6"/>
    </row>
    <row r="274" spans="1:3" x14ac:dyDescent="0.2">
      <c r="A274" s="6"/>
      <c r="B274" s="3"/>
      <c r="C274" s="6"/>
    </row>
    <row r="275" spans="1:3" x14ac:dyDescent="0.2">
      <c r="A275" s="6"/>
      <c r="B275" s="3"/>
      <c r="C275" s="6"/>
    </row>
    <row r="276" spans="1:3" x14ac:dyDescent="0.2">
      <c r="A276" s="6"/>
      <c r="B276" s="3"/>
      <c r="C276" s="6"/>
    </row>
    <row r="277" spans="1:3" x14ac:dyDescent="0.2">
      <c r="A277" s="6"/>
      <c r="B277" s="3"/>
      <c r="C277" s="6"/>
    </row>
    <row r="278" spans="1:3" x14ac:dyDescent="0.2">
      <c r="A278" s="6"/>
      <c r="B278" s="3"/>
      <c r="C278" s="6"/>
    </row>
    <row r="279" spans="1:3" x14ac:dyDescent="0.2">
      <c r="A279" s="6"/>
      <c r="B279" s="3"/>
      <c r="C279" s="6"/>
    </row>
    <row r="280" spans="1:3" x14ac:dyDescent="0.2">
      <c r="A280" s="6"/>
      <c r="B280" s="3"/>
      <c r="C280" s="6"/>
    </row>
    <row r="281" spans="1:3" x14ac:dyDescent="0.2">
      <c r="A281" s="6"/>
      <c r="B281" s="3"/>
      <c r="C281" s="6"/>
    </row>
    <row r="282" spans="1:3" x14ac:dyDescent="0.2">
      <c r="A282" s="6"/>
      <c r="B282" s="3"/>
      <c r="C282" s="6"/>
    </row>
    <row r="283" spans="1:3" x14ac:dyDescent="0.2">
      <c r="A283" s="6"/>
      <c r="B283" s="3"/>
      <c r="C283" s="6"/>
    </row>
    <row r="284" spans="1:3" x14ac:dyDescent="0.2">
      <c r="A284" s="6"/>
      <c r="B284" s="3"/>
      <c r="C284" s="6"/>
    </row>
    <row r="285" spans="1:3" x14ac:dyDescent="0.2">
      <c r="A285" s="6"/>
      <c r="B285" s="3"/>
      <c r="C285" s="6"/>
    </row>
    <row r="286" spans="1:3" x14ac:dyDescent="0.2">
      <c r="A286" s="6"/>
      <c r="B286" s="3"/>
      <c r="C286" s="6"/>
    </row>
    <row r="287" spans="1:3" x14ac:dyDescent="0.2">
      <c r="A287" s="6"/>
      <c r="B287" s="3"/>
      <c r="C287" s="6"/>
    </row>
    <row r="288" spans="1:3" x14ac:dyDescent="0.2">
      <c r="A288" s="6"/>
      <c r="B288" s="3"/>
      <c r="C288" s="6"/>
    </row>
    <row r="289" spans="1:3" x14ac:dyDescent="0.2">
      <c r="A289" s="6"/>
      <c r="B289" s="3"/>
      <c r="C289" s="6"/>
    </row>
    <row r="290" spans="1:3" x14ac:dyDescent="0.2">
      <c r="A290" s="6"/>
      <c r="B290" s="3"/>
      <c r="C290" s="6"/>
    </row>
    <row r="291" spans="1:3" x14ac:dyDescent="0.2">
      <c r="A291" s="6"/>
      <c r="B291" s="3"/>
      <c r="C291" s="6"/>
    </row>
    <row r="292" spans="1:3" x14ac:dyDescent="0.2">
      <c r="A292" s="6"/>
      <c r="B292" s="3"/>
      <c r="C292" s="6"/>
    </row>
    <row r="293" spans="1:3" x14ac:dyDescent="0.2">
      <c r="A293" s="6"/>
      <c r="B293" s="3"/>
      <c r="C293" s="6"/>
    </row>
    <row r="294" spans="1:3" x14ac:dyDescent="0.2">
      <c r="A294" s="6"/>
      <c r="B294" s="3"/>
      <c r="C294" s="6"/>
    </row>
    <row r="295" spans="1:3" x14ac:dyDescent="0.2">
      <c r="A295" s="6"/>
      <c r="B295" s="3"/>
      <c r="C295" s="6"/>
    </row>
    <row r="296" spans="1:3" x14ac:dyDescent="0.2">
      <c r="A296" s="6"/>
      <c r="B296" s="3"/>
      <c r="C296" s="6"/>
    </row>
    <row r="297" spans="1:3" x14ac:dyDescent="0.2">
      <c r="A297" s="6"/>
      <c r="B297" s="3"/>
      <c r="C297" s="6"/>
    </row>
    <row r="298" spans="1:3" x14ac:dyDescent="0.2">
      <c r="A298" s="6"/>
      <c r="B298" s="3"/>
      <c r="C298" s="6"/>
    </row>
    <row r="299" spans="1:3" x14ac:dyDescent="0.2">
      <c r="A299" s="6"/>
      <c r="B299" s="3"/>
      <c r="C299" s="6"/>
    </row>
    <row r="300" spans="1:3" x14ac:dyDescent="0.2">
      <c r="A300" s="6"/>
      <c r="B300" s="3"/>
      <c r="C300" s="6"/>
    </row>
    <row r="301" spans="1:3" x14ac:dyDescent="0.2">
      <c r="A301" s="6"/>
      <c r="B301" s="3"/>
      <c r="C301" s="6"/>
    </row>
    <row r="302" spans="1:3" x14ac:dyDescent="0.2">
      <c r="A302" s="6"/>
      <c r="B302" s="3"/>
      <c r="C302" s="6"/>
    </row>
    <row r="303" spans="1:3" x14ac:dyDescent="0.2">
      <c r="A303" s="6"/>
      <c r="B303" s="3"/>
      <c r="C303" s="6"/>
    </row>
    <row r="304" spans="1:3" x14ac:dyDescent="0.2">
      <c r="A304" s="6"/>
      <c r="B304" s="3"/>
      <c r="C304" s="6"/>
    </row>
    <row r="305" spans="1:3" x14ac:dyDescent="0.2">
      <c r="A305" s="6"/>
      <c r="B305" s="3"/>
      <c r="C305" s="6"/>
    </row>
    <row r="306" spans="1:3" x14ac:dyDescent="0.2">
      <c r="A306" s="6"/>
      <c r="B306" s="3"/>
      <c r="C306" s="6"/>
    </row>
    <row r="307" spans="1:3" x14ac:dyDescent="0.2">
      <c r="A307" s="6"/>
      <c r="B307" s="3"/>
      <c r="C307" s="6"/>
    </row>
    <row r="308" spans="1:3" x14ac:dyDescent="0.2">
      <c r="A308" s="6"/>
      <c r="B308" s="3"/>
      <c r="C308" s="6"/>
    </row>
    <row r="309" spans="1:3" x14ac:dyDescent="0.2">
      <c r="A309" s="6"/>
      <c r="B309" s="3"/>
      <c r="C309" s="6"/>
    </row>
    <row r="310" spans="1:3" x14ac:dyDescent="0.2">
      <c r="A310" s="6"/>
      <c r="B310" s="3"/>
      <c r="C310" s="6"/>
    </row>
    <row r="311" spans="1:3" x14ac:dyDescent="0.2">
      <c r="A311" s="6"/>
      <c r="B311" s="3"/>
      <c r="C311" s="6"/>
    </row>
    <row r="312" spans="1:3" x14ac:dyDescent="0.2">
      <c r="A312" s="6"/>
      <c r="B312" s="3"/>
      <c r="C312" s="6"/>
    </row>
    <row r="313" spans="1:3" x14ac:dyDescent="0.2">
      <c r="A313" s="6"/>
      <c r="B313" s="3"/>
      <c r="C313" s="6"/>
    </row>
    <row r="314" spans="1:3" x14ac:dyDescent="0.2">
      <c r="A314" s="6"/>
      <c r="B314" s="3"/>
      <c r="C314" s="6"/>
    </row>
    <row r="315" spans="1:3" x14ac:dyDescent="0.2">
      <c r="A315" s="6"/>
      <c r="B315" s="3"/>
      <c r="C315" s="6"/>
    </row>
    <row r="316" spans="1:3" x14ac:dyDescent="0.2">
      <c r="A316" s="6"/>
      <c r="B316" s="3"/>
      <c r="C316" s="6"/>
    </row>
    <row r="317" spans="1:3" x14ac:dyDescent="0.2">
      <c r="A317" s="6"/>
      <c r="B317" s="3"/>
      <c r="C317" s="6"/>
    </row>
    <row r="318" spans="1:3" x14ac:dyDescent="0.2">
      <c r="A318" s="6"/>
      <c r="B318" s="3"/>
      <c r="C318" s="6"/>
    </row>
    <row r="319" spans="1:3" x14ac:dyDescent="0.2">
      <c r="A319" s="6"/>
      <c r="B319" s="3"/>
      <c r="C319" s="6"/>
    </row>
    <row r="320" spans="1:3" x14ac:dyDescent="0.2">
      <c r="A320" s="6"/>
      <c r="B320" s="3"/>
      <c r="C320" s="6"/>
    </row>
    <row r="321" spans="1:3" x14ac:dyDescent="0.2">
      <c r="A321" s="6"/>
      <c r="B321" s="3"/>
      <c r="C321" s="6"/>
    </row>
    <row r="322" spans="1:3" x14ac:dyDescent="0.2">
      <c r="A322" s="6"/>
      <c r="B322" s="3"/>
      <c r="C322" s="6"/>
    </row>
    <row r="323" spans="1:3" x14ac:dyDescent="0.2">
      <c r="A323" s="6"/>
      <c r="B323" s="3"/>
      <c r="C323" s="6"/>
    </row>
    <row r="324" spans="1:3" x14ac:dyDescent="0.2">
      <c r="A324" s="6"/>
      <c r="B324" s="3"/>
      <c r="C324" s="6"/>
    </row>
    <row r="325" spans="1:3" x14ac:dyDescent="0.2">
      <c r="A325" s="6"/>
      <c r="B325" s="3"/>
      <c r="C325" s="6"/>
    </row>
    <row r="326" spans="1:3" x14ac:dyDescent="0.2">
      <c r="A326" s="6"/>
      <c r="B326" s="3"/>
      <c r="C326" s="6"/>
    </row>
    <row r="327" spans="1:3" x14ac:dyDescent="0.2">
      <c r="A327" s="6"/>
      <c r="B327" s="3"/>
      <c r="C327" s="6"/>
    </row>
    <row r="328" spans="1:3" x14ac:dyDescent="0.2">
      <c r="A328" s="6"/>
      <c r="B328" s="3"/>
      <c r="C328" s="6"/>
    </row>
    <row r="329" spans="1:3" x14ac:dyDescent="0.2">
      <c r="A329" s="6"/>
      <c r="B329" s="3"/>
      <c r="C329" s="6"/>
    </row>
    <row r="330" spans="1:3" x14ac:dyDescent="0.2">
      <c r="A330" s="6"/>
      <c r="B330" s="3"/>
      <c r="C330" s="6"/>
    </row>
    <row r="331" spans="1:3" x14ac:dyDescent="0.2">
      <c r="A331" s="6"/>
      <c r="B331" s="3"/>
      <c r="C331" s="6"/>
    </row>
    <row r="332" spans="1:3" x14ac:dyDescent="0.2">
      <c r="A332" s="6"/>
      <c r="B332" s="3"/>
      <c r="C332" s="6"/>
    </row>
    <row r="333" spans="1:3" x14ac:dyDescent="0.2">
      <c r="A333" s="6"/>
      <c r="B333" s="3"/>
      <c r="C333" s="6"/>
    </row>
    <row r="334" spans="1:3" x14ac:dyDescent="0.2">
      <c r="A334" s="6"/>
      <c r="B334" s="3"/>
      <c r="C334" s="6"/>
    </row>
    <row r="335" spans="1:3" x14ac:dyDescent="0.2">
      <c r="A335" s="6"/>
      <c r="B335" s="3"/>
      <c r="C335" s="6"/>
    </row>
    <row r="336" spans="1:3" x14ac:dyDescent="0.2">
      <c r="A336" s="6"/>
      <c r="B336" s="3"/>
      <c r="C336" s="6"/>
    </row>
    <row r="337" spans="1:3" x14ac:dyDescent="0.2">
      <c r="A337" s="6"/>
      <c r="B337" s="3"/>
      <c r="C337" s="6"/>
    </row>
    <row r="338" spans="1:3" x14ac:dyDescent="0.2">
      <c r="A338" s="6"/>
      <c r="B338" s="3"/>
      <c r="C338" s="6"/>
    </row>
    <row r="339" spans="1:3" x14ac:dyDescent="0.2">
      <c r="A339" s="6"/>
      <c r="B339" s="3"/>
      <c r="C339" s="6"/>
    </row>
    <row r="340" spans="1:3" x14ac:dyDescent="0.2">
      <c r="A340" s="6"/>
      <c r="B340" s="3"/>
      <c r="C340" s="6"/>
    </row>
    <row r="341" spans="1:3" x14ac:dyDescent="0.2">
      <c r="A341" s="6"/>
      <c r="B341" s="3"/>
      <c r="C341" s="6"/>
    </row>
    <row r="342" spans="1:3" x14ac:dyDescent="0.2">
      <c r="A342" s="6"/>
      <c r="B342" s="3"/>
      <c r="C342" s="6"/>
    </row>
    <row r="343" spans="1:3" x14ac:dyDescent="0.2">
      <c r="A343" s="6"/>
      <c r="B343" s="3"/>
      <c r="C343" s="6"/>
    </row>
    <row r="344" spans="1:3" x14ac:dyDescent="0.2">
      <c r="A344" s="6"/>
      <c r="B344" s="3"/>
      <c r="C344" s="6"/>
    </row>
    <row r="345" spans="1:3" x14ac:dyDescent="0.2">
      <c r="A345" s="6"/>
      <c r="B345" s="3"/>
      <c r="C345" s="6"/>
    </row>
    <row r="346" spans="1:3" x14ac:dyDescent="0.2">
      <c r="A346" s="6"/>
      <c r="B346" s="3"/>
      <c r="C346" s="6"/>
    </row>
    <row r="347" spans="1:3" x14ac:dyDescent="0.2">
      <c r="A347" s="6"/>
      <c r="B347" s="3"/>
      <c r="C347" s="6"/>
    </row>
    <row r="348" spans="1:3" x14ac:dyDescent="0.2">
      <c r="A348" s="6"/>
      <c r="B348" s="3"/>
      <c r="C348" s="6"/>
    </row>
    <row r="349" spans="1:3" x14ac:dyDescent="0.2">
      <c r="A349" s="6"/>
      <c r="B349" s="3"/>
      <c r="C349" s="6"/>
    </row>
    <row r="350" spans="1:3" x14ac:dyDescent="0.2">
      <c r="A350" s="6"/>
      <c r="B350" s="3"/>
      <c r="C350" s="6"/>
    </row>
    <row r="351" spans="1:3" x14ac:dyDescent="0.2">
      <c r="A351" s="6"/>
      <c r="B351" s="3"/>
      <c r="C351" s="6"/>
    </row>
    <row r="352" spans="1:3" x14ac:dyDescent="0.2">
      <c r="A352" s="6"/>
      <c r="B352" s="3"/>
      <c r="C352" s="6"/>
    </row>
    <row r="353" spans="1:3" x14ac:dyDescent="0.2">
      <c r="A353" s="6"/>
      <c r="B353" s="3"/>
      <c r="C353" s="6"/>
    </row>
    <row r="354" spans="1:3" x14ac:dyDescent="0.2">
      <c r="A354" s="6"/>
      <c r="B354" s="3"/>
      <c r="C354" s="6"/>
    </row>
    <row r="355" spans="1:3" x14ac:dyDescent="0.2">
      <c r="A355" s="6"/>
      <c r="B355" s="3"/>
      <c r="C355" s="6"/>
    </row>
    <row r="356" spans="1:3" x14ac:dyDescent="0.2">
      <c r="A356" s="6"/>
      <c r="B356" s="3"/>
      <c r="C356" s="6"/>
    </row>
    <row r="357" spans="1:3" x14ac:dyDescent="0.2">
      <c r="A357" s="6"/>
      <c r="B357" s="3"/>
      <c r="C357" s="6"/>
    </row>
    <row r="358" spans="1:3" x14ac:dyDescent="0.2">
      <c r="A358" s="6"/>
      <c r="B358" s="3"/>
      <c r="C358" s="6"/>
    </row>
    <row r="359" spans="1:3" x14ac:dyDescent="0.2">
      <c r="A359" s="6"/>
      <c r="B359" s="3"/>
      <c r="C359" s="6"/>
    </row>
    <row r="360" spans="1:3" x14ac:dyDescent="0.2">
      <c r="A360" s="6"/>
      <c r="B360" s="3"/>
      <c r="C360" s="6"/>
    </row>
    <row r="361" spans="1:3" x14ac:dyDescent="0.2">
      <c r="A361" s="6"/>
      <c r="B361" s="3"/>
      <c r="C361" s="6"/>
    </row>
    <row r="362" spans="1:3" x14ac:dyDescent="0.2">
      <c r="A362" s="6"/>
      <c r="B362" s="3"/>
      <c r="C362" s="6"/>
    </row>
    <row r="363" spans="1:3" x14ac:dyDescent="0.2">
      <c r="A363" s="6"/>
      <c r="B363" s="3"/>
      <c r="C363" s="6"/>
    </row>
    <row r="364" spans="1:3" x14ac:dyDescent="0.2">
      <c r="A364" s="6"/>
      <c r="B364" s="3"/>
      <c r="C364" s="6"/>
    </row>
    <row r="365" spans="1:3" x14ac:dyDescent="0.2">
      <c r="A365" s="6"/>
      <c r="B365" s="3"/>
      <c r="C365" s="6"/>
    </row>
    <row r="366" spans="1:3" x14ac:dyDescent="0.2">
      <c r="A366" s="6"/>
      <c r="B366" s="3"/>
      <c r="C366" s="6"/>
    </row>
    <row r="367" spans="1:3" x14ac:dyDescent="0.2">
      <c r="A367" s="6"/>
      <c r="B367" s="3"/>
      <c r="C367" s="6"/>
    </row>
    <row r="368" spans="1:3" x14ac:dyDescent="0.2">
      <c r="A368" s="6"/>
      <c r="B368" s="3"/>
      <c r="C368" s="6"/>
    </row>
    <row r="369" spans="1:3" x14ac:dyDescent="0.2">
      <c r="A369" s="6"/>
      <c r="B369" s="3"/>
      <c r="C369" s="6"/>
    </row>
    <row r="370" spans="1:3" x14ac:dyDescent="0.2">
      <c r="A370" s="6"/>
      <c r="B370" s="3"/>
      <c r="C370" s="6"/>
    </row>
    <row r="371" spans="1:3" x14ac:dyDescent="0.2">
      <c r="A371" s="6"/>
      <c r="B371" s="3"/>
      <c r="C371" s="6"/>
    </row>
    <row r="372" spans="1:3" x14ac:dyDescent="0.2">
      <c r="A372" s="6"/>
      <c r="B372" s="3"/>
      <c r="C372" s="6"/>
    </row>
    <row r="373" spans="1:3" x14ac:dyDescent="0.2">
      <c r="A373" s="6"/>
      <c r="B373" s="3"/>
      <c r="C373" s="6"/>
    </row>
    <row r="374" spans="1:3" x14ac:dyDescent="0.2">
      <c r="A374" s="6"/>
      <c r="B374" s="3"/>
      <c r="C374" s="6"/>
    </row>
    <row r="375" spans="1:3" x14ac:dyDescent="0.2">
      <c r="A375" s="6"/>
      <c r="B375" s="3"/>
      <c r="C375" s="6"/>
    </row>
    <row r="376" spans="1:3" x14ac:dyDescent="0.2">
      <c r="A376" s="6"/>
      <c r="B376" s="3"/>
      <c r="C376" s="6"/>
    </row>
    <row r="377" spans="1:3" x14ac:dyDescent="0.2">
      <c r="A377" s="6"/>
      <c r="B377" s="3"/>
      <c r="C377" s="6"/>
    </row>
    <row r="378" spans="1:3" x14ac:dyDescent="0.2">
      <c r="A378" s="6"/>
      <c r="B378" s="3"/>
      <c r="C378" s="6"/>
    </row>
    <row r="379" spans="1:3" x14ac:dyDescent="0.2">
      <c r="A379" s="6"/>
      <c r="B379" s="3"/>
      <c r="C379" s="6"/>
    </row>
    <row r="380" spans="1:3" x14ac:dyDescent="0.2">
      <c r="A380" s="6"/>
      <c r="B380" s="3"/>
      <c r="C380" s="6"/>
    </row>
    <row r="381" spans="1:3" x14ac:dyDescent="0.2">
      <c r="A381" s="6"/>
      <c r="B381" s="3"/>
      <c r="C381" s="6"/>
    </row>
    <row r="382" spans="1:3" x14ac:dyDescent="0.2">
      <c r="A382" s="6"/>
      <c r="B382" s="3"/>
      <c r="C382" s="6"/>
    </row>
    <row r="383" spans="1:3" x14ac:dyDescent="0.2">
      <c r="A383" s="6"/>
      <c r="B383" s="3"/>
      <c r="C383" s="6"/>
    </row>
    <row r="384" spans="1:3" x14ac:dyDescent="0.2">
      <c r="A384" s="6"/>
      <c r="B384" s="3"/>
      <c r="C384" s="6"/>
    </row>
    <row r="385" spans="1:3" x14ac:dyDescent="0.2">
      <c r="A385" s="6"/>
      <c r="B385" s="3"/>
      <c r="C385" s="6"/>
    </row>
    <row r="386" spans="1:3" x14ac:dyDescent="0.2">
      <c r="A386" s="6"/>
      <c r="B386" s="3"/>
      <c r="C386" s="6"/>
    </row>
    <row r="387" spans="1:3" x14ac:dyDescent="0.2">
      <c r="A387" s="6"/>
      <c r="B387" s="3"/>
      <c r="C387" s="6"/>
    </row>
    <row r="388" spans="1:3" x14ac:dyDescent="0.2">
      <c r="A388" s="6"/>
      <c r="B388" s="3"/>
      <c r="C388" s="6"/>
    </row>
    <row r="389" spans="1:3" x14ac:dyDescent="0.2">
      <c r="A389" s="6"/>
      <c r="B389" s="3"/>
      <c r="C389" s="6"/>
    </row>
    <row r="390" spans="1:3" x14ac:dyDescent="0.2">
      <c r="A390" s="6"/>
      <c r="B390" s="3"/>
      <c r="C390" s="6"/>
    </row>
    <row r="391" spans="1:3" x14ac:dyDescent="0.2">
      <c r="A391" s="6"/>
      <c r="B391" s="3"/>
      <c r="C391" s="6"/>
    </row>
    <row r="392" spans="1:3" x14ac:dyDescent="0.2">
      <c r="A392" s="6"/>
      <c r="B392" s="3"/>
      <c r="C392" s="6"/>
    </row>
    <row r="393" spans="1:3" x14ac:dyDescent="0.2">
      <c r="A393" s="6"/>
      <c r="B393" s="3"/>
      <c r="C393" s="6"/>
    </row>
    <row r="394" spans="1:3" x14ac:dyDescent="0.2">
      <c r="A394" s="6"/>
      <c r="B394" s="3"/>
      <c r="C394" s="6"/>
    </row>
    <row r="395" spans="1:3" x14ac:dyDescent="0.2">
      <c r="A395" s="6"/>
      <c r="B395" s="3"/>
      <c r="C395" s="6"/>
    </row>
    <row r="396" spans="1:3" x14ac:dyDescent="0.2">
      <c r="A396" s="6"/>
      <c r="B396" s="3"/>
      <c r="C396" s="6"/>
    </row>
    <row r="397" spans="1:3" x14ac:dyDescent="0.2">
      <c r="A397" s="6"/>
      <c r="B397" s="3"/>
      <c r="C397" s="6"/>
    </row>
    <row r="398" spans="1:3" x14ac:dyDescent="0.2">
      <c r="A398" s="6"/>
      <c r="B398" s="3"/>
      <c r="C398" s="6"/>
    </row>
    <row r="399" spans="1:3" x14ac:dyDescent="0.2">
      <c r="A399" s="6"/>
      <c r="B399" s="3"/>
      <c r="C399" s="6"/>
    </row>
    <row r="400" spans="1:3" x14ac:dyDescent="0.2">
      <c r="A400" s="6"/>
      <c r="B400" s="3"/>
      <c r="C400" s="6"/>
    </row>
    <row r="401" spans="1:3" x14ac:dyDescent="0.2">
      <c r="A401" s="6"/>
      <c r="B401" s="3"/>
      <c r="C401" s="6"/>
    </row>
    <row r="402" spans="1:3" x14ac:dyDescent="0.2">
      <c r="A402" s="6"/>
      <c r="B402" s="3"/>
      <c r="C402" s="6"/>
    </row>
    <row r="403" spans="1:3" x14ac:dyDescent="0.2">
      <c r="A403" s="6"/>
      <c r="B403" s="3"/>
      <c r="C403" s="6"/>
    </row>
    <row r="404" spans="1:3" x14ac:dyDescent="0.2">
      <c r="A404" s="6"/>
      <c r="B404" s="3"/>
      <c r="C404" s="6"/>
    </row>
    <row r="405" spans="1:3" x14ac:dyDescent="0.2">
      <c r="A405" s="6"/>
      <c r="B405" s="3"/>
      <c r="C405" s="6"/>
    </row>
    <row r="406" spans="1:3" x14ac:dyDescent="0.2">
      <c r="A406" s="6"/>
      <c r="B406" s="3"/>
      <c r="C406" s="6"/>
    </row>
    <row r="407" spans="1:3" x14ac:dyDescent="0.2">
      <c r="A407" s="6"/>
      <c r="B407" s="3"/>
      <c r="C407" s="6"/>
    </row>
    <row r="408" spans="1:3" x14ac:dyDescent="0.2">
      <c r="A408" s="6"/>
      <c r="B408" s="3"/>
      <c r="C408" s="6"/>
    </row>
    <row r="409" spans="1:3" x14ac:dyDescent="0.2">
      <c r="A409" s="6"/>
      <c r="B409" s="3"/>
      <c r="C409" s="6"/>
    </row>
    <row r="410" spans="1:3" x14ac:dyDescent="0.2">
      <c r="A410" s="6"/>
      <c r="B410" s="3"/>
      <c r="C410" s="6"/>
    </row>
    <row r="411" spans="1:3" x14ac:dyDescent="0.2">
      <c r="A411" s="6"/>
      <c r="B411" s="3"/>
      <c r="C411" s="6"/>
    </row>
    <row r="412" spans="1:3" x14ac:dyDescent="0.2">
      <c r="A412" s="6"/>
      <c r="B412" s="3"/>
      <c r="C412" s="6"/>
    </row>
    <row r="413" spans="1:3" x14ac:dyDescent="0.2">
      <c r="A413" s="6"/>
      <c r="B413" s="3"/>
      <c r="C413" s="6"/>
    </row>
    <row r="414" spans="1:3" x14ac:dyDescent="0.2">
      <c r="A414" s="6"/>
      <c r="B414" s="3"/>
      <c r="C414" s="6"/>
    </row>
    <row r="415" spans="1:3" x14ac:dyDescent="0.2">
      <c r="A415" s="6"/>
      <c r="B415" s="3"/>
      <c r="C415" s="6"/>
    </row>
    <row r="416" spans="1:3" x14ac:dyDescent="0.2">
      <c r="A416" s="6"/>
      <c r="B416" s="3"/>
      <c r="C416" s="6"/>
    </row>
    <row r="417" spans="1:3" x14ac:dyDescent="0.2">
      <c r="A417" s="6"/>
      <c r="B417" s="3"/>
      <c r="C417" s="6"/>
    </row>
    <row r="418" spans="1:3" x14ac:dyDescent="0.2">
      <c r="A418" s="6"/>
      <c r="B418" s="3"/>
      <c r="C418" s="6"/>
    </row>
    <row r="419" spans="1:3" x14ac:dyDescent="0.2">
      <c r="A419" s="6"/>
      <c r="B419" s="3"/>
      <c r="C419" s="6"/>
    </row>
    <row r="420" spans="1:3" x14ac:dyDescent="0.2">
      <c r="A420" s="6"/>
      <c r="B420" s="3"/>
      <c r="C420" s="6"/>
    </row>
    <row r="421" spans="1:3" x14ac:dyDescent="0.2">
      <c r="A421" s="6"/>
      <c r="B421" s="3"/>
      <c r="C421" s="6"/>
    </row>
    <row r="422" spans="1:3" x14ac:dyDescent="0.2">
      <c r="A422" s="6"/>
      <c r="B422" s="3"/>
      <c r="C422" s="6"/>
    </row>
    <row r="423" spans="1:3" x14ac:dyDescent="0.2">
      <c r="A423" s="6"/>
      <c r="B423" s="3"/>
      <c r="C423" s="6"/>
    </row>
    <row r="424" spans="1:3" x14ac:dyDescent="0.2">
      <c r="A424" s="6"/>
      <c r="B424" s="3"/>
      <c r="C424" s="6"/>
    </row>
    <row r="425" spans="1:3" x14ac:dyDescent="0.2">
      <c r="A425" s="6"/>
      <c r="B425" s="3"/>
      <c r="C425" s="6"/>
    </row>
    <row r="426" spans="1:3" x14ac:dyDescent="0.2">
      <c r="A426" s="6"/>
      <c r="B426" s="3"/>
      <c r="C426" s="6"/>
    </row>
    <row r="427" spans="1:3" x14ac:dyDescent="0.2">
      <c r="A427" s="6"/>
      <c r="B427" s="3"/>
      <c r="C427" s="6"/>
    </row>
    <row r="428" spans="1:3" x14ac:dyDescent="0.2">
      <c r="A428" s="6"/>
      <c r="B428" s="3"/>
      <c r="C428" s="6"/>
    </row>
    <row r="429" spans="1:3" x14ac:dyDescent="0.2">
      <c r="A429" s="6"/>
      <c r="B429" s="3"/>
      <c r="C429" s="6"/>
    </row>
    <row r="430" spans="1:3" x14ac:dyDescent="0.2">
      <c r="A430" s="6"/>
      <c r="B430" s="3"/>
      <c r="C430" s="6"/>
    </row>
    <row r="431" spans="1:3" x14ac:dyDescent="0.2">
      <c r="A431" s="6"/>
      <c r="B431" s="3"/>
      <c r="C431" s="6"/>
    </row>
    <row r="432" spans="1:3" x14ac:dyDescent="0.2">
      <c r="A432" s="6"/>
      <c r="B432" s="3"/>
      <c r="C432" s="6"/>
    </row>
    <row r="433" spans="1:3" x14ac:dyDescent="0.2">
      <c r="A433" s="6"/>
      <c r="B433" s="3"/>
      <c r="C433" s="6"/>
    </row>
    <row r="434" spans="1:3" x14ac:dyDescent="0.2">
      <c r="A434" s="6"/>
      <c r="B434" s="3"/>
      <c r="C434" s="6"/>
    </row>
    <row r="435" spans="1:3" x14ac:dyDescent="0.2">
      <c r="A435" s="6"/>
      <c r="B435" s="3"/>
      <c r="C435" s="6"/>
    </row>
    <row r="436" spans="1:3" x14ac:dyDescent="0.2">
      <c r="A436" s="6"/>
      <c r="B436" s="3"/>
      <c r="C436" s="6"/>
    </row>
    <row r="437" spans="1:3" x14ac:dyDescent="0.2">
      <c r="A437" s="6"/>
      <c r="B437" s="3"/>
      <c r="C437" s="6"/>
    </row>
    <row r="438" spans="1:3" x14ac:dyDescent="0.2">
      <c r="A438" s="6"/>
      <c r="B438" s="3"/>
      <c r="C438" s="6"/>
    </row>
    <row r="439" spans="1:3" x14ac:dyDescent="0.2">
      <c r="A439" s="6"/>
      <c r="B439" s="3"/>
      <c r="C439" s="6"/>
    </row>
    <row r="440" spans="1:3" x14ac:dyDescent="0.2">
      <c r="A440" s="6"/>
      <c r="B440" s="3"/>
      <c r="C440" s="6"/>
    </row>
    <row r="441" spans="1:3" x14ac:dyDescent="0.2">
      <c r="A441" s="6"/>
      <c r="B441" s="3"/>
      <c r="C441" s="6"/>
    </row>
    <row r="442" spans="1:3" x14ac:dyDescent="0.2">
      <c r="A442" s="6"/>
      <c r="B442" s="3"/>
      <c r="C442" s="6"/>
    </row>
    <row r="443" spans="1:3" x14ac:dyDescent="0.2">
      <c r="A443" s="6"/>
      <c r="B443" s="3"/>
      <c r="C443" s="6"/>
    </row>
    <row r="444" spans="1:3" x14ac:dyDescent="0.2">
      <c r="A444" s="6"/>
      <c r="B444" s="3"/>
      <c r="C444" s="6"/>
    </row>
    <row r="445" spans="1:3" x14ac:dyDescent="0.2">
      <c r="A445" s="6"/>
      <c r="B445" s="3"/>
      <c r="C445" s="6"/>
    </row>
    <row r="446" spans="1:3" x14ac:dyDescent="0.2">
      <c r="A446" s="6"/>
      <c r="B446" s="3"/>
      <c r="C446" s="6"/>
    </row>
    <row r="447" spans="1:3" x14ac:dyDescent="0.2">
      <c r="A447" s="6"/>
      <c r="B447" s="3"/>
      <c r="C447" s="6"/>
    </row>
    <row r="448" spans="1:3" x14ac:dyDescent="0.2">
      <c r="A448" s="6"/>
      <c r="B448" s="3"/>
      <c r="C448" s="6"/>
    </row>
    <row r="449" spans="1:3" x14ac:dyDescent="0.2">
      <c r="A449" s="6"/>
      <c r="B449" s="3"/>
      <c r="C449" s="6"/>
    </row>
    <row r="450" spans="1:3" x14ac:dyDescent="0.2">
      <c r="A450" s="6"/>
      <c r="B450" s="3"/>
      <c r="C450" s="6"/>
    </row>
    <row r="451" spans="1:3" x14ac:dyDescent="0.2">
      <c r="A451" s="6"/>
      <c r="B451" s="3"/>
      <c r="C451" s="6"/>
    </row>
    <row r="452" spans="1:3" x14ac:dyDescent="0.2">
      <c r="A452" s="6"/>
      <c r="B452" s="3"/>
      <c r="C452" s="6"/>
    </row>
    <row r="453" spans="1:3" x14ac:dyDescent="0.2">
      <c r="A453" s="6"/>
      <c r="B453" s="3"/>
      <c r="C453" s="6"/>
    </row>
    <row r="454" spans="1:3" x14ac:dyDescent="0.2">
      <c r="A454" s="6"/>
      <c r="B454" s="3"/>
      <c r="C454" s="6"/>
    </row>
    <row r="455" spans="1:3" x14ac:dyDescent="0.2">
      <c r="A455" s="6"/>
      <c r="B455" s="3"/>
      <c r="C455" s="6"/>
    </row>
    <row r="456" spans="1:3" x14ac:dyDescent="0.2">
      <c r="A456" s="6"/>
      <c r="B456" s="3"/>
      <c r="C456" s="6"/>
    </row>
    <row r="457" spans="1:3" x14ac:dyDescent="0.2">
      <c r="A457" s="6"/>
      <c r="B457" s="3"/>
      <c r="C457" s="6"/>
    </row>
    <row r="458" spans="1:3" x14ac:dyDescent="0.2">
      <c r="A458" s="6"/>
      <c r="B458" s="3"/>
      <c r="C458" s="6"/>
    </row>
    <row r="459" spans="1:3" x14ac:dyDescent="0.2">
      <c r="A459" s="6"/>
      <c r="B459" s="3"/>
      <c r="C459" s="6"/>
    </row>
    <row r="460" spans="1:3" x14ac:dyDescent="0.2">
      <c r="A460" s="6"/>
      <c r="B460" s="3"/>
      <c r="C460" s="6"/>
    </row>
    <row r="461" spans="1:3" x14ac:dyDescent="0.2">
      <c r="A461" s="6"/>
      <c r="B461" s="3"/>
      <c r="C461" s="6"/>
    </row>
    <row r="462" spans="1:3" x14ac:dyDescent="0.2">
      <c r="A462" s="6"/>
      <c r="B462" s="3"/>
      <c r="C462" s="6"/>
    </row>
    <row r="463" spans="1:3" x14ac:dyDescent="0.2">
      <c r="A463" s="6"/>
      <c r="B463" s="3"/>
      <c r="C463" s="6"/>
    </row>
    <row r="464" spans="1:3" x14ac:dyDescent="0.2">
      <c r="A464" s="6"/>
      <c r="B464" s="3"/>
      <c r="C464" s="6"/>
    </row>
    <row r="465" spans="1:3" x14ac:dyDescent="0.2">
      <c r="A465" s="6"/>
      <c r="B465" s="3"/>
      <c r="C465" s="6"/>
    </row>
    <row r="466" spans="1:3" x14ac:dyDescent="0.2">
      <c r="A466" s="6"/>
      <c r="B466" s="3"/>
      <c r="C466" s="6"/>
    </row>
    <row r="467" spans="1:3" x14ac:dyDescent="0.2">
      <c r="A467" s="6"/>
      <c r="B467" s="3"/>
      <c r="C467" s="6"/>
    </row>
    <row r="468" spans="1:3" x14ac:dyDescent="0.2">
      <c r="A468" s="6"/>
      <c r="B468" s="3"/>
      <c r="C468" s="6"/>
    </row>
    <row r="469" spans="1:3" x14ac:dyDescent="0.2">
      <c r="A469" s="6"/>
      <c r="B469" s="3"/>
      <c r="C469" s="6"/>
    </row>
    <row r="470" spans="1:3" x14ac:dyDescent="0.2">
      <c r="A470" s="6"/>
      <c r="B470" s="3"/>
      <c r="C470" s="6"/>
    </row>
    <row r="471" spans="1:3" x14ac:dyDescent="0.2">
      <c r="A471" s="6"/>
      <c r="B471" s="3"/>
      <c r="C471" s="6"/>
    </row>
    <row r="472" spans="1:3" x14ac:dyDescent="0.2">
      <c r="A472" s="6"/>
      <c r="B472" s="3"/>
      <c r="C472" s="6"/>
    </row>
    <row r="473" spans="1:3" x14ac:dyDescent="0.2">
      <c r="A473" s="6"/>
      <c r="B473" s="3"/>
      <c r="C473" s="6"/>
    </row>
    <row r="474" spans="1:3" x14ac:dyDescent="0.2">
      <c r="A474" s="6"/>
      <c r="B474" s="3"/>
      <c r="C474" s="6"/>
    </row>
    <row r="475" spans="1:3" x14ac:dyDescent="0.2">
      <c r="A475" s="6"/>
      <c r="B475" s="3"/>
      <c r="C475" s="6"/>
    </row>
    <row r="476" spans="1:3" x14ac:dyDescent="0.2">
      <c r="A476" s="6"/>
      <c r="B476" s="3"/>
      <c r="C476" s="6"/>
    </row>
    <row r="477" spans="1:3" x14ac:dyDescent="0.2">
      <c r="A477" s="6"/>
      <c r="B477" s="3"/>
      <c r="C477" s="6"/>
    </row>
    <row r="478" spans="1:3" x14ac:dyDescent="0.2">
      <c r="A478" s="6"/>
      <c r="B478" s="3"/>
      <c r="C478" s="6"/>
    </row>
    <row r="479" spans="1:3" x14ac:dyDescent="0.2">
      <c r="A479" s="6"/>
      <c r="B479" s="3"/>
      <c r="C479" s="6"/>
    </row>
    <row r="480" spans="1:3" x14ac:dyDescent="0.2">
      <c r="A480" s="6"/>
      <c r="B480" s="3"/>
      <c r="C480" s="6"/>
    </row>
    <row r="481" spans="1:3" x14ac:dyDescent="0.2">
      <c r="A481" s="6"/>
      <c r="B481" s="3"/>
      <c r="C481" s="6"/>
    </row>
    <row r="482" spans="1:3" x14ac:dyDescent="0.2">
      <c r="A482" s="6"/>
      <c r="B482" s="3"/>
      <c r="C482" s="6"/>
    </row>
    <row r="483" spans="1:3" x14ac:dyDescent="0.2">
      <c r="A483" s="6"/>
      <c r="B483" s="3"/>
      <c r="C483" s="6"/>
    </row>
    <row r="484" spans="1:3" x14ac:dyDescent="0.2">
      <c r="A484" s="6"/>
      <c r="B484" s="3"/>
      <c r="C484" s="6"/>
    </row>
    <row r="485" spans="1:3" x14ac:dyDescent="0.2">
      <c r="A485" s="6"/>
      <c r="B485" s="3"/>
      <c r="C485" s="6"/>
    </row>
    <row r="486" spans="1:3" x14ac:dyDescent="0.2">
      <c r="A486" s="6"/>
      <c r="B486" s="3"/>
      <c r="C486" s="6"/>
    </row>
    <row r="487" spans="1:3" x14ac:dyDescent="0.2">
      <c r="A487" s="6"/>
      <c r="B487" s="3"/>
      <c r="C487" s="6"/>
    </row>
    <row r="488" spans="1:3" x14ac:dyDescent="0.2">
      <c r="A488" s="6"/>
      <c r="B488" s="3"/>
      <c r="C488" s="6"/>
    </row>
    <row r="489" spans="1:3" x14ac:dyDescent="0.2">
      <c r="A489" s="6"/>
      <c r="B489" s="3"/>
      <c r="C489" s="6"/>
    </row>
    <row r="490" spans="1:3" x14ac:dyDescent="0.2">
      <c r="A490" s="6"/>
      <c r="B490" s="3"/>
      <c r="C490" s="6"/>
    </row>
    <row r="491" spans="1:3" x14ac:dyDescent="0.2">
      <c r="A491" s="6"/>
      <c r="B491" s="3"/>
      <c r="C491" s="6"/>
    </row>
    <row r="492" spans="1:3" x14ac:dyDescent="0.2">
      <c r="A492" s="6"/>
      <c r="B492" s="3"/>
      <c r="C492" s="6"/>
    </row>
    <row r="493" spans="1:3" x14ac:dyDescent="0.2">
      <c r="A493" s="6"/>
      <c r="B493" s="3"/>
      <c r="C493" s="6"/>
    </row>
    <row r="494" spans="1:3" x14ac:dyDescent="0.2">
      <c r="A494" s="6"/>
      <c r="B494" s="3"/>
      <c r="C494" s="6"/>
    </row>
    <row r="495" spans="1:3" x14ac:dyDescent="0.2">
      <c r="A495" s="6"/>
      <c r="B495" s="3"/>
      <c r="C495" s="6"/>
    </row>
    <row r="496" spans="1:3" x14ac:dyDescent="0.2">
      <c r="A496" s="6"/>
      <c r="B496" s="3"/>
      <c r="C496" s="6"/>
    </row>
    <row r="497" spans="1:3" x14ac:dyDescent="0.2">
      <c r="A497" s="6"/>
      <c r="B497" s="3"/>
      <c r="C497" s="6"/>
    </row>
    <row r="498" spans="1:3" x14ac:dyDescent="0.2">
      <c r="A498" s="6"/>
      <c r="B498" s="3"/>
      <c r="C498" s="6"/>
    </row>
    <row r="499" spans="1:3" x14ac:dyDescent="0.2">
      <c r="A499" s="6"/>
      <c r="B499" s="3"/>
      <c r="C499" s="6"/>
    </row>
    <row r="500" spans="1:3" x14ac:dyDescent="0.2">
      <c r="A500" s="6"/>
      <c r="B500" s="3"/>
      <c r="C500" s="6"/>
    </row>
    <row r="501" spans="1:3" x14ac:dyDescent="0.2">
      <c r="A501" s="6"/>
      <c r="B501" s="3"/>
      <c r="C501" s="6"/>
    </row>
    <row r="502" spans="1:3" x14ac:dyDescent="0.2">
      <c r="A502" s="6"/>
      <c r="B502" s="3"/>
      <c r="C502" s="6"/>
    </row>
    <row r="503" spans="1:3" x14ac:dyDescent="0.2">
      <c r="A503" s="6"/>
      <c r="B503" s="3"/>
      <c r="C503" s="6"/>
    </row>
    <row r="504" spans="1:3" x14ac:dyDescent="0.2">
      <c r="A504" s="6"/>
      <c r="B504" s="3"/>
      <c r="C504" s="6"/>
    </row>
    <row r="505" spans="1:3" x14ac:dyDescent="0.2">
      <c r="A505" s="6"/>
      <c r="B505" s="3"/>
      <c r="C505" s="6"/>
    </row>
    <row r="506" spans="1:3" x14ac:dyDescent="0.2">
      <c r="A506" s="6"/>
      <c r="B506" s="3"/>
      <c r="C506" s="6"/>
    </row>
    <row r="507" spans="1:3" x14ac:dyDescent="0.2">
      <c r="A507" s="6"/>
      <c r="B507" s="3"/>
      <c r="C507" s="6"/>
    </row>
    <row r="508" spans="1:3" x14ac:dyDescent="0.2">
      <c r="A508" s="6"/>
      <c r="B508" s="3"/>
      <c r="C508" s="6"/>
    </row>
    <row r="509" spans="1:3" x14ac:dyDescent="0.2">
      <c r="A509" s="6"/>
      <c r="B509" s="3"/>
      <c r="C509" s="6"/>
    </row>
    <row r="510" spans="1:3" x14ac:dyDescent="0.2">
      <c r="A510" s="6"/>
      <c r="B510" s="3"/>
      <c r="C510" s="6"/>
    </row>
    <row r="511" spans="1:3" x14ac:dyDescent="0.2">
      <c r="A511" s="6"/>
      <c r="B511" s="3"/>
      <c r="C511" s="6"/>
    </row>
    <row r="512" spans="1:3" x14ac:dyDescent="0.2">
      <c r="A512" s="6"/>
      <c r="B512" s="3"/>
      <c r="C512" s="6"/>
    </row>
    <row r="513" spans="1:3" x14ac:dyDescent="0.2">
      <c r="A513" s="6"/>
      <c r="B513" s="3"/>
      <c r="C513" s="6"/>
    </row>
    <row r="514" spans="1:3" x14ac:dyDescent="0.2">
      <c r="A514" s="6"/>
      <c r="B514" s="3"/>
      <c r="C514" s="6"/>
    </row>
    <row r="515" spans="1:3" x14ac:dyDescent="0.2">
      <c r="A515" s="6"/>
      <c r="B515" s="3"/>
      <c r="C515" s="6"/>
    </row>
    <row r="516" spans="1:3" x14ac:dyDescent="0.2">
      <c r="A516" s="6"/>
      <c r="B516" s="3"/>
      <c r="C516" s="6"/>
    </row>
    <row r="517" spans="1:3" x14ac:dyDescent="0.2">
      <c r="A517" s="6"/>
      <c r="B517" s="3"/>
      <c r="C517" s="6"/>
    </row>
    <row r="518" spans="1:3" x14ac:dyDescent="0.2">
      <c r="A518" s="6"/>
      <c r="B518" s="3"/>
      <c r="C518" s="6"/>
    </row>
    <row r="519" spans="1:3" x14ac:dyDescent="0.2">
      <c r="A519" s="6"/>
      <c r="B519" s="3"/>
      <c r="C519" s="6"/>
    </row>
    <row r="520" spans="1:3" x14ac:dyDescent="0.2">
      <c r="A520" s="6"/>
      <c r="B520" s="3"/>
      <c r="C520" s="6"/>
    </row>
    <row r="521" spans="1:3" x14ac:dyDescent="0.2">
      <c r="A521" s="6"/>
      <c r="B521" s="3"/>
      <c r="C521" s="6"/>
    </row>
    <row r="522" spans="1:3" x14ac:dyDescent="0.2">
      <c r="A522" s="6"/>
      <c r="B522" s="3"/>
      <c r="C522" s="6"/>
    </row>
    <row r="523" spans="1:3" x14ac:dyDescent="0.2">
      <c r="A523" s="6"/>
      <c r="B523" s="3"/>
      <c r="C523" s="6"/>
    </row>
    <row r="524" spans="1:3" x14ac:dyDescent="0.2">
      <c r="A524" s="6"/>
      <c r="B524" s="3"/>
      <c r="C524" s="6"/>
    </row>
    <row r="525" spans="1:3" x14ac:dyDescent="0.2">
      <c r="A525" s="6"/>
      <c r="B525" s="3"/>
      <c r="C525" s="6"/>
    </row>
    <row r="526" spans="1:3" x14ac:dyDescent="0.2">
      <c r="A526" s="6"/>
      <c r="B526" s="3"/>
      <c r="C526" s="6"/>
    </row>
    <row r="527" spans="1:3" x14ac:dyDescent="0.2">
      <c r="A527" s="6"/>
      <c r="B527" s="3"/>
      <c r="C527" s="6"/>
    </row>
    <row r="528" spans="1:3" x14ac:dyDescent="0.2">
      <c r="A528" s="6"/>
      <c r="B528" s="3"/>
      <c r="C528" s="6"/>
    </row>
    <row r="529" spans="1:3" x14ac:dyDescent="0.2">
      <c r="A529" s="6"/>
      <c r="B529" s="3"/>
      <c r="C529" s="6"/>
    </row>
    <row r="530" spans="1:3" x14ac:dyDescent="0.2">
      <c r="A530" s="6"/>
      <c r="B530" s="3"/>
      <c r="C530" s="6"/>
    </row>
    <row r="531" spans="1:3" x14ac:dyDescent="0.2">
      <c r="A531" s="6"/>
      <c r="B531" s="3"/>
      <c r="C531" s="6"/>
    </row>
    <row r="532" spans="1:3" x14ac:dyDescent="0.2">
      <c r="A532" s="6"/>
      <c r="B532" s="3"/>
      <c r="C532" s="6"/>
    </row>
    <row r="533" spans="1:3" x14ac:dyDescent="0.2">
      <c r="A533" s="6"/>
      <c r="B533" s="3"/>
      <c r="C533" s="6"/>
    </row>
    <row r="534" spans="1:3" x14ac:dyDescent="0.2">
      <c r="A534" s="6"/>
      <c r="B534" s="3"/>
      <c r="C534" s="6"/>
    </row>
    <row r="535" spans="1:3" x14ac:dyDescent="0.2">
      <c r="A535" s="6"/>
      <c r="B535" s="3"/>
      <c r="C535" s="6"/>
    </row>
    <row r="536" spans="1:3" x14ac:dyDescent="0.2">
      <c r="A536" s="6"/>
      <c r="B536" s="3"/>
      <c r="C536" s="6"/>
    </row>
    <row r="537" spans="1:3" x14ac:dyDescent="0.2">
      <c r="A537" s="6"/>
      <c r="B537" s="3"/>
      <c r="C537" s="6"/>
    </row>
    <row r="538" spans="1:3" x14ac:dyDescent="0.2">
      <c r="A538" s="6"/>
      <c r="B538" s="3"/>
      <c r="C538" s="6"/>
    </row>
    <row r="539" spans="1:3" x14ac:dyDescent="0.2">
      <c r="A539" s="6"/>
      <c r="B539" s="3"/>
      <c r="C539" s="6"/>
    </row>
    <row r="540" spans="1:3" x14ac:dyDescent="0.2">
      <c r="A540" s="6"/>
      <c r="B540" s="3"/>
      <c r="C540" s="6"/>
    </row>
    <row r="541" spans="1:3" x14ac:dyDescent="0.2">
      <c r="A541" s="6"/>
      <c r="B541" s="3"/>
      <c r="C541" s="6"/>
    </row>
    <row r="542" spans="1:3" x14ac:dyDescent="0.2">
      <c r="A542" s="6"/>
      <c r="B542" s="3"/>
      <c r="C542" s="6"/>
    </row>
    <row r="543" spans="1:3" x14ac:dyDescent="0.2">
      <c r="A543" s="6"/>
      <c r="B543" s="3"/>
      <c r="C543" s="6"/>
    </row>
    <row r="544" spans="1:3" x14ac:dyDescent="0.2">
      <c r="A544" s="6"/>
      <c r="B544" s="3"/>
      <c r="C544" s="6"/>
    </row>
    <row r="545" spans="1:3" x14ac:dyDescent="0.2">
      <c r="A545" s="6"/>
      <c r="B545" s="3"/>
      <c r="C545" s="6"/>
    </row>
    <row r="546" spans="1:3" x14ac:dyDescent="0.2">
      <c r="A546" s="6"/>
      <c r="B546" s="3"/>
      <c r="C546" s="6"/>
    </row>
    <row r="547" spans="1:3" x14ac:dyDescent="0.2">
      <c r="A547" s="6"/>
      <c r="B547" s="3"/>
      <c r="C547" s="6"/>
    </row>
    <row r="548" spans="1:3" x14ac:dyDescent="0.2">
      <c r="A548" s="6"/>
      <c r="B548" s="3"/>
      <c r="C548" s="6"/>
    </row>
    <row r="549" spans="1:3" x14ac:dyDescent="0.2">
      <c r="A549" s="6"/>
      <c r="B549" s="3"/>
      <c r="C549" s="6"/>
    </row>
    <row r="550" spans="1:3" x14ac:dyDescent="0.2">
      <c r="A550" s="6"/>
      <c r="B550" s="3"/>
      <c r="C550" s="6"/>
    </row>
    <row r="551" spans="1:3" x14ac:dyDescent="0.2">
      <c r="A551" s="6"/>
      <c r="B551" s="3"/>
      <c r="C551" s="6"/>
    </row>
    <row r="552" spans="1:3" x14ac:dyDescent="0.2">
      <c r="A552" s="6"/>
      <c r="B552" s="3"/>
      <c r="C552" s="6"/>
    </row>
    <row r="553" spans="1:3" x14ac:dyDescent="0.2">
      <c r="A553" s="6"/>
      <c r="B553" s="3"/>
      <c r="C553" s="6"/>
    </row>
    <row r="554" spans="1:3" x14ac:dyDescent="0.2">
      <c r="A554" s="6"/>
      <c r="B554" s="3"/>
      <c r="C554" s="6"/>
    </row>
    <row r="555" spans="1:3" x14ac:dyDescent="0.2">
      <c r="A555" s="6"/>
      <c r="B555" s="3"/>
      <c r="C555" s="6"/>
    </row>
    <row r="556" spans="1:3" x14ac:dyDescent="0.2">
      <c r="A556" s="6"/>
      <c r="B556" s="3"/>
      <c r="C556" s="6"/>
    </row>
    <row r="557" spans="1:3" x14ac:dyDescent="0.2">
      <c r="A557" s="6"/>
      <c r="B557" s="3"/>
      <c r="C557" s="6"/>
    </row>
    <row r="558" spans="1:3" x14ac:dyDescent="0.2">
      <c r="A558" s="6"/>
      <c r="B558" s="3"/>
      <c r="C558" s="6"/>
    </row>
    <row r="559" spans="1:3" x14ac:dyDescent="0.2">
      <c r="A559" s="6"/>
      <c r="B559" s="3"/>
      <c r="C559" s="6"/>
    </row>
    <row r="560" spans="1:3" x14ac:dyDescent="0.2">
      <c r="A560" s="6"/>
      <c r="B560" s="3"/>
      <c r="C560" s="6"/>
    </row>
    <row r="561" spans="1:3" x14ac:dyDescent="0.2">
      <c r="A561" s="6"/>
      <c r="B561" s="3"/>
      <c r="C561" s="6"/>
    </row>
    <row r="562" spans="1:3" x14ac:dyDescent="0.2">
      <c r="A562" s="6"/>
      <c r="B562" s="3"/>
      <c r="C562" s="6"/>
    </row>
    <row r="563" spans="1:3" x14ac:dyDescent="0.2">
      <c r="A563" s="6"/>
      <c r="B563" s="3"/>
      <c r="C563" s="6"/>
    </row>
    <row r="564" spans="1:3" x14ac:dyDescent="0.2">
      <c r="A564" s="6"/>
      <c r="B564" s="3"/>
      <c r="C564" s="6"/>
    </row>
    <row r="565" spans="1:3" x14ac:dyDescent="0.2">
      <c r="A565" s="6"/>
      <c r="B565" s="3"/>
      <c r="C565" s="6"/>
    </row>
    <row r="566" spans="1:3" x14ac:dyDescent="0.2">
      <c r="A566" s="6"/>
      <c r="B566" s="3"/>
      <c r="C566" s="6"/>
    </row>
    <row r="567" spans="1:3" x14ac:dyDescent="0.2">
      <c r="A567" s="6"/>
      <c r="B567" s="3"/>
      <c r="C567" s="6"/>
    </row>
    <row r="568" spans="1:3" x14ac:dyDescent="0.2">
      <c r="A568" s="6"/>
      <c r="B568" s="3"/>
      <c r="C568" s="6"/>
    </row>
    <row r="569" spans="1:3" x14ac:dyDescent="0.2">
      <c r="A569" s="6"/>
      <c r="B569" s="3"/>
      <c r="C569" s="6"/>
    </row>
    <row r="570" spans="1:3" x14ac:dyDescent="0.2">
      <c r="A570" s="6"/>
      <c r="B570" s="3"/>
      <c r="C570" s="6"/>
    </row>
    <row r="571" spans="1:3" x14ac:dyDescent="0.2">
      <c r="A571" s="6"/>
      <c r="B571" s="3"/>
      <c r="C571" s="6"/>
    </row>
    <row r="572" spans="1:3" x14ac:dyDescent="0.2">
      <c r="A572" s="6"/>
      <c r="B572" s="3"/>
      <c r="C572" s="6"/>
    </row>
    <row r="573" spans="1:3" x14ac:dyDescent="0.2">
      <c r="A573" s="6"/>
      <c r="B573" s="3"/>
      <c r="C573" s="6"/>
    </row>
    <row r="574" spans="1:3" x14ac:dyDescent="0.2">
      <c r="A574" s="6"/>
      <c r="B574" s="3"/>
      <c r="C574" s="6"/>
    </row>
    <row r="575" spans="1:3" x14ac:dyDescent="0.2">
      <c r="A575" s="6"/>
      <c r="B575" s="3"/>
      <c r="C575" s="6"/>
    </row>
    <row r="576" spans="1:3" x14ac:dyDescent="0.2">
      <c r="A576" s="6"/>
      <c r="B576" s="3"/>
      <c r="C576" s="6"/>
    </row>
    <row r="577" spans="1:3" x14ac:dyDescent="0.2">
      <c r="A577" s="6"/>
      <c r="B577" s="3"/>
      <c r="C577" s="6"/>
    </row>
    <row r="578" spans="1:3" x14ac:dyDescent="0.2">
      <c r="A578" s="6"/>
      <c r="B578" s="3"/>
      <c r="C578" s="6"/>
    </row>
    <row r="579" spans="1:3" x14ac:dyDescent="0.2">
      <c r="A579" s="6"/>
      <c r="B579" s="3"/>
      <c r="C579" s="6"/>
    </row>
    <row r="580" spans="1:3" x14ac:dyDescent="0.2">
      <c r="A580" s="6"/>
      <c r="B580" s="3"/>
      <c r="C580" s="6"/>
    </row>
    <row r="581" spans="1:3" x14ac:dyDescent="0.2">
      <c r="A581" s="6"/>
      <c r="B581" s="3"/>
      <c r="C581" s="6"/>
    </row>
    <row r="582" spans="1:3" x14ac:dyDescent="0.2">
      <c r="A582" s="6"/>
      <c r="B582" s="3"/>
      <c r="C582" s="6"/>
    </row>
    <row r="583" spans="1:3" x14ac:dyDescent="0.2">
      <c r="A583" s="6"/>
      <c r="B583" s="3"/>
      <c r="C583" s="6"/>
    </row>
    <row r="584" spans="1:3" x14ac:dyDescent="0.2">
      <c r="A584" s="6"/>
      <c r="B584" s="3"/>
      <c r="C584" s="6"/>
    </row>
    <row r="585" spans="1:3" x14ac:dyDescent="0.2">
      <c r="A585" s="6"/>
      <c r="B585" s="3"/>
      <c r="C585" s="6"/>
    </row>
    <row r="586" spans="1:3" x14ac:dyDescent="0.2">
      <c r="A586" s="6"/>
      <c r="B586" s="3"/>
      <c r="C586" s="6"/>
    </row>
    <row r="587" spans="1:3" x14ac:dyDescent="0.2">
      <c r="A587" s="6"/>
      <c r="B587" s="3"/>
      <c r="C587" s="6"/>
    </row>
    <row r="588" spans="1:3" x14ac:dyDescent="0.2">
      <c r="A588" s="6"/>
      <c r="B588" s="3"/>
      <c r="C588" s="6"/>
    </row>
    <row r="589" spans="1:3" x14ac:dyDescent="0.2">
      <c r="A589" s="6"/>
      <c r="B589" s="3"/>
      <c r="C589" s="6"/>
    </row>
    <row r="590" spans="1:3" x14ac:dyDescent="0.2">
      <c r="A590" s="6"/>
      <c r="B590" s="3"/>
      <c r="C590" s="6"/>
    </row>
    <row r="591" spans="1:3" x14ac:dyDescent="0.2">
      <c r="A591" s="6"/>
      <c r="B591" s="3"/>
      <c r="C591" s="6"/>
    </row>
    <row r="592" spans="1:3" x14ac:dyDescent="0.2">
      <c r="A592" s="6"/>
      <c r="B592" s="3"/>
      <c r="C592" s="6"/>
    </row>
    <row r="593" spans="1:3" x14ac:dyDescent="0.2">
      <c r="A593" s="6"/>
      <c r="B593" s="3"/>
      <c r="C593" s="6"/>
    </row>
    <row r="594" spans="1:3" x14ac:dyDescent="0.2">
      <c r="A594" s="6"/>
      <c r="B594" s="3"/>
      <c r="C594" s="6"/>
    </row>
    <row r="595" spans="1:3" x14ac:dyDescent="0.2">
      <c r="A595" s="6"/>
      <c r="B595" s="3"/>
      <c r="C595" s="6"/>
    </row>
    <row r="596" spans="1:3" x14ac:dyDescent="0.2">
      <c r="A596" s="6"/>
      <c r="B596" s="3"/>
      <c r="C596" s="6"/>
    </row>
    <row r="597" spans="1:3" x14ac:dyDescent="0.2">
      <c r="A597" s="6"/>
      <c r="B597" s="3"/>
      <c r="C597" s="6"/>
    </row>
    <row r="598" spans="1:3" x14ac:dyDescent="0.2">
      <c r="A598" s="6"/>
      <c r="B598" s="3"/>
      <c r="C598" s="6"/>
    </row>
    <row r="599" spans="1:3" x14ac:dyDescent="0.2">
      <c r="A599" s="6"/>
      <c r="B599" s="3"/>
      <c r="C599" s="6"/>
    </row>
    <row r="600" spans="1:3" x14ac:dyDescent="0.2">
      <c r="A600" s="6"/>
      <c r="B600" s="3"/>
      <c r="C600" s="6"/>
    </row>
    <row r="601" spans="1:3" x14ac:dyDescent="0.2">
      <c r="A601" s="6"/>
      <c r="B601" s="3"/>
      <c r="C601" s="6"/>
    </row>
    <row r="602" spans="1:3" x14ac:dyDescent="0.2">
      <c r="A602" s="6"/>
      <c r="B602" s="3"/>
      <c r="C602" s="6"/>
    </row>
    <row r="603" spans="1:3" x14ac:dyDescent="0.2">
      <c r="A603" s="6"/>
      <c r="B603" s="3"/>
      <c r="C603" s="6"/>
    </row>
    <row r="604" spans="1:3" x14ac:dyDescent="0.2">
      <c r="A604" s="6"/>
      <c r="B604" s="3"/>
      <c r="C604" s="6"/>
    </row>
    <row r="605" spans="1:3" x14ac:dyDescent="0.2">
      <c r="A605" s="6"/>
      <c r="B605" s="3"/>
      <c r="C605" s="6"/>
    </row>
    <row r="606" spans="1:3" x14ac:dyDescent="0.2">
      <c r="A606" s="6"/>
      <c r="B606" s="3"/>
      <c r="C606" s="6"/>
    </row>
    <row r="607" spans="1:3" x14ac:dyDescent="0.2">
      <c r="A607" s="6"/>
      <c r="B607" s="3"/>
      <c r="C607" s="6"/>
    </row>
    <row r="608" spans="1:3" x14ac:dyDescent="0.2">
      <c r="A608" s="6"/>
      <c r="B608" s="3"/>
      <c r="C608" s="6"/>
    </row>
    <row r="609" spans="1:3" x14ac:dyDescent="0.2">
      <c r="A609" s="6"/>
      <c r="B609" s="3"/>
      <c r="C609" s="6"/>
    </row>
    <row r="610" spans="1:3" x14ac:dyDescent="0.2">
      <c r="A610" s="6"/>
      <c r="B610" s="3"/>
      <c r="C610" s="6"/>
    </row>
    <row r="611" spans="1:3" x14ac:dyDescent="0.2">
      <c r="A611" s="6"/>
      <c r="B611" s="3"/>
      <c r="C611" s="6"/>
    </row>
    <row r="612" spans="1:3" x14ac:dyDescent="0.2">
      <c r="A612" s="6"/>
      <c r="B612" s="3"/>
      <c r="C612" s="6"/>
    </row>
    <row r="613" spans="1:3" x14ac:dyDescent="0.2">
      <c r="A613" s="6"/>
      <c r="B613" s="3"/>
      <c r="C613" s="6"/>
    </row>
    <row r="614" spans="1:3" x14ac:dyDescent="0.2">
      <c r="A614" s="6"/>
      <c r="B614" s="3"/>
      <c r="C614" s="6"/>
    </row>
    <row r="615" spans="1:3" x14ac:dyDescent="0.2">
      <c r="A615" s="6"/>
      <c r="B615" s="3"/>
      <c r="C615" s="6"/>
    </row>
    <row r="616" spans="1:3" x14ac:dyDescent="0.2">
      <c r="A616" s="6"/>
      <c r="B616" s="3"/>
      <c r="C616" s="6"/>
    </row>
    <row r="617" spans="1:3" x14ac:dyDescent="0.2">
      <c r="A617" s="6"/>
      <c r="B617" s="3"/>
      <c r="C617" s="6"/>
    </row>
    <row r="618" spans="1:3" x14ac:dyDescent="0.2">
      <c r="A618" s="6"/>
      <c r="B618" s="3"/>
      <c r="C618" s="6"/>
    </row>
    <row r="619" spans="1:3" x14ac:dyDescent="0.2">
      <c r="A619" s="6"/>
      <c r="B619" s="3"/>
      <c r="C619" s="6"/>
    </row>
    <row r="620" spans="1:3" x14ac:dyDescent="0.2">
      <c r="A620" s="6"/>
      <c r="B620" s="3"/>
      <c r="C620" s="6"/>
    </row>
    <row r="621" spans="1:3" x14ac:dyDescent="0.2">
      <c r="A621" s="6"/>
      <c r="B621" s="3"/>
      <c r="C621" s="6"/>
    </row>
    <row r="622" spans="1:3" x14ac:dyDescent="0.2">
      <c r="A622" s="6"/>
      <c r="B622" s="3"/>
      <c r="C622" s="6"/>
    </row>
    <row r="623" spans="1:3" x14ac:dyDescent="0.2">
      <c r="A623" s="6"/>
      <c r="B623" s="3"/>
      <c r="C623" s="6"/>
    </row>
    <row r="624" spans="1:3" x14ac:dyDescent="0.2">
      <c r="A624" s="6"/>
      <c r="B624" s="3"/>
      <c r="C624" s="6"/>
    </row>
    <row r="625" spans="1:3" x14ac:dyDescent="0.2">
      <c r="A625" s="6"/>
      <c r="B625" s="3"/>
      <c r="C625" s="6"/>
    </row>
    <row r="626" spans="1:3" x14ac:dyDescent="0.2">
      <c r="A626" s="6"/>
      <c r="B626" s="3"/>
      <c r="C626" s="6"/>
    </row>
    <row r="627" spans="1:3" x14ac:dyDescent="0.2">
      <c r="A627" s="6"/>
      <c r="B627" s="3"/>
      <c r="C627" s="6"/>
    </row>
    <row r="628" spans="1:3" x14ac:dyDescent="0.2">
      <c r="A628" s="6"/>
      <c r="B628" s="3"/>
      <c r="C628" s="6"/>
    </row>
    <row r="629" spans="1:3" x14ac:dyDescent="0.2">
      <c r="A629" s="6"/>
      <c r="B629" s="3"/>
      <c r="C629" s="6"/>
    </row>
    <row r="630" spans="1:3" x14ac:dyDescent="0.2">
      <c r="A630" s="6"/>
      <c r="B630" s="3"/>
      <c r="C630" s="6"/>
    </row>
    <row r="631" spans="1:3" x14ac:dyDescent="0.2">
      <c r="A631" s="6"/>
      <c r="B631" s="3"/>
      <c r="C631" s="6"/>
    </row>
    <row r="632" spans="1:3" x14ac:dyDescent="0.2">
      <c r="A632" s="6"/>
      <c r="B632" s="3"/>
      <c r="C632" s="6"/>
    </row>
    <row r="633" spans="1:3" x14ac:dyDescent="0.2">
      <c r="A633" s="6"/>
      <c r="B633" s="3"/>
      <c r="C633" s="6"/>
    </row>
    <row r="634" spans="1:3" x14ac:dyDescent="0.2">
      <c r="A634" s="6"/>
      <c r="B634" s="3"/>
      <c r="C634" s="6"/>
    </row>
    <row r="635" spans="1:3" x14ac:dyDescent="0.2">
      <c r="A635" s="6"/>
      <c r="B635" s="3"/>
      <c r="C635" s="6"/>
    </row>
    <row r="636" spans="1:3" x14ac:dyDescent="0.2">
      <c r="A636" s="6"/>
      <c r="B636" s="3"/>
      <c r="C636" s="6"/>
    </row>
    <row r="637" spans="1:3" x14ac:dyDescent="0.2">
      <c r="A637" s="6"/>
      <c r="B637" s="3"/>
      <c r="C637" s="6"/>
    </row>
    <row r="638" spans="1:3" x14ac:dyDescent="0.2">
      <c r="A638" s="6"/>
      <c r="B638" s="3"/>
      <c r="C638" s="6"/>
    </row>
    <row r="639" spans="1:3" x14ac:dyDescent="0.2">
      <c r="A639" s="6"/>
      <c r="B639" s="3"/>
      <c r="C639" s="6"/>
    </row>
    <row r="640" spans="1:3" x14ac:dyDescent="0.2">
      <c r="A640" s="6"/>
      <c r="B640" s="3"/>
      <c r="C640" s="6"/>
    </row>
    <row r="641" spans="1:3" x14ac:dyDescent="0.2">
      <c r="A641" s="6"/>
      <c r="B641" s="3"/>
      <c r="C641" s="6"/>
    </row>
    <row r="642" spans="1:3" x14ac:dyDescent="0.2">
      <c r="A642" s="6"/>
      <c r="B642" s="3"/>
      <c r="C642" s="6"/>
    </row>
    <row r="643" spans="1:3" x14ac:dyDescent="0.2">
      <c r="A643" s="6"/>
      <c r="B643" s="3"/>
      <c r="C643" s="6"/>
    </row>
    <row r="644" spans="1:3" x14ac:dyDescent="0.2">
      <c r="A644" s="6"/>
      <c r="B644" s="3"/>
      <c r="C644" s="6"/>
    </row>
    <row r="645" spans="1:3" x14ac:dyDescent="0.2">
      <c r="A645" s="6"/>
      <c r="B645" s="3"/>
      <c r="C645" s="6"/>
    </row>
    <row r="646" spans="1:3" x14ac:dyDescent="0.2">
      <c r="A646" s="6"/>
      <c r="B646" s="3"/>
      <c r="C646" s="6"/>
    </row>
    <row r="647" spans="1:3" x14ac:dyDescent="0.2">
      <c r="A647" s="6"/>
      <c r="B647" s="3"/>
      <c r="C647" s="6"/>
    </row>
    <row r="648" spans="1:3" x14ac:dyDescent="0.2">
      <c r="A648" s="6"/>
      <c r="B648" s="3"/>
      <c r="C648" s="6"/>
    </row>
    <row r="649" spans="1:3" x14ac:dyDescent="0.2">
      <c r="A649" s="6"/>
      <c r="B649" s="3"/>
      <c r="C649" s="6"/>
    </row>
    <row r="650" spans="1:3" x14ac:dyDescent="0.2">
      <c r="A650" s="6"/>
      <c r="B650" s="3"/>
      <c r="C650" s="6"/>
    </row>
    <row r="651" spans="1:3" x14ac:dyDescent="0.2">
      <c r="A651" s="6"/>
      <c r="B651" s="3"/>
      <c r="C651" s="6"/>
    </row>
    <row r="652" spans="1:3" x14ac:dyDescent="0.2">
      <c r="A652" s="6"/>
      <c r="B652" s="3"/>
      <c r="C652" s="6"/>
    </row>
    <row r="653" spans="1:3" x14ac:dyDescent="0.2">
      <c r="A653" s="6"/>
      <c r="B653" s="3"/>
      <c r="C653" s="6"/>
    </row>
    <row r="654" spans="1:3" x14ac:dyDescent="0.2">
      <c r="A654" s="6"/>
      <c r="B654" s="3"/>
      <c r="C654" s="6"/>
    </row>
    <row r="655" spans="1:3" x14ac:dyDescent="0.2">
      <c r="A655" s="6"/>
      <c r="B655" s="3"/>
      <c r="C655" s="6"/>
    </row>
    <row r="656" spans="1:3" x14ac:dyDescent="0.2">
      <c r="A656" s="6"/>
      <c r="B656" s="3"/>
      <c r="C656" s="6"/>
    </row>
    <row r="657" spans="1:3" x14ac:dyDescent="0.2">
      <c r="A657" s="6"/>
      <c r="B657" s="3"/>
      <c r="C657" s="6"/>
    </row>
    <row r="658" spans="1:3" x14ac:dyDescent="0.2">
      <c r="A658" s="6"/>
      <c r="B658" s="3"/>
      <c r="C658" s="6"/>
    </row>
    <row r="659" spans="1:3" x14ac:dyDescent="0.2">
      <c r="A659" s="6"/>
      <c r="B659" s="3"/>
      <c r="C659" s="6"/>
    </row>
    <row r="660" spans="1:3" x14ac:dyDescent="0.2">
      <c r="A660" s="6"/>
      <c r="B660" s="3"/>
      <c r="C660" s="6"/>
    </row>
    <row r="661" spans="1:3" x14ac:dyDescent="0.2">
      <c r="A661" s="6"/>
      <c r="B661" s="3"/>
      <c r="C661" s="6"/>
    </row>
    <row r="662" spans="1:3" x14ac:dyDescent="0.2">
      <c r="A662" s="6"/>
      <c r="B662" s="3"/>
      <c r="C662" s="6"/>
    </row>
    <row r="663" spans="1:3" x14ac:dyDescent="0.2">
      <c r="A663" s="6"/>
      <c r="B663" s="3"/>
      <c r="C663" s="6"/>
    </row>
    <row r="664" spans="1:3" x14ac:dyDescent="0.2">
      <c r="A664" s="6"/>
      <c r="B664" s="3"/>
      <c r="C664" s="6"/>
    </row>
    <row r="665" spans="1:3" x14ac:dyDescent="0.2">
      <c r="A665" s="6"/>
      <c r="B665" s="3"/>
      <c r="C665" s="6"/>
    </row>
    <row r="666" spans="1:3" x14ac:dyDescent="0.2">
      <c r="A666" s="6"/>
      <c r="B666" s="3"/>
      <c r="C666" s="6"/>
    </row>
    <row r="667" spans="1:3" x14ac:dyDescent="0.2">
      <c r="A667" s="6"/>
      <c r="B667" s="3"/>
      <c r="C667" s="6"/>
    </row>
    <row r="668" spans="1:3" x14ac:dyDescent="0.2">
      <c r="A668" s="6"/>
      <c r="B668" s="3"/>
      <c r="C668" s="6"/>
    </row>
    <row r="669" spans="1:3" x14ac:dyDescent="0.2">
      <c r="A669" s="6"/>
      <c r="B669" s="3"/>
      <c r="C669" s="6"/>
    </row>
    <row r="670" spans="1:3" x14ac:dyDescent="0.2">
      <c r="A670" s="6"/>
      <c r="B670" s="3"/>
      <c r="C670" s="6"/>
    </row>
    <row r="671" spans="1:3" x14ac:dyDescent="0.2">
      <c r="A671" s="6"/>
      <c r="B671" s="3"/>
      <c r="C671" s="6"/>
    </row>
    <row r="672" spans="1:3" x14ac:dyDescent="0.2">
      <c r="A672" s="6"/>
      <c r="B672" s="3"/>
      <c r="C672" s="6"/>
    </row>
    <row r="673" spans="1:3" x14ac:dyDescent="0.2">
      <c r="A673" s="6"/>
      <c r="B673" s="3"/>
      <c r="C673" s="6"/>
    </row>
    <row r="674" spans="1:3" x14ac:dyDescent="0.2">
      <c r="A674" s="6"/>
      <c r="B674" s="3"/>
      <c r="C674" s="6"/>
    </row>
    <row r="675" spans="1:3" x14ac:dyDescent="0.2">
      <c r="A675" s="6"/>
      <c r="B675" s="3"/>
      <c r="C675" s="6"/>
    </row>
    <row r="676" spans="1:3" x14ac:dyDescent="0.2">
      <c r="A676" s="6"/>
      <c r="B676" s="3"/>
      <c r="C676" s="6"/>
    </row>
    <row r="677" spans="1:3" x14ac:dyDescent="0.2">
      <c r="A677" s="6"/>
      <c r="B677" s="3"/>
      <c r="C677" s="6"/>
    </row>
    <row r="678" spans="1:3" x14ac:dyDescent="0.2">
      <c r="A678" s="6"/>
      <c r="B678" s="3"/>
      <c r="C678" s="6"/>
    </row>
    <row r="679" spans="1:3" x14ac:dyDescent="0.2">
      <c r="A679" s="6"/>
      <c r="B679" s="3"/>
      <c r="C679" s="6"/>
    </row>
    <row r="680" spans="1:3" x14ac:dyDescent="0.2">
      <c r="A680" s="6"/>
      <c r="B680" s="3"/>
      <c r="C680" s="6"/>
    </row>
    <row r="681" spans="1:3" x14ac:dyDescent="0.2">
      <c r="A681" s="6"/>
      <c r="B681" s="3"/>
      <c r="C681" s="6"/>
    </row>
    <row r="682" spans="1:3" x14ac:dyDescent="0.2">
      <c r="A682" s="6"/>
      <c r="B682" s="3"/>
      <c r="C682" s="6"/>
    </row>
    <row r="683" spans="1:3" x14ac:dyDescent="0.2">
      <c r="A683" s="6"/>
      <c r="B683" s="3"/>
      <c r="C683" s="6"/>
    </row>
    <row r="684" spans="1:3" x14ac:dyDescent="0.2">
      <c r="A684" s="6"/>
      <c r="B684" s="3"/>
      <c r="C684" s="6"/>
    </row>
    <row r="685" spans="1:3" x14ac:dyDescent="0.2">
      <c r="A685" s="6"/>
      <c r="B685" s="3"/>
      <c r="C685" s="6"/>
    </row>
    <row r="686" spans="1:3" x14ac:dyDescent="0.2">
      <c r="A686" s="6"/>
      <c r="B686" s="3"/>
      <c r="C686" s="6"/>
    </row>
    <row r="687" spans="1:3" x14ac:dyDescent="0.2">
      <c r="A687" s="6"/>
      <c r="B687" s="3"/>
      <c r="C687" s="6"/>
    </row>
    <row r="688" spans="1:3" x14ac:dyDescent="0.2">
      <c r="A688" s="6"/>
      <c r="B688" s="3"/>
      <c r="C688" s="6"/>
    </row>
    <row r="689" spans="1:3" x14ac:dyDescent="0.2">
      <c r="A689" s="6"/>
      <c r="B689" s="3"/>
      <c r="C689" s="6"/>
    </row>
    <row r="690" spans="1:3" x14ac:dyDescent="0.2">
      <c r="A690" s="6"/>
      <c r="B690" s="3"/>
      <c r="C690" s="6"/>
    </row>
    <row r="691" spans="1:3" x14ac:dyDescent="0.2">
      <c r="A691" s="6"/>
      <c r="B691" s="3"/>
      <c r="C691" s="6"/>
    </row>
    <row r="692" spans="1:3" x14ac:dyDescent="0.2">
      <c r="A692" s="6"/>
      <c r="B692" s="3"/>
      <c r="C692" s="6"/>
    </row>
    <row r="693" spans="1:3" x14ac:dyDescent="0.2">
      <c r="A693" s="6"/>
      <c r="B693" s="3"/>
      <c r="C693" s="6"/>
    </row>
    <row r="694" spans="1:3" x14ac:dyDescent="0.2">
      <c r="A694" s="6"/>
      <c r="B694" s="3"/>
      <c r="C694" s="6"/>
    </row>
    <row r="695" spans="1:3" x14ac:dyDescent="0.2">
      <c r="A695" s="6"/>
      <c r="B695" s="3"/>
      <c r="C695" s="6"/>
    </row>
    <row r="696" spans="1:3" x14ac:dyDescent="0.2">
      <c r="A696" s="6"/>
      <c r="B696" s="3"/>
      <c r="C696" s="6"/>
    </row>
    <row r="697" spans="1:3" x14ac:dyDescent="0.2">
      <c r="A697" s="6"/>
      <c r="B697" s="3"/>
      <c r="C697" s="6"/>
    </row>
    <row r="698" spans="1:3" x14ac:dyDescent="0.2">
      <c r="A698" s="6"/>
      <c r="B698" s="3"/>
      <c r="C698" s="6"/>
    </row>
    <row r="699" spans="1:3" x14ac:dyDescent="0.2">
      <c r="A699" s="6"/>
      <c r="B699" s="3"/>
      <c r="C699" s="6"/>
    </row>
    <row r="700" spans="1:3" x14ac:dyDescent="0.2">
      <c r="A700" s="6"/>
      <c r="B700" s="3"/>
      <c r="C700" s="6"/>
    </row>
    <row r="701" spans="1:3" x14ac:dyDescent="0.2">
      <c r="A701" s="6"/>
      <c r="B701" s="3"/>
      <c r="C701" s="6"/>
    </row>
    <row r="702" spans="1:3" x14ac:dyDescent="0.2">
      <c r="A702" s="6"/>
      <c r="B702" s="3"/>
      <c r="C702" s="6"/>
    </row>
    <row r="703" spans="1:3" x14ac:dyDescent="0.2">
      <c r="A703" s="6"/>
      <c r="B703" s="3"/>
      <c r="C703" s="6"/>
    </row>
    <row r="704" spans="1:3" x14ac:dyDescent="0.2">
      <c r="A704" s="6"/>
      <c r="B704" s="3"/>
      <c r="C704" s="6"/>
    </row>
    <row r="705" spans="1:3" x14ac:dyDescent="0.2">
      <c r="A705" s="6"/>
      <c r="B705" s="3"/>
      <c r="C705" s="6"/>
    </row>
    <row r="706" spans="1:3" x14ac:dyDescent="0.2">
      <c r="A706" s="6"/>
      <c r="B706" s="3"/>
      <c r="C706" s="6"/>
    </row>
    <row r="707" spans="1:3" x14ac:dyDescent="0.2">
      <c r="A707" s="6"/>
      <c r="B707" s="3"/>
      <c r="C707" s="6"/>
    </row>
    <row r="708" spans="1:3" x14ac:dyDescent="0.2">
      <c r="A708" s="6"/>
      <c r="B708" s="3"/>
      <c r="C708" s="6"/>
    </row>
    <row r="709" spans="1:3" x14ac:dyDescent="0.2">
      <c r="A709" s="6"/>
      <c r="B709" s="3"/>
      <c r="C709" s="6"/>
    </row>
    <row r="710" spans="1:3" x14ac:dyDescent="0.2">
      <c r="A710" s="6"/>
      <c r="B710" s="3"/>
      <c r="C710" s="6"/>
    </row>
    <row r="711" spans="1:3" x14ac:dyDescent="0.2">
      <c r="A711" s="6"/>
      <c r="B711" s="3"/>
      <c r="C711" s="6"/>
    </row>
    <row r="712" spans="1:3" x14ac:dyDescent="0.2">
      <c r="A712" s="6"/>
      <c r="B712" s="3"/>
      <c r="C712" s="6"/>
    </row>
    <row r="713" spans="1:3" x14ac:dyDescent="0.2">
      <c r="A713" s="6"/>
      <c r="B713" s="3"/>
      <c r="C713" s="6"/>
    </row>
    <row r="714" spans="1:3" x14ac:dyDescent="0.2">
      <c r="A714" s="6"/>
      <c r="B714" s="3"/>
      <c r="C714" s="6"/>
    </row>
    <row r="715" spans="1:3" x14ac:dyDescent="0.2">
      <c r="A715" s="6"/>
      <c r="B715" s="3"/>
      <c r="C715" s="6"/>
    </row>
    <row r="716" spans="1:3" x14ac:dyDescent="0.2">
      <c r="A716" s="6"/>
      <c r="B716" s="3"/>
      <c r="C716" s="6"/>
    </row>
    <row r="717" spans="1:3" x14ac:dyDescent="0.2">
      <c r="A717" s="6"/>
      <c r="B717" s="3"/>
      <c r="C717" s="6"/>
    </row>
    <row r="718" spans="1:3" x14ac:dyDescent="0.2">
      <c r="A718" s="6"/>
      <c r="B718" s="3"/>
      <c r="C718" s="6"/>
    </row>
    <row r="719" spans="1:3" x14ac:dyDescent="0.2">
      <c r="A719" s="6"/>
      <c r="B719" s="3"/>
      <c r="C719" s="6"/>
    </row>
    <row r="720" spans="1:3" x14ac:dyDescent="0.2">
      <c r="A720" s="6"/>
      <c r="B720" s="3"/>
      <c r="C720" s="6"/>
    </row>
    <row r="721" spans="1:3" x14ac:dyDescent="0.2">
      <c r="A721" s="6"/>
      <c r="B721" s="3"/>
      <c r="C721" s="6"/>
    </row>
    <row r="722" spans="1:3" x14ac:dyDescent="0.2">
      <c r="A722" s="6"/>
      <c r="B722" s="3"/>
      <c r="C722" s="6"/>
    </row>
    <row r="723" spans="1:3" x14ac:dyDescent="0.2">
      <c r="A723" s="6"/>
      <c r="B723" s="3"/>
      <c r="C723" s="6"/>
    </row>
    <row r="724" spans="1:3" x14ac:dyDescent="0.2">
      <c r="A724" s="6"/>
      <c r="B724" s="3"/>
      <c r="C724" s="6"/>
    </row>
    <row r="725" spans="1:3" x14ac:dyDescent="0.2">
      <c r="A725" s="6"/>
      <c r="B725" s="3"/>
      <c r="C725" s="6"/>
    </row>
    <row r="726" spans="1:3" x14ac:dyDescent="0.2">
      <c r="A726" s="6"/>
      <c r="B726" s="3"/>
      <c r="C726" s="6"/>
    </row>
    <row r="727" spans="1:3" x14ac:dyDescent="0.2">
      <c r="A727" s="6"/>
      <c r="B727" s="3"/>
      <c r="C727" s="6"/>
    </row>
    <row r="728" spans="1:3" x14ac:dyDescent="0.2">
      <c r="A728" s="6"/>
      <c r="B728" s="3"/>
      <c r="C728" s="6"/>
    </row>
    <row r="729" spans="1:3" x14ac:dyDescent="0.2">
      <c r="A729" s="6"/>
      <c r="B729" s="3"/>
      <c r="C729" s="6"/>
    </row>
    <row r="730" spans="1:3" x14ac:dyDescent="0.2">
      <c r="A730" s="6"/>
      <c r="B730" s="3"/>
      <c r="C730" s="6"/>
    </row>
    <row r="731" spans="1:3" x14ac:dyDescent="0.2">
      <c r="A731" s="6"/>
      <c r="B731" s="3"/>
      <c r="C731" s="6"/>
    </row>
    <row r="732" spans="1:3" x14ac:dyDescent="0.2">
      <c r="A732" s="6"/>
      <c r="B732" s="3"/>
      <c r="C732" s="6"/>
    </row>
    <row r="733" spans="1:3" x14ac:dyDescent="0.2">
      <c r="A733" s="6"/>
      <c r="B733" s="3"/>
      <c r="C733" s="6"/>
    </row>
    <row r="734" spans="1:3" x14ac:dyDescent="0.2">
      <c r="A734" s="6"/>
      <c r="B734" s="3"/>
      <c r="C734" s="6"/>
    </row>
    <row r="735" spans="1:3" x14ac:dyDescent="0.2">
      <c r="A735" s="6"/>
      <c r="B735" s="3"/>
      <c r="C735" s="6"/>
    </row>
    <row r="736" spans="1:3" x14ac:dyDescent="0.2">
      <c r="A736" s="6"/>
      <c r="B736" s="3"/>
      <c r="C736" s="6"/>
    </row>
    <row r="737" spans="1:3" x14ac:dyDescent="0.2">
      <c r="A737" s="6"/>
      <c r="B737" s="3"/>
      <c r="C737" s="6"/>
    </row>
    <row r="738" spans="1:3" x14ac:dyDescent="0.2">
      <c r="A738" s="6"/>
      <c r="B738" s="3"/>
      <c r="C738" s="6"/>
    </row>
    <row r="739" spans="1:3" x14ac:dyDescent="0.2">
      <c r="A739" s="6"/>
      <c r="B739" s="3"/>
      <c r="C739" s="6"/>
    </row>
    <row r="740" spans="1:3" x14ac:dyDescent="0.2">
      <c r="A740" s="6"/>
      <c r="B740" s="3"/>
      <c r="C740" s="6"/>
    </row>
    <row r="741" spans="1:3" x14ac:dyDescent="0.2">
      <c r="A741" s="6"/>
      <c r="B741" s="3"/>
      <c r="C741" s="6"/>
    </row>
    <row r="742" spans="1:3" x14ac:dyDescent="0.2">
      <c r="A742" s="6"/>
      <c r="B742" s="3"/>
      <c r="C742" s="6"/>
    </row>
    <row r="743" spans="1:3" x14ac:dyDescent="0.2">
      <c r="A743" s="6"/>
      <c r="B743" s="3"/>
      <c r="C743" s="6"/>
    </row>
    <row r="744" spans="1:3" x14ac:dyDescent="0.2">
      <c r="A744" s="6"/>
      <c r="B744" s="3"/>
      <c r="C744" s="6"/>
    </row>
    <row r="745" spans="1:3" x14ac:dyDescent="0.2">
      <c r="A745" s="6"/>
      <c r="B745" s="3"/>
      <c r="C745" s="6"/>
    </row>
    <row r="746" spans="1:3" x14ac:dyDescent="0.2">
      <c r="A746" s="6"/>
      <c r="B746" s="3"/>
      <c r="C746" s="6"/>
    </row>
    <row r="747" spans="1:3" x14ac:dyDescent="0.2">
      <c r="A747" s="6"/>
      <c r="B747" s="3"/>
      <c r="C747" s="6"/>
    </row>
    <row r="748" spans="1:3" x14ac:dyDescent="0.2">
      <c r="A748" s="6"/>
      <c r="B748" s="3"/>
      <c r="C748" s="6"/>
    </row>
    <row r="749" spans="1:3" x14ac:dyDescent="0.2">
      <c r="A749" s="6"/>
      <c r="B749" s="3"/>
      <c r="C749" s="6"/>
    </row>
    <row r="750" spans="1:3" x14ac:dyDescent="0.2">
      <c r="A750" s="6"/>
      <c r="B750" s="3"/>
      <c r="C750" s="6"/>
    </row>
    <row r="751" spans="1:3" x14ac:dyDescent="0.2">
      <c r="A751" s="6"/>
      <c r="B751" s="3"/>
      <c r="C751" s="6"/>
    </row>
    <row r="752" spans="1:3" x14ac:dyDescent="0.2">
      <c r="A752" s="6"/>
      <c r="B752" s="3"/>
      <c r="C752" s="6"/>
    </row>
    <row r="753" spans="1:3" x14ac:dyDescent="0.2">
      <c r="A753" s="6"/>
      <c r="B753" s="3"/>
      <c r="C753" s="6"/>
    </row>
    <row r="754" spans="1:3" x14ac:dyDescent="0.2">
      <c r="A754" s="6"/>
      <c r="B754" s="3"/>
      <c r="C754" s="6"/>
    </row>
    <row r="755" spans="1:3" x14ac:dyDescent="0.2">
      <c r="A755" s="6"/>
      <c r="B755" s="3"/>
      <c r="C755" s="6"/>
    </row>
    <row r="756" spans="1:3" x14ac:dyDescent="0.2">
      <c r="A756" s="6"/>
      <c r="B756" s="3"/>
      <c r="C756" s="6"/>
    </row>
    <row r="757" spans="1:3" x14ac:dyDescent="0.2">
      <c r="A757" s="6"/>
      <c r="B757" s="3"/>
      <c r="C757" s="6"/>
    </row>
    <row r="758" spans="1:3" x14ac:dyDescent="0.2">
      <c r="A758" s="6"/>
      <c r="B758" s="3"/>
      <c r="C758" s="6"/>
    </row>
    <row r="759" spans="1:3" x14ac:dyDescent="0.2">
      <c r="A759" s="6"/>
      <c r="B759" s="3"/>
      <c r="C759" s="6"/>
    </row>
    <row r="760" spans="1:3" x14ac:dyDescent="0.2">
      <c r="A760" s="6"/>
      <c r="B760" s="3"/>
      <c r="C760" s="6"/>
    </row>
    <row r="761" spans="1:3" x14ac:dyDescent="0.2">
      <c r="A761" s="6"/>
      <c r="B761" s="3"/>
      <c r="C761" s="6"/>
    </row>
    <row r="762" spans="1:3" x14ac:dyDescent="0.2">
      <c r="A762" s="6"/>
      <c r="B762" s="3"/>
      <c r="C762" s="6"/>
    </row>
    <row r="763" spans="1:3" x14ac:dyDescent="0.2">
      <c r="A763" s="6"/>
      <c r="B763" s="3"/>
      <c r="C763" s="6"/>
    </row>
    <row r="764" spans="1:3" x14ac:dyDescent="0.2">
      <c r="A764" s="6"/>
      <c r="B764" s="3"/>
      <c r="C764" s="6"/>
    </row>
    <row r="765" spans="1:3" x14ac:dyDescent="0.2">
      <c r="A765" s="6"/>
      <c r="B765" s="3"/>
      <c r="C765" s="6"/>
    </row>
    <row r="766" spans="1:3" x14ac:dyDescent="0.2">
      <c r="A766" s="6"/>
      <c r="B766" s="3"/>
      <c r="C766" s="6"/>
    </row>
    <row r="767" spans="1:3" x14ac:dyDescent="0.2">
      <c r="A767" s="6"/>
      <c r="B767" s="3"/>
      <c r="C767" s="6"/>
    </row>
    <row r="768" spans="1:3" x14ac:dyDescent="0.2">
      <c r="A768" s="6"/>
      <c r="B768" s="3"/>
      <c r="C768" s="6"/>
    </row>
    <row r="769" spans="1:3" x14ac:dyDescent="0.2">
      <c r="A769" s="6"/>
      <c r="B769" s="3"/>
      <c r="C769" s="6"/>
    </row>
    <row r="770" spans="1:3" x14ac:dyDescent="0.2">
      <c r="A770" s="6"/>
      <c r="B770" s="3"/>
      <c r="C770" s="6"/>
    </row>
    <row r="771" spans="1:3" x14ac:dyDescent="0.2">
      <c r="A771" s="6"/>
      <c r="B771" s="3"/>
      <c r="C771" s="6"/>
    </row>
    <row r="772" spans="1:3" x14ac:dyDescent="0.2">
      <c r="A772" s="6"/>
      <c r="B772" s="3"/>
      <c r="C772" s="6"/>
    </row>
    <row r="773" spans="1:3" x14ac:dyDescent="0.2">
      <c r="A773" s="6"/>
      <c r="B773" s="3"/>
      <c r="C773" s="6"/>
    </row>
    <row r="774" spans="1:3" x14ac:dyDescent="0.2">
      <c r="A774" s="6"/>
      <c r="B774" s="3"/>
      <c r="C774" s="6"/>
    </row>
    <row r="775" spans="1:3" x14ac:dyDescent="0.2">
      <c r="A775" s="6"/>
      <c r="B775" s="3"/>
      <c r="C775" s="6"/>
    </row>
    <row r="776" spans="1:3" x14ac:dyDescent="0.2">
      <c r="A776" s="6"/>
      <c r="B776" s="3"/>
      <c r="C776" s="6"/>
    </row>
    <row r="777" spans="1:3" x14ac:dyDescent="0.2">
      <c r="A777" s="6"/>
      <c r="B777" s="3"/>
      <c r="C777" s="6"/>
    </row>
    <row r="778" spans="1:3" x14ac:dyDescent="0.2">
      <c r="A778" s="6"/>
      <c r="B778" s="3"/>
      <c r="C778" s="6"/>
    </row>
    <row r="779" spans="1:3" x14ac:dyDescent="0.2">
      <c r="A779" s="6"/>
      <c r="B779" s="3"/>
      <c r="C779" s="6"/>
    </row>
    <row r="780" spans="1:3" x14ac:dyDescent="0.2">
      <c r="A780" s="6"/>
      <c r="B780" s="3"/>
      <c r="C780" s="6"/>
    </row>
    <row r="781" spans="1:3" x14ac:dyDescent="0.2">
      <c r="A781" s="6"/>
      <c r="B781" s="3"/>
      <c r="C781" s="6"/>
    </row>
    <row r="782" spans="1:3" x14ac:dyDescent="0.2">
      <c r="A782" s="6"/>
      <c r="B782" s="3"/>
      <c r="C782" s="6"/>
    </row>
    <row r="783" spans="1:3" x14ac:dyDescent="0.2">
      <c r="A783" s="6"/>
      <c r="B783" s="3"/>
      <c r="C783" s="6"/>
    </row>
    <row r="784" spans="1:3" x14ac:dyDescent="0.2">
      <c r="A784" s="6"/>
      <c r="B784" s="3"/>
      <c r="C784" s="6"/>
    </row>
    <row r="785" spans="1:3" x14ac:dyDescent="0.2">
      <c r="A785" s="6"/>
      <c r="B785" s="3"/>
      <c r="C785" s="6"/>
    </row>
    <row r="786" spans="1:3" x14ac:dyDescent="0.2">
      <c r="A786" s="6"/>
      <c r="B786" s="3"/>
      <c r="C786" s="6"/>
    </row>
    <row r="787" spans="1:3" x14ac:dyDescent="0.2">
      <c r="A787" s="6"/>
      <c r="B787" s="3"/>
      <c r="C787" s="6"/>
    </row>
    <row r="788" spans="1:3" x14ac:dyDescent="0.2">
      <c r="A788" s="6"/>
      <c r="B788" s="3"/>
      <c r="C788" s="6"/>
    </row>
    <row r="789" spans="1:3" x14ac:dyDescent="0.2">
      <c r="A789" s="6"/>
      <c r="B789" s="3"/>
      <c r="C789" s="6"/>
    </row>
    <row r="790" spans="1:3" x14ac:dyDescent="0.2">
      <c r="A790" s="6"/>
      <c r="B790" s="3"/>
      <c r="C790" s="6"/>
    </row>
    <row r="791" spans="1:3" x14ac:dyDescent="0.2">
      <c r="A791" s="6"/>
      <c r="B791" s="3"/>
      <c r="C791" s="6"/>
    </row>
    <row r="792" spans="1:3" x14ac:dyDescent="0.2">
      <c r="A792" s="6"/>
      <c r="B792" s="3"/>
      <c r="C792" s="6"/>
    </row>
    <row r="793" spans="1:3" x14ac:dyDescent="0.2">
      <c r="A793" s="6"/>
      <c r="B793" s="3"/>
      <c r="C793" s="6"/>
    </row>
    <row r="794" spans="1:3" x14ac:dyDescent="0.2">
      <c r="A794" s="6"/>
      <c r="B794" s="3"/>
      <c r="C794" s="6"/>
    </row>
    <row r="795" spans="1:3" x14ac:dyDescent="0.2">
      <c r="A795" s="6"/>
      <c r="B795" s="3"/>
      <c r="C795" s="6"/>
    </row>
    <row r="796" spans="1:3" x14ac:dyDescent="0.2">
      <c r="A796" s="6"/>
      <c r="B796" s="3"/>
      <c r="C796" s="6"/>
    </row>
    <row r="797" spans="1:3" x14ac:dyDescent="0.2">
      <c r="A797" s="6"/>
      <c r="B797" s="3"/>
      <c r="C797" s="6"/>
    </row>
    <row r="798" spans="1:3" x14ac:dyDescent="0.2">
      <c r="A798" s="6"/>
      <c r="B798" s="3"/>
      <c r="C798" s="6"/>
    </row>
    <row r="799" spans="1:3" x14ac:dyDescent="0.2">
      <c r="A799" s="6"/>
      <c r="B799" s="3"/>
      <c r="C799" s="6"/>
    </row>
    <row r="800" spans="1:3" x14ac:dyDescent="0.2">
      <c r="A800" s="6"/>
      <c r="B800" s="3"/>
      <c r="C800" s="6"/>
    </row>
    <row r="801" spans="1:3" x14ac:dyDescent="0.2">
      <c r="A801" s="6"/>
      <c r="B801" s="3"/>
      <c r="C801" s="6"/>
    </row>
    <row r="802" spans="1:3" x14ac:dyDescent="0.2">
      <c r="A802" s="6"/>
      <c r="B802" s="3"/>
      <c r="C802" s="6"/>
    </row>
    <row r="803" spans="1:3" x14ac:dyDescent="0.2">
      <c r="A803" s="6"/>
      <c r="B803" s="3"/>
      <c r="C803" s="6"/>
    </row>
    <row r="804" spans="1:3" x14ac:dyDescent="0.2">
      <c r="A804" s="6"/>
      <c r="B804" s="3"/>
      <c r="C804" s="6"/>
    </row>
    <row r="805" spans="1:3" x14ac:dyDescent="0.2">
      <c r="A805" s="6"/>
      <c r="B805" s="3"/>
      <c r="C805" s="6"/>
    </row>
    <row r="806" spans="1:3" x14ac:dyDescent="0.2">
      <c r="A806" s="6"/>
      <c r="B806" s="3"/>
      <c r="C806" s="6"/>
    </row>
    <row r="807" spans="1:3" x14ac:dyDescent="0.2">
      <c r="A807" s="6"/>
      <c r="B807" s="3"/>
      <c r="C807" s="6"/>
    </row>
    <row r="808" spans="1:3" x14ac:dyDescent="0.2">
      <c r="A808" s="6"/>
      <c r="B808" s="3"/>
      <c r="C808" s="6"/>
    </row>
    <row r="809" spans="1:3" x14ac:dyDescent="0.2">
      <c r="A809" s="6"/>
      <c r="B809" s="3"/>
      <c r="C809" s="6"/>
    </row>
    <row r="810" spans="1:3" x14ac:dyDescent="0.2">
      <c r="A810" s="6"/>
      <c r="B810" s="3"/>
      <c r="C810" s="6"/>
    </row>
    <row r="811" spans="1:3" x14ac:dyDescent="0.2">
      <c r="A811" s="6"/>
      <c r="B811" s="3"/>
      <c r="C811" s="6"/>
    </row>
    <row r="812" spans="1:3" x14ac:dyDescent="0.2">
      <c r="A812" s="6"/>
      <c r="B812" s="3"/>
      <c r="C812" s="6"/>
    </row>
    <row r="813" spans="1:3" x14ac:dyDescent="0.2">
      <c r="A813" s="6"/>
      <c r="B813" s="3"/>
      <c r="C813" s="6"/>
    </row>
    <row r="814" spans="1:3" x14ac:dyDescent="0.2">
      <c r="A814" s="6"/>
      <c r="B814" s="3"/>
      <c r="C814" s="6"/>
    </row>
    <row r="815" spans="1:3" x14ac:dyDescent="0.2">
      <c r="A815" s="6"/>
      <c r="B815" s="3"/>
      <c r="C815" s="6"/>
    </row>
    <row r="816" spans="1:3" x14ac:dyDescent="0.2">
      <c r="A816" s="6"/>
      <c r="B816" s="3"/>
      <c r="C816" s="6"/>
    </row>
    <row r="817" spans="1:3" x14ac:dyDescent="0.2">
      <c r="A817" s="6"/>
      <c r="B817" s="3"/>
      <c r="C817" s="6"/>
    </row>
    <row r="818" spans="1:3" x14ac:dyDescent="0.2">
      <c r="A818" s="6"/>
      <c r="B818" s="3"/>
      <c r="C818" s="6"/>
    </row>
    <row r="819" spans="1:3" x14ac:dyDescent="0.2">
      <c r="A819" s="6"/>
      <c r="B819" s="3"/>
      <c r="C819" s="6"/>
    </row>
    <row r="820" spans="1:3" x14ac:dyDescent="0.2">
      <c r="A820" s="6"/>
      <c r="B820" s="3"/>
      <c r="C820" s="6"/>
    </row>
    <row r="821" spans="1:3" x14ac:dyDescent="0.2">
      <c r="A821" s="6"/>
      <c r="B821" s="3"/>
      <c r="C821" s="6"/>
    </row>
    <row r="822" spans="1:3" x14ac:dyDescent="0.2">
      <c r="A822" s="6"/>
      <c r="B822" s="3"/>
      <c r="C822" s="6"/>
    </row>
    <row r="823" spans="1:3" x14ac:dyDescent="0.2">
      <c r="A823" s="6"/>
      <c r="B823" s="3"/>
      <c r="C823" s="6"/>
    </row>
    <row r="824" spans="1:3" x14ac:dyDescent="0.2">
      <c r="A824" s="6"/>
      <c r="B824" s="3"/>
      <c r="C824" s="6"/>
    </row>
    <row r="825" spans="1:3" x14ac:dyDescent="0.2">
      <c r="A825" s="6"/>
      <c r="B825" s="3"/>
      <c r="C825" s="6"/>
    </row>
    <row r="826" spans="1:3" x14ac:dyDescent="0.2">
      <c r="A826" s="6"/>
      <c r="B826" s="3"/>
      <c r="C826" s="6"/>
    </row>
    <row r="827" spans="1:3" x14ac:dyDescent="0.2">
      <c r="A827" s="6"/>
      <c r="B827" s="3"/>
      <c r="C827" s="6"/>
    </row>
    <row r="828" spans="1:3" x14ac:dyDescent="0.2">
      <c r="A828" s="6"/>
      <c r="B828" s="3"/>
      <c r="C828" s="6"/>
    </row>
    <row r="829" spans="1:3" x14ac:dyDescent="0.2">
      <c r="A829" s="6"/>
      <c r="B829" s="3"/>
      <c r="C829" s="6"/>
    </row>
    <row r="830" spans="1:3" x14ac:dyDescent="0.2">
      <c r="A830" s="6"/>
      <c r="B830" s="3"/>
      <c r="C830" s="6"/>
    </row>
    <row r="831" spans="1:3" x14ac:dyDescent="0.2">
      <c r="A831" s="6"/>
      <c r="B831" s="3"/>
      <c r="C831" s="6"/>
    </row>
    <row r="832" spans="1:3" x14ac:dyDescent="0.2">
      <c r="A832" s="6"/>
      <c r="B832" s="3"/>
      <c r="C832" s="6"/>
    </row>
    <row r="833" spans="1:3" x14ac:dyDescent="0.2">
      <c r="A833" s="6"/>
      <c r="B833" s="3"/>
      <c r="C833" s="6"/>
    </row>
    <row r="834" spans="1:3" x14ac:dyDescent="0.2">
      <c r="A834" s="6"/>
      <c r="B834" s="3"/>
      <c r="C834" s="6"/>
    </row>
    <row r="835" spans="1:3" x14ac:dyDescent="0.2">
      <c r="A835" s="6"/>
      <c r="B835" s="3"/>
      <c r="C835" s="6"/>
    </row>
    <row r="836" spans="1:3" x14ac:dyDescent="0.2">
      <c r="A836" s="6"/>
      <c r="B836" s="3"/>
      <c r="C836" s="6"/>
    </row>
    <row r="837" spans="1:3" x14ac:dyDescent="0.2">
      <c r="A837" s="6"/>
      <c r="B837" s="3"/>
      <c r="C837" s="6"/>
    </row>
    <row r="838" spans="1:3" x14ac:dyDescent="0.2">
      <c r="A838" s="6"/>
      <c r="B838" s="3"/>
      <c r="C838" s="6"/>
    </row>
    <row r="839" spans="1:3" x14ac:dyDescent="0.2">
      <c r="A839" s="6"/>
      <c r="B839" s="3"/>
      <c r="C839" s="6"/>
    </row>
    <row r="840" spans="1:3" x14ac:dyDescent="0.2">
      <c r="A840" s="6"/>
      <c r="B840" s="3"/>
      <c r="C840" s="6"/>
    </row>
    <row r="841" spans="1:3" x14ac:dyDescent="0.2">
      <c r="A841" s="6"/>
      <c r="B841" s="3"/>
      <c r="C841" s="6"/>
    </row>
    <row r="842" spans="1:3" x14ac:dyDescent="0.2">
      <c r="A842" s="6"/>
      <c r="B842" s="3"/>
      <c r="C842" s="6"/>
    </row>
    <row r="843" spans="1:3" x14ac:dyDescent="0.2">
      <c r="A843" s="6"/>
      <c r="B843" s="3"/>
      <c r="C843" s="6"/>
    </row>
    <row r="844" spans="1:3" x14ac:dyDescent="0.2">
      <c r="A844" s="6"/>
      <c r="B844" s="3"/>
      <c r="C844" s="6"/>
    </row>
    <row r="845" spans="1:3" x14ac:dyDescent="0.2">
      <c r="A845" s="6"/>
      <c r="B845" s="3"/>
      <c r="C845" s="6"/>
    </row>
    <row r="846" spans="1:3" x14ac:dyDescent="0.2">
      <c r="A846" s="6"/>
      <c r="B846" s="3"/>
      <c r="C846" s="6"/>
    </row>
    <row r="847" spans="1:3" x14ac:dyDescent="0.2">
      <c r="A847" s="6"/>
      <c r="B847" s="3"/>
      <c r="C847" s="6"/>
    </row>
    <row r="848" spans="1:3" x14ac:dyDescent="0.2">
      <c r="A848" s="6"/>
      <c r="B848" s="3"/>
      <c r="C848" s="6"/>
    </row>
    <row r="849" spans="1:3" x14ac:dyDescent="0.2">
      <c r="A849" s="6"/>
      <c r="B849" s="3"/>
      <c r="C849" s="6"/>
    </row>
    <row r="850" spans="1:3" x14ac:dyDescent="0.2">
      <c r="A850" s="6"/>
      <c r="B850" s="3"/>
      <c r="C850" s="6"/>
    </row>
    <row r="851" spans="1:3" x14ac:dyDescent="0.2">
      <c r="A851" s="6"/>
      <c r="B851" s="3"/>
      <c r="C851" s="6"/>
    </row>
    <row r="852" spans="1:3" x14ac:dyDescent="0.2">
      <c r="A852" s="6"/>
      <c r="B852" s="3"/>
      <c r="C852" s="6"/>
    </row>
    <row r="853" spans="1:3" x14ac:dyDescent="0.2">
      <c r="A853" s="6"/>
      <c r="B853" s="3"/>
      <c r="C853" s="6"/>
    </row>
    <row r="854" spans="1:3" x14ac:dyDescent="0.2">
      <c r="A854" s="6"/>
      <c r="B854" s="3"/>
      <c r="C854" s="6"/>
    </row>
    <row r="855" spans="1:3" x14ac:dyDescent="0.2">
      <c r="A855" s="6"/>
      <c r="B855" s="3"/>
      <c r="C855" s="6"/>
    </row>
    <row r="856" spans="1:3" x14ac:dyDescent="0.2">
      <c r="A856" s="6"/>
      <c r="B856" s="3"/>
      <c r="C856" s="6"/>
    </row>
    <row r="857" spans="1:3" x14ac:dyDescent="0.2">
      <c r="A857" s="6"/>
      <c r="B857" s="3"/>
      <c r="C857" s="6"/>
    </row>
    <row r="858" spans="1:3" x14ac:dyDescent="0.2">
      <c r="A858" s="6"/>
      <c r="B858" s="3"/>
      <c r="C858" s="6"/>
    </row>
    <row r="859" spans="1:3" x14ac:dyDescent="0.2">
      <c r="A859" s="6"/>
      <c r="B859" s="3"/>
      <c r="C859" s="6"/>
    </row>
    <row r="860" spans="1:3" x14ac:dyDescent="0.2">
      <c r="A860" s="6"/>
      <c r="B860" s="3"/>
      <c r="C860" s="6"/>
    </row>
    <row r="861" spans="1:3" x14ac:dyDescent="0.2">
      <c r="A861" s="6"/>
      <c r="B861" s="3"/>
      <c r="C861" s="6"/>
    </row>
    <row r="862" spans="1:3" x14ac:dyDescent="0.2">
      <c r="A862" s="6"/>
      <c r="B862" s="3"/>
      <c r="C862" s="6"/>
    </row>
    <row r="863" spans="1:3" x14ac:dyDescent="0.2">
      <c r="A863" s="6"/>
      <c r="B863" s="3"/>
      <c r="C863" s="6"/>
    </row>
    <row r="864" spans="1:3" x14ac:dyDescent="0.2">
      <c r="A864" s="6"/>
      <c r="B864" s="3"/>
      <c r="C864" s="6"/>
    </row>
    <row r="865" spans="1:3" x14ac:dyDescent="0.2">
      <c r="A865" s="6"/>
      <c r="B865" s="3"/>
      <c r="C865" s="6"/>
    </row>
    <row r="866" spans="1:3" x14ac:dyDescent="0.2">
      <c r="A866" s="6"/>
      <c r="B866" s="3"/>
      <c r="C866" s="6"/>
    </row>
    <row r="867" spans="1:3" x14ac:dyDescent="0.2">
      <c r="A867" s="6"/>
      <c r="B867" s="3"/>
      <c r="C867" s="6"/>
    </row>
    <row r="868" spans="1:3" x14ac:dyDescent="0.2">
      <c r="A868" s="6"/>
      <c r="B868" s="3"/>
      <c r="C868" s="6"/>
    </row>
    <row r="869" spans="1:3" x14ac:dyDescent="0.2">
      <c r="A869" s="6"/>
      <c r="B869" s="3"/>
      <c r="C869" s="6"/>
    </row>
    <row r="870" spans="1:3" x14ac:dyDescent="0.2">
      <c r="A870" s="6"/>
      <c r="B870" s="3"/>
      <c r="C870" s="6"/>
    </row>
    <row r="871" spans="1:3" x14ac:dyDescent="0.2">
      <c r="A871" s="6"/>
      <c r="B871" s="3"/>
      <c r="C871" s="6"/>
    </row>
    <row r="872" spans="1:3" x14ac:dyDescent="0.2">
      <c r="A872" s="6"/>
      <c r="B872" s="3"/>
      <c r="C872" s="6"/>
    </row>
    <row r="873" spans="1:3" x14ac:dyDescent="0.2">
      <c r="A873" s="6"/>
      <c r="B873" s="3"/>
      <c r="C873" s="6"/>
    </row>
    <row r="874" spans="1:3" x14ac:dyDescent="0.2">
      <c r="A874" s="6"/>
      <c r="B874" s="3"/>
      <c r="C874" s="6"/>
    </row>
    <row r="875" spans="1:3" x14ac:dyDescent="0.2">
      <c r="A875" s="6"/>
      <c r="B875" s="3"/>
      <c r="C875" s="6"/>
    </row>
    <row r="876" spans="1:3" x14ac:dyDescent="0.2">
      <c r="A876" s="6"/>
      <c r="B876" s="3"/>
      <c r="C876" s="6"/>
    </row>
    <row r="877" spans="1:3" x14ac:dyDescent="0.2">
      <c r="A877" s="6"/>
      <c r="B877" s="3"/>
      <c r="C877" s="6"/>
    </row>
    <row r="878" spans="1:3" x14ac:dyDescent="0.2">
      <c r="A878" s="6"/>
      <c r="B878" s="3"/>
      <c r="C878" s="6"/>
    </row>
    <row r="879" spans="1:3" x14ac:dyDescent="0.2">
      <c r="A879" s="6"/>
      <c r="B879" s="3"/>
      <c r="C879" s="6"/>
    </row>
    <row r="880" spans="1:3" x14ac:dyDescent="0.2">
      <c r="A880" s="6"/>
      <c r="B880" s="3"/>
      <c r="C880" s="6"/>
    </row>
    <row r="881" spans="1:3" x14ac:dyDescent="0.2">
      <c r="A881" s="6"/>
      <c r="B881" s="3"/>
      <c r="C881" s="6"/>
    </row>
    <row r="882" spans="1:3" x14ac:dyDescent="0.2">
      <c r="A882" s="6"/>
      <c r="B882" s="3"/>
      <c r="C882" s="6"/>
    </row>
    <row r="883" spans="1:3" x14ac:dyDescent="0.2">
      <c r="A883" s="6"/>
      <c r="B883" s="3"/>
      <c r="C883" s="6"/>
    </row>
    <row r="884" spans="1:3" x14ac:dyDescent="0.2">
      <c r="A884" s="6"/>
      <c r="B884" s="3"/>
      <c r="C884" s="6"/>
    </row>
    <row r="885" spans="1:3" x14ac:dyDescent="0.2">
      <c r="A885" s="6"/>
      <c r="B885" s="3"/>
      <c r="C885" s="6"/>
    </row>
    <row r="886" spans="1:3" x14ac:dyDescent="0.2">
      <c r="A886" s="6"/>
      <c r="B886" s="3"/>
      <c r="C886" s="6"/>
    </row>
    <row r="887" spans="1:3" x14ac:dyDescent="0.2">
      <c r="A887" s="6"/>
      <c r="B887" s="3"/>
      <c r="C887" s="6"/>
    </row>
    <row r="888" spans="1:3" x14ac:dyDescent="0.2">
      <c r="A888" s="6"/>
      <c r="B888" s="3"/>
      <c r="C888" s="6"/>
    </row>
    <row r="889" spans="1:3" x14ac:dyDescent="0.2">
      <c r="A889" s="6"/>
      <c r="B889" s="3"/>
      <c r="C889" s="6"/>
    </row>
    <row r="890" spans="1:3" x14ac:dyDescent="0.2">
      <c r="A890" s="6"/>
      <c r="B890" s="3"/>
      <c r="C890" s="6"/>
    </row>
    <row r="891" spans="1:3" x14ac:dyDescent="0.2">
      <c r="A891" s="6"/>
      <c r="B891" s="3"/>
      <c r="C891" s="6"/>
    </row>
    <row r="892" spans="1:3" x14ac:dyDescent="0.2">
      <c r="A892" s="6"/>
      <c r="B892" s="3"/>
      <c r="C892" s="6"/>
    </row>
    <row r="893" spans="1:3" x14ac:dyDescent="0.2">
      <c r="A893" s="6"/>
      <c r="B893" s="3"/>
      <c r="C893" s="6"/>
    </row>
    <row r="894" spans="1:3" x14ac:dyDescent="0.2">
      <c r="A894" s="6"/>
      <c r="B894" s="3"/>
      <c r="C894" s="6"/>
    </row>
    <row r="895" spans="1:3" x14ac:dyDescent="0.2">
      <c r="A895" s="6"/>
      <c r="B895" s="3"/>
      <c r="C895" s="6"/>
    </row>
    <row r="896" spans="1:3" x14ac:dyDescent="0.2">
      <c r="A896" s="6"/>
      <c r="B896" s="3"/>
      <c r="C896" s="6"/>
    </row>
    <row r="897" spans="1:3" x14ac:dyDescent="0.2">
      <c r="A897" s="6"/>
      <c r="B897" s="3"/>
      <c r="C897" s="6"/>
    </row>
    <row r="898" spans="1:3" x14ac:dyDescent="0.2">
      <c r="A898" s="6"/>
      <c r="B898" s="3"/>
      <c r="C898" s="6"/>
    </row>
    <row r="899" spans="1:3" x14ac:dyDescent="0.2">
      <c r="A899" s="6"/>
      <c r="B899" s="3"/>
      <c r="C899" s="6"/>
    </row>
    <row r="900" spans="1:3" x14ac:dyDescent="0.2">
      <c r="A900" s="6"/>
      <c r="B900" s="3"/>
      <c r="C900" s="6"/>
    </row>
    <row r="901" spans="1:3" x14ac:dyDescent="0.2">
      <c r="A901" s="6"/>
      <c r="B901" s="3"/>
      <c r="C901" s="6"/>
    </row>
    <row r="902" spans="1:3" x14ac:dyDescent="0.2">
      <c r="A902" s="6"/>
      <c r="B902" s="3"/>
      <c r="C902" s="6"/>
    </row>
    <row r="903" spans="1:3" x14ac:dyDescent="0.2">
      <c r="A903" s="6"/>
      <c r="B903" s="3"/>
      <c r="C903" s="6"/>
    </row>
    <row r="904" spans="1:3" x14ac:dyDescent="0.2">
      <c r="A904" s="6"/>
      <c r="B904" s="3"/>
      <c r="C904" s="6"/>
    </row>
    <row r="905" spans="1:3" x14ac:dyDescent="0.2">
      <c r="A905" s="6"/>
      <c r="B905" s="3"/>
      <c r="C905" s="6"/>
    </row>
    <row r="906" spans="1:3" x14ac:dyDescent="0.2">
      <c r="A906" s="6"/>
      <c r="B906" s="3"/>
      <c r="C906" s="6"/>
    </row>
    <row r="907" spans="1:3" x14ac:dyDescent="0.2">
      <c r="A907" s="6"/>
      <c r="B907" s="3"/>
      <c r="C907" s="6"/>
    </row>
    <row r="908" spans="1:3" x14ac:dyDescent="0.2">
      <c r="A908" s="6"/>
      <c r="B908" s="3"/>
      <c r="C908" s="6"/>
    </row>
    <row r="909" spans="1:3" x14ac:dyDescent="0.2">
      <c r="A909" s="6"/>
      <c r="B909" s="3"/>
      <c r="C909" s="6"/>
    </row>
    <row r="910" spans="1:3" x14ac:dyDescent="0.2">
      <c r="A910" s="6"/>
      <c r="B910" s="3"/>
      <c r="C910" s="6"/>
    </row>
    <row r="911" spans="1:3" x14ac:dyDescent="0.2">
      <c r="A911" s="6"/>
      <c r="B911" s="3"/>
      <c r="C911" s="6"/>
    </row>
    <row r="912" spans="1:3" x14ac:dyDescent="0.2">
      <c r="A912" s="6"/>
      <c r="B912" s="3"/>
      <c r="C912" s="6"/>
    </row>
    <row r="913" spans="1:3" x14ac:dyDescent="0.2">
      <c r="A913" s="6"/>
      <c r="B913" s="3"/>
      <c r="C913" s="6"/>
    </row>
    <row r="914" spans="1:3" x14ac:dyDescent="0.2">
      <c r="A914" s="6"/>
      <c r="B914" s="3"/>
      <c r="C914" s="6"/>
    </row>
    <row r="915" spans="1:3" x14ac:dyDescent="0.2">
      <c r="A915" s="6"/>
      <c r="B915" s="3"/>
      <c r="C915" s="6"/>
    </row>
    <row r="916" spans="1:3" x14ac:dyDescent="0.2">
      <c r="A916" s="6"/>
      <c r="B916" s="3"/>
      <c r="C916" s="6"/>
    </row>
    <row r="917" spans="1:3" x14ac:dyDescent="0.2">
      <c r="A917" s="6"/>
      <c r="B917" s="3"/>
      <c r="C917" s="6"/>
    </row>
    <row r="918" spans="1:3" x14ac:dyDescent="0.2">
      <c r="A918" s="6"/>
      <c r="B918" s="3"/>
      <c r="C918" s="6"/>
    </row>
    <row r="919" spans="1:3" x14ac:dyDescent="0.2">
      <c r="A919" s="6"/>
      <c r="B919" s="3"/>
      <c r="C919" s="6"/>
    </row>
    <row r="920" spans="1:3" x14ac:dyDescent="0.2">
      <c r="A920" s="6"/>
      <c r="B920" s="3"/>
      <c r="C920" s="6"/>
    </row>
    <row r="921" spans="1:3" x14ac:dyDescent="0.2">
      <c r="A921" s="6"/>
      <c r="B921" s="3"/>
      <c r="C921" s="6"/>
    </row>
    <row r="922" spans="1:3" x14ac:dyDescent="0.2">
      <c r="A922" s="6"/>
      <c r="B922" s="3"/>
      <c r="C922" s="6"/>
    </row>
    <row r="923" spans="1:3" x14ac:dyDescent="0.2">
      <c r="A923" s="6"/>
      <c r="B923" s="3"/>
      <c r="C923" s="6"/>
    </row>
    <row r="924" spans="1:3" x14ac:dyDescent="0.2">
      <c r="A924" s="6"/>
      <c r="B924" s="3"/>
      <c r="C924" s="6"/>
    </row>
    <row r="925" spans="1:3" x14ac:dyDescent="0.2">
      <c r="A925" s="6"/>
      <c r="B925" s="3"/>
      <c r="C925" s="6"/>
    </row>
    <row r="926" spans="1:3" x14ac:dyDescent="0.2">
      <c r="A926" s="6"/>
      <c r="B926" s="3"/>
      <c r="C926" s="6"/>
    </row>
    <row r="927" spans="1:3" x14ac:dyDescent="0.2">
      <c r="A927" s="6"/>
      <c r="B927" s="3"/>
      <c r="C927" s="6"/>
    </row>
    <row r="928" spans="1:3" x14ac:dyDescent="0.2">
      <c r="A928" s="6"/>
      <c r="B928" s="3"/>
      <c r="C928" s="6"/>
    </row>
    <row r="929" spans="1:3" x14ac:dyDescent="0.2">
      <c r="A929" s="6"/>
      <c r="B929" s="3"/>
      <c r="C929" s="6"/>
    </row>
    <row r="930" spans="1:3" x14ac:dyDescent="0.2">
      <c r="A930" s="6"/>
      <c r="B930" s="3"/>
      <c r="C930" s="6"/>
    </row>
    <row r="931" spans="1:3" x14ac:dyDescent="0.2">
      <c r="A931" s="6"/>
      <c r="B931" s="3"/>
      <c r="C931" s="6"/>
    </row>
    <row r="932" spans="1:3" x14ac:dyDescent="0.2">
      <c r="A932" s="6"/>
      <c r="B932" s="3"/>
      <c r="C932" s="6"/>
    </row>
    <row r="933" spans="1:3" x14ac:dyDescent="0.2">
      <c r="A933" s="6"/>
      <c r="B933" s="3"/>
      <c r="C933" s="6"/>
    </row>
    <row r="934" spans="1:3" x14ac:dyDescent="0.2">
      <c r="A934" s="6"/>
      <c r="B934" s="3"/>
      <c r="C934" s="6"/>
    </row>
    <row r="935" spans="1:3" x14ac:dyDescent="0.2">
      <c r="A935" s="6"/>
      <c r="B935" s="3"/>
      <c r="C935" s="6"/>
    </row>
    <row r="936" spans="1:3" x14ac:dyDescent="0.2">
      <c r="A936" s="6"/>
      <c r="B936" s="3"/>
      <c r="C936" s="6"/>
    </row>
    <row r="937" spans="1:3" x14ac:dyDescent="0.2">
      <c r="A937" s="6"/>
      <c r="B937" s="3"/>
      <c r="C937" s="6"/>
    </row>
    <row r="938" spans="1:3" x14ac:dyDescent="0.2">
      <c r="A938" s="6"/>
      <c r="B938" s="3"/>
      <c r="C938" s="6"/>
    </row>
    <row r="939" spans="1:3" x14ac:dyDescent="0.2">
      <c r="A939" s="6"/>
      <c r="B939" s="3"/>
      <c r="C939" s="6"/>
    </row>
    <row r="940" spans="1:3" x14ac:dyDescent="0.2">
      <c r="A940" s="6"/>
      <c r="B940" s="3"/>
      <c r="C940" s="6"/>
    </row>
    <row r="941" spans="1:3" x14ac:dyDescent="0.2">
      <c r="A941" s="6"/>
      <c r="B941" s="3"/>
      <c r="C941" s="6"/>
    </row>
    <row r="942" spans="1:3" x14ac:dyDescent="0.2">
      <c r="A942" s="6"/>
      <c r="B942" s="3"/>
      <c r="C942" s="6"/>
    </row>
    <row r="943" spans="1:3" x14ac:dyDescent="0.2">
      <c r="A943" s="6"/>
      <c r="B943" s="3"/>
      <c r="C943" s="6"/>
    </row>
    <row r="944" spans="1:3" x14ac:dyDescent="0.2">
      <c r="A944" s="6"/>
      <c r="B944" s="3"/>
      <c r="C944" s="6"/>
    </row>
    <row r="945" spans="1:3" x14ac:dyDescent="0.2">
      <c r="A945" s="6"/>
      <c r="B945" s="3"/>
      <c r="C945" s="6"/>
    </row>
    <row r="946" spans="1:3" x14ac:dyDescent="0.2">
      <c r="A946" s="6"/>
      <c r="B946" s="3"/>
      <c r="C946" s="6"/>
    </row>
    <row r="947" spans="1:3" x14ac:dyDescent="0.2">
      <c r="A947" s="6"/>
      <c r="B947" s="3"/>
      <c r="C947" s="6"/>
    </row>
    <row r="948" spans="1:3" x14ac:dyDescent="0.2">
      <c r="A948" s="6"/>
      <c r="B948" s="3"/>
      <c r="C948" s="6"/>
    </row>
    <row r="949" spans="1:3" x14ac:dyDescent="0.2">
      <c r="A949" s="6"/>
      <c r="B949" s="3"/>
      <c r="C949" s="6"/>
    </row>
    <row r="950" spans="1:3" x14ac:dyDescent="0.2">
      <c r="A950" s="6"/>
      <c r="B950" s="3"/>
      <c r="C950" s="6"/>
    </row>
    <row r="951" spans="1:3" x14ac:dyDescent="0.2">
      <c r="A951" s="6"/>
      <c r="B951" s="3"/>
      <c r="C951" s="6"/>
    </row>
    <row r="952" spans="1:3" x14ac:dyDescent="0.2">
      <c r="A952" s="6"/>
      <c r="B952" s="3"/>
      <c r="C952" s="6"/>
    </row>
    <row r="953" spans="1:3" x14ac:dyDescent="0.2">
      <c r="A953" s="6"/>
      <c r="B953" s="3"/>
      <c r="C953" s="6"/>
    </row>
    <row r="954" spans="1:3" x14ac:dyDescent="0.2">
      <c r="A954" s="6"/>
      <c r="B954" s="3"/>
      <c r="C954" s="6"/>
    </row>
    <row r="955" spans="1:3" x14ac:dyDescent="0.2">
      <c r="A955" s="6"/>
      <c r="B955" s="3"/>
      <c r="C955" s="6"/>
    </row>
    <row r="956" spans="1:3" x14ac:dyDescent="0.2">
      <c r="A956" s="6"/>
      <c r="B956" s="3"/>
      <c r="C956" s="6"/>
    </row>
    <row r="957" spans="1:3" x14ac:dyDescent="0.2">
      <c r="A957" s="6"/>
      <c r="B957" s="3"/>
      <c r="C957" s="6"/>
    </row>
    <row r="958" spans="1:3" x14ac:dyDescent="0.2">
      <c r="A958" s="6"/>
      <c r="B958" s="3"/>
      <c r="C958" s="6"/>
    </row>
    <row r="959" spans="1:3" x14ac:dyDescent="0.2">
      <c r="A959" s="6"/>
      <c r="B959" s="3"/>
      <c r="C959" s="6"/>
    </row>
    <row r="960" spans="1:3" x14ac:dyDescent="0.2">
      <c r="A960" s="6"/>
      <c r="B960" s="3"/>
      <c r="C960" s="6"/>
    </row>
    <row r="961" spans="1:3" x14ac:dyDescent="0.2">
      <c r="A961" s="6"/>
      <c r="B961" s="3"/>
      <c r="C961" s="6"/>
    </row>
    <row r="962" spans="1:3" x14ac:dyDescent="0.2">
      <c r="A962" s="6"/>
      <c r="B962" s="3"/>
      <c r="C962" s="6"/>
    </row>
    <row r="963" spans="1:3" x14ac:dyDescent="0.2">
      <c r="A963" s="6"/>
      <c r="B963" s="3"/>
      <c r="C963" s="6"/>
    </row>
    <row r="964" spans="1:3" x14ac:dyDescent="0.2">
      <c r="A964" s="6"/>
      <c r="B964" s="3"/>
      <c r="C964" s="6"/>
    </row>
    <row r="965" spans="1:3" x14ac:dyDescent="0.2">
      <c r="A965" s="6"/>
      <c r="B965" s="3"/>
      <c r="C965" s="6"/>
    </row>
    <row r="966" spans="1:3" x14ac:dyDescent="0.2">
      <c r="A966" s="6"/>
      <c r="B966" s="3"/>
      <c r="C966" s="6"/>
    </row>
    <row r="967" spans="1:3" x14ac:dyDescent="0.2">
      <c r="A967" s="6"/>
      <c r="B967" s="3"/>
      <c r="C967" s="6"/>
    </row>
    <row r="968" spans="1:3" x14ac:dyDescent="0.2">
      <c r="A968" s="6"/>
      <c r="B968" s="3"/>
      <c r="C968" s="6"/>
    </row>
    <row r="969" spans="1:3" x14ac:dyDescent="0.2">
      <c r="A969" s="6"/>
      <c r="B969" s="3"/>
      <c r="C969" s="6"/>
    </row>
    <row r="970" spans="1:3" x14ac:dyDescent="0.2">
      <c r="A970" s="6"/>
      <c r="B970" s="3"/>
      <c r="C970" s="6"/>
    </row>
    <row r="971" spans="1:3" x14ac:dyDescent="0.2">
      <c r="A971" s="6"/>
      <c r="B971" s="3"/>
      <c r="C971" s="6"/>
    </row>
    <row r="972" spans="1:3" x14ac:dyDescent="0.2">
      <c r="A972" s="6"/>
      <c r="B972" s="3"/>
      <c r="C972" s="6"/>
    </row>
    <row r="973" spans="1:3" x14ac:dyDescent="0.2">
      <c r="A973" s="6"/>
      <c r="B973" s="3"/>
      <c r="C973" s="6"/>
    </row>
    <row r="974" spans="1:3" x14ac:dyDescent="0.2">
      <c r="A974" s="6"/>
      <c r="B974" s="3"/>
      <c r="C974" s="6"/>
    </row>
    <row r="975" spans="1:3" x14ac:dyDescent="0.2">
      <c r="A975" s="6"/>
      <c r="B975" s="3"/>
      <c r="C975" s="6"/>
    </row>
    <row r="976" spans="1:3" x14ac:dyDescent="0.2">
      <c r="A976" s="6"/>
      <c r="B976" s="3"/>
      <c r="C976" s="6"/>
    </row>
    <row r="977" spans="1:3" x14ac:dyDescent="0.2">
      <c r="A977" s="6"/>
      <c r="B977" s="3"/>
      <c r="C977" s="6"/>
    </row>
    <row r="978" spans="1:3" x14ac:dyDescent="0.2">
      <c r="A978" s="6"/>
      <c r="B978" s="3"/>
      <c r="C978" s="6"/>
    </row>
    <row r="979" spans="1:3" x14ac:dyDescent="0.2">
      <c r="A979" s="6"/>
      <c r="B979" s="3"/>
      <c r="C979" s="6"/>
    </row>
    <row r="980" spans="1:3" x14ac:dyDescent="0.2">
      <c r="A980" s="6"/>
      <c r="B980" s="3"/>
      <c r="C980" s="6"/>
    </row>
    <row r="981" spans="1:3" x14ac:dyDescent="0.2">
      <c r="A981" s="6"/>
      <c r="B981" s="3"/>
      <c r="C981" s="6"/>
    </row>
    <row r="982" spans="1:3" x14ac:dyDescent="0.2">
      <c r="A982" s="6"/>
      <c r="B982" s="3"/>
      <c r="C982" s="6"/>
    </row>
    <row r="983" spans="1:3" x14ac:dyDescent="0.2">
      <c r="A983" s="6"/>
      <c r="B983" s="3"/>
      <c r="C983" s="6"/>
    </row>
    <row r="984" spans="1:3" x14ac:dyDescent="0.2">
      <c r="A984" s="6"/>
      <c r="B984" s="3"/>
      <c r="C984" s="6"/>
    </row>
    <row r="985" spans="1:3" x14ac:dyDescent="0.2">
      <c r="A985" s="6"/>
      <c r="B985" s="3"/>
      <c r="C985" s="6"/>
    </row>
    <row r="986" spans="1:3" x14ac:dyDescent="0.2">
      <c r="A986" s="6"/>
      <c r="B986" s="3"/>
      <c r="C986" s="6"/>
    </row>
    <row r="987" spans="1:3" x14ac:dyDescent="0.2">
      <c r="A987" s="6"/>
      <c r="B987" s="3"/>
      <c r="C987" s="6"/>
    </row>
    <row r="988" spans="1:3" x14ac:dyDescent="0.2">
      <c r="A988" s="6"/>
      <c r="B988" s="3"/>
      <c r="C988" s="6"/>
    </row>
    <row r="989" spans="1:3" x14ac:dyDescent="0.2">
      <c r="A989" s="6"/>
      <c r="B989" s="3"/>
      <c r="C989" s="6"/>
    </row>
    <row r="990" spans="1:3" x14ac:dyDescent="0.2">
      <c r="A990" s="6"/>
      <c r="B990" s="3"/>
      <c r="C990" s="6"/>
    </row>
    <row r="991" spans="1:3" x14ac:dyDescent="0.2">
      <c r="A991" s="6"/>
      <c r="B991" s="3"/>
      <c r="C991" s="6"/>
    </row>
    <row r="992" spans="1:3" x14ac:dyDescent="0.2">
      <c r="A992" s="6"/>
      <c r="B992" s="3"/>
      <c r="C992" s="6"/>
    </row>
    <row r="993" spans="1:3" x14ac:dyDescent="0.2">
      <c r="A993" s="6"/>
      <c r="B993" s="3"/>
      <c r="C993" s="6"/>
    </row>
    <row r="994" spans="1:3" x14ac:dyDescent="0.2">
      <c r="A994" s="6"/>
      <c r="B994" s="3"/>
      <c r="C994" s="6"/>
    </row>
    <row r="995" spans="1:3" x14ac:dyDescent="0.2">
      <c r="A995" s="6"/>
      <c r="B995" s="3"/>
      <c r="C995" s="6"/>
    </row>
    <row r="996" spans="1:3" x14ac:dyDescent="0.2">
      <c r="A996" s="6"/>
      <c r="B996" s="3"/>
      <c r="C996" s="6"/>
    </row>
    <row r="997" spans="1:3" x14ac:dyDescent="0.2">
      <c r="A997" s="6"/>
      <c r="B997" s="3"/>
      <c r="C997" s="6"/>
    </row>
    <row r="998" spans="1:3" x14ac:dyDescent="0.2">
      <c r="A998" s="6"/>
      <c r="B998" s="3"/>
      <c r="C998" s="6"/>
    </row>
    <row r="999" spans="1:3" x14ac:dyDescent="0.2">
      <c r="A999" s="6"/>
      <c r="B999" s="3"/>
      <c r="C999" s="6"/>
    </row>
    <row r="1000" spans="1:3" x14ac:dyDescent="0.2">
      <c r="A1000" s="6"/>
      <c r="B1000" s="3"/>
      <c r="C1000" s="6"/>
    </row>
    <row r="1001" spans="1:3" x14ac:dyDescent="0.2">
      <c r="A1001" s="6"/>
      <c r="B1001" s="3"/>
      <c r="C1001" s="6"/>
    </row>
    <row r="1002" spans="1:3" x14ac:dyDescent="0.2">
      <c r="A1002" s="6"/>
      <c r="B1002" s="3"/>
      <c r="C1002" s="6"/>
    </row>
    <row r="1003" spans="1:3" x14ac:dyDescent="0.2">
      <c r="A1003" s="6"/>
      <c r="B1003" s="3"/>
      <c r="C1003" s="6"/>
    </row>
    <row r="1004" spans="1:3" x14ac:dyDescent="0.2">
      <c r="A1004" s="6"/>
      <c r="B1004" s="3"/>
      <c r="C1004" s="6"/>
    </row>
    <row r="1005" spans="1:3" x14ac:dyDescent="0.2">
      <c r="A1005" s="6"/>
      <c r="B1005" s="3"/>
      <c r="C1005" s="6"/>
    </row>
    <row r="1006" spans="1:3" x14ac:dyDescent="0.2">
      <c r="A1006" s="6"/>
      <c r="B1006" s="3"/>
      <c r="C1006" s="6"/>
    </row>
    <row r="1007" spans="1:3" x14ac:dyDescent="0.2">
      <c r="A1007" s="6"/>
      <c r="B1007" s="3"/>
      <c r="C1007" s="6"/>
    </row>
    <row r="1008" spans="1:3" x14ac:dyDescent="0.2">
      <c r="A1008" s="6"/>
      <c r="B1008" s="3"/>
      <c r="C1008" s="6"/>
    </row>
    <row r="1009" spans="1:3" x14ac:dyDescent="0.2">
      <c r="A1009" s="6"/>
      <c r="B1009" s="3"/>
      <c r="C1009" s="6"/>
    </row>
    <row r="1010" spans="1:3" x14ac:dyDescent="0.2">
      <c r="A1010" s="6"/>
      <c r="B1010" s="3"/>
      <c r="C1010" s="6"/>
    </row>
    <row r="1011" spans="1:3" x14ac:dyDescent="0.2">
      <c r="A1011" s="6"/>
      <c r="B1011" s="3"/>
      <c r="C1011" s="6"/>
    </row>
    <row r="1012" spans="1:3" x14ac:dyDescent="0.2">
      <c r="A1012" s="6"/>
      <c r="B1012" s="3"/>
      <c r="C1012" s="6"/>
    </row>
    <row r="1013" spans="1:3" x14ac:dyDescent="0.2">
      <c r="A1013" s="6"/>
      <c r="B1013" s="3"/>
      <c r="C1013" s="6"/>
    </row>
    <row r="1014" spans="1:3" x14ac:dyDescent="0.2">
      <c r="A1014" s="6"/>
      <c r="B1014" s="3"/>
      <c r="C1014" s="6"/>
    </row>
    <row r="1015" spans="1:3" x14ac:dyDescent="0.2">
      <c r="A1015" s="6"/>
      <c r="B1015" s="3"/>
      <c r="C1015" s="6"/>
    </row>
    <row r="1016" spans="1:3" x14ac:dyDescent="0.2">
      <c r="A1016" s="6"/>
      <c r="B1016" s="3"/>
      <c r="C1016" s="6"/>
    </row>
    <row r="1017" spans="1:3" x14ac:dyDescent="0.2">
      <c r="A1017" s="6"/>
      <c r="B1017" s="3"/>
      <c r="C1017" s="6"/>
    </row>
    <row r="1018" spans="1:3" x14ac:dyDescent="0.2">
      <c r="A1018" s="6"/>
      <c r="B1018" s="3"/>
      <c r="C1018" s="6"/>
    </row>
    <row r="1019" spans="1:3" x14ac:dyDescent="0.2">
      <c r="A1019" s="6"/>
      <c r="B1019" s="3"/>
      <c r="C1019" s="6"/>
    </row>
    <row r="1020" spans="1:3" x14ac:dyDescent="0.2">
      <c r="A1020" s="6"/>
      <c r="B1020" s="3"/>
      <c r="C1020" s="6"/>
    </row>
    <row r="1021" spans="1:3" x14ac:dyDescent="0.2">
      <c r="A1021" s="6"/>
      <c r="B1021" s="3"/>
      <c r="C1021" s="6"/>
    </row>
    <row r="1022" spans="1:3" x14ac:dyDescent="0.2">
      <c r="A1022" s="6"/>
      <c r="B1022" s="3"/>
      <c r="C1022" s="6"/>
    </row>
    <row r="1023" spans="1:3" x14ac:dyDescent="0.2">
      <c r="A1023" s="6"/>
      <c r="B1023" s="3"/>
      <c r="C1023" s="6"/>
    </row>
    <row r="1024" spans="1:3" x14ac:dyDescent="0.2">
      <c r="A1024" s="6"/>
      <c r="B1024" s="3"/>
      <c r="C1024" s="6"/>
    </row>
    <row r="1025" spans="1:3" x14ac:dyDescent="0.2">
      <c r="A1025" s="6"/>
      <c r="B1025" s="3"/>
      <c r="C1025" s="6"/>
    </row>
    <row r="1026" spans="1:3" x14ac:dyDescent="0.2">
      <c r="A1026" s="6"/>
      <c r="B1026" s="3"/>
      <c r="C1026" s="6"/>
    </row>
    <row r="1027" spans="1:3" x14ac:dyDescent="0.2">
      <c r="A1027" s="6"/>
      <c r="B1027" s="3"/>
      <c r="C1027" s="6"/>
    </row>
    <row r="1028" spans="1:3" x14ac:dyDescent="0.2">
      <c r="A1028" s="6"/>
      <c r="B1028" s="3"/>
      <c r="C1028" s="6"/>
    </row>
    <row r="1029" spans="1:3" x14ac:dyDescent="0.2">
      <c r="A1029" s="6"/>
      <c r="B1029" s="3"/>
      <c r="C1029" s="6"/>
    </row>
    <row r="1030" spans="1:3" x14ac:dyDescent="0.2">
      <c r="A1030" s="6"/>
      <c r="B1030" s="3"/>
      <c r="C1030" s="6"/>
    </row>
    <row r="1031" spans="1:3" x14ac:dyDescent="0.2">
      <c r="A1031" s="6"/>
      <c r="B1031" s="3"/>
      <c r="C1031" s="6"/>
    </row>
    <row r="1032" spans="1:3" x14ac:dyDescent="0.2">
      <c r="A1032" s="6"/>
      <c r="B1032" s="3"/>
      <c r="C1032" s="6"/>
    </row>
    <row r="1033" spans="1:3" x14ac:dyDescent="0.2">
      <c r="A1033" s="6"/>
      <c r="B1033" s="3"/>
      <c r="C1033" s="6"/>
    </row>
    <row r="1034" spans="1:3" x14ac:dyDescent="0.2">
      <c r="A1034" s="6"/>
      <c r="B1034" s="3"/>
      <c r="C1034" s="6"/>
    </row>
    <row r="1035" spans="1:3" x14ac:dyDescent="0.2">
      <c r="A1035" s="6"/>
      <c r="B1035" s="3"/>
      <c r="C1035" s="6"/>
    </row>
    <row r="1036" spans="1:3" x14ac:dyDescent="0.2">
      <c r="A1036" s="6"/>
      <c r="B1036" s="3"/>
      <c r="C1036" s="6"/>
    </row>
    <row r="1037" spans="1:3" x14ac:dyDescent="0.2">
      <c r="A1037" s="6"/>
      <c r="B1037" s="3"/>
      <c r="C1037" s="6"/>
    </row>
    <row r="1038" spans="1:3" x14ac:dyDescent="0.2">
      <c r="A1038" s="6"/>
      <c r="B1038" s="3"/>
      <c r="C1038" s="6"/>
    </row>
    <row r="1039" spans="1:3" x14ac:dyDescent="0.2">
      <c r="A1039" s="6"/>
      <c r="B1039" s="3"/>
      <c r="C1039" s="6"/>
    </row>
    <row r="1040" spans="1:3" x14ac:dyDescent="0.2">
      <c r="A1040" s="6"/>
      <c r="B1040" s="3"/>
      <c r="C1040" s="6"/>
    </row>
    <row r="1041" spans="1:3" x14ac:dyDescent="0.2">
      <c r="A1041" s="6"/>
      <c r="B1041" s="3"/>
      <c r="C1041" s="6"/>
    </row>
    <row r="1042" spans="1:3" x14ac:dyDescent="0.2">
      <c r="A1042" s="6"/>
      <c r="B1042" s="3"/>
      <c r="C1042" s="6"/>
    </row>
    <row r="1043" spans="1:3" x14ac:dyDescent="0.2">
      <c r="A1043" s="6"/>
      <c r="B1043" s="3"/>
      <c r="C1043" s="6"/>
    </row>
    <row r="1044" spans="1:3" x14ac:dyDescent="0.2">
      <c r="A1044" s="6"/>
      <c r="B1044" s="3"/>
      <c r="C1044" s="6"/>
    </row>
    <row r="1045" spans="1:3" x14ac:dyDescent="0.2">
      <c r="A1045" s="6"/>
      <c r="B1045" s="3"/>
      <c r="C1045" s="6"/>
    </row>
    <row r="1046" spans="1:3" x14ac:dyDescent="0.2">
      <c r="A1046" s="6"/>
      <c r="B1046" s="3"/>
      <c r="C1046" s="6"/>
    </row>
    <row r="1047" spans="1:3" x14ac:dyDescent="0.2">
      <c r="A1047" s="6"/>
      <c r="B1047" s="3"/>
      <c r="C1047" s="6"/>
    </row>
    <row r="1048" spans="1:3" x14ac:dyDescent="0.2">
      <c r="A1048" s="6"/>
      <c r="B1048" s="3"/>
      <c r="C1048" s="6"/>
    </row>
    <row r="1049" spans="1:3" x14ac:dyDescent="0.2">
      <c r="A1049" s="6"/>
      <c r="B1049" s="3"/>
      <c r="C1049" s="6"/>
    </row>
    <row r="1050" spans="1:3" x14ac:dyDescent="0.2">
      <c r="A1050" s="6"/>
      <c r="B1050" s="3"/>
      <c r="C1050" s="6"/>
    </row>
    <row r="1051" spans="1:3" x14ac:dyDescent="0.2">
      <c r="A1051" s="6"/>
      <c r="B1051" s="3"/>
      <c r="C1051" s="6"/>
    </row>
    <row r="1052" spans="1:3" x14ac:dyDescent="0.2">
      <c r="A1052" s="6"/>
      <c r="B1052" s="3"/>
      <c r="C1052" s="6"/>
    </row>
    <row r="1053" spans="1:3" x14ac:dyDescent="0.2">
      <c r="A1053" s="6"/>
      <c r="B1053" s="3"/>
      <c r="C1053" s="6"/>
    </row>
    <row r="1054" spans="1:3" x14ac:dyDescent="0.2">
      <c r="A1054" s="6"/>
      <c r="B1054" s="3"/>
      <c r="C1054" s="6"/>
    </row>
    <row r="1055" spans="1:3" x14ac:dyDescent="0.2">
      <c r="A1055" s="6"/>
      <c r="B1055" s="3"/>
      <c r="C1055" s="6"/>
    </row>
    <row r="1056" spans="1:3" x14ac:dyDescent="0.2">
      <c r="A1056" s="6"/>
      <c r="B1056" s="3"/>
      <c r="C1056" s="6"/>
    </row>
    <row r="1057" spans="1:3" x14ac:dyDescent="0.2">
      <c r="A1057" s="6"/>
      <c r="B1057" s="3"/>
      <c r="C1057" s="6"/>
    </row>
    <row r="1058" spans="1:3" x14ac:dyDescent="0.2">
      <c r="A1058" s="6"/>
      <c r="B1058" s="3"/>
      <c r="C1058" s="6"/>
    </row>
    <row r="1059" spans="1:3" x14ac:dyDescent="0.2">
      <c r="A1059" s="6"/>
      <c r="B1059" s="3"/>
      <c r="C1059" s="6"/>
    </row>
    <row r="1060" spans="1:3" x14ac:dyDescent="0.2">
      <c r="A1060" s="6"/>
      <c r="B1060" s="3"/>
      <c r="C1060" s="6"/>
    </row>
    <row r="1061" spans="1:3" x14ac:dyDescent="0.2">
      <c r="A1061" s="6"/>
      <c r="B1061" s="3"/>
      <c r="C1061" s="6"/>
    </row>
    <row r="1062" spans="1:3" x14ac:dyDescent="0.2">
      <c r="A1062" s="6"/>
      <c r="B1062" s="3"/>
      <c r="C1062" s="6"/>
    </row>
    <row r="1063" spans="1:3" x14ac:dyDescent="0.2">
      <c r="A1063" s="6"/>
      <c r="B1063" s="3"/>
      <c r="C1063" s="6"/>
    </row>
    <row r="1064" spans="1:3" x14ac:dyDescent="0.2">
      <c r="A1064" s="6"/>
      <c r="B1064" s="3"/>
      <c r="C1064" s="6"/>
    </row>
    <row r="1065" spans="1:3" x14ac:dyDescent="0.2">
      <c r="A1065" s="6"/>
      <c r="B1065" s="3"/>
      <c r="C1065" s="6"/>
    </row>
    <row r="1066" spans="1:3" x14ac:dyDescent="0.2">
      <c r="A1066" s="6"/>
      <c r="B1066" s="3"/>
      <c r="C1066" s="6"/>
    </row>
    <row r="1067" spans="1:3" x14ac:dyDescent="0.2">
      <c r="A1067" s="6"/>
      <c r="B1067" s="3"/>
      <c r="C1067" s="6"/>
    </row>
    <row r="1068" spans="1:3" x14ac:dyDescent="0.2">
      <c r="A1068" s="6"/>
      <c r="B1068" s="3"/>
      <c r="C1068" s="6"/>
    </row>
    <row r="1069" spans="1:3" x14ac:dyDescent="0.2">
      <c r="A1069" s="6"/>
      <c r="B1069" s="3"/>
      <c r="C1069" s="6"/>
    </row>
    <row r="1070" spans="1:3" x14ac:dyDescent="0.2">
      <c r="A1070" s="6"/>
      <c r="B1070" s="3"/>
      <c r="C1070" s="6"/>
    </row>
    <row r="1071" spans="1:3" x14ac:dyDescent="0.2">
      <c r="A1071" s="6"/>
      <c r="B1071" s="3"/>
      <c r="C1071" s="6"/>
    </row>
    <row r="1072" spans="1:3" x14ac:dyDescent="0.2">
      <c r="A1072" s="6"/>
      <c r="B1072" s="3"/>
      <c r="C1072" s="6"/>
    </row>
    <row r="1073" spans="1:3" x14ac:dyDescent="0.2">
      <c r="A1073" s="6"/>
      <c r="B1073" s="3"/>
      <c r="C1073" s="6"/>
    </row>
    <row r="1074" spans="1:3" x14ac:dyDescent="0.2">
      <c r="A1074" s="6"/>
      <c r="B1074" s="3"/>
      <c r="C1074" s="6"/>
    </row>
    <row r="1075" spans="1:3" x14ac:dyDescent="0.2">
      <c r="A1075" s="6"/>
      <c r="B1075" s="3"/>
      <c r="C1075" s="6"/>
    </row>
    <row r="1076" spans="1:3" x14ac:dyDescent="0.2">
      <c r="A1076" s="6"/>
      <c r="B1076" s="3"/>
      <c r="C1076" s="6"/>
    </row>
    <row r="1077" spans="1:3" x14ac:dyDescent="0.2">
      <c r="A1077" s="6"/>
      <c r="B1077" s="3"/>
      <c r="C1077" s="6"/>
    </row>
    <row r="1078" spans="1:3" x14ac:dyDescent="0.2">
      <c r="A1078" s="6"/>
      <c r="B1078" s="3"/>
      <c r="C1078" s="6"/>
    </row>
    <row r="1079" spans="1:3" x14ac:dyDescent="0.2">
      <c r="A1079" s="6"/>
      <c r="B1079" s="3"/>
      <c r="C1079" s="6"/>
    </row>
    <row r="1080" spans="1:3" x14ac:dyDescent="0.2">
      <c r="A1080" s="6"/>
      <c r="B1080" s="3"/>
      <c r="C1080" s="6"/>
    </row>
    <row r="1081" spans="1:3" x14ac:dyDescent="0.2">
      <c r="A1081" s="6"/>
      <c r="B1081" s="3"/>
      <c r="C1081" s="6"/>
    </row>
    <row r="1082" spans="1:3" x14ac:dyDescent="0.2">
      <c r="A1082" s="6"/>
      <c r="B1082" s="3"/>
      <c r="C1082" s="6"/>
    </row>
    <row r="1083" spans="1:3" x14ac:dyDescent="0.2">
      <c r="A1083" s="6"/>
      <c r="B1083" s="3"/>
      <c r="C1083" s="6"/>
    </row>
    <row r="1084" spans="1:3" x14ac:dyDescent="0.2">
      <c r="A1084" s="6"/>
      <c r="B1084" s="3"/>
      <c r="C1084" s="6"/>
    </row>
    <row r="1085" spans="1:3" x14ac:dyDescent="0.2">
      <c r="A1085" s="6"/>
      <c r="B1085" s="3"/>
      <c r="C1085" s="6"/>
    </row>
    <row r="1086" spans="1:3" x14ac:dyDescent="0.2">
      <c r="A1086" s="6"/>
      <c r="B1086" s="3"/>
      <c r="C1086" s="6"/>
    </row>
    <row r="1087" spans="1:3" x14ac:dyDescent="0.2">
      <c r="A1087" s="6"/>
      <c r="B1087" s="3"/>
      <c r="C1087" s="6"/>
    </row>
    <row r="1088" spans="1:3" x14ac:dyDescent="0.2">
      <c r="A1088" s="6"/>
      <c r="B1088" s="3"/>
      <c r="C1088" s="6"/>
    </row>
    <row r="1089" spans="1:3" x14ac:dyDescent="0.2">
      <c r="A1089" s="6"/>
      <c r="B1089" s="3"/>
      <c r="C1089" s="6"/>
    </row>
    <row r="1090" spans="1:3" x14ac:dyDescent="0.2">
      <c r="A1090" s="6"/>
      <c r="B1090" s="3"/>
      <c r="C1090" s="6"/>
    </row>
    <row r="1091" spans="1:3" x14ac:dyDescent="0.2">
      <c r="A1091" s="6"/>
      <c r="B1091" s="3"/>
      <c r="C1091" s="6"/>
    </row>
    <row r="1092" spans="1:3" x14ac:dyDescent="0.2">
      <c r="A1092" s="6"/>
      <c r="B1092" s="3"/>
      <c r="C1092" s="6"/>
    </row>
    <row r="1093" spans="1:3" x14ac:dyDescent="0.2">
      <c r="A1093" s="6"/>
      <c r="B1093" s="3"/>
      <c r="C1093" s="6"/>
    </row>
    <row r="1094" spans="1:3" x14ac:dyDescent="0.2">
      <c r="A1094" s="6"/>
      <c r="B1094" s="3"/>
      <c r="C1094" s="6"/>
    </row>
    <row r="1095" spans="1:3" x14ac:dyDescent="0.2">
      <c r="A1095" s="6"/>
      <c r="B1095" s="3"/>
      <c r="C1095" s="6"/>
    </row>
    <row r="1096" spans="1:3" x14ac:dyDescent="0.2">
      <c r="A1096" s="6"/>
      <c r="B1096" s="3"/>
      <c r="C1096" s="6"/>
    </row>
    <row r="1097" spans="1:3" x14ac:dyDescent="0.2">
      <c r="A1097" s="6"/>
      <c r="B1097" s="3"/>
      <c r="C1097" s="6"/>
    </row>
    <row r="1098" spans="1:3" x14ac:dyDescent="0.2">
      <c r="A1098" s="6"/>
      <c r="B1098" s="3"/>
      <c r="C1098" s="6"/>
    </row>
    <row r="1099" spans="1:3" x14ac:dyDescent="0.2">
      <c r="A1099" s="6"/>
      <c r="B1099" s="3"/>
      <c r="C1099" s="6"/>
    </row>
    <row r="1100" spans="1:3" x14ac:dyDescent="0.2">
      <c r="A1100" s="6"/>
      <c r="B1100" s="3"/>
      <c r="C1100" s="6"/>
    </row>
    <row r="1101" spans="1:3" x14ac:dyDescent="0.2">
      <c r="A1101" s="6"/>
      <c r="B1101" s="3"/>
      <c r="C1101" s="6"/>
    </row>
    <row r="1102" spans="1:3" x14ac:dyDescent="0.2">
      <c r="A1102" s="6"/>
      <c r="B1102" s="3"/>
      <c r="C1102" s="6"/>
    </row>
    <row r="1103" spans="1:3" x14ac:dyDescent="0.2">
      <c r="A1103" s="6"/>
      <c r="B1103" s="3"/>
      <c r="C1103" s="6"/>
    </row>
    <row r="1104" spans="1:3" x14ac:dyDescent="0.2">
      <c r="A1104" s="6"/>
      <c r="B1104" s="3"/>
      <c r="C1104" s="6"/>
    </row>
    <row r="1105" spans="1:3" x14ac:dyDescent="0.2">
      <c r="A1105" s="6"/>
      <c r="B1105" s="3"/>
      <c r="C1105" s="6"/>
    </row>
    <row r="1106" spans="1:3" x14ac:dyDescent="0.2">
      <c r="A1106" s="6"/>
      <c r="B1106" s="3"/>
      <c r="C1106" s="6"/>
    </row>
    <row r="1107" spans="1:3" x14ac:dyDescent="0.2">
      <c r="A1107" s="6"/>
      <c r="B1107" s="3"/>
      <c r="C1107" s="6"/>
    </row>
    <row r="1108" spans="1:3" x14ac:dyDescent="0.2">
      <c r="A1108" s="6"/>
      <c r="B1108" s="3"/>
      <c r="C1108" s="6"/>
    </row>
    <row r="1109" spans="1:3" x14ac:dyDescent="0.2">
      <c r="A1109" s="6"/>
      <c r="B1109" s="3"/>
      <c r="C1109" s="6"/>
    </row>
    <row r="1110" spans="1:3" x14ac:dyDescent="0.2">
      <c r="A1110" s="6"/>
      <c r="B1110" s="3"/>
      <c r="C1110" s="6"/>
    </row>
    <row r="1111" spans="1:3" x14ac:dyDescent="0.2">
      <c r="A1111" s="6"/>
      <c r="B1111" s="3"/>
      <c r="C1111" s="6"/>
    </row>
    <row r="1112" spans="1:3" x14ac:dyDescent="0.2">
      <c r="A1112" s="6"/>
      <c r="B1112" s="3"/>
      <c r="C1112" s="6"/>
    </row>
    <row r="1113" spans="1:3" x14ac:dyDescent="0.2">
      <c r="A1113" s="6"/>
      <c r="B1113" s="3"/>
      <c r="C1113" s="6"/>
    </row>
    <row r="1114" spans="1:3" x14ac:dyDescent="0.2">
      <c r="A1114" s="6"/>
      <c r="B1114" s="3"/>
      <c r="C1114" s="6"/>
    </row>
    <row r="1115" spans="1:3" x14ac:dyDescent="0.2">
      <c r="A1115" s="6"/>
      <c r="B1115" s="3"/>
      <c r="C1115" s="6"/>
    </row>
    <row r="1116" spans="1:3" x14ac:dyDescent="0.2">
      <c r="A1116" s="6"/>
      <c r="B1116" s="3"/>
      <c r="C1116" s="6"/>
    </row>
    <row r="1117" spans="1:3" x14ac:dyDescent="0.2">
      <c r="A1117" s="6"/>
      <c r="B1117" s="3"/>
      <c r="C1117" s="6"/>
    </row>
    <row r="1118" spans="1:3" x14ac:dyDescent="0.2">
      <c r="A1118" s="6"/>
      <c r="B1118" s="3"/>
      <c r="C1118" s="6"/>
    </row>
    <row r="1119" spans="1:3" x14ac:dyDescent="0.2">
      <c r="A1119" s="6"/>
      <c r="B1119" s="3"/>
      <c r="C1119" s="6"/>
    </row>
    <row r="1120" spans="1:3" x14ac:dyDescent="0.2">
      <c r="A1120" s="6"/>
      <c r="B1120" s="3"/>
      <c r="C1120" s="6"/>
    </row>
    <row r="1121" spans="1:3" x14ac:dyDescent="0.2">
      <c r="A1121" s="6"/>
      <c r="B1121" s="3"/>
      <c r="C1121" s="6"/>
    </row>
    <row r="1122" spans="1:3" x14ac:dyDescent="0.2">
      <c r="A1122" s="6"/>
      <c r="B1122" s="3"/>
      <c r="C1122" s="6"/>
    </row>
    <row r="1123" spans="1:3" x14ac:dyDescent="0.2">
      <c r="A1123" s="6"/>
      <c r="B1123" s="3"/>
      <c r="C1123" s="6"/>
    </row>
    <row r="1124" spans="1:3" x14ac:dyDescent="0.2">
      <c r="A1124" s="6"/>
      <c r="B1124" s="3"/>
      <c r="C1124" s="6"/>
    </row>
    <row r="1125" spans="1:3" x14ac:dyDescent="0.2">
      <c r="A1125" s="6"/>
      <c r="B1125" s="3"/>
      <c r="C1125" s="6"/>
    </row>
    <row r="1126" spans="1:3" x14ac:dyDescent="0.2">
      <c r="A1126" s="6"/>
      <c r="B1126" s="3"/>
      <c r="C1126" s="6"/>
    </row>
    <row r="1127" spans="1:3" x14ac:dyDescent="0.2">
      <c r="A1127" s="6"/>
      <c r="B1127" s="3"/>
      <c r="C1127" s="6"/>
    </row>
    <row r="1128" spans="1:3" x14ac:dyDescent="0.2">
      <c r="A1128" s="6"/>
      <c r="B1128" s="3"/>
      <c r="C1128" s="6"/>
    </row>
    <row r="1129" spans="1:3" x14ac:dyDescent="0.2">
      <c r="A1129" s="6"/>
      <c r="B1129" s="3"/>
      <c r="C1129" s="6"/>
    </row>
    <row r="1130" spans="1:3" x14ac:dyDescent="0.2">
      <c r="A1130" s="6"/>
      <c r="B1130" s="3"/>
      <c r="C1130" s="6"/>
    </row>
    <row r="1131" spans="1:3" x14ac:dyDescent="0.2">
      <c r="A1131" s="6"/>
      <c r="B1131" s="3"/>
      <c r="C1131" s="6"/>
    </row>
    <row r="1132" spans="1:3" x14ac:dyDescent="0.2">
      <c r="A1132" s="6"/>
      <c r="B1132" s="3"/>
      <c r="C1132" s="6"/>
    </row>
    <row r="1133" spans="1:3" x14ac:dyDescent="0.2">
      <c r="A1133" s="6"/>
      <c r="B1133" s="3"/>
      <c r="C1133" s="6"/>
    </row>
    <row r="1134" spans="1:3" x14ac:dyDescent="0.2">
      <c r="A1134" s="6"/>
      <c r="B1134" s="3"/>
      <c r="C1134" s="6"/>
    </row>
    <row r="1135" spans="1:3" x14ac:dyDescent="0.2">
      <c r="A1135" s="6"/>
      <c r="B1135" s="3"/>
      <c r="C1135" s="6"/>
    </row>
    <row r="1136" spans="1:3" x14ac:dyDescent="0.2">
      <c r="A1136" s="6"/>
      <c r="B1136" s="3"/>
      <c r="C1136" s="6"/>
    </row>
    <row r="1137" spans="1:3" x14ac:dyDescent="0.2">
      <c r="A1137" s="6"/>
      <c r="B1137" s="3"/>
      <c r="C1137" s="6"/>
    </row>
    <row r="1138" spans="1:3" x14ac:dyDescent="0.2">
      <c r="A1138" s="6"/>
      <c r="B1138" s="3"/>
      <c r="C1138" s="6"/>
    </row>
    <row r="1139" spans="1:3" x14ac:dyDescent="0.2">
      <c r="A1139" s="6"/>
      <c r="B1139" s="3"/>
      <c r="C1139" s="6"/>
    </row>
    <row r="1140" spans="1:3" x14ac:dyDescent="0.2">
      <c r="A1140" s="6"/>
      <c r="B1140" s="3"/>
      <c r="C1140" s="6"/>
    </row>
    <row r="1141" spans="1:3" x14ac:dyDescent="0.2">
      <c r="A1141" s="6"/>
      <c r="B1141" s="3"/>
      <c r="C1141" s="6"/>
    </row>
    <row r="1142" spans="1:3" x14ac:dyDescent="0.2">
      <c r="A1142" s="6"/>
      <c r="B1142" s="3"/>
      <c r="C1142" s="6"/>
    </row>
    <row r="1143" spans="1:3" x14ac:dyDescent="0.2">
      <c r="A1143" s="6"/>
      <c r="B1143" s="3"/>
      <c r="C1143" s="6"/>
    </row>
    <row r="1144" spans="1:3" x14ac:dyDescent="0.2">
      <c r="A1144" s="6"/>
      <c r="B1144" s="3"/>
      <c r="C1144" s="6"/>
    </row>
    <row r="1145" spans="1:3" x14ac:dyDescent="0.2">
      <c r="A1145" s="6"/>
      <c r="B1145" s="3"/>
      <c r="C1145" s="6"/>
    </row>
    <row r="1146" spans="1:3" x14ac:dyDescent="0.2">
      <c r="A1146" s="6"/>
      <c r="B1146" s="3"/>
      <c r="C1146" s="6"/>
    </row>
    <row r="1147" spans="1:3" x14ac:dyDescent="0.2">
      <c r="A1147" s="6"/>
      <c r="B1147" s="3"/>
      <c r="C1147" s="6"/>
    </row>
    <row r="1148" spans="1:3" x14ac:dyDescent="0.2">
      <c r="A1148" s="6"/>
      <c r="B1148" s="3"/>
      <c r="C1148" s="6"/>
    </row>
    <row r="1149" spans="1:3" x14ac:dyDescent="0.2">
      <c r="A1149" s="6"/>
      <c r="B1149" s="3"/>
      <c r="C1149" s="6"/>
    </row>
    <row r="1150" spans="1:3" x14ac:dyDescent="0.2">
      <c r="A1150" s="6"/>
      <c r="B1150" s="3"/>
      <c r="C1150" s="6"/>
    </row>
    <row r="1151" spans="1:3" x14ac:dyDescent="0.2">
      <c r="A1151" s="6"/>
      <c r="B1151" s="3"/>
      <c r="C1151" s="6"/>
    </row>
    <row r="1152" spans="1:3" x14ac:dyDescent="0.2">
      <c r="A1152" s="6"/>
      <c r="B1152" s="3"/>
      <c r="C1152" s="6"/>
    </row>
    <row r="1153" spans="1:3" x14ac:dyDescent="0.2">
      <c r="A1153" s="6"/>
      <c r="B1153" s="3"/>
      <c r="C1153" s="6"/>
    </row>
    <row r="1154" spans="1:3" x14ac:dyDescent="0.2">
      <c r="A1154" s="6"/>
      <c r="B1154" s="3"/>
      <c r="C1154" s="6"/>
    </row>
    <row r="1155" spans="1:3" x14ac:dyDescent="0.2">
      <c r="A1155" s="6"/>
      <c r="B1155" s="3"/>
      <c r="C1155" s="6"/>
    </row>
    <row r="1156" spans="1:3" x14ac:dyDescent="0.2">
      <c r="A1156" s="6"/>
      <c r="B1156" s="3"/>
      <c r="C1156" s="6"/>
    </row>
    <row r="1157" spans="1:3" x14ac:dyDescent="0.2">
      <c r="A1157" s="6"/>
      <c r="B1157" s="3"/>
      <c r="C1157" s="6"/>
    </row>
    <row r="1158" spans="1:3" x14ac:dyDescent="0.2">
      <c r="A1158" s="6"/>
      <c r="B1158" s="3"/>
      <c r="C1158" s="6"/>
    </row>
    <row r="1159" spans="1:3" x14ac:dyDescent="0.2">
      <c r="A1159" s="6"/>
      <c r="B1159" s="3"/>
      <c r="C1159" s="6"/>
    </row>
    <row r="1160" spans="1:3" x14ac:dyDescent="0.2">
      <c r="A1160" s="6"/>
      <c r="B1160" s="3"/>
      <c r="C1160" s="6"/>
    </row>
    <row r="1161" spans="1:3" x14ac:dyDescent="0.2">
      <c r="A1161" s="6"/>
      <c r="B1161" s="3"/>
      <c r="C1161" s="6"/>
    </row>
    <row r="1162" spans="1:3" x14ac:dyDescent="0.2">
      <c r="A1162" s="6"/>
      <c r="B1162" s="3"/>
      <c r="C1162" s="6"/>
    </row>
    <row r="1163" spans="1:3" x14ac:dyDescent="0.2">
      <c r="A1163" s="6"/>
      <c r="B1163" s="3"/>
      <c r="C1163" s="6"/>
    </row>
    <row r="1164" spans="1:3" x14ac:dyDescent="0.2">
      <c r="A1164" s="6"/>
      <c r="B1164" s="3"/>
      <c r="C1164" s="6"/>
    </row>
    <row r="1165" spans="1:3" x14ac:dyDescent="0.2">
      <c r="A1165" s="6"/>
      <c r="B1165" s="3"/>
      <c r="C1165" s="6"/>
    </row>
    <row r="1166" spans="1:3" x14ac:dyDescent="0.2">
      <c r="A1166" s="6"/>
      <c r="B1166" s="3"/>
      <c r="C1166" s="6"/>
    </row>
    <row r="1167" spans="1:3" x14ac:dyDescent="0.2">
      <c r="A1167" s="6"/>
      <c r="B1167" s="3"/>
      <c r="C1167" s="6"/>
    </row>
    <row r="1168" spans="1:3" x14ac:dyDescent="0.2">
      <c r="A1168" s="6"/>
      <c r="B1168" s="3"/>
      <c r="C1168" s="6"/>
    </row>
    <row r="1169" spans="1:3" x14ac:dyDescent="0.2">
      <c r="A1169" s="6"/>
      <c r="B1169" s="3"/>
      <c r="C1169" s="6"/>
    </row>
    <row r="1170" spans="1:3" x14ac:dyDescent="0.2">
      <c r="A1170" s="6"/>
      <c r="B1170" s="3"/>
      <c r="C1170" s="6"/>
    </row>
    <row r="1171" spans="1:3" x14ac:dyDescent="0.2">
      <c r="A1171" s="6"/>
      <c r="B1171" s="3"/>
      <c r="C1171" s="6"/>
    </row>
    <row r="1172" spans="1:3" x14ac:dyDescent="0.2">
      <c r="A1172" s="6"/>
      <c r="B1172" s="3"/>
      <c r="C1172" s="6"/>
    </row>
    <row r="1173" spans="1:3" x14ac:dyDescent="0.2">
      <c r="A1173" s="6"/>
      <c r="B1173" s="3"/>
      <c r="C1173" s="6"/>
    </row>
    <row r="1174" spans="1:3" x14ac:dyDescent="0.2">
      <c r="A1174" s="6"/>
      <c r="B1174" s="3"/>
      <c r="C1174" s="6"/>
    </row>
    <row r="1175" spans="1:3" x14ac:dyDescent="0.2">
      <c r="A1175" s="6"/>
      <c r="B1175" s="3"/>
      <c r="C1175" s="6"/>
    </row>
    <row r="1176" spans="1:3" x14ac:dyDescent="0.2">
      <c r="A1176" s="6"/>
      <c r="B1176" s="3"/>
      <c r="C1176" s="6"/>
    </row>
    <row r="1177" spans="1:3" x14ac:dyDescent="0.2">
      <c r="A1177" s="6"/>
      <c r="B1177" s="3"/>
      <c r="C1177" s="6"/>
    </row>
    <row r="1178" spans="1:3" x14ac:dyDescent="0.2">
      <c r="A1178" s="6"/>
      <c r="B1178" s="3"/>
      <c r="C1178" s="6"/>
    </row>
    <row r="1179" spans="1:3" x14ac:dyDescent="0.2">
      <c r="A1179" s="6"/>
      <c r="B1179" s="3"/>
      <c r="C1179" s="6"/>
    </row>
    <row r="1180" spans="1:3" x14ac:dyDescent="0.2">
      <c r="A1180" s="6"/>
      <c r="B1180" s="3"/>
      <c r="C1180" s="6"/>
    </row>
    <row r="1181" spans="1:3" x14ac:dyDescent="0.2">
      <c r="A1181" s="6"/>
      <c r="B1181" s="3"/>
      <c r="C1181" s="6"/>
    </row>
    <row r="1182" spans="1:3" x14ac:dyDescent="0.2">
      <c r="A1182" s="6"/>
      <c r="B1182" s="3"/>
      <c r="C1182" s="6"/>
    </row>
    <row r="1183" spans="1:3" x14ac:dyDescent="0.2">
      <c r="A1183" s="6"/>
      <c r="B1183" s="3"/>
      <c r="C1183" s="6"/>
    </row>
    <row r="1184" spans="1:3" x14ac:dyDescent="0.2">
      <c r="A1184" s="6"/>
      <c r="B1184" s="3"/>
      <c r="C1184" s="6"/>
    </row>
    <row r="1185" spans="1:3" x14ac:dyDescent="0.2">
      <c r="A1185" s="6"/>
      <c r="B1185" s="3"/>
      <c r="C1185" s="6"/>
    </row>
    <row r="1186" spans="1:3" x14ac:dyDescent="0.2">
      <c r="A1186" s="6"/>
      <c r="B1186" s="3"/>
      <c r="C1186" s="6"/>
    </row>
    <row r="1187" spans="1:3" x14ac:dyDescent="0.2">
      <c r="A1187" s="6"/>
      <c r="B1187" s="3"/>
      <c r="C1187" s="6"/>
    </row>
    <row r="1188" spans="1:3" x14ac:dyDescent="0.2">
      <c r="A1188" s="6"/>
      <c r="B1188" s="3"/>
      <c r="C1188" s="6"/>
    </row>
    <row r="1189" spans="1:3" x14ac:dyDescent="0.2">
      <c r="A1189" s="6"/>
      <c r="B1189" s="3"/>
      <c r="C1189" s="6"/>
    </row>
    <row r="1190" spans="1:3" x14ac:dyDescent="0.2">
      <c r="A1190" s="6"/>
      <c r="B1190" s="3"/>
      <c r="C1190" s="6"/>
    </row>
    <row r="1191" spans="1:3" x14ac:dyDescent="0.2">
      <c r="A1191" s="6"/>
      <c r="B1191" s="3"/>
      <c r="C1191" s="6"/>
    </row>
    <row r="1192" spans="1:3" x14ac:dyDescent="0.2">
      <c r="A1192" s="6"/>
      <c r="B1192" s="3"/>
      <c r="C1192" s="6"/>
    </row>
    <row r="1193" spans="1:3" x14ac:dyDescent="0.2">
      <c r="A1193" s="6"/>
      <c r="B1193" s="3"/>
      <c r="C1193" s="6"/>
    </row>
    <row r="1194" spans="1:3" x14ac:dyDescent="0.2">
      <c r="A1194" s="6"/>
      <c r="B1194" s="3"/>
      <c r="C1194" s="6"/>
    </row>
    <row r="1195" spans="1:3" x14ac:dyDescent="0.2">
      <c r="A1195" s="6"/>
      <c r="B1195" s="3"/>
      <c r="C1195" s="6"/>
    </row>
    <row r="1196" spans="1:3" x14ac:dyDescent="0.2">
      <c r="A1196" s="6"/>
      <c r="B1196" s="3"/>
      <c r="C1196" s="6"/>
    </row>
    <row r="1197" spans="1:3" x14ac:dyDescent="0.2">
      <c r="A1197" s="6"/>
      <c r="B1197" s="3"/>
      <c r="C1197" s="6"/>
    </row>
    <row r="1198" spans="1:3" x14ac:dyDescent="0.2">
      <c r="A1198" s="6"/>
      <c r="B1198" s="3"/>
      <c r="C1198" s="6"/>
    </row>
    <row r="1199" spans="1:3" x14ac:dyDescent="0.2">
      <c r="A1199" s="6"/>
      <c r="B1199" s="3"/>
      <c r="C1199" s="6"/>
    </row>
    <row r="1200" spans="1:3" x14ac:dyDescent="0.2">
      <c r="A1200" s="6"/>
      <c r="B1200" s="3"/>
      <c r="C1200" s="6"/>
    </row>
    <row r="1201" spans="1:3" x14ac:dyDescent="0.2">
      <c r="A1201" s="6"/>
      <c r="B1201" s="3"/>
      <c r="C1201" s="6"/>
    </row>
    <row r="1202" spans="1:3" x14ac:dyDescent="0.2">
      <c r="A1202" s="6"/>
      <c r="B1202" s="3"/>
      <c r="C1202" s="6"/>
    </row>
    <row r="1203" spans="1:3" x14ac:dyDescent="0.2">
      <c r="A1203" s="6"/>
      <c r="B1203" s="3"/>
      <c r="C1203" s="6"/>
    </row>
    <row r="1204" spans="1:3" x14ac:dyDescent="0.2">
      <c r="A1204" s="6"/>
      <c r="B1204" s="3"/>
      <c r="C1204" s="6"/>
    </row>
    <row r="1205" spans="1:3" x14ac:dyDescent="0.2">
      <c r="A1205" s="6"/>
      <c r="B1205" s="3"/>
      <c r="C1205" s="6"/>
    </row>
    <row r="1206" spans="1:3" x14ac:dyDescent="0.2">
      <c r="A1206" s="6"/>
      <c r="B1206" s="3"/>
      <c r="C1206" s="6"/>
    </row>
    <row r="1207" spans="1:3" x14ac:dyDescent="0.2">
      <c r="A1207" s="6"/>
      <c r="B1207" s="3"/>
      <c r="C1207" s="6"/>
    </row>
    <row r="1208" spans="1:3" x14ac:dyDescent="0.2">
      <c r="A1208" s="6"/>
      <c r="B1208" s="3"/>
      <c r="C1208" s="6"/>
    </row>
    <row r="1209" spans="1:3" x14ac:dyDescent="0.2">
      <c r="A1209" s="6"/>
      <c r="B1209" s="3"/>
      <c r="C1209" s="6"/>
    </row>
    <row r="1210" spans="1:3" x14ac:dyDescent="0.2">
      <c r="A1210" s="6"/>
      <c r="B1210" s="3"/>
      <c r="C1210" s="6"/>
    </row>
    <row r="1211" spans="1:3" x14ac:dyDescent="0.2">
      <c r="A1211" s="6"/>
      <c r="B1211" s="3"/>
      <c r="C1211" s="6"/>
    </row>
    <row r="1212" spans="1:3" x14ac:dyDescent="0.2">
      <c r="A1212" s="6"/>
      <c r="B1212" s="3"/>
      <c r="C1212" s="6"/>
    </row>
    <row r="1213" spans="1:3" x14ac:dyDescent="0.2">
      <c r="A1213" s="6"/>
      <c r="B1213" s="3"/>
      <c r="C1213" s="6"/>
    </row>
    <row r="1214" spans="1:3" x14ac:dyDescent="0.2">
      <c r="A1214" s="6"/>
      <c r="B1214" s="3"/>
      <c r="C1214" s="6"/>
    </row>
    <row r="1215" spans="1:3" x14ac:dyDescent="0.2">
      <c r="A1215" s="6"/>
      <c r="B1215" s="3"/>
      <c r="C1215" s="6"/>
    </row>
    <row r="1216" spans="1:3" x14ac:dyDescent="0.2">
      <c r="A1216" s="6"/>
      <c r="B1216" s="3"/>
      <c r="C1216" s="6"/>
    </row>
    <row r="1217" spans="1:3" x14ac:dyDescent="0.2">
      <c r="A1217" s="6"/>
      <c r="B1217" s="3"/>
      <c r="C1217" s="6"/>
    </row>
    <row r="1218" spans="1:3" x14ac:dyDescent="0.2">
      <c r="A1218" s="6"/>
      <c r="B1218" s="3"/>
      <c r="C1218" s="6"/>
    </row>
    <row r="1219" spans="1:3" x14ac:dyDescent="0.2">
      <c r="A1219" s="6"/>
      <c r="B1219" s="3"/>
      <c r="C1219" s="6"/>
    </row>
    <row r="1220" spans="1:3" x14ac:dyDescent="0.2">
      <c r="A1220" s="6"/>
      <c r="B1220" s="3"/>
      <c r="C1220" s="6"/>
    </row>
    <row r="1221" spans="1:3" x14ac:dyDescent="0.2">
      <c r="A1221" s="6"/>
      <c r="B1221" s="3"/>
      <c r="C1221" s="6"/>
    </row>
    <row r="1222" spans="1:3" x14ac:dyDescent="0.2">
      <c r="A1222" s="6"/>
      <c r="B1222" s="3"/>
      <c r="C1222" s="6"/>
    </row>
    <row r="1223" spans="1:3" x14ac:dyDescent="0.2">
      <c r="A1223" s="6"/>
      <c r="B1223" s="3"/>
      <c r="C1223" s="6"/>
    </row>
    <row r="1224" spans="1:3" x14ac:dyDescent="0.2">
      <c r="A1224" s="6"/>
      <c r="B1224" s="3"/>
      <c r="C1224" s="6"/>
    </row>
    <row r="1225" spans="1:3" x14ac:dyDescent="0.2">
      <c r="A1225" s="6"/>
      <c r="B1225" s="3"/>
      <c r="C1225" s="6"/>
    </row>
    <row r="1226" spans="1:3" x14ac:dyDescent="0.2">
      <c r="A1226" s="6"/>
      <c r="B1226" s="3"/>
      <c r="C1226" s="6"/>
    </row>
    <row r="1227" spans="1:3" x14ac:dyDescent="0.2">
      <c r="A1227" s="6"/>
      <c r="B1227" s="3"/>
      <c r="C1227" s="6"/>
    </row>
    <row r="1228" spans="1:3" x14ac:dyDescent="0.2">
      <c r="A1228" s="6"/>
      <c r="B1228" s="3"/>
      <c r="C1228" s="6"/>
    </row>
    <row r="1229" spans="1:3" x14ac:dyDescent="0.2">
      <c r="A1229" s="6"/>
      <c r="B1229" s="3"/>
      <c r="C1229" s="6"/>
    </row>
    <row r="1230" spans="1:3" x14ac:dyDescent="0.2">
      <c r="A1230" s="6"/>
      <c r="B1230" s="3"/>
      <c r="C1230" s="6"/>
    </row>
    <row r="1231" spans="1:3" x14ac:dyDescent="0.2">
      <c r="A1231" s="6"/>
      <c r="B1231" s="3"/>
      <c r="C1231" s="6"/>
    </row>
    <row r="1232" spans="1:3" x14ac:dyDescent="0.2">
      <c r="A1232" s="6"/>
      <c r="B1232" s="3"/>
      <c r="C1232" s="6"/>
    </row>
    <row r="1233" spans="1:3" x14ac:dyDescent="0.2">
      <c r="A1233" s="6"/>
      <c r="B1233" s="3"/>
      <c r="C1233" s="6"/>
    </row>
    <row r="1234" spans="1:3" x14ac:dyDescent="0.2">
      <c r="A1234" s="6"/>
      <c r="B1234" s="3"/>
      <c r="C1234" s="6"/>
    </row>
    <row r="1235" spans="1:3" x14ac:dyDescent="0.2">
      <c r="A1235" s="6"/>
      <c r="B1235" s="3"/>
      <c r="C1235" s="6"/>
    </row>
    <row r="1236" spans="1:3" x14ac:dyDescent="0.2">
      <c r="A1236" s="6"/>
      <c r="B1236" s="3"/>
      <c r="C1236" s="6"/>
    </row>
    <row r="1237" spans="1:3" x14ac:dyDescent="0.2">
      <c r="A1237" s="6"/>
      <c r="B1237" s="3"/>
      <c r="C1237" s="6"/>
    </row>
    <row r="1238" spans="1:3" x14ac:dyDescent="0.2">
      <c r="A1238" s="6"/>
      <c r="B1238" s="3"/>
      <c r="C1238" s="6"/>
    </row>
    <row r="1239" spans="1:3" x14ac:dyDescent="0.2">
      <c r="A1239" s="6"/>
      <c r="B1239" s="3"/>
      <c r="C1239" s="6"/>
    </row>
    <row r="1240" spans="1:3" x14ac:dyDescent="0.2">
      <c r="A1240" s="6"/>
      <c r="B1240" s="3"/>
      <c r="C1240" s="6"/>
    </row>
    <row r="1241" spans="1:3" x14ac:dyDescent="0.2">
      <c r="A1241" s="6"/>
      <c r="B1241" s="3"/>
      <c r="C1241" s="6"/>
    </row>
    <row r="1242" spans="1:3" x14ac:dyDescent="0.2">
      <c r="A1242" s="6"/>
      <c r="B1242" s="3"/>
      <c r="C1242" s="6"/>
    </row>
    <row r="1243" spans="1:3" x14ac:dyDescent="0.2">
      <c r="A1243" s="6"/>
      <c r="B1243" s="3"/>
      <c r="C1243" s="6"/>
    </row>
    <row r="1244" spans="1:3" x14ac:dyDescent="0.2">
      <c r="A1244" s="6"/>
      <c r="B1244" s="3"/>
      <c r="C1244" s="6"/>
    </row>
    <row r="1245" spans="1:3" x14ac:dyDescent="0.2">
      <c r="A1245" s="6"/>
      <c r="B1245" s="3"/>
      <c r="C1245" s="6"/>
    </row>
    <row r="1246" spans="1:3" x14ac:dyDescent="0.2">
      <c r="A1246" s="6"/>
      <c r="B1246" s="3"/>
      <c r="C1246" s="6"/>
    </row>
    <row r="1247" spans="1:3" x14ac:dyDescent="0.2">
      <c r="A1247" s="6"/>
      <c r="B1247" s="3"/>
      <c r="C1247" s="6"/>
    </row>
    <row r="1248" spans="1:3" x14ac:dyDescent="0.2">
      <c r="A1248" s="6"/>
      <c r="B1248" s="3"/>
      <c r="C1248" s="6"/>
    </row>
    <row r="1249" spans="1:3" x14ac:dyDescent="0.2">
      <c r="A1249" s="6"/>
      <c r="B1249" s="3"/>
      <c r="C1249" s="6"/>
    </row>
    <row r="1250" spans="1:3" x14ac:dyDescent="0.2">
      <c r="A1250" s="6"/>
      <c r="B1250" s="3"/>
      <c r="C1250" s="6"/>
    </row>
    <row r="1251" spans="1:3" x14ac:dyDescent="0.2">
      <c r="A1251" s="6"/>
      <c r="B1251" s="3"/>
      <c r="C1251" s="6"/>
    </row>
    <row r="1252" spans="1:3" x14ac:dyDescent="0.2">
      <c r="A1252" s="6"/>
      <c r="B1252" s="3"/>
      <c r="C1252" s="6"/>
    </row>
    <row r="1253" spans="1:3" x14ac:dyDescent="0.2">
      <c r="A1253" s="6"/>
      <c r="B1253" s="3"/>
      <c r="C1253" s="6"/>
    </row>
    <row r="1254" spans="1:3" x14ac:dyDescent="0.2">
      <c r="A1254" s="6"/>
      <c r="B1254" s="3"/>
      <c r="C1254" s="6"/>
    </row>
    <row r="1255" spans="1:3" x14ac:dyDescent="0.2">
      <c r="A1255" s="6"/>
      <c r="B1255" s="3"/>
      <c r="C1255" s="6"/>
    </row>
    <row r="1256" spans="1:3" x14ac:dyDescent="0.2">
      <c r="A1256" s="6"/>
      <c r="B1256" s="3"/>
      <c r="C1256" s="6"/>
    </row>
    <row r="1257" spans="1:3" x14ac:dyDescent="0.2">
      <c r="A1257" s="6"/>
      <c r="B1257" s="3"/>
      <c r="C1257" s="6"/>
    </row>
    <row r="1258" spans="1:3" x14ac:dyDescent="0.2">
      <c r="A1258" s="6"/>
      <c r="B1258" s="3"/>
      <c r="C1258" s="6"/>
    </row>
    <row r="1259" spans="1:3" x14ac:dyDescent="0.2">
      <c r="A1259" s="6"/>
      <c r="B1259" s="3"/>
      <c r="C1259" s="6"/>
    </row>
    <row r="1260" spans="1:3" x14ac:dyDescent="0.2">
      <c r="A1260" s="6"/>
      <c r="B1260" s="3"/>
      <c r="C1260" s="6"/>
    </row>
    <row r="1261" spans="1:3" x14ac:dyDescent="0.2">
      <c r="A1261" s="6"/>
      <c r="B1261" s="3"/>
      <c r="C1261" s="6"/>
    </row>
    <row r="1262" spans="1:3" x14ac:dyDescent="0.2">
      <c r="A1262" s="6"/>
      <c r="B1262" s="3"/>
      <c r="C1262" s="6"/>
    </row>
    <row r="1263" spans="1:3" x14ac:dyDescent="0.2">
      <c r="A1263" s="6"/>
      <c r="B1263" s="3"/>
      <c r="C1263" s="6"/>
    </row>
    <row r="1264" spans="1:3" x14ac:dyDescent="0.2">
      <c r="A1264" s="6"/>
      <c r="B1264" s="3"/>
      <c r="C1264" s="6"/>
    </row>
    <row r="1265" spans="1:3" x14ac:dyDescent="0.2">
      <c r="A1265" s="6"/>
      <c r="B1265" s="3"/>
      <c r="C1265" s="6"/>
    </row>
    <row r="1266" spans="1:3" x14ac:dyDescent="0.2">
      <c r="A1266" s="6"/>
      <c r="B1266" s="3"/>
      <c r="C1266" s="6"/>
    </row>
    <row r="1267" spans="1:3" x14ac:dyDescent="0.2">
      <c r="A1267" s="6"/>
      <c r="B1267" s="3"/>
      <c r="C1267" s="6"/>
    </row>
    <row r="1268" spans="1:3" x14ac:dyDescent="0.2">
      <c r="A1268" s="6"/>
      <c r="B1268" s="3"/>
      <c r="C1268" s="6"/>
    </row>
    <row r="1269" spans="1:3" x14ac:dyDescent="0.2">
      <c r="A1269" s="6"/>
      <c r="B1269" s="3"/>
      <c r="C1269" s="6"/>
    </row>
    <row r="1270" spans="1:3" x14ac:dyDescent="0.2">
      <c r="A1270" s="6"/>
      <c r="B1270" s="3"/>
      <c r="C1270" s="6"/>
    </row>
    <row r="1271" spans="1:3" x14ac:dyDescent="0.2">
      <c r="A1271" s="6"/>
      <c r="B1271" s="3"/>
      <c r="C1271" s="6"/>
    </row>
    <row r="1272" spans="1:3" x14ac:dyDescent="0.2">
      <c r="A1272" s="6"/>
      <c r="B1272" s="3"/>
      <c r="C1272" s="6"/>
    </row>
    <row r="1273" spans="1:3" x14ac:dyDescent="0.2">
      <c r="A1273" s="6"/>
      <c r="B1273" s="3"/>
      <c r="C1273" s="6"/>
    </row>
    <row r="1274" spans="1:3" x14ac:dyDescent="0.2">
      <c r="A1274" s="6"/>
      <c r="B1274" s="3"/>
      <c r="C1274" s="6"/>
    </row>
    <row r="1275" spans="1:3" x14ac:dyDescent="0.2">
      <c r="A1275" s="6"/>
      <c r="B1275" s="3"/>
      <c r="C1275" s="6"/>
    </row>
    <row r="1276" spans="1:3" x14ac:dyDescent="0.2">
      <c r="A1276" s="6"/>
      <c r="B1276" s="3"/>
      <c r="C1276" s="6"/>
    </row>
    <row r="1277" spans="1:3" x14ac:dyDescent="0.2">
      <c r="A1277" s="6"/>
      <c r="B1277" s="3"/>
      <c r="C1277" s="6"/>
    </row>
    <row r="1278" spans="1:3" x14ac:dyDescent="0.2">
      <c r="A1278" s="6"/>
      <c r="B1278" s="3"/>
      <c r="C1278" s="6"/>
    </row>
    <row r="1279" spans="1:3" x14ac:dyDescent="0.2">
      <c r="A1279" s="6"/>
      <c r="B1279" s="3"/>
      <c r="C1279" s="6"/>
    </row>
    <row r="1280" spans="1:3" x14ac:dyDescent="0.2">
      <c r="A1280" s="6"/>
      <c r="B1280" s="3"/>
      <c r="C1280" s="6"/>
    </row>
    <row r="1281" spans="1:3" x14ac:dyDescent="0.2">
      <c r="A1281" s="6"/>
      <c r="B1281" s="3"/>
      <c r="C1281" s="6"/>
    </row>
    <row r="1282" spans="1:3" x14ac:dyDescent="0.2">
      <c r="A1282" s="6"/>
      <c r="B1282" s="3"/>
      <c r="C1282" s="6"/>
    </row>
    <row r="1283" spans="1:3" x14ac:dyDescent="0.2">
      <c r="A1283" s="6"/>
      <c r="B1283" s="3"/>
      <c r="C1283" s="6"/>
    </row>
    <row r="1284" spans="1:3" x14ac:dyDescent="0.2">
      <c r="A1284" s="6"/>
      <c r="B1284" s="3"/>
      <c r="C1284" s="6"/>
    </row>
    <row r="1285" spans="1:3" x14ac:dyDescent="0.2">
      <c r="A1285" s="6"/>
      <c r="B1285" s="3"/>
      <c r="C1285" s="6"/>
    </row>
    <row r="1286" spans="1:3" x14ac:dyDescent="0.2">
      <c r="A1286" s="6"/>
      <c r="B1286" s="3"/>
      <c r="C1286" s="6"/>
    </row>
    <row r="1287" spans="1:3" x14ac:dyDescent="0.2">
      <c r="A1287" s="6"/>
      <c r="B1287" s="3"/>
      <c r="C1287" s="6"/>
    </row>
    <row r="1288" spans="1:3" x14ac:dyDescent="0.2">
      <c r="A1288" s="6"/>
      <c r="B1288" s="3"/>
      <c r="C1288" s="6"/>
    </row>
    <row r="1289" spans="1:3" x14ac:dyDescent="0.2">
      <c r="A1289" s="6"/>
      <c r="B1289" s="3"/>
      <c r="C1289" s="6"/>
    </row>
    <row r="1290" spans="1:3" x14ac:dyDescent="0.2">
      <c r="A1290" s="6"/>
      <c r="B1290" s="3"/>
      <c r="C1290" s="6"/>
    </row>
    <row r="1291" spans="1:3" x14ac:dyDescent="0.2">
      <c r="A1291" s="6"/>
      <c r="B1291" s="3"/>
      <c r="C1291" s="6"/>
    </row>
    <row r="1292" spans="1:3" x14ac:dyDescent="0.2">
      <c r="A1292" s="6"/>
      <c r="B1292" s="3"/>
      <c r="C1292" s="6"/>
    </row>
    <row r="1293" spans="1:3" x14ac:dyDescent="0.2">
      <c r="A1293" s="6"/>
      <c r="B1293" s="3"/>
      <c r="C1293" s="6"/>
    </row>
    <row r="1294" spans="1:3" x14ac:dyDescent="0.2">
      <c r="A1294" s="6"/>
      <c r="B1294" s="3"/>
      <c r="C1294" s="6"/>
    </row>
    <row r="1295" spans="1:3" x14ac:dyDescent="0.2">
      <c r="A1295" s="6"/>
      <c r="B1295" s="3"/>
      <c r="C1295" s="6"/>
    </row>
    <row r="1296" spans="1:3" x14ac:dyDescent="0.2">
      <c r="A1296" s="6"/>
      <c r="B1296" s="3"/>
      <c r="C1296" s="6"/>
    </row>
    <row r="1297" spans="1:3" x14ac:dyDescent="0.2">
      <c r="A1297" s="6"/>
      <c r="B1297" s="3"/>
      <c r="C1297" s="6"/>
    </row>
    <row r="1298" spans="1:3" x14ac:dyDescent="0.2">
      <c r="A1298" s="6"/>
      <c r="B1298" s="3"/>
      <c r="C1298" s="6"/>
    </row>
    <row r="1299" spans="1:3" x14ac:dyDescent="0.2">
      <c r="A1299" s="6"/>
      <c r="B1299" s="3"/>
      <c r="C1299" s="6"/>
    </row>
    <row r="1300" spans="1:3" x14ac:dyDescent="0.2">
      <c r="A1300" s="6"/>
      <c r="B1300" s="3"/>
      <c r="C1300" s="6"/>
    </row>
    <row r="1301" spans="1:3" x14ac:dyDescent="0.2">
      <c r="A1301" s="6"/>
      <c r="B1301" s="3"/>
      <c r="C1301" s="6"/>
    </row>
    <row r="1302" spans="1:3" x14ac:dyDescent="0.2">
      <c r="A1302" s="6"/>
      <c r="B1302" s="3"/>
      <c r="C1302" s="6"/>
    </row>
    <row r="1303" spans="1:3" x14ac:dyDescent="0.2">
      <c r="A1303" s="6"/>
      <c r="B1303" s="3"/>
      <c r="C1303" s="6"/>
    </row>
    <row r="1304" spans="1:3" x14ac:dyDescent="0.2">
      <c r="A1304" s="6"/>
      <c r="B1304" s="3"/>
      <c r="C1304" s="6"/>
    </row>
    <row r="1305" spans="1:3" x14ac:dyDescent="0.2">
      <c r="A1305" s="6"/>
      <c r="B1305" s="3"/>
      <c r="C1305" s="6"/>
    </row>
    <row r="1306" spans="1:3" x14ac:dyDescent="0.2">
      <c r="A1306" s="6"/>
      <c r="B1306" s="3"/>
      <c r="C1306" s="6"/>
    </row>
    <row r="1307" spans="1:3" x14ac:dyDescent="0.2">
      <c r="A1307" s="6"/>
      <c r="B1307" s="3"/>
      <c r="C1307" s="6"/>
    </row>
    <row r="1308" spans="1:3" x14ac:dyDescent="0.2">
      <c r="A1308" s="6"/>
      <c r="B1308" s="3"/>
      <c r="C1308" s="6"/>
    </row>
    <row r="1309" spans="1:3" x14ac:dyDescent="0.2">
      <c r="A1309" s="6"/>
      <c r="B1309" s="3"/>
      <c r="C1309" s="6"/>
    </row>
    <row r="1310" spans="1:3" x14ac:dyDescent="0.2">
      <c r="A1310" s="6"/>
      <c r="B1310" s="3"/>
      <c r="C1310" s="6"/>
    </row>
    <row r="1311" spans="1:3" x14ac:dyDescent="0.2">
      <c r="A1311" s="6"/>
      <c r="B1311" s="3"/>
      <c r="C1311" s="6"/>
    </row>
    <row r="1312" spans="1:3" x14ac:dyDescent="0.2">
      <c r="A1312" s="6"/>
      <c r="B1312" s="3"/>
      <c r="C1312" s="6"/>
    </row>
    <row r="1313" spans="1:3" x14ac:dyDescent="0.2">
      <c r="A1313" s="6"/>
      <c r="B1313" s="3"/>
      <c r="C1313" s="6"/>
    </row>
    <row r="1314" spans="1:3" x14ac:dyDescent="0.2">
      <c r="A1314" s="6"/>
      <c r="B1314" s="3"/>
      <c r="C1314" s="6"/>
    </row>
    <row r="1315" spans="1:3" x14ac:dyDescent="0.2">
      <c r="A1315" s="6"/>
      <c r="B1315" s="3"/>
      <c r="C1315" s="6"/>
    </row>
    <row r="1316" spans="1:3" x14ac:dyDescent="0.2">
      <c r="A1316" s="6"/>
      <c r="B1316" s="3"/>
      <c r="C1316" s="6"/>
    </row>
    <row r="1317" spans="1:3" x14ac:dyDescent="0.2">
      <c r="A1317" s="6"/>
      <c r="B1317" s="3"/>
      <c r="C1317" s="6"/>
    </row>
    <row r="1318" spans="1:3" x14ac:dyDescent="0.2">
      <c r="A1318" s="6"/>
      <c r="B1318" s="3"/>
      <c r="C1318" s="6"/>
    </row>
    <row r="1319" spans="1:3" x14ac:dyDescent="0.2">
      <c r="A1319" s="6"/>
      <c r="B1319" s="3"/>
      <c r="C1319" s="6"/>
    </row>
    <row r="1320" spans="1:3" x14ac:dyDescent="0.2">
      <c r="A1320" s="6"/>
      <c r="B1320" s="3"/>
      <c r="C1320" s="6"/>
    </row>
    <row r="1321" spans="1:3" x14ac:dyDescent="0.2">
      <c r="A1321" s="6"/>
      <c r="B1321" s="3"/>
      <c r="C1321" s="6"/>
    </row>
    <row r="1322" spans="1:3" x14ac:dyDescent="0.2">
      <c r="A1322" s="6"/>
      <c r="B1322" s="3"/>
      <c r="C1322" s="6"/>
    </row>
    <row r="1323" spans="1:3" x14ac:dyDescent="0.2">
      <c r="A1323" s="6"/>
      <c r="B1323" s="3"/>
      <c r="C1323" s="6"/>
    </row>
    <row r="1324" spans="1:3" x14ac:dyDescent="0.2">
      <c r="A1324" s="6"/>
      <c r="B1324" s="3"/>
      <c r="C1324" s="6"/>
    </row>
    <row r="1325" spans="1:3" x14ac:dyDescent="0.2">
      <c r="A1325" s="6"/>
      <c r="B1325" s="3"/>
      <c r="C1325" s="6"/>
    </row>
    <row r="1326" spans="1:3" x14ac:dyDescent="0.2">
      <c r="A1326" s="6"/>
      <c r="B1326" s="3"/>
      <c r="C1326" s="6"/>
    </row>
    <row r="1327" spans="1:3" x14ac:dyDescent="0.2">
      <c r="A1327" s="6"/>
      <c r="B1327" s="3"/>
      <c r="C1327" s="6"/>
    </row>
    <row r="1328" spans="1:3" x14ac:dyDescent="0.2">
      <c r="A1328" s="6"/>
      <c r="B1328" s="3"/>
      <c r="C1328" s="6"/>
    </row>
    <row r="1329" spans="1:3" x14ac:dyDescent="0.2">
      <c r="A1329" s="6"/>
      <c r="B1329" s="3"/>
      <c r="C1329" s="6"/>
    </row>
    <row r="1330" spans="1:3" x14ac:dyDescent="0.2">
      <c r="A1330" s="6"/>
      <c r="B1330" s="3"/>
      <c r="C1330" s="6"/>
    </row>
    <row r="1331" spans="1:3" x14ac:dyDescent="0.2">
      <c r="A1331" s="6"/>
      <c r="B1331" s="3"/>
      <c r="C1331" s="6"/>
    </row>
    <row r="1332" spans="1:3" x14ac:dyDescent="0.2">
      <c r="A1332" s="6"/>
      <c r="B1332" s="3"/>
      <c r="C1332" s="6"/>
    </row>
    <row r="1333" spans="1:3" x14ac:dyDescent="0.2">
      <c r="A1333" s="6"/>
      <c r="B1333" s="3"/>
      <c r="C1333" s="6"/>
    </row>
    <row r="1334" spans="1:3" x14ac:dyDescent="0.2">
      <c r="A1334" s="6"/>
      <c r="B1334" s="3"/>
      <c r="C1334" s="6"/>
    </row>
    <row r="1335" spans="1:3" x14ac:dyDescent="0.2">
      <c r="A1335" s="6"/>
      <c r="B1335" s="3"/>
      <c r="C1335" s="6"/>
    </row>
    <row r="1336" spans="1:3" x14ac:dyDescent="0.2">
      <c r="A1336" s="6"/>
      <c r="B1336" s="3"/>
      <c r="C1336" s="6"/>
    </row>
    <row r="1337" spans="1:3" x14ac:dyDescent="0.2">
      <c r="A1337" s="6"/>
      <c r="B1337" s="3"/>
      <c r="C1337" s="6"/>
    </row>
    <row r="1338" spans="1:3" x14ac:dyDescent="0.2">
      <c r="A1338" s="6"/>
      <c r="B1338" s="3"/>
      <c r="C1338" s="6"/>
    </row>
    <row r="1339" spans="1:3" x14ac:dyDescent="0.2">
      <c r="A1339" s="6"/>
      <c r="B1339" s="3"/>
      <c r="C1339" s="6"/>
    </row>
    <row r="1340" spans="1:3" x14ac:dyDescent="0.2">
      <c r="A1340" s="6"/>
      <c r="B1340" s="3"/>
      <c r="C1340" s="6"/>
    </row>
    <row r="1341" spans="1:3" x14ac:dyDescent="0.2">
      <c r="A1341" s="6"/>
      <c r="B1341" s="3"/>
      <c r="C1341" s="6"/>
    </row>
    <row r="1342" spans="1:3" x14ac:dyDescent="0.2">
      <c r="A1342" s="6"/>
      <c r="B1342" s="3"/>
      <c r="C1342" s="6"/>
    </row>
    <row r="1343" spans="1:3" x14ac:dyDescent="0.2">
      <c r="A1343" s="6"/>
      <c r="B1343" s="3"/>
      <c r="C1343" s="6"/>
    </row>
    <row r="1344" spans="1:3" x14ac:dyDescent="0.2">
      <c r="A1344" s="6"/>
      <c r="B1344" s="3"/>
      <c r="C1344" s="6"/>
    </row>
    <row r="1345" spans="1:3" x14ac:dyDescent="0.2">
      <c r="A1345" s="6"/>
      <c r="B1345" s="3"/>
      <c r="C1345" s="6"/>
    </row>
    <row r="1346" spans="1:3" x14ac:dyDescent="0.2">
      <c r="A1346" s="6"/>
      <c r="B1346" s="3"/>
      <c r="C1346" s="6"/>
    </row>
    <row r="1347" spans="1:3" x14ac:dyDescent="0.2">
      <c r="A1347" s="6"/>
      <c r="B1347" s="3"/>
      <c r="C1347" s="6"/>
    </row>
    <row r="1348" spans="1:3" x14ac:dyDescent="0.2">
      <c r="A1348" s="6"/>
      <c r="B1348" s="3"/>
      <c r="C1348" s="6"/>
    </row>
    <row r="1349" spans="1:3" x14ac:dyDescent="0.2">
      <c r="A1349" s="6"/>
      <c r="B1349" s="3"/>
      <c r="C1349" s="6"/>
    </row>
    <row r="1350" spans="1:3" x14ac:dyDescent="0.2">
      <c r="A1350" s="6"/>
      <c r="B1350" s="3"/>
      <c r="C1350" s="6"/>
    </row>
    <row r="1351" spans="1:3" x14ac:dyDescent="0.2">
      <c r="A1351" s="6"/>
      <c r="B1351" s="3"/>
      <c r="C1351" s="6"/>
    </row>
    <row r="1352" spans="1:3" x14ac:dyDescent="0.2">
      <c r="A1352" s="6"/>
      <c r="B1352" s="3"/>
      <c r="C1352" s="6"/>
    </row>
    <row r="1353" spans="1:3" x14ac:dyDescent="0.2">
      <c r="A1353" s="6"/>
      <c r="B1353" s="3"/>
      <c r="C1353" s="6"/>
    </row>
    <row r="1354" spans="1:3" x14ac:dyDescent="0.2">
      <c r="A1354" s="6"/>
      <c r="B1354" s="3"/>
      <c r="C1354" s="6"/>
    </row>
    <row r="1355" spans="1:3" x14ac:dyDescent="0.2">
      <c r="A1355" s="6"/>
      <c r="B1355" s="3"/>
      <c r="C1355" s="6"/>
    </row>
    <row r="1356" spans="1:3" x14ac:dyDescent="0.2">
      <c r="A1356" s="6"/>
      <c r="B1356" s="3"/>
      <c r="C1356" s="6"/>
    </row>
    <row r="1357" spans="1:3" x14ac:dyDescent="0.2">
      <c r="A1357" s="6"/>
      <c r="B1357" s="3"/>
      <c r="C1357" s="6"/>
    </row>
    <row r="1358" spans="1:3" x14ac:dyDescent="0.2">
      <c r="A1358" s="6"/>
      <c r="B1358" s="3"/>
      <c r="C1358" s="6"/>
    </row>
    <row r="1359" spans="1:3" x14ac:dyDescent="0.2">
      <c r="A1359" s="6"/>
      <c r="B1359" s="3"/>
      <c r="C1359" s="6"/>
    </row>
    <row r="1360" spans="1:3" x14ac:dyDescent="0.2">
      <c r="A1360" s="6"/>
      <c r="B1360" s="3"/>
      <c r="C1360" s="6"/>
    </row>
    <row r="1361" spans="1:3" x14ac:dyDescent="0.2">
      <c r="A1361" s="6"/>
      <c r="B1361" s="3"/>
      <c r="C1361" s="6"/>
    </row>
    <row r="1362" spans="1:3" x14ac:dyDescent="0.2">
      <c r="A1362" s="6"/>
      <c r="B1362" s="3"/>
      <c r="C1362" s="6"/>
    </row>
    <row r="1363" spans="1:3" x14ac:dyDescent="0.2">
      <c r="A1363" s="6"/>
      <c r="B1363" s="3"/>
      <c r="C1363" s="6"/>
    </row>
    <row r="1364" spans="1:3" x14ac:dyDescent="0.2">
      <c r="A1364" s="6"/>
      <c r="B1364" s="3"/>
      <c r="C1364" s="6"/>
    </row>
    <row r="1365" spans="1:3" x14ac:dyDescent="0.2">
      <c r="A1365" s="6"/>
      <c r="B1365" s="3"/>
      <c r="C1365" s="6"/>
    </row>
    <row r="1366" spans="1:3" x14ac:dyDescent="0.2">
      <c r="A1366" s="6"/>
      <c r="B1366" s="3"/>
      <c r="C1366" s="6"/>
    </row>
    <row r="1367" spans="1:3" x14ac:dyDescent="0.2">
      <c r="A1367" s="6"/>
      <c r="B1367" s="3"/>
      <c r="C1367" s="6"/>
    </row>
    <row r="1368" spans="1:3" x14ac:dyDescent="0.2">
      <c r="A1368" s="6"/>
      <c r="B1368" s="3"/>
      <c r="C1368" s="6"/>
    </row>
    <row r="1369" spans="1:3" x14ac:dyDescent="0.2">
      <c r="A1369" s="6"/>
      <c r="B1369" s="3"/>
      <c r="C1369" s="6"/>
    </row>
    <row r="1370" spans="1:3" x14ac:dyDescent="0.2">
      <c r="A1370" s="6"/>
      <c r="B1370" s="3"/>
      <c r="C1370" s="6"/>
    </row>
    <row r="1371" spans="1:3" x14ac:dyDescent="0.2">
      <c r="A1371" s="6"/>
      <c r="B1371" s="3"/>
      <c r="C1371" s="6"/>
    </row>
    <row r="1372" spans="1:3" x14ac:dyDescent="0.2">
      <c r="A1372" s="6"/>
      <c r="B1372" s="3"/>
      <c r="C1372" s="6"/>
    </row>
    <row r="1373" spans="1:3" x14ac:dyDescent="0.2">
      <c r="A1373" s="6"/>
      <c r="B1373" s="3"/>
      <c r="C1373" s="6"/>
    </row>
    <row r="1374" spans="1:3" x14ac:dyDescent="0.2">
      <c r="A1374" s="6"/>
      <c r="B1374" s="3"/>
      <c r="C1374" s="6"/>
    </row>
    <row r="1375" spans="1:3" x14ac:dyDescent="0.2">
      <c r="A1375" s="6"/>
      <c r="B1375" s="3"/>
      <c r="C1375" s="6"/>
    </row>
    <row r="1376" spans="1:3" x14ac:dyDescent="0.2">
      <c r="A1376" s="6"/>
      <c r="B1376" s="3"/>
      <c r="C1376" s="6"/>
    </row>
    <row r="1377" spans="1:3" x14ac:dyDescent="0.2">
      <c r="A1377" s="6"/>
      <c r="B1377" s="3"/>
      <c r="C1377" s="6"/>
    </row>
    <row r="1378" spans="1:3" x14ac:dyDescent="0.2">
      <c r="A1378" s="6"/>
      <c r="B1378" s="3"/>
      <c r="C1378" s="6"/>
    </row>
    <row r="1379" spans="1:3" x14ac:dyDescent="0.2">
      <c r="A1379" s="6"/>
      <c r="B1379" s="3"/>
      <c r="C1379" s="6"/>
    </row>
    <row r="1380" spans="1:3" x14ac:dyDescent="0.2">
      <c r="A1380" s="6"/>
      <c r="B1380" s="3"/>
      <c r="C1380" s="6"/>
    </row>
    <row r="1381" spans="1:3" x14ac:dyDescent="0.2">
      <c r="A1381" s="6"/>
      <c r="B1381" s="3"/>
      <c r="C1381" s="6"/>
    </row>
    <row r="1382" spans="1:3" x14ac:dyDescent="0.2">
      <c r="A1382" s="6"/>
      <c r="B1382" s="3"/>
      <c r="C1382" s="6"/>
    </row>
    <row r="1383" spans="1:3" x14ac:dyDescent="0.2">
      <c r="A1383" s="6"/>
      <c r="B1383" s="3"/>
      <c r="C1383" s="6"/>
    </row>
    <row r="1384" spans="1:3" x14ac:dyDescent="0.2">
      <c r="A1384" s="6"/>
      <c r="B1384" s="3"/>
      <c r="C1384" s="6"/>
    </row>
    <row r="1385" spans="1:3" x14ac:dyDescent="0.2">
      <c r="A1385" s="6"/>
      <c r="B1385" s="3"/>
      <c r="C1385" s="6"/>
    </row>
    <row r="1386" spans="1:3" x14ac:dyDescent="0.2">
      <c r="A1386" s="6"/>
      <c r="B1386" s="3"/>
      <c r="C1386" s="6"/>
    </row>
    <row r="1387" spans="1:3" x14ac:dyDescent="0.2">
      <c r="A1387" s="6"/>
      <c r="B1387" s="3"/>
      <c r="C1387" s="6"/>
    </row>
    <row r="1388" spans="1:3" x14ac:dyDescent="0.2">
      <c r="A1388" s="6"/>
      <c r="B1388" s="3"/>
      <c r="C1388" s="6"/>
    </row>
    <row r="1389" spans="1:3" x14ac:dyDescent="0.2">
      <c r="A1389" s="6"/>
      <c r="B1389" s="3"/>
      <c r="C1389" s="6"/>
    </row>
    <row r="1390" spans="1:3" x14ac:dyDescent="0.2">
      <c r="A1390" s="6"/>
      <c r="B1390" s="3"/>
      <c r="C1390" s="6"/>
    </row>
    <row r="1391" spans="1:3" x14ac:dyDescent="0.2">
      <c r="A1391" s="6"/>
      <c r="B1391" s="3"/>
      <c r="C1391" s="6"/>
    </row>
    <row r="1392" spans="1:3" x14ac:dyDescent="0.2">
      <c r="A1392" s="6"/>
      <c r="B1392" s="3"/>
      <c r="C1392" s="6"/>
    </row>
    <row r="1393" spans="1:3" x14ac:dyDescent="0.2">
      <c r="A1393" s="6"/>
      <c r="B1393" s="3"/>
      <c r="C1393" s="6"/>
    </row>
    <row r="1394" spans="1:3" x14ac:dyDescent="0.2">
      <c r="A1394" s="6"/>
      <c r="B1394" s="3"/>
      <c r="C1394" s="6"/>
    </row>
    <row r="1395" spans="1:3" x14ac:dyDescent="0.2">
      <c r="A1395" s="6"/>
      <c r="B1395" s="3"/>
      <c r="C1395" s="6"/>
    </row>
    <row r="1396" spans="1:3" x14ac:dyDescent="0.2">
      <c r="A1396" s="6"/>
      <c r="B1396" s="3"/>
      <c r="C1396" s="6"/>
    </row>
    <row r="1397" spans="1:3" x14ac:dyDescent="0.2">
      <c r="A1397" s="6"/>
      <c r="B1397" s="3"/>
      <c r="C1397" s="6"/>
    </row>
    <row r="1398" spans="1:3" x14ac:dyDescent="0.2">
      <c r="A1398" s="6"/>
      <c r="B1398" s="3"/>
      <c r="C1398" s="6"/>
    </row>
    <row r="1399" spans="1:3" x14ac:dyDescent="0.2">
      <c r="A1399" s="6"/>
      <c r="B1399" s="3"/>
      <c r="C1399" s="6"/>
    </row>
    <row r="1400" spans="1:3" x14ac:dyDescent="0.2">
      <c r="A1400" s="6"/>
      <c r="B1400" s="3"/>
      <c r="C1400" s="6"/>
    </row>
    <row r="1401" spans="1:3" x14ac:dyDescent="0.2">
      <c r="A1401" s="6"/>
      <c r="B1401" s="3"/>
      <c r="C1401" s="6"/>
    </row>
    <row r="1402" spans="1:3" x14ac:dyDescent="0.2">
      <c r="A1402" s="6"/>
      <c r="B1402" s="3"/>
      <c r="C1402" s="6"/>
    </row>
    <row r="1403" spans="1:3" x14ac:dyDescent="0.2">
      <c r="A1403" s="6"/>
      <c r="B1403" s="3"/>
      <c r="C1403" s="6"/>
    </row>
    <row r="1404" spans="1:3" x14ac:dyDescent="0.2">
      <c r="A1404" s="6"/>
      <c r="B1404" s="3"/>
      <c r="C1404" s="6"/>
    </row>
    <row r="1405" spans="1:3" x14ac:dyDescent="0.2">
      <c r="A1405" s="6"/>
      <c r="B1405" s="3"/>
      <c r="C1405" s="6"/>
    </row>
    <row r="1406" spans="1:3" x14ac:dyDescent="0.2">
      <c r="A1406" s="6"/>
      <c r="B1406" s="3"/>
      <c r="C1406" s="6"/>
    </row>
    <row r="1407" spans="1:3" x14ac:dyDescent="0.2">
      <c r="A1407" s="6"/>
      <c r="B1407" s="3"/>
      <c r="C1407" s="6"/>
    </row>
    <row r="1408" spans="1:3" x14ac:dyDescent="0.2">
      <c r="A1408" s="6"/>
      <c r="B1408" s="3"/>
      <c r="C1408" s="6"/>
    </row>
    <row r="1409" spans="1:3" x14ac:dyDescent="0.2">
      <c r="A1409" s="6"/>
      <c r="B1409" s="3"/>
      <c r="C1409" s="6"/>
    </row>
    <row r="1410" spans="1:3" x14ac:dyDescent="0.2">
      <c r="A1410" s="6"/>
      <c r="B1410" s="3"/>
      <c r="C1410" s="6"/>
    </row>
    <row r="1411" spans="1:3" x14ac:dyDescent="0.2">
      <c r="A1411" s="6"/>
      <c r="B1411" s="3"/>
      <c r="C1411" s="6"/>
    </row>
    <row r="1412" spans="1:3" x14ac:dyDescent="0.2">
      <c r="A1412" s="6"/>
      <c r="B1412" s="3"/>
      <c r="C1412" s="6"/>
    </row>
    <row r="1413" spans="1:3" x14ac:dyDescent="0.2">
      <c r="A1413" s="6"/>
      <c r="B1413" s="3"/>
      <c r="C1413" s="6"/>
    </row>
    <row r="1414" spans="1:3" x14ac:dyDescent="0.2">
      <c r="A1414" s="6"/>
      <c r="B1414" s="3"/>
      <c r="C1414" s="6"/>
    </row>
    <row r="1415" spans="1:3" x14ac:dyDescent="0.2">
      <c r="A1415" s="6"/>
      <c r="B1415" s="3"/>
      <c r="C1415" s="6"/>
    </row>
    <row r="1416" spans="1:3" x14ac:dyDescent="0.2">
      <c r="A1416" s="6"/>
      <c r="B1416" s="3"/>
      <c r="C1416" s="6"/>
    </row>
    <row r="1417" spans="1:3" x14ac:dyDescent="0.2">
      <c r="A1417" s="6"/>
      <c r="B1417" s="3"/>
      <c r="C1417" s="6"/>
    </row>
    <row r="1418" spans="1:3" x14ac:dyDescent="0.2">
      <c r="A1418" s="6"/>
      <c r="B1418" s="3"/>
      <c r="C1418" s="6"/>
    </row>
    <row r="1419" spans="1:3" x14ac:dyDescent="0.2">
      <c r="A1419" s="6"/>
      <c r="B1419" s="3"/>
      <c r="C1419" s="6"/>
    </row>
    <row r="1420" spans="1:3" x14ac:dyDescent="0.2">
      <c r="A1420" s="6"/>
      <c r="B1420" s="3"/>
      <c r="C1420" s="6"/>
    </row>
    <row r="1421" spans="1:3" x14ac:dyDescent="0.2">
      <c r="A1421" s="6"/>
      <c r="B1421" s="3"/>
      <c r="C1421" s="6"/>
    </row>
    <row r="1422" spans="1:3" x14ac:dyDescent="0.2">
      <c r="A1422" s="6"/>
      <c r="B1422" s="3"/>
      <c r="C1422" s="6"/>
    </row>
    <row r="1423" spans="1:3" x14ac:dyDescent="0.2">
      <c r="A1423" s="6"/>
      <c r="B1423" s="3"/>
      <c r="C1423" s="6"/>
    </row>
    <row r="1424" spans="1:3" x14ac:dyDescent="0.2">
      <c r="A1424" s="6"/>
      <c r="B1424" s="3"/>
      <c r="C1424" s="6"/>
    </row>
    <row r="1425" spans="1:3" x14ac:dyDescent="0.2">
      <c r="A1425" s="6"/>
      <c r="B1425" s="3"/>
      <c r="C1425" s="6"/>
    </row>
    <row r="1426" spans="1:3" x14ac:dyDescent="0.2">
      <c r="A1426" s="6"/>
      <c r="B1426" s="3"/>
      <c r="C1426" s="6"/>
    </row>
    <row r="1427" spans="1:3" x14ac:dyDescent="0.2">
      <c r="A1427" s="6"/>
      <c r="B1427" s="3"/>
      <c r="C1427" s="6"/>
    </row>
    <row r="1428" spans="1:3" x14ac:dyDescent="0.2">
      <c r="A1428" s="6"/>
      <c r="B1428" s="3"/>
      <c r="C1428" s="6"/>
    </row>
    <row r="1429" spans="1:3" x14ac:dyDescent="0.2">
      <c r="A1429" s="6"/>
      <c r="B1429" s="3"/>
      <c r="C1429" s="6"/>
    </row>
    <row r="1430" spans="1:3" x14ac:dyDescent="0.2">
      <c r="A1430" s="6"/>
      <c r="B1430" s="3"/>
      <c r="C1430" s="6"/>
    </row>
    <row r="1431" spans="1:3" x14ac:dyDescent="0.2">
      <c r="A1431" s="6"/>
      <c r="B1431" s="3"/>
      <c r="C1431" s="6"/>
    </row>
    <row r="1432" spans="1:3" x14ac:dyDescent="0.2">
      <c r="A1432" s="6"/>
      <c r="B1432" s="3"/>
      <c r="C1432" s="6"/>
    </row>
    <row r="1433" spans="1:3" x14ac:dyDescent="0.2">
      <c r="A1433" s="6"/>
      <c r="B1433" s="3"/>
      <c r="C1433" s="6"/>
    </row>
    <row r="1434" spans="1:3" x14ac:dyDescent="0.2">
      <c r="A1434" s="6"/>
      <c r="B1434" s="3"/>
      <c r="C1434" s="6"/>
    </row>
    <row r="1435" spans="1:3" x14ac:dyDescent="0.2">
      <c r="A1435" s="6"/>
      <c r="B1435" s="3"/>
      <c r="C1435" s="6"/>
    </row>
    <row r="1436" spans="1:3" x14ac:dyDescent="0.2">
      <c r="A1436" s="6"/>
      <c r="B1436" s="3"/>
      <c r="C1436" s="6"/>
    </row>
    <row r="1437" spans="1:3" x14ac:dyDescent="0.2">
      <c r="A1437" s="6"/>
      <c r="B1437" s="3"/>
      <c r="C1437" s="6"/>
    </row>
    <row r="1438" spans="1:3" x14ac:dyDescent="0.2">
      <c r="A1438" s="6"/>
      <c r="B1438" s="3"/>
      <c r="C1438" s="6"/>
    </row>
    <row r="1439" spans="1:3" x14ac:dyDescent="0.2">
      <c r="A1439" s="6"/>
      <c r="B1439" s="3"/>
      <c r="C1439" s="6"/>
    </row>
    <row r="1440" spans="1:3" x14ac:dyDescent="0.2">
      <c r="A1440" s="6"/>
      <c r="B1440" s="3"/>
      <c r="C1440" s="6"/>
    </row>
    <row r="1441" spans="1:3" x14ac:dyDescent="0.2">
      <c r="A1441" s="6"/>
      <c r="B1441" s="3"/>
      <c r="C1441" s="6"/>
    </row>
    <row r="1442" spans="1:3" x14ac:dyDescent="0.2">
      <c r="A1442" s="6"/>
      <c r="B1442" s="3"/>
      <c r="C1442" s="6"/>
    </row>
    <row r="1443" spans="1:3" x14ac:dyDescent="0.2">
      <c r="A1443" s="6"/>
      <c r="B1443" s="3"/>
      <c r="C1443" s="6"/>
    </row>
    <row r="1444" spans="1:3" x14ac:dyDescent="0.2">
      <c r="A1444" s="6"/>
      <c r="B1444" s="3"/>
      <c r="C1444" s="6"/>
    </row>
    <row r="1445" spans="1:3" x14ac:dyDescent="0.2">
      <c r="A1445" s="6"/>
      <c r="B1445" s="3"/>
      <c r="C1445" s="6"/>
    </row>
    <row r="1446" spans="1:3" x14ac:dyDescent="0.2">
      <c r="A1446" s="6"/>
      <c r="B1446" s="3"/>
      <c r="C1446" s="6"/>
    </row>
    <row r="1447" spans="1:3" x14ac:dyDescent="0.2">
      <c r="A1447" s="6"/>
      <c r="B1447" s="3"/>
      <c r="C1447" s="6"/>
    </row>
    <row r="1448" spans="1:3" x14ac:dyDescent="0.2">
      <c r="A1448" s="6"/>
      <c r="B1448" s="3"/>
      <c r="C1448" s="6"/>
    </row>
    <row r="1449" spans="1:3" x14ac:dyDescent="0.2">
      <c r="A1449" s="6"/>
      <c r="B1449" s="3"/>
      <c r="C1449" s="6"/>
    </row>
    <row r="1450" spans="1:3" x14ac:dyDescent="0.2">
      <c r="A1450" s="6"/>
      <c r="B1450" s="3"/>
      <c r="C1450" s="6"/>
    </row>
    <row r="1451" spans="1:3" x14ac:dyDescent="0.2">
      <c r="A1451" s="6"/>
      <c r="B1451" s="3"/>
      <c r="C1451" s="6"/>
    </row>
    <row r="1452" spans="1:3" x14ac:dyDescent="0.2">
      <c r="A1452" s="6"/>
      <c r="B1452" s="3"/>
      <c r="C1452" s="6"/>
    </row>
    <row r="1453" spans="1:3" x14ac:dyDescent="0.2">
      <c r="A1453" s="6"/>
      <c r="B1453" s="3"/>
      <c r="C1453" s="6"/>
    </row>
    <row r="1454" spans="1:3" x14ac:dyDescent="0.2">
      <c r="A1454" s="6"/>
      <c r="B1454" s="3"/>
      <c r="C1454" s="6"/>
    </row>
    <row r="1455" spans="1:3" x14ac:dyDescent="0.2">
      <c r="A1455" s="6"/>
      <c r="B1455" s="3"/>
      <c r="C1455" s="6"/>
    </row>
    <row r="1456" spans="1:3" x14ac:dyDescent="0.2">
      <c r="A1456" s="6"/>
      <c r="B1456" s="3"/>
      <c r="C1456" s="6"/>
    </row>
    <row r="1457" spans="1:3" x14ac:dyDescent="0.2">
      <c r="A1457" s="6"/>
      <c r="B1457" s="3"/>
      <c r="C1457" s="6"/>
    </row>
    <row r="1458" spans="1:3" x14ac:dyDescent="0.2">
      <c r="A1458" s="6"/>
      <c r="B1458" s="3"/>
      <c r="C1458" s="6"/>
    </row>
    <row r="1459" spans="1:3" x14ac:dyDescent="0.2">
      <c r="A1459" s="6"/>
      <c r="B1459" s="3"/>
      <c r="C1459" s="6"/>
    </row>
    <row r="1460" spans="1:3" x14ac:dyDescent="0.2">
      <c r="A1460" s="6"/>
      <c r="B1460" s="3"/>
      <c r="C1460" s="6"/>
    </row>
    <row r="1461" spans="1:3" x14ac:dyDescent="0.2">
      <c r="A1461" s="6"/>
      <c r="B1461" s="3"/>
      <c r="C1461" s="6"/>
    </row>
    <row r="1462" spans="1:3" x14ac:dyDescent="0.2">
      <c r="A1462" s="6"/>
      <c r="B1462" s="3"/>
      <c r="C1462" s="6"/>
    </row>
    <row r="1463" spans="1:3" x14ac:dyDescent="0.2">
      <c r="A1463" s="6"/>
      <c r="B1463" s="3"/>
      <c r="C1463" s="6"/>
    </row>
    <row r="1464" spans="1:3" x14ac:dyDescent="0.2">
      <c r="A1464" s="6"/>
      <c r="B1464" s="3"/>
      <c r="C1464" s="6"/>
    </row>
    <row r="1465" spans="1:3" x14ac:dyDescent="0.2">
      <c r="A1465" s="6"/>
      <c r="B1465" s="3"/>
      <c r="C1465" s="6"/>
    </row>
    <row r="1466" spans="1:3" x14ac:dyDescent="0.2">
      <c r="A1466" s="6"/>
      <c r="B1466" s="3"/>
      <c r="C1466" s="6"/>
    </row>
    <row r="1467" spans="1:3" x14ac:dyDescent="0.2">
      <c r="A1467" s="6"/>
      <c r="B1467" s="3"/>
      <c r="C1467" s="6"/>
    </row>
    <row r="1468" spans="1:3" x14ac:dyDescent="0.2">
      <c r="A1468" s="6"/>
      <c r="B1468" s="3"/>
      <c r="C1468" s="6"/>
    </row>
    <row r="1469" spans="1:3" x14ac:dyDescent="0.2">
      <c r="A1469" s="6"/>
      <c r="B1469" s="3"/>
      <c r="C1469" s="6"/>
    </row>
    <row r="1470" spans="1:3" x14ac:dyDescent="0.2">
      <c r="A1470" s="6"/>
      <c r="B1470" s="3"/>
      <c r="C1470" s="6"/>
    </row>
    <row r="1471" spans="1:3" x14ac:dyDescent="0.2">
      <c r="A1471" s="6"/>
      <c r="B1471" s="3"/>
      <c r="C1471" s="6"/>
    </row>
    <row r="1472" spans="1:3" x14ac:dyDescent="0.2">
      <c r="A1472" s="6"/>
      <c r="B1472" s="3"/>
      <c r="C1472" s="6"/>
    </row>
    <row r="1473" spans="1:3" x14ac:dyDescent="0.2">
      <c r="A1473" s="6"/>
      <c r="B1473" s="3"/>
      <c r="C1473" s="6"/>
    </row>
    <row r="1474" spans="1:3" x14ac:dyDescent="0.2">
      <c r="A1474" s="6"/>
      <c r="B1474" s="3"/>
      <c r="C1474" s="6"/>
    </row>
    <row r="1475" spans="1:3" x14ac:dyDescent="0.2">
      <c r="A1475" s="6"/>
      <c r="B1475" s="3"/>
      <c r="C1475" s="6"/>
    </row>
    <row r="1476" spans="1:3" x14ac:dyDescent="0.2">
      <c r="A1476" s="6"/>
      <c r="B1476" s="3"/>
      <c r="C1476" s="6"/>
    </row>
    <row r="1477" spans="1:3" x14ac:dyDescent="0.2">
      <c r="A1477" s="6"/>
      <c r="B1477" s="3"/>
      <c r="C1477" s="6"/>
    </row>
    <row r="1478" spans="1:3" x14ac:dyDescent="0.2">
      <c r="A1478" s="6"/>
      <c r="B1478" s="3"/>
      <c r="C1478" s="6"/>
    </row>
    <row r="1479" spans="1:3" x14ac:dyDescent="0.2">
      <c r="A1479" s="6"/>
      <c r="B1479" s="3"/>
      <c r="C1479" s="6"/>
    </row>
    <row r="1480" spans="1:3" x14ac:dyDescent="0.2">
      <c r="A1480" s="6"/>
      <c r="B1480" s="3"/>
      <c r="C1480" s="6"/>
    </row>
    <row r="1481" spans="1:3" x14ac:dyDescent="0.2">
      <c r="A1481" s="6"/>
      <c r="B1481" s="3"/>
      <c r="C1481" s="6"/>
    </row>
    <row r="1482" spans="1:3" x14ac:dyDescent="0.2">
      <c r="A1482" s="6"/>
      <c r="B1482" s="3"/>
      <c r="C1482" s="6"/>
    </row>
    <row r="1483" spans="1:3" x14ac:dyDescent="0.2">
      <c r="A1483" s="6"/>
      <c r="B1483" s="3"/>
      <c r="C1483" s="6"/>
    </row>
    <row r="1484" spans="1:3" x14ac:dyDescent="0.2">
      <c r="A1484" s="6"/>
      <c r="B1484" s="3"/>
      <c r="C1484" s="6"/>
    </row>
    <row r="1485" spans="1:3" x14ac:dyDescent="0.2">
      <c r="A1485" s="6"/>
      <c r="B1485" s="3"/>
      <c r="C1485" s="6"/>
    </row>
    <row r="1486" spans="1:3" x14ac:dyDescent="0.2">
      <c r="A1486" s="6"/>
      <c r="B1486" s="3"/>
      <c r="C1486" s="6"/>
    </row>
    <row r="1487" spans="1:3" x14ac:dyDescent="0.2">
      <c r="A1487" s="6"/>
      <c r="B1487" s="3"/>
      <c r="C1487" s="6"/>
    </row>
    <row r="1488" spans="1:3" x14ac:dyDescent="0.2">
      <c r="A1488" s="6"/>
      <c r="B1488" s="3"/>
      <c r="C1488" s="6"/>
    </row>
    <row r="1489" spans="1:3" x14ac:dyDescent="0.2">
      <c r="A1489" s="6"/>
      <c r="B1489" s="3"/>
      <c r="C1489" s="6"/>
    </row>
    <row r="1490" spans="1:3" x14ac:dyDescent="0.2">
      <c r="A1490" s="6"/>
      <c r="B1490" s="3"/>
      <c r="C1490" s="6"/>
    </row>
    <row r="1491" spans="1:3" x14ac:dyDescent="0.2">
      <c r="A1491" s="6"/>
      <c r="B1491" s="3"/>
      <c r="C1491" s="6"/>
    </row>
    <row r="1492" spans="1:3" x14ac:dyDescent="0.2">
      <c r="A1492" s="6"/>
      <c r="B1492" s="3"/>
      <c r="C1492" s="6"/>
    </row>
    <row r="1493" spans="1:3" x14ac:dyDescent="0.2">
      <c r="A1493" s="6"/>
      <c r="B1493" s="3"/>
      <c r="C1493" s="6"/>
    </row>
    <row r="1494" spans="1:3" x14ac:dyDescent="0.2">
      <c r="A1494" s="6"/>
      <c r="B1494" s="3"/>
      <c r="C1494" s="6"/>
    </row>
    <row r="1495" spans="1:3" x14ac:dyDescent="0.2">
      <c r="A1495" s="6"/>
      <c r="B1495" s="3"/>
      <c r="C1495" s="6"/>
    </row>
    <row r="1496" spans="1:3" x14ac:dyDescent="0.2">
      <c r="A1496" s="6"/>
      <c r="B1496" s="3"/>
      <c r="C1496" s="6"/>
    </row>
    <row r="1497" spans="1:3" x14ac:dyDescent="0.2">
      <c r="A1497" s="6"/>
      <c r="B1497" s="3"/>
      <c r="C1497" s="6"/>
    </row>
    <row r="1498" spans="1:3" x14ac:dyDescent="0.2">
      <c r="A1498" s="6"/>
      <c r="B1498" s="3"/>
      <c r="C1498" s="6"/>
    </row>
    <row r="1499" spans="1:3" x14ac:dyDescent="0.2">
      <c r="A1499" s="6"/>
      <c r="B1499" s="3"/>
      <c r="C1499" s="6"/>
    </row>
    <row r="1500" spans="1:3" x14ac:dyDescent="0.2">
      <c r="A1500" s="6"/>
      <c r="B1500" s="3"/>
      <c r="C1500" s="6"/>
    </row>
    <row r="1501" spans="1:3" x14ac:dyDescent="0.2">
      <c r="A1501" s="6"/>
      <c r="B1501" s="3"/>
      <c r="C1501" s="6"/>
    </row>
    <row r="1502" spans="1:3" x14ac:dyDescent="0.2">
      <c r="A1502" s="6"/>
      <c r="B1502" s="3"/>
      <c r="C1502" s="6"/>
    </row>
    <row r="1503" spans="1:3" x14ac:dyDescent="0.2">
      <c r="A1503" s="6"/>
      <c r="B1503" s="3"/>
      <c r="C1503" s="6"/>
    </row>
    <row r="1504" spans="1:3" x14ac:dyDescent="0.2">
      <c r="A1504" s="6"/>
      <c r="B1504" s="3"/>
      <c r="C1504" s="6"/>
    </row>
    <row r="1505" spans="1:3" x14ac:dyDescent="0.2">
      <c r="A1505" s="6"/>
      <c r="B1505" s="3"/>
      <c r="C1505" s="6"/>
    </row>
    <row r="1506" spans="1:3" x14ac:dyDescent="0.2">
      <c r="A1506" s="6"/>
      <c r="B1506" s="3"/>
      <c r="C1506" s="6"/>
    </row>
    <row r="1507" spans="1:3" x14ac:dyDescent="0.2">
      <c r="A1507" s="6"/>
      <c r="B1507" s="3"/>
      <c r="C1507" s="6"/>
    </row>
    <row r="1508" spans="1:3" x14ac:dyDescent="0.2">
      <c r="A1508" s="6"/>
      <c r="B1508" s="3"/>
      <c r="C1508" s="6"/>
    </row>
    <row r="1509" spans="1:3" x14ac:dyDescent="0.2">
      <c r="A1509" s="6"/>
      <c r="B1509" s="3"/>
      <c r="C1509" s="6"/>
    </row>
    <row r="1510" spans="1:3" x14ac:dyDescent="0.2">
      <c r="A1510" s="6"/>
      <c r="B1510" s="3"/>
      <c r="C1510" s="6"/>
    </row>
    <row r="1511" spans="1:3" x14ac:dyDescent="0.2">
      <c r="A1511" s="6"/>
      <c r="B1511" s="3"/>
      <c r="C1511" s="6"/>
    </row>
    <row r="1512" spans="1:3" x14ac:dyDescent="0.2">
      <c r="A1512" s="6"/>
      <c r="B1512" s="3"/>
      <c r="C1512" s="6"/>
    </row>
    <row r="1513" spans="1:3" x14ac:dyDescent="0.2">
      <c r="A1513" s="6"/>
      <c r="B1513" s="3"/>
      <c r="C1513" s="6"/>
    </row>
    <row r="1514" spans="1:3" x14ac:dyDescent="0.2">
      <c r="A1514" s="6"/>
      <c r="B1514" s="3"/>
      <c r="C1514" s="6"/>
    </row>
    <row r="1515" spans="1:3" x14ac:dyDescent="0.2">
      <c r="A1515" s="6"/>
      <c r="B1515" s="3"/>
      <c r="C1515" s="6"/>
    </row>
    <row r="1516" spans="1:3" x14ac:dyDescent="0.2">
      <c r="A1516" s="6"/>
      <c r="B1516" s="3"/>
      <c r="C1516" s="6"/>
    </row>
    <row r="1517" spans="1:3" x14ac:dyDescent="0.2">
      <c r="A1517" s="6"/>
      <c r="B1517" s="3"/>
      <c r="C1517" s="6"/>
    </row>
    <row r="1518" spans="1:3" x14ac:dyDescent="0.2">
      <c r="A1518" s="6"/>
      <c r="B1518" s="3"/>
      <c r="C1518" s="6"/>
    </row>
    <row r="1519" spans="1:3" x14ac:dyDescent="0.2">
      <c r="A1519" s="6"/>
      <c r="B1519" s="3"/>
      <c r="C1519" s="6"/>
    </row>
    <row r="1520" spans="1:3" x14ac:dyDescent="0.2">
      <c r="A1520" s="6"/>
      <c r="B1520" s="3"/>
      <c r="C1520" s="6"/>
    </row>
    <row r="1521" spans="1:3" x14ac:dyDescent="0.2">
      <c r="A1521" s="6"/>
      <c r="B1521" s="3"/>
      <c r="C1521" s="6"/>
    </row>
    <row r="1522" spans="1:3" x14ac:dyDescent="0.2">
      <c r="A1522" s="6"/>
      <c r="B1522" s="3"/>
      <c r="C1522" s="6"/>
    </row>
    <row r="1523" spans="1:3" x14ac:dyDescent="0.2">
      <c r="A1523" s="6"/>
      <c r="B1523" s="3"/>
      <c r="C1523" s="6"/>
    </row>
    <row r="1524" spans="1:3" x14ac:dyDescent="0.2">
      <c r="A1524" s="6"/>
      <c r="B1524" s="3"/>
      <c r="C1524" s="6"/>
    </row>
    <row r="1525" spans="1:3" x14ac:dyDescent="0.2">
      <c r="A1525" s="6"/>
      <c r="B1525" s="3"/>
      <c r="C1525" s="6"/>
    </row>
    <row r="1526" spans="1:3" x14ac:dyDescent="0.2">
      <c r="A1526" s="6"/>
      <c r="B1526" s="3"/>
      <c r="C1526" s="6"/>
    </row>
    <row r="1527" spans="1:3" x14ac:dyDescent="0.2">
      <c r="A1527" s="6"/>
      <c r="B1527" s="3"/>
      <c r="C1527" s="6"/>
    </row>
    <row r="1528" spans="1:3" x14ac:dyDescent="0.2">
      <c r="A1528" s="6"/>
      <c r="B1528" s="3"/>
      <c r="C1528" s="6"/>
    </row>
    <row r="1529" spans="1:3" x14ac:dyDescent="0.2">
      <c r="A1529" s="6"/>
      <c r="B1529" s="3"/>
      <c r="C1529" s="6"/>
    </row>
    <row r="1530" spans="1:3" x14ac:dyDescent="0.2">
      <c r="A1530" s="6"/>
      <c r="B1530" s="3"/>
      <c r="C1530" s="6"/>
    </row>
    <row r="1531" spans="1:3" x14ac:dyDescent="0.2">
      <c r="A1531" s="6"/>
      <c r="B1531" s="3"/>
      <c r="C1531" s="6"/>
    </row>
    <row r="1532" spans="1:3" x14ac:dyDescent="0.2">
      <c r="A1532" s="6"/>
      <c r="B1532" s="3"/>
      <c r="C1532" s="6"/>
    </row>
    <row r="1533" spans="1:3" x14ac:dyDescent="0.2">
      <c r="A1533" s="6"/>
      <c r="B1533" s="3"/>
      <c r="C1533" s="6"/>
    </row>
    <row r="1534" spans="1:3" x14ac:dyDescent="0.2">
      <c r="A1534" s="6"/>
      <c r="B1534" s="3"/>
      <c r="C1534" s="6"/>
    </row>
    <row r="1535" spans="1:3" x14ac:dyDescent="0.2">
      <c r="A1535" s="6"/>
      <c r="B1535" s="3"/>
      <c r="C1535" s="6"/>
    </row>
    <row r="1536" spans="1:3" x14ac:dyDescent="0.2">
      <c r="A1536" s="6"/>
      <c r="B1536" s="3"/>
      <c r="C1536" s="6"/>
    </row>
    <row r="1537" spans="1:3" x14ac:dyDescent="0.2">
      <c r="A1537" s="6"/>
      <c r="B1537" s="3"/>
      <c r="C1537" s="6"/>
    </row>
    <row r="1538" spans="1:3" x14ac:dyDescent="0.2">
      <c r="A1538" s="6"/>
      <c r="B1538" s="3"/>
      <c r="C1538" s="6"/>
    </row>
    <row r="1539" spans="1:3" x14ac:dyDescent="0.2">
      <c r="A1539" s="6"/>
      <c r="B1539" s="3"/>
      <c r="C1539" s="6"/>
    </row>
    <row r="1540" spans="1:3" x14ac:dyDescent="0.2">
      <c r="A1540" s="6"/>
      <c r="B1540" s="3"/>
      <c r="C1540" s="6"/>
    </row>
    <row r="1541" spans="1:3" x14ac:dyDescent="0.2">
      <c r="A1541" s="6"/>
      <c r="B1541" s="3"/>
      <c r="C1541" s="6"/>
    </row>
    <row r="1542" spans="1:3" x14ac:dyDescent="0.2">
      <c r="A1542" s="6"/>
      <c r="B1542" s="3"/>
      <c r="C1542" s="6"/>
    </row>
    <row r="1543" spans="1:3" x14ac:dyDescent="0.2">
      <c r="A1543" s="6"/>
      <c r="B1543" s="3"/>
      <c r="C1543" s="6"/>
    </row>
    <row r="1544" spans="1:3" x14ac:dyDescent="0.2">
      <c r="A1544" s="6"/>
      <c r="B1544" s="3"/>
      <c r="C1544" s="6"/>
    </row>
    <row r="1545" spans="1:3" x14ac:dyDescent="0.2">
      <c r="A1545" s="6"/>
      <c r="B1545" s="3"/>
      <c r="C1545" s="6"/>
    </row>
    <row r="1546" spans="1:3" x14ac:dyDescent="0.2">
      <c r="A1546" s="6"/>
      <c r="B1546" s="3"/>
      <c r="C1546" s="6"/>
    </row>
    <row r="1547" spans="1:3" x14ac:dyDescent="0.2">
      <c r="A1547" s="6"/>
      <c r="B1547" s="3"/>
      <c r="C1547" s="6"/>
    </row>
    <row r="1548" spans="1:3" x14ac:dyDescent="0.2">
      <c r="A1548" s="6"/>
      <c r="B1548" s="3"/>
      <c r="C1548" s="6"/>
    </row>
    <row r="1549" spans="1:3" x14ac:dyDescent="0.2">
      <c r="A1549" s="6"/>
      <c r="B1549" s="3"/>
      <c r="C1549" s="6"/>
    </row>
    <row r="1550" spans="1:3" x14ac:dyDescent="0.2">
      <c r="A1550" s="6"/>
      <c r="B1550" s="3"/>
      <c r="C1550" s="6"/>
    </row>
    <row r="1551" spans="1:3" x14ac:dyDescent="0.2">
      <c r="A1551" s="6"/>
      <c r="B1551" s="3"/>
      <c r="C1551" s="6"/>
    </row>
    <row r="1552" spans="1:3" x14ac:dyDescent="0.2">
      <c r="A1552" s="6"/>
      <c r="B1552" s="3"/>
      <c r="C1552" s="6"/>
    </row>
    <row r="1553" spans="1:3" x14ac:dyDescent="0.2">
      <c r="A1553" s="6"/>
      <c r="B1553" s="3"/>
      <c r="C1553" s="6"/>
    </row>
    <row r="1554" spans="1:3" x14ac:dyDescent="0.2">
      <c r="A1554" s="6"/>
      <c r="B1554" s="3"/>
      <c r="C1554" s="6"/>
    </row>
    <row r="1555" spans="1:3" x14ac:dyDescent="0.2">
      <c r="A1555" s="6"/>
      <c r="B1555" s="3"/>
      <c r="C1555" s="6"/>
    </row>
    <row r="1556" spans="1:3" x14ac:dyDescent="0.2">
      <c r="A1556" s="6"/>
      <c r="B1556" s="3"/>
      <c r="C1556" s="6"/>
    </row>
    <row r="1557" spans="1:3" x14ac:dyDescent="0.2">
      <c r="A1557" s="6"/>
      <c r="B1557" s="3"/>
      <c r="C1557" s="6"/>
    </row>
    <row r="1558" spans="1:3" x14ac:dyDescent="0.2">
      <c r="A1558" s="6"/>
      <c r="B1558" s="3"/>
      <c r="C1558" s="6"/>
    </row>
    <row r="1559" spans="1:3" x14ac:dyDescent="0.2">
      <c r="A1559" s="6"/>
      <c r="B1559" s="3"/>
      <c r="C1559" s="6"/>
    </row>
    <row r="1560" spans="1:3" x14ac:dyDescent="0.2">
      <c r="A1560" s="6"/>
      <c r="B1560" s="3"/>
      <c r="C1560" s="6"/>
    </row>
    <row r="1561" spans="1:3" x14ac:dyDescent="0.2">
      <c r="A1561" s="6"/>
      <c r="B1561" s="3"/>
      <c r="C1561" s="6"/>
    </row>
    <row r="1562" spans="1:3" x14ac:dyDescent="0.2">
      <c r="A1562" s="6"/>
      <c r="B1562" s="3"/>
      <c r="C1562" s="6"/>
    </row>
    <row r="1563" spans="1:3" x14ac:dyDescent="0.2">
      <c r="A1563" s="6"/>
      <c r="B1563" s="3"/>
      <c r="C1563" s="6"/>
    </row>
    <row r="1564" spans="1:3" x14ac:dyDescent="0.2">
      <c r="A1564" s="6"/>
      <c r="B1564" s="3"/>
      <c r="C1564" s="6"/>
    </row>
    <row r="1565" spans="1:3" x14ac:dyDescent="0.2">
      <c r="A1565" s="6"/>
      <c r="B1565" s="3"/>
      <c r="C1565" s="6"/>
    </row>
    <row r="1566" spans="1:3" x14ac:dyDescent="0.2">
      <c r="A1566" s="6"/>
      <c r="B1566" s="3"/>
      <c r="C1566" s="6"/>
    </row>
    <row r="1567" spans="1:3" x14ac:dyDescent="0.2">
      <c r="A1567" s="6"/>
      <c r="B1567" s="3"/>
      <c r="C1567" s="6"/>
    </row>
    <row r="1568" spans="1:3" x14ac:dyDescent="0.2">
      <c r="A1568" s="6"/>
      <c r="B1568" s="3"/>
      <c r="C1568" s="6"/>
    </row>
    <row r="1569" spans="1:3" x14ac:dyDescent="0.2">
      <c r="A1569" s="6"/>
      <c r="B1569" s="3"/>
      <c r="C1569" s="6"/>
    </row>
    <row r="1570" spans="1:3" x14ac:dyDescent="0.2">
      <c r="A1570" s="6"/>
      <c r="B1570" s="3"/>
      <c r="C1570" s="6"/>
    </row>
    <row r="1571" spans="1:3" x14ac:dyDescent="0.2">
      <c r="A1571" s="6"/>
      <c r="B1571" s="3"/>
      <c r="C1571" s="6"/>
    </row>
    <row r="1572" spans="1:3" x14ac:dyDescent="0.2">
      <c r="A1572" s="6"/>
      <c r="B1572" s="3"/>
      <c r="C1572" s="6"/>
    </row>
    <row r="1573" spans="1:3" x14ac:dyDescent="0.2">
      <c r="A1573" s="6"/>
      <c r="B1573" s="3"/>
      <c r="C1573" s="6"/>
    </row>
    <row r="1574" spans="1:3" x14ac:dyDescent="0.2">
      <c r="A1574" s="6"/>
      <c r="B1574" s="3"/>
      <c r="C1574" s="6"/>
    </row>
    <row r="1575" spans="1:3" x14ac:dyDescent="0.2">
      <c r="A1575" s="6"/>
      <c r="B1575" s="3"/>
      <c r="C1575" s="6"/>
    </row>
    <row r="1576" spans="1:3" x14ac:dyDescent="0.2">
      <c r="A1576" s="6"/>
      <c r="B1576" s="3"/>
      <c r="C1576" s="6"/>
    </row>
    <row r="1577" spans="1:3" x14ac:dyDescent="0.2">
      <c r="A1577" s="6"/>
      <c r="B1577" s="3"/>
      <c r="C1577" s="6"/>
    </row>
    <row r="1578" spans="1:3" x14ac:dyDescent="0.2">
      <c r="A1578" s="6"/>
      <c r="B1578" s="3"/>
      <c r="C1578" s="6"/>
    </row>
    <row r="1579" spans="1:3" x14ac:dyDescent="0.2">
      <c r="A1579" s="6"/>
      <c r="B1579" s="3"/>
      <c r="C1579" s="6"/>
    </row>
    <row r="1580" spans="1:3" x14ac:dyDescent="0.2">
      <c r="A1580" s="6"/>
      <c r="B1580" s="3"/>
      <c r="C1580" s="6"/>
    </row>
    <row r="1581" spans="1:3" x14ac:dyDescent="0.2">
      <c r="A1581" s="6"/>
      <c r="B1581" s="3"/>
      <c r="C1581" s="6"/>
    </row>
    <row r="1582" spans="1:3" x14ac:dyDescent="0.2">
      <c r="A1582" s="6"/>
      <c r="B1582" s="3"/>
      <c r="C1582" s="6"/>
    </row>
    <row r="1583" spans="1:3" x14ac:dyDescent="0.2">
      <c r="A1583" s="6"/>
      <c r="B1583" s="3"/>
      <c r="C1583" s="6"/>
    </row>
    <row r="1584" spans="1:3" x14ac:dyDescent="0.2">
      <c r="A1584" s="6"/>
      <c r="B1584" s="3"/>
      <c r="C1584" s="6"/>
    </row>
    <row r="1585" spans="1:3" x14ac:dyDescent="0.2">
      <c r="A1585" s="6"/>
      <c r="B1585" s="3"/>
      <c r="C1585" s="6"/>
    </row>
    <row r="1586" spans="1:3" x14ac:dyDescent="0.2">
      <c r="A1586" s="6"/>
      <c r="B1586" s="3"/>
      <c r="C1586" s="6"/>
    </row>
    <row r="1587" spans="1:3" x14ac:dyDescent="0.2">
      <c r="A1587" s="6"/>
      <c r="B1587" s="3"/>
      <c r="C1587" s="6"/>
    </row>
    <row r="1588" spans="1:3" x14ac:dyDescent="0.2">
      <c r="A1588" s="6"/>
      <c r="B1588" s="3"/>
      <c r="C1588" s="6"/>
    </row>
    <row r="1589" spans="1:3" x14ac:dyDescent="0.2">
      <c r="A1589" s="6"/>
      <c r="B1589" s="3"/>
      <c r="C1589" s="6"/>
    </row>
    <row r="1590" spans="1:3" x14ac:dyDescent="0.2">
      <c r="A1590" s="6"/>
      <c r="B1590" s="3"/>
      <c r="C1590" s="6"/>
    </row>
    <row r="1591" spans="1:3" x14ac:dyDescent="0.2">
      <c r="A1591" s="6"/>
      <c r="B1591" s="3"/>
      <c r="C1591" s="6"/>
    </row>
    <row r="1592" spans="1:3" x14ac:dyDescent="0.2">
      <c r="A1592" s="6"/>
      <c r="B1592" s="3"/>
      <c r="C1592" s="6"/>
    </row>
    <row r="1593" spans="1:3" x14ac:dyDescent="0.2">
      <c r="A1593" s="6"/>
      <c r="B1593" s="3"/>
      <c r="C1593" s="6"/>
    </row>
    <row r="1594" spans="1:3" x14ac:dyDescent="0.2">
      <c r="A1594" s="6"/>
      <c r="B1594" s="3"/>
      <c r="C1594" s="6"/>
    </row>
    <row r="1595" spans="1:3" x14ac:dyDescent="0.2">
      <c r="A1595" s="6"/>
      <c r="B1595" s="3"/>
      <c r="C1595" s="6"/>
    </row>
    <row r="1596" spans="1:3" x14ac:dyDescent="0.2">
      <c r="A1596" s="6"/>
      <c r="B1596" s="3"/>
      <c r="C1596" s="6"/>
    </row>
    <row r="1597" spans="1:3" x14ac:dyDescent="0.2">
      <c r="A1597" s="6"/>
      <c r="B1597" s="3"/>
      <c r="C1597" s="6"/>
    </row>
    <row r="1598" spans="1:3" x14ac:dyDescent="0.2">
      <c r="A1598" s="6"/>
      <c r="B1598" s="3"/>
      <c r="C1598" s="6"/>
    </row>
    <row r="1599" spans="1:3" x14ac:dyDescent="0.2">
      <c r="A1599" s="6"/>
      <c r="B1599" s="3"/>
      <c r="C1599" s="6"/>
    </row>
    <row r="1600" spans="1:3" x14ac:dyDescent="0.2">
      <c r="A1600" s="6"/>
      <c r="B1600" s="3"/>
      <c r="C1600" s="6"/>
    </row>
    <row r="1601" spans="1:3" x14ac:dyDescent="0.2">
      <c r="A1601" s="6"/>
      <c r="B1601" s="3"/>
      <c r="C1601" s="6"/>
    </row>
    <row r="1602" spans="1:3" x14ac:dyDescent="0.2">
      <c r="A1602" s="6"/>
      <c r="B1602" s="3"/>
      <c r="C1602" s="6"/>
    </row>
    <row r="1603" spans="1:3" x14ac:dyDescent="0.2">
      <c r="A1603" s="6"/>
      <c r="B1603" s="3"/>
      <c r="C1603" s="6"/>
    </row>
    <row r="1604" spans="1:3" x14ac:dyDescent="0.2">
      <c r="A1604" s="6"/>
      <c r="B1604" s="3"/>
      <c r="C1604" s="6"/>
    </row>
    <row r="1605" spans="1:3" x14ac:dyDescent="0.2">
      <c r="A1605" s="6"/>
      <c r="B1605" s="3"/>
      <c r="C1605" s="6"/>
    </row>
    <row r="1606" spans="1:3" x14ac:dyDescent="0.2">
      <c r="A1606" s="6"/>
      <c r="B1606" s="3"/>
      <c r="C1606" s="6"/>
    </row>
    <row r="1607" spans="1:3" x14ac:dyDescent="0.2">
      <c r="A1607" s="6"/>
      <c r="B1607" s="3"/>
      <c r="C1607" s="6"/>
    </row>
    <row r="1608" spans="1:3" x14ac:dyDescent="0.2">
      <c r="A1608" s="6"/>
      <c r="B1608" s="3"/>
      <c r="C1608" s="6"/>
    </row>
    <row r="1609" spans="1:3" x14ac:dyDescent="0.2">
      <c r="A1609" s="6"/>
      <c r="B1609" s="3"/>
      <c r="C1609" s="6"/>
    </row>
    <row r="1610" spans="1:3" x14ac:dyDescent="0.2">
      <c r="A1610" s="6"/>
      <c r="B1610" s="3"/>
      <c r="C1610" s="6"/>
    </row>
    <row r="1611" spans="1:3" x14ac:dyDescent="0.2">
      <c r="A1611" s="6"/>
      <c r="B1611" s="3"/>
      <c r="C1611" s="6"/>
    </row>
    <row r="1612" spans="1:3" x14ac:dyDescent="0.2">
      <c r="A1612" s="6"/>
      <c r="B1612" s="3"/>
      <c r="C1612" s="6"/>
    </row>
    <row r="1613" spans="1:3" x14ac:dyDescent="0.2">
      <c r="A1613" s="6"/>
      <c r="B1613" s="3"/>
      <c r="C1613" s="6"/>
    </row>
    <row r="1614" spans="1:3" x14ac:dyDescent="0.2">
      <c r="A1614" s="6"/>
      <c r="B1614" s="3"/>
      <c r="C1614" s="6"/>
    </row>
    <row r="1615" spans="1:3" x14ac:dyDescent="0.2">
      <c r="A1615" s="6"/>
      <c r="B1615" s="3"/>
      <c r="C1615" s="6"/>
    </row>
    <row r="1616" spans="1:3" x14ac:dyDescent="0.2">
      <c r="A1616" s="6"/>
      <c r="B1616" s="3"/>
      <c r="C1616" s="6"/>
    </row>
    <row r="1617" spans="1:3" x14ac:dyDescent="0.2">
      <c r="A1617" s="6"/>
      <c r="B1617" s="3"/>
      <c r="C1617" s="6"/>
    </row>
    <row r="1618" spans="1:3" x14ac:dyDescent="0.2">
      <c r="A1618" s="6"/>
      <c r="B1618" s="3"/>
      <c r="C1618" s="6"/>
    </row>
    <row r="1619" spans="1:3" x14ac:dyDescent="0.2">
      <c r="A1619" s="6"/>
      <c r="B1619" s="3"/>
      <c r="C1619" s="6"/>
    </row>
    <row r="1620" spans="1:3" x14ac:dyDescent="0.2">
      <c r="A1620" s="6"/>
      <c r="B1620" s="3"/>
      <c r="C1620" s="6"/>
    </row>
    <row r="1621" spans="1:3" x14ac:dyDescent="0.2">
      <c r="A1621" s="6"/>
      <c r="B1621" s="3"/>
      <c r="C1621" s="6"/>
    </row>
    <row r="1622" spans="1:3" x14ac:dyDescent="0.2">
      <c r="A1622" s="6"/>
      <c r="B1622" s="3"/>
      <c r="C1622" s="6"/>
    </row>
    <row r="1623" spans="1:3" x14ac:dyDescent="0.2">
      <c r="A1623" s="6"/>
      <c r="B1623" s="3"/>
      <c r="C1623" s="6"/>
    </row>
    <row r="1624" spans="1:3" x14ac:dyDescent="0.2">
      <c r="A1624" s="6"/>
      <c r="B1624" s="3"/>
      <c r="C1624" s="6"/>
    </row>
    <row r="1625" spans="1:3" x14ac:dyDescent="0.2">
      <c r="A1625" s="6"/>
      <c r="B1625" s="3"/>
      <c r="C1625" s="6"/>
    </row>
    <row r="1626" spans="1:3" x14ac:dyDescent="0.2">
      <c r="A1626" s="6"/>
      <c r="B1626" s="3"/>
      <c r="C1626" s="6"/>
    </row>
    <row r="1627" spans="1:3" x14ac:dyDescent="0.2">
      <c r="A1627" s="6"/>
      <c r="B1627" s="3"/>
      <c r="C1627" s="6"/>
    </row>
    <row r="1628" spans="1:3" x14ac:dyDescent="0.2">
      <c r="A1628" s="6"/>
      <c r="B1628" s="3"/>
      <c r="C1628" s="6"/>
    </row>
    <row r="1629" spans="1:3" x14ac:dyDescent="0.2">
      <c r="A1629" s="6"/>
      <c r="B1629" s="3"/>
      <c r="C1629" s="6"/>
    </row>
    <row r="1630" spans="1:3" x14ac:dyDescent="0.2">
      <c r="A1630" s="6"/>
      <c r="B1630" s="3"/>
      <c r="C1630" s="6"/>
    </row>
    <row r="1631" spans="1:3" x14ac:dyDescent="0.2">
      <c r="A1631" s="6"/>
      <c r="B1631" s="3"/>
      <c r="C1631" s="6"/>
    </row>
    <row r="1632" spans="1:3" x14ac:dyDescent="0.2">
      <c r="A1632" s="6"/>
      <c r="B1632" s="3"/>
      <c r="C1632" s="6"/>
    </row>
    <row r="1633" spans="1:3" x14ac:dyDescent="0.2">
      <c r="A1633" s="6"/>
      <c r="B1633" s="3"/>
      <c r="C1633" s="6"/>
    </row>
    <row r="1634" spans="1:3" x14ac:dyDescent="0.2">
      <c r="A1634" s="6"/>
      <c r="B1634" s="3"/>
      <c r="C1634" s="6"/>
    </row>
    <row r="1635" spans="1:3" x14ac:dyDescent="0.2">
      <c r="A1635" s="6"/>
      <c r="B1635" s="3"/>
      <c r="C1635" s="6"/>
    </row>
    <row r="1636" spans="1:3" x14ac:dyDescent="0.2">
      <c r="A1636" s="6"/>
      <c r="B1636" s="3"/>
      <c r="C1636" s="6"/>
    </row>
    <row r="1637" spans="1:3" x14ac:dyDescent="0.2">
      <c r="A1637" s="6"/>
      <c r="B1637" s="3"/>
      <c r="C1637" s="6"/>
    </row>
    <row r="1638" spans="1:3" x14ac:dyDescent="0.2">
      <c r="A1638" s="6"/>
      <c r="B1638" s="3"/>
      <c r="C1638" s="6"/>
    </row>
    <row r="1639" spans="1:3" x14ac:dyDescent="0.2">
      <c r="A1639" s="6"/>
      <c r="B1639" s="3"/>
      <c r="C1639" s="6"/>
    </row>
    <row r="1640" spans="1:3" x14ac:dyDescent="0.2">
      <c r="A1640" s="6"/>
      <c r="B1640" s="3"/>
      <c r="C1640" s="6"/>
    </row>
    <row r="1641" spans="1:3" x14ac:dyDescent="0.2">
      <c r="A1641" s="6"/>
      <c r="B1641" s="3"/>
      <c r="C1641" s="6"/>
    </row>
    <row r="1642" spans="1:3" x14ac:dyDescent="0.2">
      <c r="A1642" s="6"/>
      <c r="B1642" s="3"/>
      <c r="C1642" s="6"/>
    </row>
    <row r="1643" spans="1:3" x14ac:dyDescent="0.2">
      <c r="A1643" s="6"/>
      <c r="B1643" s="3"/>
      <c r="C1643" s="6"/>
    </row>
    <row r="1644" spans="1:3" x14ac:dyDescent="0.2">
      <c r="A1644" s="6"/>
      <c r="B1644" s="3"/>
      <c r="C1644" s="6"/>
    </row>
    <row r="1645" spans="1:3" x14ac:dyDescent="0.2">
      <c r="A1645" s="6"/>
      <c r="B1645" s="3"/>
      <c r="C1645" s="6"/>
    </row>
    <row r="1646" spans="1:3" x14ac:dyDescent="0.2">
      <c r="A1646" s="6"/>
      <c r="B1646" s="3"/>
      <c r="C1646" s="6"/>
    </row>
    <row r="1647" spans="1:3" x14ac:dyDescent="0.2">
      <c r="A1647" s="6"/>
      <c r="B1647" s="3"/>
      <c r="C1647" s="6"/>
    </row>
    <row r="1648" spans="1:3" x14ac:dyDescent="0.2">
      <c r="A1648" s="6"/>
      <c r="B1648" s="3"/>
      <c r="C1648" s="6"/>
    </row>
    <row r="1649" spans="1:3" x14ac:dyDescent="0.2">
      <c r="A1649" s="6"/>
      <c r="B1649" s="3"/>
      <c r="C1649" s="6"/>
    </row>
    <row r="1650" spans="1:3" x14ac:dyDescent="0.2">
      <c r="A1650" s="6"/>
      <c r="B1650" s="3"/>
      <c r="C1650" s="6"/>
    </row>
    <row r="1651" spans="1:3" x14ac:dyDescent="0.2">
      <c r="A1651" s="6"/>
      <c r="B1651" s="3"/>
      <c r="C1651" s="6"/>
    </row>
    <row r="1652" spans="1:3" x14ac:dyDescent="0.2">
      <c r="A1652" s="6"/>
      <c r="B1652" s="3"/>
      <c r="C1652" s="6"/>
    </row>
    <row r="1653" spans="1:3" x14ac:dyDescent="0.2">
      <c r="A1653" s="6"/>
      <c r="B1653" s="3"/>
      <c r="C1653" s="6"/>
    </row>
    <row r="1654" spans="1:3" x14ac:dyDescent="0.2">
      <c r="A1654" s="6"/>
      <c r="B1654" s="3"/>
      <c r="C1654" s="6"/>
    </row>
    <row r="1655" spans="1:3" x14ac:dyDescent="0.2">
      <c r="A1655" s="6"/>
      <c r="B1655" s="3"/>
      <c r="C1655" s="6"/>
    </row>
    <row r="1656" spans="1:3" x14ac:dyDescent="0.2">
      <c r="A1656" s="6"/>
      <c r="B1656" s="3"/>
      <c r="C1656" s="6"/>
    </row>
    <row r="1657" spans="1:3" x14ac:dyDescent="0.2">
      <c r="A1657" s="6"/>
      <c r="B1657" s="3"/>
      <c r="C1657" s="6"/>
    </row>
    <row r="1658" spans="1:3" x14ac:dyDescent="0.2">
      <c r="A1658" s="6"/>
      <c r="B1658" s="3"/>
      <c r="C1658" s="6"/>
    </row>
    <row r="1659" spans="1:3" x14ac:dyDescent="0.2">
      <c r="A1659" s="6"/>
      <c r="B1659" s="3"/>
      <c r="C1659" s="6"/>
    </row>
    <row r="1660" spans="1:3" x14ac:dyDescent="0.2">
      <c r="A1660" s="6"/>
      <c r="B1660" s="3"/>
      <c r="C1660" s="6"/>
    </row>
    <row r="1661" spans="1:3" x14ac:dyDescent="0.2">
      <c r="A1661" s="6"/>
      <c r="B1661" s="3"/>
      <c r="C1661" s="6"/>
    </row>
    <row r="1662" spans="1:3" x14ac:dyDescent="0.2">
      <c r="A1662" s="6"/>
      <c r="B1662" s="3"/>
      <c r="C1662" s="6"/>
    </row>
    <row r="1663" spans="1:3" x14ac:dyDescent="0.2">
      <c r="A1663" s="6"/>
      <c r="B1663" s="3"/>
      <c r="C1663" s="6"/>
    </row>
    <row r="1664" spans="1:3" x14ac:dyDescent="0.2">
      <c r="A1664" s="6"/>
      <c r="B1664" s="3"/>
      <c r="C1664" s="6"/>
    </row>
    <row r="1665" spans="1:3" x14ac:dyDescent="0.2">
      <c r="A1665" s="6"/>
      <c r="B1665" s="3"/>
      <c r="C1665" s="6"/>
    </row>
    <row r="1666" spans="1:3" x14ac:dyDescent="0.2">
      <c r="A1666" s="6"/>
      <c r="B1666" s="3"/>
      <c r="C1666" s="6"/>
    </row>
    <row r="1667" spans="1:3" x14ac:dyDescent="0.2">
      <c r="A1667" s="6"/>
      <c r="B1667" s="3"/>
      <c r="C1667" s="6"/>
    </row>
    <row r="1668" spans="1:3" x14ac:dyDescent="0.2">
      <c r="A1668" s="6"/>
      <c r="B1668" s="3"/>
      <c r="C1668" s="6"/>
    </row>
    <row r="1669" spans="1:3" x14ac:dyDescent="0.2">
      <c r="A1669" s="6"/>
      <c r="B1669" s="3"/>
      <c r="C1669" s="6"/>
    </row>
    <row r="1670" spans="1:3" x14ac:dyDescent="0.2">
      <c r="A1670" s="6"/>
      <c r="B1670" s="3"/>
      <c r="C1670" s="6"/>
    </row>
    <row r="1671" spans="1:3" x14ac:dyDescent="0.2">
      <c r="A1671" s="6"/>
      <c r="B1671" s="3"/>
      <c r="C1671" s="6"/>
    </row>
    <row r="1672" spans="1:3" x14ac:dyDescent="0.2">
      <c r="A1672" s="6"/>
      <c r="B1672" s="3"/>
      <c r="C1672" s="6"/>
    </row>
    <row r="1673" spans="1:3" x14ac:dyDescent="0.2">
      <c r="A1673" s="6"/>
      <c r="B1673" s="3"/>
      <c r="C1673" s="6"/>
    </row>
    <row r="1674" spans="1:3" x14ac:dyDescent="0.2">
      <c r="A1674" s="6"/>
      <c r="B1674" s="3"/>
      <c r="C1674" s="6"/>
    </row>
    <row r="1675" spans="1:3" x14ac:dyDescent="0.2">
      <c r="A1675" s="6"/>
      <c r="B1675" s="3"/>
      <c r="C1675" s="6"/>
    </row>
    <row r="1676" spans="1:3" x14ac:dyDescent="0.2">
      <c r="A1676" s="6"/>
      <c r="B1676" s="3"/>
      <c r="C1676" s="6"/>
    </row>
    <row r="1677" spans="1:3" x14ac:dyDescent="0.2">
      <c r="A1677" s="6"/>
      <c r="B1677" s="3"/>
      <c r="C1677" s="6"/>
    </row>
    <row r="1678" spans="1:3" x14ac:dyDescent="0.2">
      <c r="A1678" s="6"/>
      <c r="B1678" s="3"/>
      <c r="C1678" s="6"/>
    </row>
    <row r="1679" spans="1:3" x14ac:dyDescent="0.2">
      <c r="A1679" s="6"/>
      <c r="B1679" s="3"/>
      <c r="C1679" s="6"/>
    </row>
    <row r="1680" spans="1:3" x14ac:dyDescent="0.2">
      <c r="A1680" s="6"/>
      <c r="B1680" s="3"/>
      <c r="C1680" s="6"/>
    </row>
    <row r="1681" spans="1:3" x14ac:dyDescent="0.2">
      <c r="A1681" s="6"/>
      <c r="B1681" s="3"/>
      <c r="C1681" s="6"/>
    </row>
    <row r="1682" spans="1:3" x14ac:dyDescent="0.2">
      <c r="A1682" s="6"/>
      <c r="B1682" s="3"/>
      <c r="C1682" s="6"/>
    </row>
    <row r="1683" spans="1:3" x14ac:dyDescent="0.2">
      <c r="A1683" s="6"/>
      <c r="B1683" s="3"/>
      <c r="C1683" s="6"/>
    </row>
    <row r="1684" spans="1:3" x14ac:dyDescent="0.2">
      <c r="A1684" s="6"/>
      <c r="B1684" s="3"/>
      <c r="C1684" s="6"/>
    </row>
    <row r="1685" spans="1:3" x14ac:dyDescent="0.2">
      <c r="A1685" s="6"/>
      <c r="B1685" s="3"/>
      <c r="C1685" s="6"/>
    </row>
    <row r="1686" spans="1:3" x14ac:dyDescent="0.2">
      <c r="A1686" s="6"/>
      <c r="B1686" s="3"/>
      <c r="C1686" s="6"/>
    </row>
    <row r="1687" spans="1:3" x14ac:dyDescent="0.2">
      <c r="A1687" s="6"/>
      <c r="B1687" s="3"/>
      <c r="C1687" s="6"/>
    </row>
    <row r="1688" spans="1:3" x14ac:dyDescent="0.2">
      <c r="A1688" s="6"/>
      <c r="B1688" s="3"/>
      <c r="C1688" s="6"/>
    </row>
    <row r="1689" spans="1:3" x14ac:dyDescent="0.2">
      <c r="A1689" s="6"/>
      <c r="B1689" s="3"/>
      <c r="C1689" s="6"/>
    </row>
    <row r="1690" spans="1:3" x14ac:dyDescent="0.2">
      <c r="A1690" s="6"/>
      <c r="B1690" s="3"/>
      <c r="C1690" s="6"/>
    </row>
    <row r="1691" spans="1:3" x14ac:dyDescent="0.2">
      <c r="A1691" s="6"/>
      <c r="B1691" s="3"/>
      <c r="C1691" s="6"/>
    </row>
    <row r="1692" spans="1:3" x14ac:dyDescent="0.2">
      <c r="A1692" s="6"/>
      <c r="B1692" s="3"/>
      <c r="C1692" s="6"/>
    </row>
    <row r="1693" spans="1:3" x14ac:dyDescent="0.2">
      <c r="A1693" s="6"/>
      <c r="B1693" s="3"/>
      <c r="C1693" s="6"/>
    </row>
    <row r="1694" spans="1:3" x14ac:dyDescent="0.2">
      <c r="A1694" s="6"/>
      <c r="B1694" s="3"/>
      <c r="C1694" s="6"/>
    </row>
    <row r="1695" spans="1:3" x14ac:dyDescent="0.2">
      <c r="A1695" s="6"/>
      <c r="B1695" s="3"/>
      <c r="C1695" s="6"/>
    </row>
    <row r="1696" spans="1:3" x14ac:dyDescent="0.2">
      <c r="A1696" s="6"/>
      <c r="B1696" s="3"/>
      <c r="C1696" s="6"/>
    </row>
    <row r="1697" spans="1:3" x14ac:dyDescent="0.2">
      <c r="A1697" s="6"/>
      <c r="B1697" s="3"/>
      <c r="C1697" s="6"/>
    </row>
    <row r="1698" spans="1:3" x14ac:dyDescent="0.2">
      <c r="A1698" s="6"/>
      <c r="B1698" s="3"/>
      <c r="C1698" s="6"/>
    </row>
    <row r="1699" spans="1:3" x14ac:dyDescent="0.2">
      <c r="A1699" s="6"/>
      <c r="B1699" s="3"/>
      <c r="C1699" s="6"/>
    </row>
    <row r="1700" spans="1:3" x14ac:dyDescent="0.2">
      <c r="A1700" s="6"/>
      <c r="B1700" s="3"/>
      <c r="C1700" s="6"/>
    </row>
    <row r="1701" spans="1:3" x14ac:dyDescent="0.2">
      <c r="A1701" s="6"/>
      <c r="B1701" s="3"/>
      <c r="C1701" s="6"/>
    </row>
    <row r="1702" spans="1:3" x14ac:dyDescent="0.2">
      <c r="A1702" s="6"/>
      <c r="B1702" s="3"/>
      <c r="C1702" s="6"/>
    </row>
    <row r="1703" spans="1:3" x14ac:dyDescent="0.2">
      <c r="A1703" s="6"/>
      <c r="B1703" s="3"/>
      <c r="C1703" s="6"/>
    </row>
    <row r="1704" spans="1:3" x14ac:dyDescent="0.2">
      <c r="A1704" s="6"/>
      <c r="B1704" s="3"/>
      <c r="C1704" s="6"/>
    </row>
    <row r="1705" spans="1:3" x14ac:dyDescent="0.2">
      <c r="A1705" s="6"/>
      <c r="B1705" s="3"/>
      <c r="C1705" s="6"/>
    </row>
    <row r="1706" spans="1:3" x14ac:dyDescent="0.2">
      <c r="A1706" s="6"/>
      <c r="B1706" s="3"/>
      <c r="C1706" s="6"/>
    </row>
    <row r="1707" spans="1:3" x14ac:dyDescent="0.2">
      <c r="A1707" s="6"/>
      <c r="B1707" s="3"/>
      <c r="C1707" s="6"/>
    </row>
    <row r="1708" spans="1:3" x14ac:dyDescent="0.2">
      <c r="A1708" s="6"/>
      <c r="B1708" s="3"/>
      <c r="C1708" s="6"/>
    </row>
    <row r="1709" spans="1:3" x14ac:dyDescent="0.2">
      <c r="A1709" s="6"/>
      <c r="B1709" s="3"/>
      <c r="C1709" s="6"/>
    </row>
    <row r="1710" spans="1:3" x14ac:dyDescent="0.2">
      <c r="A1710" s="6"/>
      <c r="B1710" s="3"/>
      <c r="C1710" s="6"/>
    </row>
    <row r="1711" spans="1:3" x14ac:dyDescent="0.2">
      <c r="A1711" s="6"/>
      <c r="B1711" s="3"/>
      <c r="C1711" s="6"/>
    </row>
    <row r="1712" spans="1:3" x14ac:dyDescent="0.2">
      <c r="A1712" s="6"/>
      <c r="B1712" s="3"/>
      <c r="C1712" s="6"/>
    </row>
    <row r="1713" spans="1:3" x14ac:dyDescent="0.2">
      <c r="A1713" s="6"/>
      <c r="B1713" s="3"/>
      <c r="C1713" s="6"/>
    </row>
    <row r="1714" spans="1:3" x14ac:dyDescent="0.2">
      <c r="A1714" s="6"/>
      <c r="B1714" s="3"/>
      <c r="C1714" s="6"/>
    </row>
    <row r="1715" spans="1:3" x14ac:dyDescent="0.2">
      <c r="A1715" s="6"/>
      <c r="B1715" s="3"/>
      <c r="C1715" s="6"/>
    </row>
    <row r="1716" spans="1:3" x14ac:dyDescent="0.2">
      <c r="A1716" s="6"/>
      <c r="B1716" s="3"/>
      <c r="C1716" s="6"/>
    </row>
    <row r="1717" spans="1:3" x14ac:dyDescent="0.2">
      <c r="A1717" s="6"/>
      <c r="B1717" s="3"/>
      <c r="C1717" s="6"/>
    </row>
    <row r="1718" spans="1:3" x14ac:dyDescent="0.2">
      <c r="A1718" s="6"/>
      <c r="B1718" s="3"/>
      <c r="C1718" s="6"/>
    </row>
    <row r="1719" spans="1:3" x14ac:dyDescent="0.2">
      <c r="A1719" s="6"/>
      <c r="B1719" s="3"/>
      <c r="C1719" s="6"/>
    </row>
    <row r="1720" spans="1:3" x14ac:dyDescent="0.2">
      <c r="A1720" s="6"/>
      <c r="B1720" s="3"/>
      <c r="C1720" s="6"/>
    </row>
    <row r="1721" spans="1:3" x14ac:dyDescent="0.2">
      <c r="A1721" s="6"/>
      <c r="B1721" s="3"/>
      <c r="C1721" s="6"/>
    </row>
    <row r="1722" spans="1:3" x14ac:dyDescent="0.2">
      <c r="A1722" s="6"/>
      <c r="B1722" s="3"/>
      <c r="C1722" s="6"/>
    </row>
    <row r="1723" spans="1:3" x14ac:dyDescent="0.2">
      <c r="A1723" s="6"/>
      <c r="B1723" s="3"/>
      <c r="C1723" s="6"/>
    </row>
    <row r="1724" spans="1:3" x14ac:dyDescent="0.2">
      <c r="A1724" s="6"/>
      <c r="B1724" s="3"/>
      <c r="C1724" s="6"/>
    </row>
    <row r="1725" spans="1:3" x14ac:dyDescent="0.2">
      <c r="A1725" s="6"/>
      <c r="B1725" s="3"/>
      <c r="C1725" s="6"/>
    </row>
    <row r="1726" spans="1:3" x14ac:dyDescent="0.2">
      <c r="A1726" s="6"/>
      <c r="B1726" s="3"/>
      <c r="C1726" s="6"/>
    </row>
    <row r="1727" spans="1:3" x14ac:dyDescent="0.2">
      <c r="A1727" s="6"/>
      <c r="B1727" s="3"/>
      <c r="C1727" s="6"/>
    </row>
    <row r="1728" spans="1:3" x14ac:dyDescent="0.2">
      <c r="A1728" s="6"/>
      <c r="B1728" s="3"/>
      <c r="C1728" s="6"/>
    </row>
    <row r="1729" spans="1:3" x14ac:dyDescent="0.2">
      <c r="A1729" s="6"/>
      <c r="B1729" s="3"/>
      <c r="C1729" s="6"/>
    </row>
    <row r="1730" spans="1:3" x14ac:dyDescent="0.2">
      <c r="A1730" s="6"/>
      <c r="B1730" s="3"/>
      <c r="C1730" s="6"/>
    </row>
    <row r="1731" spans="1:3" x14ac:dyDescent="0.2">
      <c r="A1731" s="6"/>
      <c r="B1731" s="3"/>
      <c r="C1731" s="6"/>
    </row>
    <row r="1732" spans="1:3" x14ac:dyDescent="0.2">
      <c r="A1732" s="6"/>
      <c r="B1732" s="3"/>
      <c r="C1732" s="6"/>
    </row>
    <row r="1733" spans="1:3" x14ac:dyDescent="0.2">
      <c r="A1733" s="6"/>
      <c r="B1733" s="3"/>
      <c r="C1733" s="6"/>
    </row>
    <row r="1734" spans="1:3" x14ac:dyDescent="0.2">
      <c r="A1734" s="6"/>
      <c r="B1734" s="3"/>
      <c r="C1734" s="6"/>
    </row>
    <row r="1735" spans="1:3" x14ac:dyDescent="0.2">
      <c r="A1735" s="6"/>
      <c r="B1735" s="3"/>
      <c r="C1735" s="6"/>
    </row>
    <row r="1736" spans="1:3" x14ac:dyDescent="0.2">
      <c r="A1736" s="6"/>
      <c r="B1736" s="3"/>
      <c r="C1736" s="6"/>
    </row>
    <row r="1737" spans="1:3" x14ac:dyDescent="0.2">
      <c r="A1737" s="6"/>
      <c r="B1737" s="3"/>
      <c r="C1737" s="6"/>
    </row>
    <row r="1738" spans="1:3" x14ac:dyDescent="0.2">
      <c r="A1738" s="6"/>
      <c r="B1738" s="3"/>
      <c r="C1738" s="6"/>
    </row>
    <row r="1739" spans="1:3" x14ac:dyDescent="0.2">
      <c r="A1739" s="6"/>
      <c r="B1739" s="3"/>
      <c r="C1739" s="6"/>
    </row>
    <row r="1740" spans="1:3" x14ac:dyDescent="0.2">
      <c r="A1740" s="6"/>
      <c r="B1740" s="3"/>
      <c r="C1740" s="6"/>
    </row>
    <row r="1741" spans="1:3" x14ac:dyDescent="0.2">
      <c r="A1741" s="6"/>
      <c r="B1741" s="3"/>
      <c r="C1741" s="6"/>
    </row>
    <row r="1742" spans="1:3" x14ac:dyDescent="0.2">
      <c r="A1742" s="6"/>
      <c r="B1742" s="3"/>
      <c r="C1742" s="6"/>
    </row>
    <row r="1743" spans="1:3" x14ac:dyDescent="0.2">
      <c r="A1743" s="6"/>
      <c r="B1743" s="3"/>
      <c r="C1743" s="6"/>
    </row>
    <row r="1744" spans="1:3" x14ac:dyDescent="0.2">
      <c r="A1744" s="6"/>
      <c r="B1744" s="3"/>
      <c r="C1744" s="6"/>
    </row>
    <row r="1745" spans="1:3" x14ac:dyDescent="0.2">
      <c r="A1745" s="6"/>
      <c r="B1745" s="3"/>
      <c r="C1745" s="6"/>
    </row>
    <row r="1746" spans="1:3" x14ac:dyDescent="0.2">
      <c r="A1746" s="6"/>
      <c r="B1746" s="3"/>
      <c r="C1746" s="6"/>
    </row>
    <row r="1747" spans="1:3" x14ac:dyDescent="0.2">
      <c r="A1747" s="6"/>
      <c r="B1747" s="3"/>
      <c r="C1747" s="6"/>
    </row>
    <row r="1748" spans="1:3" x14ac:dyDescent="0.2">
      <c r="A1748" s="6"/>
      <c r="B1748" s="3"/>
      <c r="C1748" s="6"/>
    </row>
    <row r="1749" spans="1:3" x14ac:dyDescent="0.2">
      <c r="A1749" s="6"/>
      <c r="B1749" s="3"/>
      <c r="C1749" s="6"/>
    </row>
    <row r="1750" spans="1:3" x14ac:dyDescent="0.2">
      <c r="A1750" s="6"/>
      <c r="B1750" s="3"/>
      <c r="C1750" s="6"/>
    </row>
    <row r="1751" spans="1:3" x14ac:dyDescent="0.2">
      <c r="A1751" s="6"/>
      <c r="B1751" s="3"/>
      <c r="C1751" s="6"/>
    </row>
    <row r="1752" spans="1:3" x14ac:dyDescent="0.2">
      <c r="A1752" s="6"/>
      <c r="B1752" s="3"/>
      <c r="C1752" s="6"/>
    </row>
    <row r="1753" spans="1:3" x14ac:dyDescent="0.2">
      <c r="A1753" s="6"/>
      <c r="B1753" s="3"/>
      <c r="C1753" s="6"/>
    </row>
    <row r="1754" spans="1:3" x14ac:dyDescent="0.2">
      <c r="A1754" s="6"/>
      <c r="B1754" s="3"/>
      <c r="C1754" s="6"/>
    </row>
    <row r="1755" spans="1:3" x14ac:dyDescent="0.2">
      <c r="A1755" s="6"/>
      <c r="B1755" s="3"/>
      <c r="C1755" s="6"/>
    </row>
    <row r="1756" spans="1:3" x14ac:dyDescent="0.2">
      <c r="A1756" s="6"/>
      <c r="B1756" s="3"/>
      <c r="C1756" s="6"/>
    </row>
    <row r="1757" spans="1:3" x14ac:dyDescent="0.2">
      <c r="A1757" s="6"/>
      <c r="B1757" s="3"/>
      <c r="C1757" s="6"/>
    </row>
    <row r="1758" spans="1:3" x14ac:dyDescent="0.2">
      <c r="A1758" s="6"/>
      <c r="B1758" s="3"/>
      <c r="C1758" s="6"/>
    </row>
    <row r="1759" spans="1:3" x14ac:dyDescent="0.2">
      <c r="A1759" s="6"/>
      <c r="B1759" s="3"/>
      <c r="C1759" s="6"/>
    </row>
    <row r="1760" spans="1:3" x14ac:dyDescent="0.2">
      <c r="A1760" s="6"/>
      <c r="B1760" s="3"/>
      <c r="C1760" s="6"/>
    </row>
    <row r="1761" spans="1:3" x14ac:dyDescent="0.2">
      <c r="A1761" s="6"/>
      <c r="B1761" s="3"/>
      <c r="C1761" s="6"/>
    </row>
    <row r="1762" spans="1:3" x14ac:dyDescent="0.2">
      <c r="A1762" s="6"/>
      <c r="B1762" s="3"/>
      <c r="C1762" s="6"/>
    </row>
    <row r="1763" spans="1:3" x14ac:dyDescent="0.2">
      <c r="A1763" s="6"/>
      <c r="B1763" s="3"/>
      <c r="C1763" s="6"/>
    </row>
    <row r="1764" spans="1:3" x14ac:dyDescent="0.2">
      <c r="A1764" s="6"/>
      <c r="B1764" s="3"/>
      <c r="C1764" s="6"/>
    </row>
    <row r="1765" spans="1:3" x14ac:dyDescent="0.2">
      <c r="A1765" s="6"/>
      <c r="B1765" s="3"/>
      <c r="C1765" s="6"/>
    </row>
    <row r="1766" spans="1:3" x14ac:dyDescent="0.2">
      <c r="A1766" s="6"/>
      <c r="B1766" s="3"/>
      <c r="C1766" s="6"/>
    </row>
    <row r="1767" spans="1:3" x14ac:dyDescent="0.2">
      <c r="A1767" s="6"/>
      <c r="B1767" s="3"/>
      <c r="C1767" s="6"/>
    </row>
    <row r="1768" spans="1:3" x14ac:dyDescent="0.2">
      <c r="A1768" s="6"/>
      <c r="B1768" s="3"/>
      <c r="C1768" s="6"/>
    </row>
    <row r="1769" spans="1:3" x14ac:dyDescent="0.2">
      <c r="A1769" s="6"/>
      <c r="B1769" s="3"/>
      <c r="C1769" s="6"/>
    </row>
    <row r="1770" spans="1:3" x14ac:dyDescent="0.2">
      <c r="A1770" s="6"/>
      <c r="B1770" s="3"/>
      <c r="C1770" s="6"/>
    </row>
    <row r="1771" spans="1:3" x14ac:dyDescent="0.2">
      <c r="A1771" s="6"/>
      <c r="B1771" s="3"/>
      <c r="C1771" s="6"/>
    </row>
    <row r="1772" spans="1:3" x14ac:dyDescent="0.2">
      <c r="A1772" s="6"/>
      <c r="B1772" s="3"/>
      <c r="C1772" s="6"/>
    </row>
    <row r="1773" spans="1:3" x14ac:dyDescent="0.2">
      <c r="A1773" s="6"/>
      <c r="B1773" s="3"/>
      <c r="C1773" s="6"/>
    </row>
    <row r="1774" spans="1:3" x14ac:dyDescent="0.2">
      <c r="A1774" s="6"/>
      <c r="B1774" s="3"/>
      <c r="C1774" s="6"/>
    </row>
    <row r="1775" spans="1:3" x14ac:dyDescent="0.2">
      <c r="A1775" s="6"/>
      <c r="B1775" s="3"/>
      <c r="C1775" s="6"/>
    </row>
    <row r="1776" spans="1:3" x14ac:dyDescent="0.2">
      <c r="A1776" s="6"/>
      <c r="B1776" s="3"/>
      <c r="C1776" s="6"/>
    </row>
    <row r="1777" spans="1:3" x14ac:dyDescent="0.2">
      <c r="A1777" s="6"/>
      <c r="B1777" s="3"/>
      <c r="C1777" s="6"/>
    </row>
    <row r="1778" spans="1:3" x14ac:dyDescent="0.2">
      <c r="A1778" s="6"/>
      <c r="B1778" s="3"/>
      <c r="C1778" s="6"/>
    </row>
    <row r="1779" spans="1:3" x14ac:dyDescent="0.2">
      <c r="A1779" s="6"/>
      <c r="B1779" s="3"/>
      <c r="C1779" s="6"/>
    </row>
    <row r="1780" spans="1:3" x14ac:dyDescent="0.2">
      <c r="A1780" s="6"/>
      <c r="B1780" s="3"/>
      <c r="C1780" s="6"/>
    </row>
    <row r="1781" spans="1:3" x14ac:dyDescent="0.2">
      <c r="A1781" s="6"/>
      <c r="B1781" s="3"/>
      <c r="C1781" s="6"/>
    </row>
    <row r="1782" spans="1:3" x14ac:dyDescent="0.2">
      <c r="A1782" s="6"/>
      <c r="B1782" s="3"/>
      <c r="C1782" s="6"/>
    </row>
    <row r="1783" spans="1:3" x14ac:dyDescent="0.2">
      <c r="A1783" s="6"/>
      <c r="B1783" s="3"/>
      <c r="C1783" s="6"/>
    </row>
    <row r="1784" spans="1:3" x14ac:dyDescent="0.2">
      <c r="A1784" s="6"/>
      <c r="B1784" s="3"/>
      <c r="C1784" s="6"/>
    </row>
    <row r="1785" spans="1:3" x14ac:dyDescent="0.2">
      <c r="A1785" s="6"/>
      <c r="B1785" s="3"/>
      <c r="C1785" s="6"/>
    </row>
    <row r="1786" spans="1:3" x14ac:dyDescent="0.2">
      <c r="A1786" s="6"/>
      <c r="B1786" s="3"/>
      <c r="C1786" s="6"/>
    </row>
    <row r="1787" spans="1:3" x14ac:dyDescent="0.2">
      <c r="A1787" s="6"/>
      <c r="B1787" s="3"/>
      <c r="C1787" s="6"/>
    </row>
    <row r="1788" spans="1:3" x14ac:dyDescent="0.2">
      <c r="A1788" s="6"/>
      <c r="B1788" s="3"/>
      <c r="C1788" s="6"/>
    </row>
    <row r="1789" spans="1:3" x14ac:dyDescent="0.2">
      <c r="A1789" s="6"/>
      <c r="B1789" s="3"/>
      <c r="C1789" s="6"/>
    </row>
    <row r="1790" spans="1:3" x14ac:dyDescent="0.2">
      <c r="A1790" s="6"/>
      <c r="B1790" s="3"/>
      <c r="C1790" s="6"/>
    </row>
    <row r="1791" spans="1:3" x14ac:dyDescent="0.2">
      <c r="A1791" s="6"/>
      <c r="B1791" s="3"/>
      <c r="C1791" s="6"/>
    </row>
    <row r="1792" spans="1:3" x14ac:dyDescent="0.2">
      <c r="A1792" s="6"/>
      <c r="B1792" s="3"/>
      <c r="C1792" s="6"/>
    </row>
    <row r="1793" spans="1:3" x14ac:dyDescent="0.2">
      <c r="A1793" s="6"/>
      <c r="B1793" s="3"/>
      <c r="C1793" s="6"/>
    </row>
    <row r="1794" spans="1:3" x14ac:dyDescent="0.2">
      <c r="A1794" s="6"/>
      <c r="B1794" s="3"/>
      <c r="C1794" s="6"/>
    </row>
    <row r="1795" spans="1:3" x14ac:dyDescent="0.2">
      <c r="A1795" s="6"/>
      <c r="B1795" s="3"/>
      <c r="C1795" s="6"/>
    </row>
    <row r="1796" spans="1:3" x14ac:dyDescent="0.2">
      <c r="A1796" s="6"/>
      <c r="B1796" s="3"/>
      <c r="C1796" s="6"/>
    </row>
    <row r="1797" spans="1:3" x14ac:dyDescent="0.2">
      <c r="A1797" s="6"/>
      <c r="B1797" s="3"/>
      <c r="C1797" s="6"/>
    </row>
    <row r="1798" spans="1:3" x14ac:dyDescent="0.2">
      <c r="A1798" s="6"/>
      <c r="B1798" s="3"/>
      <c r="C1798" s="6"/>
    </row>
    <row r="1799" spans="1:3" x14ac:dyDescent="0.2">
      <c r="A1799" s="6"/>
      <c r="B1799" s="3"/>
      <c r="C1799" s="6"/>
    </row>
    <row r="1800" spans="1:3" x14ac:dyDescent="0.2">
      <c r="A1800" s="6"/>
      <c r="B1800" s="3"/>
      <c r="C1800" s="6"/>
    </row>
    <row r="1801" spans="1:3" x14ac:dyDescent="0.2">
      <c r="A1801" s="6"/>
      <c r="B1801" s="3"/>
      <c r="C1801" s="6"/>
    </row>
    <row r="1802" spans="1:3" x14ac:dyDescent="0.2">
      <c r="A1802" s="6"/>
      <c r="B1802" s="3"/>
      <c r="C1802" s="6"/>
    </row>
    <row r="1803" spans="1:3" x14ac:dyDescent="0.2">
      <c r="A1803" s="6"/>
      <c r="B1803" s="3"/>
      <c r="C1803" s="6"/>
    </row>
    <row r="1804" spans="1:3" x14ac:dyDescent="0.2">
      <c r="A1804" s="6"/>
      <c r="B1804" s="3"/>
      <c r="C1804" s="6"/>
    </row>
    <row r="1805" spans="1:3" x14ac:dyDescent="0.2">
      <c r="A1805" s="6"/>
      <c r="B1805" s="3"/>
      <c r="C1805" s="6"/>
    </row>
    <row r="1806" spans="1:3" x14ac:dyDescent="0.2">
      <c r="A1806" s="6"/>
      <c r="B1806" s="3"/>
      <c r="C1806" s="6"/>
    </row>
    <row r="1807" spans="1:3" x14ac:dyDescent="0.2">
      <c r="A1807" s="6"/>
      <c r="B1807" s="3"/>
      <c r="C1807" s="6"/>
    </row>
    <row r="1808" spans="1:3" x14ac:dyDescent="0.2">
      <c r="A1808" s="6"/>
      <c r="B1808" s="3"/>
      <c r="C1808" s="6"/>
    </row>
    <row r="1809" spans="1:3" x14ac:dyDescent="0.2">
      <c r="A1809" s="6"/>
      <c r="B1809" s="3"/>
      <c r="C1809" s="6"/>
    </row>
    <row r="1810" spans="1:3" x14ac:dyDescent="0.2">
      <c r="A1810" s="6"/>
      <c r="B1810" s="3"/>
      <c r="C1810" s="6"/>
    </row>
    <row r="1811" spans="1:3" x14ac:dyDescent="0.2">
      <c r="A1811" s="6"/>
      <c r="B1811" s="3"/>
      <c r="C1811" s="6"/>
    </row>
    <row r="1812" spans="1:3" x14ac:dyDescent="0.2">
      <c r="A1812" s="6"/>
      <c r="B1812" s="3"/>
      <c r="C1812" s="6"/>
    </row>
    <row r="1813" spans="1:3" x14ac:dyDescent="0.2">
      <c r="A1813" s="6"/>
      <c r="B1813" s="3"/>
      <c r="C1813" s="6"/>
    </row>
    <row r="1814" spans="1:3" x14ac:dyDescent="0.2">
      <c r="A1814" s="6"/>
      <c r="B1814" s="3"/>
      <c r="C1814" s="6"/>
    </row>
    <row r="1815" spans="1:3" x14ac:dyDescent="0.2">
      <c r="A1815" s="6"/>
      <c r="B1815" s="3"/>
      <c r="C1815" s="6"/>
    </row>
    <row r="1816" spans="1:3" x14ac:dyDescent="0.2">
      <c r="A1816" s="6"/>
      <c r="B1816" s="3"/>
      <c r="C1816" s="6"/>
    </row>
    <row r="1817" spans="1:3" x14ac:dyDescent="0.2">
      <c r="A1817" s="6"/>
      <c r="B1817" s="3"/>
      <c r="C1817" s="6"/>
    </row>
    <row r="1818" spans="1:3" x14ac:dyDescent="0.2">
      <c r="A1818" s="6"/>
      <c r="B1818" s="3"/>
      <c r="C1818" s="6"/>
    </row>
    <row r="1819" spans="1:3" x14ac:dyDescent="0.2">
      <c r="A1819" s="6"/>
      <c r="B1819" s="3"/>
      <c r="C1819" s="6"/>
    </row>
    <row r="1820" spans="1:3" x14ac:dyDescent="0.2">
      <c r="A1820" s="6"/>
      <c r="B1820" s="3"/>
      <c r="C1820" s="6"/>
    </row>
    <row r="1821" spans="1:3" x14ac:dyDescent="0.2">
      <c r="A1821" s="6"/>
      <c r="B1821" s="3"/>
      <c r="C1821" s="6"/>
    </row>
    <row r="1822" spans="1:3" x14ac:dyDescent="0.2">
      <c r="A1822" s="6"/>
      <c r="B1822" s="3"/>
      <c r="C1822" s="6"/>
    </row>
    <row r="1823" spans="1:3" x14ac:dyDescent="0.2">
      <c r="A1823" s="6"/>
      <c r="B1823" s="3"/>
      <c r="C1823" s="6"/>
    </row>
    <row r="1824" spans="1:3" x14ac:dyDescent="0.2">
      <c r="A1824" s="6"/>
      <c r="B1824" s="3"/>
      <c r="C1824" s="6"/>
    </row>
    <row r="1825" spans="1:3" x14ac:dyDescent="0.2">
      <c r="A1825" s="6"/>
      <c r="B1825" s="3"/>
      <c r="C1825" s="6"/>
    </row>
    <row r="1826" spans="1:3" x14ac:dyDescent="0.2">
      <c r="A1826" s="6"/>
      <c r="B1826" s="3"/>
      <c r="C1826" s="6"/>
    </row>
    <row r="1827" spans="1:3" x14ac:dyDescent="0.2">
      <c r="A1827" s="6"/>
      <c r="B1827" s="3"/>
      <c r="C1827" s="6"/>
    </row>
    <row r="1828" spans="1:3" x14ac:dyDescent="0.2">
      <c r="A1828" s="6"/>
      <c r="B1828" s="3"/>
      <c r="C1828" s="6"/>
    </row>
    <row r="1829" spans="1:3" x14ac:dyDescent="0.2">
      <c r="A1829" s="6"/>
      <c r="B1829" s="3"/>
      <c r="C1829" s="6"/>
    </row>
    <row r="1830" spans="1:3" x14ac:dyDescent="0.2">
      <c r="A1830" s="6"/>
      <c r="B1830" s="3"/>
      <c r="C1830" s="6"/>
    </row>
    <row r="1831" spans="1:3" x14ac:dyDescent="0.2">
      <c r="A1831" s="6"/>
      <c r="B1831" s="3"/>
      <c r="C1831" s="6"/>
    </row>
    <row r="1832" spans="1:3" x14ac:dyDescent="0.2">
      <c r="A1832" s="6"/>
      <c r="B1832" s="3"/>
      <c r="C1832" s="6"/>
    </row>
    <row r="1833" spans="1:3" x14ac:dyDescent="0.2">
      <c r="A1833" s="6"/>
      <c r="B1833" s="3"/>
      <c r="C1833" s="6"/>
    </row>
    <row r="1834" spans="1:3" x14ac:dyDescent="0.2">
      <c r="A1834" s="6"/>
      <c r="B1834" s="3"/>
      <c r="C1834" s="6"/>
    </row>
    <row r="1835" spans="1:3" x14ac:dyDescent="0.2">
      <c r="A1835" s="6"/>
      <c r="B1835" s="3"/>
      <c r="C1835" s="6"/>
    </row>
    <row r="1836" spans="1:3" x14ac:dyDescent="0.2">
      <c r="A1836" s="6"/>
      <c r="B1836" s="3"/>
      <c r="C1836" s="6"/>
    </row>
    <row r="1837" spans="1:3" x14ac:dyDescent="0.2">
      <c r="A1837" s="6"/>
      <c r="B1837" s="3"/>
      <c r="C1837" s="6"/>
    </row>
    <row r="1838" spans="1:3" x14ac:dyDescent="0.2">
      <c r="A1838" s="6"/>
      <c r="B1838" s="3"/>
      <c r="C1838" s="6"/>
    </row>
    <row r="1839" spans="1:3" x14ac:dyDescent="0.2">
      <c r="A1839" s="6"/>
      <c r="B1839" s="3"/>
      <c r="C1839" s="6"/>
    </row>
    <row r="1840" spans="1:3" x14ac:dyDescent="0.2">
      <c r="A1840" s="6"/>
      <c r="B1840" s="3"/>
      <c r="C1840" s="6"/>
    </row>
    <row r="1841" spans="1:3" x14ac:dyDescent="0.2">
      <c r="A1841" s="6"/>
      <c r="B1841" s="3"/>
      <c r="C1841" s="6"/>
    </row>
    <row r="1842" spans="1:3" x14ac:dyDescent="0.2">
      <c r="A1842" s="6"/>
      <c r="B1842" s="3"/>
      <c r="C1842" s="6"/>
    </row>
    <row r="1843" spans="1:3" x14ac:dyDescent="0.2">
      <c r="A1843" s="6"/>
      <c r="B1843" s="3"/>
      <c r="C1843" s="6"/>
    </row>
    <row r="1844" spans="1:3" x14ac:dyDescent="0.2">
      <c r="A1844" s="6"/>
      <c r="B1844" s="3"/>
      <c r="C1844" s="6"/>
    </row>
    <row r="1845" spans="1:3" x14ac:dyDescent="0.2">
      <c r="A1845" s="6"/>
      <c r="B1845" s="3"/>
      <c r="C1845" s="6"/>
    </row>
    <row r="1846" spans="1:3" x14ac:dyDescent="0.2">
      <c r="A1846" s="6"/>
      <c r="B1846" s="3"/>
      <c r="C1846" s="6"/>
    </row>
    <row r="1847" spans="1:3" x14ac:dyDescent="0.2">
      <c r="A1847" s="6"/>
      <c r="B1847" s="3"/>
      <c r="C1847" s="6"/>
    </row>
    <row r="1848" spans="1:3" x14ac:dyDescent="0.2">
      <c r="A1848" s="6"/>
      <c r="B1848" s="3"/>
      <c r="C1848" s="6"/>
    </row>
    <row r="1849" spans="1:3" x14ac:dyDescent="0.2">
      <c r="A1849" s="6"/>
      <c r="B1849" s="3"/>
      <c r="C1849" s="6"/>
    </row>
    <row r="1850" spans="1:3" x14ac:dyDescent="0.2">
      <c r="A1850" s="6"/>
      <c r="B1850" s="3"/>
      <c r="C1850" s="6"/>
    </row>
    <row r="1851" spans="1:3" x14ac:dyDescent="0.2">
      <c r="A1851" s="6"/>
      <c r="B1851" s="3"/>
      <c r="C1851" s="6"/>
    </row>
    <row r="1852" spans="1:3" x14ac:dyDescent="0.2">
      <c r="A1852" s="6"/>
      <c r="B1852" s="3"/>
      <c r="C1852" s="6"/>
    </row>
    <row r="1853" spans="1:3" x14ac:dyDescent="0.2">
      <c r="A1853" s="6"/>
      <c r="B1853" s="3"/>
      <c r="C1853" s="6"/>
    </row>
    <row r="1854" spans="1:3" x14ac:dyDescent="0.2">
      <c r="A1854" s="6"/>
      <c r="B1854" s="3"/>
      <c r="C1854" s="6"/>
    </row>
    <row r="1855" spans="1:3" x14ac:dyDescent="0.2">
      <c r="A1855" s="6"/>
      <c r="B1855" s="3"/>
      <c r="C1855" s="6"/>
    </row>
    <row r="1856" spans="1:3" x14ac:dyDescent="0.2">
      <c r="A1856" s="6"/>
      <c r="B1856" s="3"/>
      <c r="C1856" s="6"/>
    </row>
    <row r="1857" spans="1:3" x14ac:dyDescent="0.2">
      <c r="A1857" s="6"/>
      <c r="B1857" s="3"/>
      <c r="C1857" s="6"/>
    </row>
    <row r="1858" spans="1:3" x14ac:dyDescent="0.2">
      <c r="A1858" s="6"/>
      <c r="B1858" s="3"/>
      <c r="C1858" s="6"/>
    </row>
    <row r="1859" spans="1:3" x14ac:dyDescent="0.2">
      <c r="A1859" s="6"/>
      <c r="B1859" s="3"/>
      <c r="C1859" s="6"/>
    </row>
    <row r="1860" spans="1:3" x14ac:dyDescent="0.2">
      <c r="A1860" s="6"/>
      <c r="B1860" s="3"/>
      <c r="C1860" s="6"/>
    </row>
    <row r="1861" spans="1:3" x14ac:dyDescent="0.2">
      <c r="A1861" s="6"/>
      <c r="B1861" s="3"/>
      <c r="C1861" s="6"/>
    </row>
    <row r="1862" spans="1:3" x14ac:dyDescent="0.2">
      <c r="A1862" s="6"/>
      <c r="B1862" s="3"/>
      <c r="C1862" s="6"/>
    </row>
    <row r="1863" spans="1:3" x14ac:dyDescent="0.2">
      <c r="A1863" s="6"/>
      <c r="B1863" s="3"/>
      <c r="C1863" s="6"/>
    </row>
    <row r="1864" spans="1:3" x14ac:dyDescent="0.2">
      <c r="A1864" s="6"/>
      <c r="B1864" s="3"/>
      <c r="C1864" s="6"/>
    </row>
    <row r="1865" spans="1:3" x14ac:dyDescent="0.2">
      <c r="A1865" s="6"/>
      <c r="B1865" s="3"/>
      <c r="C1865" s="6"/>
    </row>
    <row r="1866" spans="1:3" x14ac:dyDescent="0.2">
      <c r="A1866" s="6"/>
      <c r="B1866" s="3"/>
      <c r="C1866" s="6"/>
    </row>
    <row r="1867" spans="1:3" x14ac:dyDescent="0.2">
      <c r="A1867" s="6"/>
      <c r="B1867" s="3"/>
      <c r="C1867" s="6"/>
    </row>
    <row r="1868" spans="1:3" x14ac:dyDescent="0.2">
      <c r="A1868" s="6"/>
      <c r="B1868" s="3"/>
      <c r="C1868" s="6"/>
    </row>
    <row r="1869" spans="1:3" x14ac:dyDescent="0.2">
      <c r="A1869" s="6"/>
      <c r="B1869" s="3"/>
      <c r="C1869" s="6"/>
    </row>
    <row r="1870" spans="1:3" x14ac:dyDescent="0.2">
      <c r="A1870" s="6"/>
      <c r="B1870" s="3"/>
      <c r="C1870" s="6"/>
    </row>
    <row r="1871" spans="1:3" x14ac:dyDescent="0.2">
      <c r="A1871" s="6"/>
      <c r="B1871" s="3"/>
      <c r="C1871" s="6"/>
    </row>
    <row r="1872" spans="1:3" x14ac:dyDescent="0.2">
      <c r="A1872" s="6"/>
      <c r="B1872" s="3"/>
      <c r="C1872" s="6"/>
    </row>
    <row r="1873" spans="1:3" x14ac:dyDescent="0.2">
      <c r="A1873" s="6"/>
      <c r="B1873" s="3"/>
      <c r="C1873" s="6"/>
    </row>
    <row r="1874" spans="1:3" x14ac:dyDescent="0.2">
      <c r="A1874" s="6"/>
      <c r="B1874" s="3"/>
      <c r="C1874" s="6"/>
    </row>
    <row r="1875" spans="1:3" x14ac:dyDescent="0.2">
      <c r="A1875" s="6"/>
      <c r="B1875" s="3"/>
      <c r="C1875" s="6"/>
    </row>
    <row r="1876" spans="1:3" x14ac:dyDescent="0.2">
      <c r="A1876" s="6"/>
      <c r="B1876" s="3"/>
      <c r="C1876" s="6"/>
    </row>
    <row r="1877" spans="1:3" x14ac:dyDescent="0.2">
      <c r="A1877" s="6"/>
      <c r="B1877" s="3"/>
      <c r="C1877" s="6"/>
    </row>
    <row r="1878" spans="1:3" x14ac:dyDescent="0.2">
      <c r="A1878" s="6"/>
      <c r="B1878" s="3"/>
      <c r="C1878" s="6"/>
    </row>
    <row r="1879" spans="1:3" x14ac:dyDescent="0.2">
      <c r="A1879" s="6"/>
      <c r="B1879" s="3"/>
      <c r="C1879" s="6"/>
    </row>
    <row r="1880" spans="1:3" x14ac:dyDescent="0.2">
      <c r="A1880" s="6"/>
      <c r="B1880" s="3"/>
      <c r="C1880" s="6"/>
    </row>
    <row r="1881" spans="1:3" x14ac:dyDescent="0.2">
      <c r="A1881" s="6"/>
      <c r="B1881" s="3"/>
      <c r="C1881" s="6"/>
    </row>
    <row r="1882" spans="1:3" x14ac:dyDescent="0.2">
      <c r="A1882" s="6"/>
      <c r="B1882" s="3"/>
      <c r="C1882" s="6"/>
    </row>
    <row r="1883" spans="1:3" x14ac:dyDescent="0.2">
      <c r="A1883" s="6"/>
      <c r="B1883" s="3"/>
      <c r="C1883" s="6"/>
    </row>
    <row r="1884" spans="1:3" x14ac:dyDescent="0.2">
      <c r="A1884" s="6"/>
      <c r="B1884" s="3"/>
      <c r="C1884" s="6"/>
    </row>
    <row r="1885" spans="1:3" x14ac:dyDescent="0.2">
      <c r="A1885" s="6"/>
      <c r="B1885" s="3"/>
      <c r="C1885" s="6"/>
    </row>
    <row r="1886" spans="1:3" x14ac:dyDescent="0.2">
      <c r="A1886" s="6"/>
      <c r="B1886" s="3"/>
      <c r="C1886" s="6"/>
    </row>
    <row r="1887" spans="1:3" x14ac:dyDescent="0.2">
      <c r="A1887" s="6"/>
      <c r="B1887" s="3"/>
      <c r="C1887" s="6"/>
    </row>
    <row r="1888" spans="1:3" x14ac:dyDescent="0.2">
      <c r="A1888" s="6"/>
      <c r="B1888" s="3"/>
      <c r="C1888" s="6"/>
    </row>
    <row r="1889" spans="1:3" x14ac:dyDescent="0.2">
      <c r="A1889" s="6"/>
      <c r="B1889" s="3"/>
      <c r="C1889" s="6"/>
    </row>
    <row r="1890" spans="1:3" x14ac:dyDescent="0.2">
      <c r="A1890" s="6"/>
      <c r="B1890" s="3"/>
      <c r="C1890" s="6"/>
    </row>
    <row r="1891" spans="1:3" x14ac:dyDescent="0.2">
      <c r="A1891" s="6"/>
      <c r="B1891" s="3"/>
      <c r="C1891" s="6"/>
    </row>
    <row r="1892" spans="1:3" x14ac:dyDescent="0.2">
      <c r="A1892" s="6"/>
      <c r="B1892" s="3"/>
      <c r="C1892" s="6"/>
    </row>
    <row r="1893" spans="1:3" x14ac:dyDescent="0.2">
      <c r="A1893" s="6"/>
      <c r="B1893" s="3"/>
      <c r="C1893" s="6"/>
    </row>
    <row r="1894" spans="1:3" x14ac:dyDescent="0.2">
      <c r="A1894" s="6"/>
      <c r="B1894" s="3"/>
      <c r="C1894" s="6"/>
    </row>
    <row r="1895" spans="1:3" x14ac:dyDescent="0.2">
      <c r="A1895" s="6"/>
      <c r="B1895" s="3"/>
      <c r="C1895" s="6"/>
    </row>
    <row r="1896" spans="1:3" x14ac:dyDescent="0.2">
      <c r="A1896" s="6"/>
      <c r="B1896" s="3"/>
      <c r="C1896" s="6"/>
    </row>
    <row r="1897" spans="1:3" x14ac:dyDescent="0.2">
      <c r="A1897" s="6"/>
      <c r="B1897" s="3"/>
      <c r="C1897" s="6"/>
    </row>
    <row r="1898" spans="1:3" x14ac:dyDescent="0.2">
      <c r="A1898" s="6"/>
      <c r="B1898" s="3"/>
      <c r="C1898" s="6"/>
    </row>
    <row r="1899" spans="1:3" x14ac:dyDescent="0.2">
      <c r="A1899" s="6"/>
      <c r="B1899" s="3"/>
      <c r="C1899" s="6"/>
    </row>
    <row r="1900" spans="1:3" x14ac:dyDescent="0.2">
      <c r="A1900" s="6"/>
      <c r="B1900" s="3"/>
      <c r="C1900" s="6"/>
    </row>
    <row r="1901" spans="1:3" x14ac:dyDescent="0.2">
      <c r="A1901" s="6"/>
      <c r="B1901" s="3"/>
      <c r="C1901" s="6"/>
    </row>
    <row r="1902" spans="1:3" x14ac:dyDescent="0.2">
      <c r="A1902" s="6"/>
      <c r="B1902" s="3"/>
      <c r="C1902" s="6"/>
    </row>
    <row r="1903" spans="1:3" x14ac:dyDescent="0.2">
      <c r="A1903" s="6"/>
      <c r="B1903" s="3"/>
      <c r="C1903" s="6"/>
    </row>
    <row r="1904" spans="1:3" x14ac:dyDescent="0.2">
      <c r="A1904" s="6"/>
      <c r="B1904" s="3"/>
      <c r="C1904" s="6"/>
    </row>
    <row r="1905" spans="1:3" x14ac:dyDescent="0.2">
      <c r="A1905" s="6"/>
      <c r="B1905" s="3"/>
      <c r="C1905" s="6"/>
    </row>
    <row r="1906" spans="1:3" x14ac:dyDescent="0.2">
      <c r="A1906" s="6"/>
      <c r="B1906" s="3"/>
      <c r="C1906" s="6"/>
    </row>
    <row r="1907" spans="1:3" x14ac:dyDescent="0.2">
      <c r="A1907" s="6"/>
      <c r="B1907" s="3"/>
      <c r="C1907" s="6"/>
    </row>
    <row r="1908" spans="1:3" x14ac:dyDescent="0.2">
      <c r="A1908" s="6"/>
      <c r="B1908" s="3"/>
      <c r="C1908" s="6"/>
    </row>
    <row r="1909" spans="1:3" x14ac:dyDescent="0.2">
      <c r="A1909" s="6"/>
      <c r="B1909" s="3"/>
      <c r="C1909" s="6"/>
    </row>
    <row r="1910" spans="1:3" x14ac:dyDescent="0.2">
      <c r="A1910" s="6"/>
      <c r="B1910" s="3"/>
      <c r="C1910" s="6"/>
    </row>
    <row r="1911" spans="1:3" x14ac:dyDescent="0.2">
      <c r="A1911" s="6"/>
      <c r="B1911" s="3"/>
      <c r="C1911" s="6"/>
    </row>
    <row r="1912" spans="1:3" x14ac:dyDescent="0.2">
      <c r="A1912" s="6"/>
      <c r="B1912" s="3"/>
      <c r="C1912" s="6"/>
    </row>
    <row r="1913" spans="1:3" x14ac:dyDescent="0.2">
      <c r="A1913" s="6"/>
      <c r="B1913" s="3"/>
      <c r="C1913" s="6"/>
    </row>
    <row r="1914" spans="1:3" x14ac:dyDescent="0.2">
      <c r="A1914" s="6"/>
      <c r="B1914" s="3"/>
      <c r="C1914" s="6"/>
    </row>
    <row r="1915" spans="1:3" x14ac:dyDescent="0.2">
      <c r="A1915" s="6"/>
      <c r="B1915" s="3"/>
      <c r="C1915" s="6"/>
    </row>
    <row r="1916" spans="1:3" x14ac:dyDescent="0.2">
      <c r="A1916" s="6"/>
      <c r="B1916" s="3"/>
      <c r="C1916" s="6"/>
    </row>
    <row r="1917" spans="1:3" x14ac:dyDescent="0.2">
      <c r="A1917" s="6"/>
      <c r="B1917" s="3"/>
      <c r="C1917" s="6"/>
    </row>
    <row r="1918" spans="1:3" x14ac:dyDescent="0.2">
      <c r="A1918" s="6"/>
      <c r="B1918" s="3"/>
      <c r="C1918" s="6"/>
    </row>
    <row r="1919" spans="1:3" x14ac:dyDescent="0.2">
      <c r="A1919" s="6"/>
      <c r="B1919" s="3"/>
      <c r="C1919" s="6"/>
    </row>
    <row r="1920" spans="1:3" x14ac:dyDescent="0.2">
      <c r="A1920" s="6"/>
      <c r="B1920" s="3"/>
      <c r="C1920" s="6"/>
    </row>
    <row r="1921" spans="1:3" x14ac:dyDescent="0.2">
      <c r="A1921" s="6"/>
      <c r="B1921" s="3"/>
      <c r="C1921" s="6"/>
    </row>
    <row r="1922" spans="1:3" x14ac:dyDescent="0.2">
      <c r="A1922" s="6"/>
      <c r="B1922" s="3"/>
      <c r="C1922" s="6"/>
    </row>
    <row r="1923" spans="1:3" x14ac:dyDescent="0.2">
      <c r="A1923" s="6"/>
      <c r="B1923" s="3"/>
      <c r="C1923" s="6"/>
    </row>
    <row r="1924" spans="1:3" x14ac:dyDescent="0.2">
      <c r="A1924" s="6"/>
      <c r="B1924" s="3"/>
      <c r="C1924" s="6"/>
    </row>
    <row r="1925" spans="1:3" x14ac:dyDescent="0.2">
      <c r="A1925" s="6"/>
      <c r="B1925" s="3"/>
      <c r="C1925" s="6"/>
    </row>
    <row r="1926" spans="1:3" x14ac:dyDescent="0.2">
      <c r="A1926" s="6"/>
      <c r="B1926" s="3"/>
      <c r="C1926" s="6"/>
    </row>
    <row r="1927" spans="1:3" x14ac:dyDescent="0.2">
      <c r="A1927" s="6"/>
      <c r="B1927" s="3"/>
      <c r="C1927" s="6"/>
    </row>
    <row r="1928" spans="1:3" x14ac:dyDescent="0.2">
      <c r="A1928" s="6"/>
      <c r="B1928" s="3"/>
      <c r="C1928" s="6"/>
    </row>
    <row r="1929" spans="1:3" x14ac:dyDescent="0.2">
      <c r="A1929" s="6"/>
      <c r="B1929" s="3"/>
      <c r="C1929" s="6"/>
    </row>
    <row r="1930" spans="1:3" x14ac:dyDescent="0.2">
      <c r="A1930" s="6"/>
      <c r="B1930" s="3"/>
      <c r="C1930" s="6"/>
    </row>
    <row r="1931" spans="1:3" x14ac:dyDescent="0.2">
      <c r="A1931" s="6"/>
      <c r="B1931" s="3"/>
      <c r="C1931" s="6"/>
    </row>
    <row r="1932" spans="1:3" x14ac:dyDescent="0.2">
      <c r="A1932" s="6"/>
      <c r="B1932" s="3"/>
      <c r="C1932" s="6"/>
    </row>
    <row r="1933" spans="1:3" x14ac:dyDescent="0.2">
      <c r="A1933" s="6"/>
      <c r="B1933" s="3"/>
      <c r="C1933" s="6"/>
    </row>
    <row r="1934" spans="1:3" x14ac:dyDescent="0.2">
      <c r="A1934" s="6"/>
      <c r="B1934" s="3"/>
      <c r="C1934" s="6"/>
    </row>
    <row r="1935" spans="1:3" x14ac:dyDescent="0.2">
      <c r="A1935" s="6"/>
      <c r="B1935" s="3"/>
      <c r="C1935" s="6"/>
    </row>
    <row r="1936" spans="1:3" x14ac:dyDescent="0.2">
      <c r="A1936" s="6"/>
      <c r="B1936" s="3"/>
      <c r="C1936" s="6"/>
    </row>
    <row r="1937" spans="1:3" x14ac:dyDescent="0.2">
      <c r="A1937" s="6"/>
      <c r="B1937" s="3"/>
      <c r="C1937" s="6"/>
    </row>
    <row r="1938" spans="1:3" x14ac:dyDescent="0.2">
      <c r="A1938" s="6"/>
      <c r="B1938" s="3"/>
      <c r="C1938" s="6"/>
    </row>
    <row r="1939" spans="1:3" x14ac:dyDescent="0.2">
      <c r="A1939" s="6"/>
      <c r="B1939" s="3"/>
      <c r="C1939" s="6"/>
    </row>
    <row r="1940" spans="1:3" x14ac:dyDescent="0.2">
      <c r="A1940" s="6"/>
      <c r="B1940" s="3"/>
      <c r="C1940" s="6"/>
    </row>
    <row r="1941" spans="1:3" x14ac:dyDescent="0.2">
      <c r="A1941" s="6"/>
      <c r="B1941" s="3"/>
      <c r="C1941" s="6"/>
    </row>
    <row r="1942" spans="1:3" x14ac:dyDescent="0.2">
      <c r="A1942" s="6"/>
      <c r="B1942" s="3"/>
      <c r="C1942" s="6"/>
    </row>
    <row r="1943" spans="1:3" x14ac:dyDescent="0.2">
      <c r="A1943" s="6"/>
      <c r="B1943" s="3"/>
      <c r="C1943" s="6"/>
    </row>
    <row r="1944" spans="1:3" x14ac:dyDescent="0.2">
      <c r="A1944" s="6"/>
      <c r="B1944" s="3"/>
      <c r="C1944" s="6"/>
    </row>
    <row r="1945" spans="1:3" x14ac:dyDescent="0.2">
      <c r="A1945" s="6"/>
      <c r="B1945" s="3"/>
      <c r="C1945" s="6"/>
    </row>
    <row r="1946" spans="1:3" x14ac:dyDescent="0.2">
      <c r="A1946" s="6"/>
      <c r="B1946" s="3"/>
      <c r="C1946" s="6"/>
    </row>
    <row r="1947" spans="1:3" x14ac:dyDescent="0.2">
      <c r="A1947" s="6"/>
      <c r="B1947" s="3"/>
      <c r="C1947" s="6"/>
    </row>
    <row r="1948" spans="1:3" x14ac:dyDescent="0.2">
      <c r="A1948" s="6"/>
      <c r="B1948" s="3"/>
      <c r="C1948" s="6"/>
    </row>
    <row r="1949" spans="1:3" x14ac:dyDescent="0.2">
      <c r="A1949" s="6"/>
      <c r="B1949" s="3"/>
      <c r="C1949" s="6"/>
    </row>
    <row r="1950" spans="1:3" x14ac:dyDescent="0.2">
      <c r="A1950" s="6"/>
      <c r="B1950" s="3"/>
      <c r="C1950" s="6"/>
    </row>
    <row r="1951" spans="1:3" x14ac:dyDescent="0.2">
      <c r="A1951" s="6"/>
      <c r="B1951" s="3"/>
      <c r="C1951" s="6"/>
    </row>
    <row r="1952" spans="1:3" x14ac:dyDescent="0.2">
      <c r="A1952" s="6"/>
      <c r="B1952" s="3"/>
      <c r="C1952" s="6"/>
    </row>
    <row r="1953" spans="1:3" x14ac:dyDescent="0.2">
      <c r="A1953" s="6"/>
      <c r="B1953" s="3"/>
      <c r="C1953" s="6"/>
    </row>
    <row r="1954" spans="1:3" x14ac:dyDescent="0.2">
      <c r="A1954" s="6"/>
      <c r="B1954" s="3"/>
      <c r="C1954" s="6"/>
    </row>
    <row r="1955" spans="1:3" x14ac:dyDescent="0.2">
      <c r="A1955" s="6"/>
      <c r="B1955" s="3"/>
      <c r="C1955" s="6"/>
    </row>
    <row r="1956" spans="1:3" x14ac:dyDescent="0.2">
      <c r="A1956" s="6"/>
      <c r="B1956" s="3"/>
      <c r="C1956" s="6"/>
    </row>
    <row r="1957" spans="1:3" x14ac:dyDescent="0.2">
      <c r="A1957" s="6"/>
      <c r="B1957" s="3"/>
      <c r="C1957" s="6"/>
    </row>
    <row r="1958" spans="1:3" x14ac:dyDescent="0.2">
      <c r="A1958" s="6"/>
      <c r="B1958" s="3"/>
      <c r="C1958" s="6"/>
    </row>
    <row r="1959" spans="1:3" x14ac:dyDescent="0.2">
      <c r="A1959" s="6"/>
      <c r="B1959" s="3"/>
      <c r="C1959" s="6"/>
    </row>
    <row r="1960" spans="1:3" x14ac:dyDescent="0.2">
      <c r="A1960" s="6"/>
      <c r="B1960" s="3"/>
      <c r="C1960" s="6"/>
    </row>
    <row r="1961" spans="1:3" x14ac:dyDescent="0.2">
      <c r="A1961" s="6"/>
      <c r="B1961" s="3"/>
      <c r="C1961" s="6"/>
    </row>
    <row r="1962" spans="1:3" x14ac:dyDescent="0.2">
      <c r="A1962" s="6"/>
      <c r="B1962" s="3"/>
      <c r="C1962" s="6"/>
    </row>
    <row r="1963" spans="1:3" x14ac:dyDescent="0.2">
      <c r="A1963" s="6"/>
      <c r="B1963" s="3"/>
      <c r="C1963" s="6"/>
    </row>
    <row r="1964" spans="1:3" x14ac:dyDescent="0.2">
      <c r="A1964" s="6"/>
      <c r="B1964" s="3"/>
      <c r="C1964" s="6"/>
    </row>
    <row r="1965" spans="1:3" x14ac:dyDescent="0.2">
      <c r="A1965" s="6"/>
      <c r="B1965" s="3"/>
      <c r="C1965" s="6"/>
    </row>
    <row r="1966" spans="1:3" x14ac:dyDescent="0.2">
      <c r="A1966" s="6"/>
      <c r="B1966" s="3"/>
      <c r="C1966" s="6"/>
    </row>
    <row r="1967" spans="1:3" x14ac:dyDescent="0.2">
      <c r="A1967" s="6"/>
      <c r="B1967" s="3"/>
      <c r="C1967" s="6"/>
    </row>
    <row r="1968" spans="1:3" x14ac:dyDescent="0.2">
      <c r="A1968" s="6"/>
      <c r="B1968" s="3"/>
      <c r="C1968" s="6"/>
    </row>
    <row r="1969" spans="1:3" x14ac:dyDescent="0.2">
      <c r="A1969" s="6"/>
      <c r="B1969" s="3"/>
      <c r="C1969" s="6"/>
    </row>
    <row r="1970" spans="1:3" x14ac:dyDescent="0.2">
      <c r="A1970" s="6"/>
      <c r="B1970" s="3"/>
      <c r="C1970" s="6"/>
    </row>
    <row r="1971" spans="1:3" x14ac:dyDescent="0.2">
      <c r="A1971" s="6"/>
      <c r="B1971" s="3"/>
      <c r="C1971" s="6"/>
    </row>
    <row r="1972" spans="1:3" x14ac:dyDescent="0.2">
      <c r="A1972" s="6"/>
      <c r="B1972" s="3"/>
      <c r="C1972" s="6"/>
    </row>
    <row r="1973" spans="1:3" x14ac:dyDescent="0.2">
      <c r="A1973" s="6"/>
      <c r="B1973" s="3"/>
      <c r="C1973" s="6"/>
    </row>
    <row r="1974" spans="1:3" x14ac:dyDescent="0.2">
      <c r="A1974" s="6"/>
      <c r="B1974" s="3"/>
      <c r="C1974" s="6"/>
    </row>
    <row r="1975" spans="1:3" x14ac:dyDescent="0.2">
      <c r="A1975" s="6"/>
      <c r="B1975" s="3"/>
      <c r="C1975" s="6"/>
    </row>
    <row r="1976" spans="1:3" x14ac:dyDescent="0.2">
      <c r="A1976" s="6"/>
      <c r="B1976" s="3"/>
      <c r="C1976" s="6"/>
    </row>
    <row r="1977" spans="1:3" x14ac:dyDescent="0.2">
      <c r="A1977" s="6"/>
      <c r="B1977" s="3"/>
      <c r="C1977" s="6"/>
    </row>
    <row r="1978" spans="1:3" x14ac:dyDescent="0.2">
      <c r="A1978" s="6"/>
      <c r="B1978" s="3"/>
      <c r="C1978" s="6"/>
    </row>
    <row r="1979" spans="1:3" x14ac:dyDescent="0.2">
      <c r="A1979" s="6"/>
      <c r="B1979" s="3"/>
      <c r="C1979" s="6"/>
    </row>
    <row r="1980" spans="1:3" x14ac:dyDescent="0.2">
      <c r="A1980" s="6"/>
      <c r="B1980" s="3"/>
      <c r="C1980" s="6"/>
    </row>
    <row r="1981" spans="1:3" x14ac:dyDescent="0.2">
      <c r="A1981" s="6"/>
      <c r="B1981" s="3"/>
      <c r="C1981" s="6"/>
    </row>
    <row r="1982" spans="1:3" x14ac:dyDescent="0.2">
      <c r="A1982" s="6"/>
      <c r="B1982" s="3"/>
      <c r="C1982" s="6"/>
    </row>
    <row r="1983" spans="1:3" x14ac:dyDescent="0.2">
      <c r="A1983" s="6"/>
      <c r="B1983" s="3"/>
      <c r="C1983" s="6"/>
    </row>
    <row r="1984" spans="1:3" x14ac:dyDescent="0.2">
      <c r="A1984" s="6"/>
      <c r="B1984" s="3"/>
      <c r="C1984" s="6"/>
    </row>
    <row r="1985" spans="1:3" x14ac:dyDescent="0.2">
      <c r="A1985" s="6"/>
      <c r="B1985" s="3"/>
      <c r="C1985" s="6"/>
    </row>
    <row r="1986" spans="1:3" x14ac:dyDescent="0.2">
      <c r="A1986" s="6"/>
      <c r="B1986" s="3"/>
      <c r="C1986" s="6"/>
    </row>
    <row r="1987" spans="1:3" x14ac:dyDescent="0.2">
      <c r="A1987" s="6"/>
      <c r="B1987" s="3"/>
      <c r="C1987" s="6"/>
    </row>
    <row r="1988" spans="1:3" x14ac:dyDescent="0.2">
      <c r="A1988" s="6"/>
      <c r="B1988" s="3"/>
      <c r="C1988" s="6"/>
    </row>
    <row r="1989" spans="1:3" x14ac:dyDescent="0.2">
      <c r="A1989" s="6"/>
      <c r="B1989" s="3"/>
      <c r="C1989" s="6"/>
    </row>
    <row r="1990" spans="1:3" x14ac:dyDescent="0.2">
      <c r="A1990" s="6"/>
      <c r="B1990" s="3"/>
      <c r="C1990" s="6"/>
    </row>
    <row r="1991" spans="1:3" x14ac:dyDescent="0.2">
      <c r="A1991" s="6"/>
      <c r="B1991" s="3"/>
      <c r="C1991" s="6"/>
    </row>
    <row r="1992" spans="1:3" x14ac:dyDescent="0.2">
      <c r="A1992" s="6"/>
      <c r="B1992" s="3"/>
      <c r="C1992" s="6"/>
    </row>
    <row r="1993" spans="1:3" x14ac:dyDescent="0.2">
      <c r="A1993" s="6"/>
      <c r="B1993" s="3"/>
      <c r="C1993" s="6"/>
    </row>
    <row r="1994" spans="1:3" x14ac:dyDescent="0.2">
      <c r="A1994" s="6"/>
      <c r="B1994" s="3"/>
      <c r="C1994" s="6"/>
    </row>
    <row r="1995" spans="1:3" x14ac:dyDescent="0.2">
      <c r="A1995" s="6"/>
      <c r="B1995" s="3"/>
      <c r="C1995" s="6"/>
    </row>
    <row r="1996" spans="1:3" x14ac:dyDescent="0.2">
      <c r="A1996" s="6"/>
      <c r="B1996" s="3"/>
      <c r="C1996" s="6"/>
    </row>
    <row r="1997" spans="1:3" x14ac:dyDescent="0.2">
      <c r="A1997" s="6"/>
      <c r="B1997" s="3"/>
      <c r="C1997" s="6"/>
    </row>
    <row r="1998" spans="1:3" x14ac:dyDescent="0.2">
      <c r="A1998" s="6"/>
      <c r="B1998" s="3"/>
      <c r="C1998" s="6"/>
    </row>
    <row r="1999" spans="1:3" x14ac:dyDescent="0.2">
      <c r="A1999" s="6"/>
      <c r="B1999" s="3"/>
      <c r="C1999" s="6"/>
    </row>
    <row r="2000" spans="1:3" x14ac:dyDescent="0.2">
      <c r="A2000" s="6"/>
      <c r="B2000" s="3"/>
      <c r="C2000" s="6"/>
    </row>
    <row r="2001" spans="1:3" x14ac:dyDescent="0.2">
      <c r="A2001" s="6"/>
      <c r="B2001" s="3"/>
      <c r="C2001" s="6"/>
    </row>
    <row r="2002" spans="1:3" x14ac:dyDescent="0.2">
      <c r="A2002" s="6"/>
      <c r="B2002" s="3"/>
      <c r="C2002" s="6"/>
    </row>
    <row r="2003" spans="1:3" x14ac:dyDescent="0.2">
      <c r="A2003" s="6"/>
      <c r="B2003" s="3"/>
      <c r="C2003" s="6"/>
    </row>
    <row r="2004" spans="1:3" x14ac:dyDescent="0.2">
      <c r="A2004" s="6"/>
      <c r="B2004" s="3"/>
      <c r="C2004" s="6"/>
    </row>
    <row r="2005" spans="1:3" x14ac:dyDescent="0.2">
      <c r="A2005" s="6"/>
      <c r="B2005" s="3"/>
      <c r="C2005" s="6"/>
    </row>
    <row r="2006" spans="1:3" x14ac:dyDescent="0.2">
      <c r="A2006" s="6"/>
      <c r="B2006" s="3"/>
      <c r="C2006" s="6"/>
    </row>
    <row r="2007" spans="1:3" x14ac:dyDescent="0.2">
      <c r="A2007" s="6"/>
      <c r="B2007" s="3"/>
      <c r="C2007" s="6"/>
    </row>
    <row r="2008" spans="1:3" x14ac:dyDescent="0.2">
      <c r="A2008" s="6"/>
      <c r="B2008" s="3"/>
      <c r="C2008" s="6"/>
    </row>
    <row r="2009" spans="1:3" x14ac:dyDescent="0.2">
      <c r="A2009" s="6"/>
      <c r="B2009" s="3"/>
      <c r="C2009" s="6"/>
    </row>
    <row r="2010" spans="1:3" x14ac:dyDescent="0.2">
      <c r="A2010" s="6"/>
      <c r="B2010" s="3"/>
      <c r="C2010" s="6"/>
    </row>
    <row r="2011" spans="1:3" x14ac:dyDescent="0.2">
      <c r="A2011" s="6"/>
      <c r="B2011" s="3"/>
      <c r="C2011" s="6"/>
    </row>
    <row r="2012" spans="1:3" x14ac:dyDescent="0.2">
      <c r="A2012" s="6"/>
      <c r="B2012" s="3"/>
      <c r="C2012" s="6"/>
    </row>
    <row r="2013" spans="1:3" x14ac:dyDescent="0.2">
      <c r="A2013" s="6"/>
      <c r="B2013" s="3"/>
      <c r="C2013" s="6"/>
    </row>
    <row r="2014" spans="1:3" x14ac:dyDescent="0.2">
      <c r="A2014" s="6"/>
      <c r="B2014" s="3"/>
      <c r="C2014" s="6"/>
    </row>
    <row r="2015" spans="1:3" x14ac:dyDescent="0.2">
      <c r="A2015" s="6"/>
      <c r="B2015" s="3"/>
      <c r="C2015" s="6"/>
    </row>
    <row r="2016" spans="1:3" x14ac:dyDescent="0.2">
      <c r="A2016" s="6"/>
      <c r="B2016" s="3"/>
      <c r="C2016" s="6"/>
    </row>
    <row r="2017" spans="1:3" x14ac:dyDescent="0.2">
      <c r="A2017" s="6"/>
      <c r="B2017" s="3"/>
      <c r="C2017" s="6"/>
    </row>
    <row r="2018" spans="1:3" x14ac:dyDescent="0.2">
      <c r="A2018" s="6"/>
      <c r="B2018" s="3"/>
      <c r="C2018" s="6"/>
    </row>
    <row r="2019" spans="1:3" x14ac:dyDescent="0.2">
      <c r="A2019" s="6"/>
      <c r="B2019" s="3"/>
      <c r="C2019" s="6"/>
    </row>
    <row r="2020" spans="1:3" x14ac:dyDescent="0.2">
      <c r="A2020" s="6"/>
      <c r="B2020" s="3"/>
      <c r="C2020" s="6"/>
    </row>
    <row r="2021" spans="1:3" x14ac:dyDescent="0.2">
      <c r="A2021" s="6"/>
      <c r="B2021" s="3"/>
      <c r="C2021" s="6"/>
    </row>
    <row r="2022" spans="1:3" x14ac:dyDescent="0.2">
      <c r="A2022" s="6"/>
      <c r="B2022" s="3"/>
      <c r="C2022" s="6"/>
    </row>
    <row r="2023" spans="1:3" x14ac:dyDescent="0.2">
      <c r="A2023" s="6"/>
      <c r="B2023" s="3"/>
      <c r="C2023" s="6"/>
    </row>
    <row r="2024" spans="1:3" x14ac:dyDescent="0.2">
      <c r="A2024" s="6"/>
      <c r="B2024" s="3"/>
      <c r="C2024" s="6"/>
    </row>
    <row r="2025" spans="1:3" x14ac:dyDescent="0.2">
      <c r="A2025" s="6"/>
      <c r="B2025" s="3"/>
      <c r="C2025" s="6"/>
    </row>
    <row r="2026" spans="1:3" x14ac:dyDescent="0.2">
      <c r="A2026" s="6"/>
      <c r="B2026" s="3"/>
      <c r="C2026" s="6"/>
    </row>
    <row r="2027" spans="1:3" x14ac:dyDescent="0.2">
      <c r="A2027" s="6"/>
      <c r="B2027" s="3"/>
      <c r="C2027" s="6"/>
    </row>
    <row r="2028" spans="1:3" x14ac:dyDescent="0.2">
      <c r="A2028" s="6"/>
      <c r="B2028" s="3"/>
      <c r="C2028" s="6"/>
    </row>
    <row r="2029" spans="1:3" x14ac:dyDescent="0.2">
      <c r="A2029" s="6"/>
      <c r="B2029" s="3"/>
      <c r="C2029" s="6"/>
    </row>
    <row r="2030" spans="1:3" x14ac:dyDescent="0.2">
      <c r="A2030" s="6"/>
      <c r="B2030" s="3"/>
      <c r="C2030" s="6"/>
    </row>
    <row r="2031" spans="1:3" x14ac:dyDescent="0.2">
      <c r="A2031" s="6"/>
      <c r="B2031" s="3"/>
      <c r="C2031" s="6"/>
    </row>
    <row r="2032" spans="1:3" x14ac:dyDescent="0.2">
      <c r="A2032" s="6"/>
      <c r="B2032" s="3"/>
      <c r="C2032" s="6"/>
    </row>
    <row r="2033" spans="1:3" x14ac:dyDescent="0.2">
      <c r="A2033" s="6"/>
      <c r="B2033" s="3"/>
      <c r="C2033" s="6"/>
    </row>
    <row r="2034" spans="1:3" x14ac:dyDescent="0.2">
      <c r="A2034" s="6"/>
      <c r="B2034" s="3"/>
      <c r="C2034" s="6"/>
    </row>
    <row r="2035" spans="1:3" x14ac:dyDescent="0.2">
      <c r="A2035" s="6"/>
      <c r="B2035" s="3"/>
      <c r="C2035" s="6"/>
    </row>
    <row r="2036" spans="1:3" x14ac:dyDescent="0.2">
      <c r="A2036" s="6"/>
      <c r="B2036" s="3"/>
      <c r="C2036" s="6"/>
    </row>
    <row r="2037" spans="1:3" x14ac:dyDescent="0.2">
      <c r="A2037" s="6"/>
      <c r="B2037" s="3"/>
      <c r="C2037" s="6"/>
    </row>
    <row r="2038" spans="1:3" x14ac:dyDescent="0.2">
      <c r="A2038" s="6"/>
      <c r="B2038" s="3"/>
      <c r="C2038" s="6"/>
    </row>
    <row r="2039" spans="1:3" x14ac:dyDescent="0.2">
      <c r="A2039" s="6"/>
      <c r="B2039" s="3"/>
      <c r="C2039" s="6"/>
    </row>
    <row r="2040" spans="1:3" x14ac:dyDescent="0.2">
      <c r="A2040" s="6"/>
      <c r="B2040" s="3"/>
      <c r="C2040" s="6"/>
    </row>
    <row r="2041" spans="1:3" x14ac:dyDescent="0.2">
      <c r="A2041" s="6"/>
      <c r="B2041" s="3"/>
      <c r="C2041" s="6"/>
    </row>
    <row r="2042" spans="1:3" x14ac:dyDescent="0.2">
      <c r="A2042" s="6"/>
      <c r="B2042" s="3"/>
      <c r="C2042" s="6"/>
    </row>
    <row r="2043" spans="1:3" x14ac:dyDescent="0.2">
      <c r="A2043" s="6"/>
      <c r="B2043" s="3"/>
      <c r="C2043" s="6"/>
    </row>
    <row r="2044" spans="1:3" x14ac:dyDescent="0.2">
      <c r="A2044" s="6"/>
      <c r="B2044" s="3"/>
      <c r="C2044" s="6"/>
    </row>
    <row r="2045" spans="1:3" x14ac:dyDescent="0.2">
      <c r="A2045" s="6"/>
      <c r="B2045" s="3"/>
      <c r="C2045" s="6"/>
    </row>
    <row r="2046" spans="1:3" x14ac:dyDescent="0.2">
      <c r="A2046" s="6"/>
      <c r="B2046" s="3"/>
      <c r="C2046" s="6"/>
    </row>
    <row r="2047" spans="1:3" x14ac:dyDescent="0.2">
      <c r="A2047" s="6"/>
      <c r="B2047" s="3"/>
      <c r="C2047" s="6"/>
    </row>
    <row r="2048" spans="1:3" x14ac:dyDescent="0.2">
      <c r="A2048" s="6"/>
      <c r="B2048" s="3"/>
      <c r="C2048" s="6"/>
    </row>
    <row r="2049" spans="1:3" x14ac:dyDescent="0.2">
      <c r="A2049" s="6"/>
      <c r="B2049" s="3"/>
      <c r="C2049" s="6"/>
    </row>
    <row r="2050" spans="1:3" x14ac:dyDescent="0.2">
      <c r="A2050" s="6"/>
      <c r="B2050" s="3"/>
      <c r="C2050" s="6"/>
    </row>
    <row r="2051" spans="1:3" x14ac:dyDescent="0.2">
      <c r="A2051" s="6"/>
      <c r="B2051" s="3"/>
      <c r="C2051" s="6"/>
    </row>
    <row r="2052" spans="1:3" x14ac:dyDescent="0.2">
      <c r="A2052" s="6"/>
      <c r="B2052" s="3"/>
      <c r="C2052" s="6"/>
    </row>
    <row r="2053" spans="1:3" x14ac:dyDescent="0.2">
      <c r="A2053" s="6"/>
      <c r="B2053" s="3"/>
      <c r="C2053" s="6"/>
    </row>
    <row r="2054" spans="1:3" x14ac:dyDescent="0.2">
      <c r="A2054" s="6"/>
      <c r="B2054" s="3"/>
      <c r="C2054" s="6"/>
    </row>
    <row r="2055" spans="1:3" x14ac:dyDescent="0.2">
      <c r="A2055" s="6"/>
      <c r="B2055" s="3"/>
      <c r="C2055" s="6"/>
    </row>
    <row r="2056" spans="1:3" x14ac:dyDescent="0.2">
      <c r="A2056" s="6"/>
      <c r="B2056" s="3"/>
      <c r="C2056" s="6"/>
    </row>
    <row r="2057" spans="1:3" x14ac:dyDescent="0.2">
      <c r="A2057" s="6"/>
      <c r="B2057" s="3"/>
      <c r="C2057" s="6"/>
    </row>
    <row r="2058" spans="1:3" x14ac:dyDescent="0.2">
      <c r="A2058" s="6"/>
      <c r="B2058" s="3"/>
      <c r="C2058" s="6"/>
    </row>
    <row r="2059" spans="1:3" x14ac:dyDescent="0.2">
      <c r="A2059" s="6"/>
      <c r="B2059" s="3"/>
      <c r="C2059" s="6"/>
    </row>
    <row r="2060" spans="1:3" x14ac:dyDescent="0.2">
      <c r="A2060" s="6"/>
      <c r="B2060" s="3"/>
      <c r="C2060" s="6"/>
    </row>
    <row r="2061" spans="1:3" x14ac:dyDescent="0.2">
      <c r="A2061" s="6"/>
      <c r="B2061" s="3"/>
      <c r="C2061" s="6"/>
    </row>
    <row r="2062" spans="1:3" x14ac:dyDescent="0.2">
      <c r="A2062" s="6"/>
      <c r="B2062" s="3"/>
      <c r="C2062" s="6"/>
    </row>
    <row r="2063" spans="1:3" x14ac:dyDescent="0.2">
      <c r="A2063" s="6"/>
      <c r="B2063" s="3"/>
      <c r="C2063" s="6"/>
    </row>
    <row r="2064" spans="1:3" x14ac:dyDescent="0.2">
      <c r="A2064" s="6"/>
      <c r="B2064" s="3"/>
      <c r="C2064" s="6"/>
    </row>
    <row r="2065" spans="1:3" x14ac:dyDescent="0.2">
      <c r="A2065" s="6"/>
      <c r="B2065" s="3"/>
      <c r="C2065" s="6"/>
    </row>
    <row r="2066" spans="1:3" x14ac:dyDescent="0.2">
      <c r="A2066" s="6"/>
      <c r="B2066" s="3"/>
      <c r="C2066" s="6"/>
    </row>
    <row r="2067" spans="1:3" x14ac:dyDescent="0.2">
      <c r="A2067" s="6"/>
      <c r="B2067" s="3"/>
      <c r="C2067" s="6"/>
    </row>
    <row r="2068" spans="1:3" x14ac:dyDescent="0.2">
      <c r="A2068" s="6"/>
      <c r="B2068" s="3"/>
      <c r="C2068" s="6"/>
    </row>
    <row r="2069" spans="1:3" x14ac:dyDescent="0.2">
      <c r="A2069" s="6"/>
      <c r="B2069" s="3"/>
      <c r="C2069" s="6"/>
    </row>
    <row r="2070" spans="1:3" x14ac:dyDescent="0.2">
      <c r="A2070" s="6"/>
      <c r="B2070" s="3"/>
      <c r="C2070" s="6"/>
    </row>
    <row r="2071" spans="1:3" x14ac:dyDescent="0.2">
      <c r="A2071" s="6"/>
      <c r="B2071" s="3"/>
      <c r="C2071" s="6"/>
    </row>
    <row r="2072" spans="1:3" x14ac:dyDescent="0.2">
      <c r="A2072" s="6"/>
      <c r="B2072" s="3"/>
      <c r="C2072" s="6"/>
    </row>
    <row r="2073" spans="1:3" x14ac:dyDescent="0.2">
      <c r="A2073" s="6"/>
      <c r="B2073" s="3"/>
      <c r="C2073" s="6"/>
    </row>
    <row r="2074" spans="1:3" x14ac:dyDescent="0.2">
      <c r="A2074" s="6"/>
      <c r="B2074" s="3"/>
      <c r="C2074" s="6"/>
    </row>
    <row r="2075" spans="1:3" x14ac:dyDescent="0.2">
      <c r="A2075" s="6"/>
      <c r="B2075" s="3"/>
      <c r="C2075" s="6"/>
    </row>
    <row r="2076" spans="1:3" x14ac:dyDescent="0.2">
      <c r="A2076" s="6"/>
      <c r="B2076" s="3"/>
      <c r="C2076" s="6"/>
    </row>
    <row r="2077" spans="1:3" x14ac:dyDescent="0.2">
      <c r="A2077" s="6"/>
      <c r="B2077" s="3"/>
      <c r="C2077" s="6"/>
    </row>
    <row r="2078" spans="1:3" x14ac:dyDescent="0.2">
      <c r="A2078" s="6"/>
      <c r="B2078" s="3"/>
      <c r="C2078" s="6"/>
    </row>
    <row r="2079" spans="1:3" x14ac:dyDescent="0.2">
      <c r="A2079" s="6"/>
      <c r="B2079" s="3"/>
      <c r="C2079" s="6"/>
    </row>
    <row r="2080" spans="1:3" x14ac:dyDescent="0.2">
      <c r="A2080" s="6"/>
      <c r="B2080" s="3"/>
      <c r="C2080" s="6"/>
    </row>
    <row r="2081" spans="1:3" x14ac:dyDescent="0.2">
      <c r="A2081" s="6"/>
      <c r="B2081" s="3"/>
      <c r="C2081" s="6"/>
    </row>
    <row r="2082" spans="1:3" x14ac:dyDescent="0.2">
      <c r="A2082" s="6"/>
      <c r="B2082" s="3"/>
      <c r="C2082" s="6"/>
    </row>
    <row r="2083" spans="1:3" x14ac:dyDescent="0.2">
      <c r="A2083" s="6"/>
      <c r="B2083" s="3"/>
      <c r="C2083" s="6"/>
    </row>
    <row r="2084" spans="1:3" x14ac:dyDescent="0.2">
      <c r="A2084" s="6"/>
      <c r="B2084" s="3"/>
      <c r="C2084" s="6"/>
    </row>
    <row r="2085" spans="1:3" x14ac:dyDescent="0.2">
      <c r="A2085" s="6"/>
      <c r="B2085" s="3"/>
      <c r="C2085" s="6"/>
    </row>
    <row r="2086" spans="1:3" x14ac:dyDescent="0.2">
      <c r="A2086" s="6"/>
      <c r="B2086" s="3"/>
      <c r="C2086" s="6"/>
    </row>
    <row r="2087" spans="1:3" x14ac:dyDescent="0.2">
      <c r="A2087" s="6"/>
      <c r="B2087" s="3"/>
      <c r="C2087" s="6"/>
    </row>
    <row r="2088" spans="1:3" x14ac:dyDescent="0.2">
      <c r="A2088" s="6"/>
      <c r="B2088" s="3"/>
      <c r="C2088" s="6"/>
    </row>
    <row r="2089" spans="1:3" x14ac:dyDescent="0.2">
      <c r="A2089" s="6"/>
      <c r="B2089" s="3"/>
      <c r="C2089" s="6"/>
    </row>
    <row r="2090" spans="1:3" x14ac:dyDescent="0.2">
      <c r="A2090" s="6"/>
      <c r="B2090" s="3"/>
      <c r="C2090" s="6"/>
    </row>
    <row r="2091" spans="1:3" x14ac:dyDescent="0.2">
      <c r="A2091" s="6"/>
      <c r="B2091" s="3"/>
      <c r="C2091" s="6"/>
    </row>
    <row r="2092" spans="1:3" x14ac:dyDescent="0.2">
      <c r="A2092" s="6"/>
      <c r="B2092" s="3"/>
      <c r="C2092" s="6"/>
    </row>
    <row r="2093" spans="1:3" x14ac:dyDescent="0.2">
      <c r="A2093" s="6"/>
      <c r="B2093" s="3"/>
      <c r="C2093" s="6"/>
    </row>
    <row r="2094" spans="1:3" x14ac:dyDescent="0.2">
      <c r="A2094" s="6"/>
      <c r="B2094" s="3"/>
      <c r="C2094" s="6"/>
    </row>
    <row r="2095" spans="1:3" x14ac:dyDescent="0.2">
      <c r="A2095" s="6"/>
      <c r="B2095" s="3"/>
      <c r="C2095" s="6"/>
    </row>
    <row r="2096" spans="1:3" x14ac:dyDescent="0.2">
      <c r="A2096" s="6"/>
      <c r="B2096" s="3"/>
      <c r="C2096" s="6"/>
    </row>
    <row r="2097" spans="1:3" x14ac:dyDescent="0.2">
      <c r="A2097" s="6"/>
      <c r="B2097" s="3"/>
      <c r="C2097" s="6"/>
    </row>
    <row r="2098" spans="1:3" x14ac:dyDescent="0.2">
      <c r="A2098" s="6"/>
      <c r="B2098" s="3"/>
      <c r="C2098" s="6"/>
    </row>
    <row r="2099" spans="1:3" x14ac:dyDescent="0.2">
      <c r="A2099" s="6"/>
      <c r="B2099" s="3"/>
      <c r="C2099" s="6"/>
    </row>
    <row r="2100" spans="1:3" x14ac:dyDescent="0.2">
      <c r="A2100" s="6"/>
      <c r="B2100" s="3"/>
      <c r="C2100" s="6"/>
    </row>
    <row r="2101" spans="1:3" x14ac:dyDescent="0.2">
      <c r="A2101" s="6"/>
      <c r="B2101" s="3"/>
      <c r="C2101" s="6"/>
    </row>
    <row r="2102" spans="1:3" x14ac:dyDescent="0.2">
      <c r="A2102" s="6"/>
      <c r="B2102" s="3"/>
      <c r="C2102" s="6"/>
    </row>
    <row r="2103" spans="1:3" x14ac:dyDescent="0.2">
      <c r="A2103" s="6"/>
      <c r="B2103" s="3"/>
      <c r="C2103" s="6"/>
    </row>
    <row r="2104" spans="1:3" x14ac:dyDescent="0.2">
      <c r="A2104" s="6"/>
      <c r="B2104" s="3"/>
      <c r="C2104" s="6"/>
    </row>
    <row r="2105" spans="1:3" x14ac:dyDescent="0.2">
      <c r="A2105" s="6"/>
      <c r="B2105" s="3"/>
      <c r="C2105" s="6"/>
    </row>
    <row r="2106" spans="1:3" x14ac:dyDescent="0.2">
      <c r="A2106" s="6"/>
      <c r="B2106" s="3"/>
      <c r="C2106" s="6"/>
    </row>
    <row r="2107" spans="1:3" x14ac:dyDescent="0.2">
      <c r="A2107" s="6"/>
      <c r="B2107" s="3"/>
      <c r="C2107" s="6"/>
    </row>
    <row r="2108" spans="1:3" x14ac:dyDescent="0.2">
      <c r="A2108" s="6"/>
      <c r="B2108" s="3"/>
      <c r="C2108" s="6"/>
    </row>
    <row r="2109" spans="1:3" x14ac:dyDescent="0.2">
      <c r="A2109" s="6"/>
      <c r="B2109" s="3"/>
      <c r="C2109" s="6"/>
    </row>
    <row r="2110" spans="1:3" x14ac:dyDescent="0.2">
      <c r="A2110" s="6"/>
      <c r="B2110" s="3"/>
      <c r="C2110" s="6"/>
    </row>
    <row r="2111" spans="1:3" x14ac:dyDescent="0.2">
      <c r="A2111" s="6"/>
      <c r="B2111" s="3"/>
      <c r="C2111" s="6"/>
    </row>
    <row r="2112" spans="1:3" x14ac:dyDescent="0.2">
      <c r="A2112" s="6"/>
      <c r="B2112" s="3"/>
      <c r="C2112" s="6"/>
    </row>
    <row r="2113" spans="1:3" x14ac:dyDescent="0.2">
      <c r="A2113" s="6"/>
      <c r="B2113" s="3"/>
      <c r="C2113" s="6"/>
    </row>
    <row r="2114" spans="1:3" x14ac:dyDescent="0.2">
      <c r="A2114" s="6"/>
      <c r="B2114" s="3"/>
      <c r="C2114" s="6"/>
    </row>
    <row r="2115" spans="1:3" x14ac:dyDescent="0.2">
      <c r="A2115" s="6"/>
      <c r="B2115" s="3"/>
      <c r="C2115" s="6"/>
    </row>
    <row r="2116" spans="1:3" x14ac:dyDescent="0.2">
      <c r="A2116" s="6"/>
      <c r="B2116" s="3"/>
      <c r="C2116" s="6"/>
    </row>
    <row r="2117" spans="1:3" x14ac:dyDescent="0.2">
      <c r="A2117" s="6"/>
      <c r="B2117" s="3"/>
      <c r="C2117" s="6"/>
    </row>
    <row r="2118" spans="1:3" x14ac:dyDescent="0.2">
      <c r="A2118" s="6"/>
      <c r="B2118" s="3"/>
      <c r="C2118" s="6"/>
    </row>
    <row r="2119" spans="1:3" x14ac:dyDescent="0.2">
      <c r="A2119" s="6"/>
      <c r="B2119" s="3"/>
      <c r="C2119" s="6"/>
    </row>
    <row r="2120" spans="1:3" x14ac:dyDescent="0.2">
      <c r="A2120" s="6"/>
      <c r="B2120" s="3"/>
      <c r="C2120" s="6"/>
    </row>
    <row r="2121" spans="1:3" x14ac:dyDescent="0.2">
      <c r="A2121" s="6"/>
      <c r="B2121" s="3"/>
      <c r="C2121" s="6"/>
    </row>
    <row r="2122" spans="1:3" x14ac:dyDescent="0.2">
      <c r="A2122" s="6"/>
      <c r="B2122" s="3"/>
      <c r="C2122" s="6"/>
    </row>
    <row r="2123" spans="1:3" x14ac:dyDescent="0.2">
      <c r="A2123" s="6"/>
      <c r="B2123" s="3"/>
      <c r="C2123" s="6"/>
    </row>
    <row r="2124" spans="1:3" x14ac:dyDescent="0.2">
      <c r="A2124" s="6"/>
      <c r="B2124" s="3"/>
      <c r="C2124" s="6"/>
    </row>
    <row r="2125" spans="1:3" x14ac:dyDescent="0.2">
      <c r="A2125" s="6"/>
      <c r="B2125" s="3"/>
      <c r="C2125" s="6"/>
    </row>
    <row r="2126" spans="1:3" x14ac:dyDescent="0.2">
      <c r="A2126" s="6"/>
      <c r="B2126" s="3"/>
      <c r="C2126" s="6"/>
    </row>
    <row r="2127" spans="1:3" x14ac:dyDescent="0.2">
      <c r="A2127" s="6"/>
      <c r="B2127" s="3"/>
      <c r="C2127" s="6"/>
    </row>
    <row r="2128" spans="1:3" x14ac:dyDescent="0.2">
      <c r="A2128" s="6"/>
      <c r="B2128" s="3"/>
      <c r="C2128" s="6"/>
    </row>
    <row r="2129" spans="1:3" x14ac:dyDescent="0.2">
      <c r="A2129" s="6"/>
      <c r="B2129" s="3"/>
      <c r="C2129" s="6"/>
    </row>
    <row r="2130" spans="1:3" x14ac:dyDescent="0.2">
      <c r="A2130" s="6"/>
      <c r="B2130" s="3"/>
      <c r="C2130" s="6"/>
    </row>
    <row r="2131" spans="1:3" x14ac:dyDescent="0.2">
      <c r="A2131" s="6"/>
      <c r="B2131" s="3"/>
      <c r="C2131" s="6"/>
    </row>
    <row r="2132" spans="1:3" x14ac:dyDescent="0.2">
      <c r="A2132" s="6"/>
      <c r="B2132" s="3"/>
      <c r="C2132" s="6"/>
    </row>
    <row r="2133" spans="1:3" x14ac:dyDescent="0.2">
      <c r="A2133" s="6"/>
      <c r="B2133" s="3"/>
      <c r="C2133" s="6"/>
    </row>
    <row r="2134" spans="1:3" x14ac:dyDescent="0.2">
      <c r="A2134" s="6"/>
      <c r="B2134" s="3"/>
      <c r="C2134" s="6"/>
    </row>
    <row r="2135" spans="1:3" x14ac:dyDescent="0.2">
      <c r="A2135" s="6"/>
      <c r="B2135" s="3"/>
      <c r="C2135" s="6"/>
    </row>
    <row r="2136" spans="1:3" x14ac:dyDescent="0.2">
      <c r="A2136" s="6"/>
      <c r="B2136" s="3"/>
      <c r="C2136" s="6"/>
    </row>
    <row r="2137" spans="1:3" x14ac:dyDescent="0.2">
      <c r="A2137" s="6"/>
      <c r="B2137" s="3"/>
      <c r="C2137" s="6"/>
    </row>
    <row r="2138" spans="1:3" x14ac:dyDescent="0.2">
      <c r="A2138" s="6"/>
      <c r="B2138" s="3"/>
      <c r="C2138" s="6"/>
    </row>
    <row r="2139" spans="1:3" x14ac:dyDescent="0.2">
      <c r="A2139" s="6"/>
      <c r="B2139" s="3"/>
      <c r="C2139" s="6"/>
    </row>
    <row r="2140" spans="1:3" x14ac:dyDescent="0.2">
      <c r="A2140" s="6"/>
      <c r="B2140" s="3"/>
      <c r="C2140" s="6"/>
    </row>
    <row r="2141" spans="1:3" x14ac:dyDescent="0.2">
      <c r="A2141" s="6"/>
      <c r="B2141" s="3"/>
      <c r="C2141" s="6"/>
    </row>
    <row r="2142" spans="1:3" x14ac:dyDescent="0.2">
      <c r="A2142" s="6"/>
      <c r="B2142" s="3"/>
      <c r="C2142" s="6"/>
    </row>
    <row r="2143" spans="1:3" x14ac:dyDescent="0.2">
      <c r="A2143" s="6"/>
      <c r="B2143" s="3"/>
      <c r="C2143" s="6"/>
    </row>
    <row r="2144" spans="1:3" x14ac:dyDescent="0.2">
      <c r="A2144" s="6"/>
      <c r="B2144" s="3"/>
      <c r="C2144" s="6"/>
    </row>
    <row r="2145" spans="1:3" x14ac:dyDescent="0.2">
      <c r="A2145" s="6"/>
      <c r="B2145" s="3"/>
      <c r="C2145" s="6"/>
    </row>
    <row r="2146" spans="1:3" x14ac:dyDescent="0.2">
      <c r="A2146" s="6"/>
      <c r="B2146" s="3"/>
      <c r="C2146" s="6"/>
    </row>
    <row r="2147" spans="1:3" x14ac:dyDescent="0.2">
      <c r="A2147" s="6"/>
      <c r="B2147" s="3"/>
      <c r="C2147" s="6"/>
    </row>
    <row r="2148" spans="1:3" x14ac:dyDescent="0.2">
      <c r="A2148" s="6"/>
      <c r="B2148" s="3"/>
      <c r="C2148" s="6"/>
    </row>
    <row r="2149" spans="1:3" x14ac:dyDescent="0.2">
      <c r="A2149" s="6"/>
      <c r="B2149" s="3"/>
      <c r="C2149" s="6"/>
    </row>
    <row r="2150" spans="1:3" x14ac:dyDescent="0.2">
      <c r="A2150" s="6"/>
      <c r="B2150" s="3"/>
      <c r="C2150" s="6"/>
    </row>
    <row r="2151" spans="1:3" x14ac:dyDescent="0.2">
      <c r="A2151" s="6"/>
      <c r="B2151" s="3"/>
      <c r="C2151" s="6"/>
    </row>
    <row r="2152" spans="1:3" x14ac:dyDescent="0.2">
      <c r="A2152" s="6"/>
      <c r="B2152" s="3"/>
      <c r="C2152" s="6"/>
    </row>
    <row r="2153" spans="1:3" x14ac:dyDescent="0.2">
      <c r="A2153" s="6"/>
      <c r="B2153" s="3"/>
      <c r="C2153" s="6"/>
    </row>
    <row r="2154" spans="1:3" x14ac:dyDescent="0.2">
      <c r="A2154" s="6"/>
      <c r="B2154" s="3"/>
      <c r="C2154" s="6"/>
    </row>
    <row r="2155" spans="1:3" x14ac:dyDescent="0.2">
      <c r="A2155" s="6"/>
      <c r="B2155" s="3"/>
      <c r="C2155" s="6"/>
    </row>
    <row r="2156" spans="1:3" x14ac:dyDescent="0.2">
      <c r="A2156" s="6"/>
      <c r="B2156" s="3"/>
      <c r="C2156" s="6"/>
    </row>
    <row r="2157" spans="1:3" x14ac:dyDescent="0.2">
      <c r="A2157" s="6"/>
      <c r="B2157" s="3"/>
      <c r="C2157" s="6"/>
    </row>
    <row r="2158" spans="1:3" x14ac:dyDescent="0.2">
      <c r="A2158" s="6"/>
      <c r="B2158" s="3"/>
      <c r="C2158" s="6"/>
    </row>
    <row r="2159" spans="1:3" x14ac:dyDescent="0.2">
      <c r="A2159" s="6"/>
      <c r="B2159" s="3"/>
      <c r="C2159" s="6"/>
    </row>
    <row r="2160" spans="1:3" x14ac:dyDescent="0.2">
      <c r="A2160" s="6"/>
      <c r="B2160" s="3"/>
      <c r="C2160" s="6"/>
    </row>
    <row r="2161" spans="1:3" x14ac:dyDescent="0.2">
      <c r="A2161" s="6"/>
      <c r="B2161" s="3"/>
      <c r="C2161" s="6"/>
    </row>
    <row r="2162" spans="1:3" x14ac:dyDescent="0.2">
      <c r="A2162" s="6"/>
      <c r="B2162" s="3"/>
      <c r="C2162" s="6"/>
    </row>
    <row r="2163" spans="1:3" x14ac:dyDescent="0.2">
      <c r="A2163" s="6"/>
      <c r="B2163" s="3"/>
      <c r="C2163" s="6"/>
    </row>
    <row r="2164" spans="1:3" x14ac:dyDescent="0.2">
      <c r="A2164" s="6"/>
      <c r="B2164" s="3"/>
      <c r="C2164" s="6"/>
    </row>
    <row r="2165" spans="1:3" x14ac:dyDescent="0.2">
      <c r="A2165" s="6"/>
      <c r="B2165" s="3"/>
      <c r="C2165" s="6"/>
    </row>
    <row r="2166" spans="1:3" x14ac:dyDescent="0.2">
      <c r="A2166" s="6"/>
      <c r="B2166" s="3"/>
      <c r="C2166" s="6"/>
    </row>
    <row r="2167" spans="1:3" x14ac:dyDescent="0.2">
      <c r="A2167" s="6"/>
      <c r="B2167" s="3"/>
      <c r="C2167" s="6"/>
    </row>
    <row r="2168" spans="1:3" x14ac:dyDescent="0.2">
      <c r="A2168" s="6"/>
      <c r="B2168" s="3"/>
      <c r="C2168" s="6"/>
    </row>
    <row r="2169" spans="1:3" x14ac:dyDescent="0.2">
      <c r="A2169" s="6"/>
      <c r="B2169" s="3"/>
      <c r="C2169" s="6"/>
    </row>
    <row r="2170" spans="1:3" x14ac:dyDescent="0.2">
      <c r="A2170" s="6"/>
      <c r="B2170" s="3"/>
      <c r="C2170" s="6"/>
    </row>
    <row r="2171" spans="1:3" x14ac:dyDescent="0.2">
      <c r="A2171" s="6"/>
      <c r="B2171" s="3"/>
      <c r="C2171" s="6"/>
    </row>
    <row r="2172" spans="1:3" x14ac:dyDescent="0.2">
      <c r="A2172" s="6"/>
      <c r="B2172" s="3"/>
      <c r="C2172" s="6"/>
    </row>
    <row r="2173" spans="1:3" x14ac:dyDescent="0.2">
      <c r="A2173" s="6"/>
      <c r="B2173" s="3"/>
      <c r="C2173" s="6"/>
    </row>
    <row r="2174" spans="1:3" x14ac:dyDescent="0.2">
      <c r="A2174" s="6"/>
      <c r="B2174" s="3"/>
      <c r="C2174" s="6"/>
    </row>
    <row r="2175" spans="1:3" x14ac:dyDescent="0.2">
      <c r="A2175" s="6"/>
      <c r="B2175" s="3"/>
      <c r="C2175" s="6"/>
    </row>
    <row r="2176" spans="1:3" x14ac:dyDescent="0.2">
      <c r="A2176" s="6"/>
      <c r="B2176" s="3"/>
      <c r="C2176" s="6"/>
    </row>
    <row r="2177" spans="1:3" x14ac:dyDescent="0.2">
      <c r="A2177" s="6"/>
      <c r="B2177" s="3"/>
      <c r="C2177" s="6"/>
    </row>
    <row r="2178" spans="1:3" x14ac:dyDescent="0.2">
      <c r="A2178" s="6"/>
      <c r="B2178" s="3"/>
      <c r="C2178" s="6"/>
    </row>
    <row r="2179" spans="1:3" x14ac:dyDescent="0.2">
      <c r="A2179" s="6"/>
      <c r="B2179" s="3"/>
      <c r="C2179" s="6"/>
    </row>
    <row r="2180" spans="1:3" x14ac:dyDescent="0.2">
      <c r="A2180" s="6"/>
      <c r="B2180" s="3"/>
      <c r="C2180" s="6"/>
    </row>
    <row r="2181" spans="1:3" x14ac:dyDescent="0.2">
      <c r="A2181" s="6"/>
      <c r="B2181" s="3"/>
      <c r="C2181" s="6"/>
    </row>
    <row r="2182" spans="1:3" x14ac:dyDescent="0.2">
      <c r="A2182" s="6"/>
      <c r="B2182" s="3"/>
      <c r="C2182" s="6"/>
    </row>
    <row r="2183" spans="1:3" x14ac:dyDescent="0.2">
      <c r="A2183" s="6"/>
      <c r="B2183" s="3"/>
      <c r="C2183" s="6"/>
    </row>
    <row r="2184" spans="1:3" x14ac:dyDescent="0.2">
      <c r="A2184" s="6"/>
      <c r="B2184" s="3"/>
      <c r="C2184" s="6"/>
    </row>
    <row r="2185" spans="1:3" x14ac:dyDescent="0.2">
      <c r="A2185" s="6"/>
      <c r="B2185" s="3"/>
      <c r="C2185" s="6"/>
    </row>
    <row r="2186" spans="1:3" x14ac:dyDescent="0.2">
      <c r="A2186" s="6"/>
      <c r="B2186" s="3"/>
      <c r="C2186" s="6"/>
    </row>
    <row r="2187" spans="1:3" x14ac:dyDescent="0.2">
      <c r="A2187" s="6"/>
      <c r="B2187" s="3"/>
      <c r="C2187" s="6"/>
    </row>
    <row r="2188" spans="1:3" x14ac:dyDescent="0.2">
      <c r="A2188" s="6"/>
      <c r="B2188" s="3"/>
      <c r="C2188" s="6"/>
    </row>
    <row r="2189" spans="1:3" x14ac:dyDescent="0.2">
      <c r="A2189" s="6"/>
      <c r="B2189" s="3"/>
      <c r="C2189" s="6"/>
    </row>
    <row r="2190" spans="1:3" x14ac:dyDescent="0.2">
      <c r="A2190" s="6"/>
      <c r="B2190" s="3"/>
      <c r="C2190" s="6"/>
    </row>
    <row r="2191" spans="1:3" x14ac:dyDescent="0.2">
      <c r="A2191" s="6"/>
      <c r="B2191" s="3"/>
      <c r="C2191" s="6"/>
    </row>
    <row r="2192" spans="1:3" x14ac:dyDescent="0.2">
      <c r="A2192" s="6"/>
      <c r="B2192" s="3"/>
      <c r="C2192" s="6"/>
    </row>
    <row r="2193" spans="1:3" x14ac:dyDescent="0.2">
      <c r="A2193" s="6"/>
      <c r="B2193" s="3"/>
      <c r="C2193" s="6"/>
    </row>
    <row r="2194" spans="1:3" x14ac:dyDescent="0.2">
      <c r="A2194" s="6"/>
      <c r="B2194" s="3"/>
      <c r="C2194" s="6"/>
    </row>
    <row r="2195" spans="1:3" x14ac:dyDescent="0.2">
      <c r="A2195" s="6"/>
      <c r="B2195" s="3"/>
      <c r="C2195" s="6"/>
    </row>
    <row r="2196" spans="1:3" x14ac:dyDescent="0.2">
      <c r="A2196" s="6"/>
      <c r="B2196" s="3"/>
      <c r="C2196" s="6"/>
    </row>
    <row r="2197" spans="1:3" x14ac:dyDescent="0.2">
      <c r="A2197" s="6"/>
      <c r="B2197" s="3"/>
      <c r="C2197" s="6"/>
    </row>
    <row r="2198" spans="1:3" x14ac:dyDescent="0.2">
      <c r="A2198" s="6"/>
      <c r="B2198" s="3"/>
      <c r="C2198" s="6"/>
    </row>
    <row r="2199" spans="1:3" x14ac:dyDescent="0.2">
      <c r="A2199" s="6"/>
      <c r="B2199" s="3"/>
      <c r="C2199" s="6"/>
    </row>
    <row r="2200" spans="1:3" x14ac:dyDescent="0.2">
      <c r="A2200" s="6"/>
      <c r="B2200" s="3"/>
      <c r="C2200" s="6"/>
    </row>
    <row r="2201" spans="1:3" x14ac:dyDescent="0.2">
      <c r="A2201" s="6"/>
      <c r="B2201" s="3"/>
      <c r="C2201" s="6"/>
    </row>
    <row r="2202" spans="1:3" x14ac:dyDescent="0.2">
      <c r="A2202" s="6"/>
      <c r="B2202" s="3"/>
      <c r="C2202" s="6"/>
    </row>
    <row r="2203" spans="1:3" x14ac:dyDescent="0.2">
      <c r="A2203" s="6"/>
      <c r="B2203" s="3"/>
      <c r="C2203" s="6"/>
    </row>
    <row r="2204" spans="1:3" x14ac:dyDescent="0.2">
      <c r="A2204" s="6"/>
      <c r="B2204" s="3"/>
      <c r="C2204" s="6"/>
    </row>
    <row r="2205" spans="1:3" x14ac:dyDescent="0.2">
      <c r="A2205" s="6"/>
      <c r="B2205" s="3"/>
      <c r="C2205" s="6"/>
    </row>
    <row r="2206" spans="1:3" x14ac:dyDescent="0.2">
      <c r="A2206" s="6"/>
      <c r="B2206" s="3"/>
      <c r="C2206" s="6"/>
    </row>
    <row r="2207" spans="1:3" x14ac:dyDescent="0.2">
      <c r="A2207" s="6"/>
      <c r="B2207" s="3"/>
      <c r="C2207" s="6"/>
    </row>
    <row r="2208" spans="1:3" x14ac:dyDescent="0.2">
      <c r="A2208" s="6"/>
      <c r="B2208" s="3"/>
      <c r="C2208" s="6"/>
    </row>
    <row r="2209" spans="1:3" x14ac:dyDescent="0.2">
      <c r="A2209" s="6"/>
      <c r="B2209" s="3"/>
      <c r="C2209" s="6"/>
    </row>
    <row r="2210" spans="1:3" x14ac:dyDescent="0.2">
      <c r="A2210" s="6"/>
      <c r="B2210" s="3"/>
      <c r="C2210" s="6"/>
    </row>
    <row r="2211" spans="1:3" x14ac:dyDescent="0.2">
      <c r="A2211" s="6"/>
      <c r="B2211" s="3"/>
      <c r="C2211" s="6"/>
    </row>
    <row r="2212" spans="1:3" x14ac:dyDescent="0.2">
      <c r="A2212" s="6"/>
      <c r="B2212" s="3"/>
      <c r="C2212" s="6"/>
    </row>
    <row r="2213" spans="1:3" x14ac:dyDescent="0.2">
      <c r="A2213" s="6"/>
      <c r="B2213" s="3"/>
      <c r="C2213" s="6"/>
    </row>
    <row r="2214" spans="1:3" x14ac:dyDescent="0.2">
      <c r="A2214" s="6"/>
      <c r="B2214" s="3"/>
      <c r="C2214" s="6"/>
    </row>
    <row r="2215" spans="1:3" x14ac:dyDescent="0.2">
      <c r="A2215" s="6"/>
      <c r="B2215" s="3"/>
      <c r="C2215" s="6"/>
    </row>
    <row r="2216" spans="1:3" x14ac:dyDescent="0.2">
      <c r="A2216" s="6"/>
      <c r="B2216" s="3"/>
      <c r="C2216" s="6"/>
    </row>
    <row r="2217" spans="1:3" x14ac:dyDescent="0.2">
      <c r="A2217" s="6"/>
      <c r="B2217" s="3"/>
      <c r="C2217" s="6"/>
    </row>
    <row r="2218" spans="1:3" x14ac:dyDescent="0.2">
      <c r="A2218" s="6"/>
      <c r="B2218" s="3"/>
      <c r="C2218" s="6"/>
    </row>
    <row r="2219" spans="1:3" x14ac:dyDescent="0.2">
      <c r="A2219" s="6"/>
      <c r="B2219" s="3"/>
      <c r="C2219" s="6"/>
    </row>
    <row r="2220" spans="1:3" x14ac:dyDescent="0.2">
      <c r="A2220" s="6"/>
      <c r="B2220" s="3"/>
      <c r="C2220" s="6"/>
    </row>
    <row r="2221" spans="1:3" x14ac:dyDescent="0.2">
      <c r="A2221" s="6"/>
      <c r="B2221" s="3"/>
      <c r="C2221" s="6"/>
    </row>
    <row r="2222" spans="1:3" x14ac:dyDescent="0.2">
      <c r="A2222" s="6"/>
      <c r="B2222" s="3"/>
      <c r="C2222" s="6"/>
    </row>
    <row r="2223" spans="1:3" x14ac:dyDescent="0.2">
      <c r="A2223" s="6"/>
      <c r="B2223" s="3"/>
      <c r="C2223" s="6"/>
    </row>
    <row r="2224" spans="1:3" x14ac:dyDescent="0.2">
      <c r="A2224" s="6"/>
      <c r="B2224" s="3"/>
      <c r="C2224" s="6"/>
    </row>
    <row r="2225" spans="1:3" x14ac:dyDescent="0.2">
      <c r="A2225" s="6"/>
      <c r="B2225" s="3"/>
      <c r="C2225" s="6"/>
    </row>
    <row r="2226" spans="1:3" x14ac:dyDescent="0.2">
      <c r="A2226" s="6"/>
      <c r="B2226" s="3"/>
      <c r="C2226" s="6"/>
    </row>
    <row r="2227" spans="1:3" x14ac:dyDescent="0.2">
      <c r="A2227" s="6"/>
      <c r="B2227" s="3"/>
      <c r="C2227" s="6"/>
    </row>
    <row r="2228" spans="1:3" x14ac:dyDescent="0.2">
      <c r="A2228" s="6"/>
      <c r="B2228" s="3"/>
      <c r="C2228" s="6"/>
    </row>
    <row r="2229" spans="1:3" x14ac:dyDescent="0.2">
      <c r="A2229" s="6"/>
      <c r="B2229" s="3"/>
      <c r="C2229" s="6"/>
    </row>
    <row r="2230" spans="1:3" x14ac:dyDescent="0.2">
      <c r="A2230" s="6"/>
      <c r="B2230" s="3"/>
      <c r="C2230" s="6"/>
    </row>
    <row r="2231" spans="1:3" x14ac:dyDescent="0.2">
      <c r="A2231" s="6"/>
      <c r="B2231" s="3"/>
      <c r="C2231" s="6"/>
    </row>
    <row r="2232" spans="1:3" x14ac:dyDescent="0.2">
      <c r="A2232" s="6"/>
      <c r="B2232" s="3"/>
      <c r="C2232" s="6"/>
    </row>
    <row r="2233" spans="1:3" x14ac:dyDescent="0.2">
      <c r="A2233" s="6"/>
      <c r="B2233" s="3"/>
      <c r="C2233" s="6"/>
    </row>
    <row r="2234" spans="1:3" x14ac:dyDescent="0.2">
      <c r="A2234" s="6"/>
      <c r="B2234" s="3"/>
      <c r="C2234" s="6"/>
    </row>
    <row r="2235" spans="1:3" x14ac:dyDescent="0.2">
      <c r="A2235" s="6"/>
      <c r="B2235" s="3"/>
      <c r="C2235" s="6"/>
    </row>
    <row r="2236" spans="1:3" x14ac:dyDescent="0.2">
      <c r="A2236" s="6"/>
      <c r="B2236" s="3"/>
      <c r="C2236" s="6"/>
    </row>
    <row r="2237" spans="1:3" x14ac:dyDescent="0.2">
      <c r="A2237" s="6"/>
      <c r="B2237" s="3"/>
      <c r="C2237" s="6"/>
    </row>
    <row r="2238" spans="1:3" x14ac:dyDescent="0.2">
      <c r="A2238" s="6"/>
      <c r="B2238" s="3"/>
      <c r="C2238" s="6"/>
    </row>
    <row r="2239" spans="1:3" x14ac:dyDescent="0.2">
      <c r="A2239" s="6"/>
      <c r="B2239" s="3"/>
      <c r="C2239" s="6"/>
    </row>
    <row r="2240" spans="1:3" x14ac:dyDescent="0.2">
      <c r="A2240" s="6"/>
      <c r="B2240" s="3"/>
      <c r="C2240" s="6"/>
    </row>
    <row r="2241" spans="1:3" x14ac:dyDescent="0.2">
      <c r="A2241" s="6"/>
      <c r="B2241" s="3"/>
      <c r="C2241" s="6"/>
    </row>
    <row r="2242" spans="1:3" x14ac:dyDescent="0.2">
      <c r="A2242" s="6"/>
      <c r="B2242" s="3"/>
      <c r="C2242" s="6"/>
    </row>
    <row r="2243" spans="1:3" x14ac:dyDescent="0.2">
      <c r="A2243" s="6"/>
      <c r="B2243" s="3"/>
      <c r="C2243" s="6"/>
    </row>
    <row r="2244" spans="1:3" x14ac:dyDescent="0.2">
      <c r="A2244" s="6"/>
      <c r="B2244" s="3"/>
      <c r="C2244" s="6"/>
    </row>
    <row r="2245" spans="1:3" x14ac:dyDescent="0.2">
      <c r="A2245" s="6"/>
      <c r="B2245" s="3"/>
      <c r="C2245" s="6"/>
    </row>
    <row r="2246" spans="1:3" x14ac:dyDescent="0.2">
      <c r="A2246" s="6"/>
      <c r="B2246" s="3"/>
      <c r="C2246" s="6"/>
    </row>
    <row r="2247" spans="1:3" x14ac:dyDescent="0.2">
      <c r="A2247" s="6"/>
      <c r="B2247" s="3"/>
      <c r="C2247" s="6"/>
    </row>
    <row r="2248" spans="1:3" x14ac:dyDescent="0.2">
      <c r="A2248" s="6"/>
      <c r="B2248" s="3"/>
      <c r="C2248" s="6"/>
    </row>
    <row r="2249" spans="1:3" x14ac:dyDescent="0.2">
      <c r="A2249" s="6"/>
      <c r="B2249" s="3"/>
      <c r="C2249" s="6"/>
    </row>
    <row r="2250" spans="1:3" x14ac:dyDescent="0.2">
      <c r="A2250" s="6"/>
      <c r="B2250" s="3"/>
      <c r="C2250" s="6"/>
    </row>
    <row r="2251" spans="1:3" x14ac:dyDescent="0.2">
      <c r="A2251" s="6"/>
      <c r="B2251" s="3"/>
      <c r="C2251" s="6"/>
    </row>
    <row r="2252" spans="1:3" x14ac:dyDescent="0.2">
      <c r="A2252" s="6"/>
      <c r="B2252" s="3"/>
      <c r="C2252" s="6"/>
    </row>
    <row r="2253" spans="1:3" x14ac:dyDescent="0.2">
      <c r="A2253" s="6"/>
      <c r="B2253" s="3"/>
      <c r="C2253" s="6"/>
    </row>
    <row r="2254" spans="1:3" x14ac:dyDescent="0.2">
      <c r="A2254" s="6"/>
      <c r="B2254" s="3"/>
      <c r="C2254" s="6"/>
    </row>
    <row r="2255" spans="1:3" x14ac:dyDescent="0.2">
      <c r="A2255" s="6"/>
      <c r="B2255" s="3"/>
      <c r="C2255" s="6"/>
    </row>
    <row r="2256" spans="1:3" x14ac:dyDescent="0.2">
      <c r="A2256" s="6"/>
      <c r="B2256" s="3"/>
      <c r="C2256" s="6"/>
    </row>
    <row r="2257" spans="1:3" x14ac:dyDescent="0.2">
      <c r="A2257" s="6"/>
      <c r="B2257" s="3"/>
      <c r="C2257" s="6"/>
    </row>
    <row r="2258" spans="1:3" x14ac:dyDescent="0.2">
      <c r="A2258" s="6"/>
      <c r="B2258" s="3"/>
      <c r="C2258" s="6"/>
    </row>
    <row r="2259" spans="1:3" x14ac:dyDescent="0.2">
      <c r="A2259" s="6"/>
      <c r="B2259" s="3"/>
      <c r="C2259" s="6"/>
    </row>
    <row r="2260" spans="1:3" x14ac:dyDescent="0.2">
      <c r="A2260" s="6"/>
      <c r="B2260" s="3"/>
      <c r="C2260" s="6"/>
    </row>
    <row r="2261" spans="1:3" x14ac:dyDescent="0.2">
      <c r="A2261" s="6"/>
      <c r="B2261" s="3"/>
      <c r="C2261" s="6"/>
    </row>
    <row r="2262" spans="1:3" x14ac:dyDescent="0.2">
      <c r="A2262" s="6"/>
      <c r="B2262" s="3"/>
      <c r="C2262" s="6"/>
    </row>
    <row r="2263" spans="1:3" x14ac:dyDescent="0.2">
      <c r="A2263" s="6"/>
      <c r="B2263" s="3"/>
      <c r="C2263" s="6"/>
    </row>
    <row r="2264" spans="1:3" x14ac:dyDescent="0.2">
      <c r="A2264" s="6"/>
      <c r="B2264" s="3"/>
      <c r="C2264" s="6"/>
    </row>
    <row r="2265" spans="1:3" x14ac:dyDescent="0.2">
      <c r="A2265" s="6"/>
      <c r="B2265" s="3"/>
      <c r="C2265" s="6"/>
    </row>
    <row r="2266" spans="1:3" x14ac:dyDescent="0.2">
      <c r="A2266" s="6"/>
      <c r="B2266" s="3"/>
      <c r="C2266" s="6"/>
    </row>
    <row r="2267" spans="1:3" x14ac:dyDescent="0.2">
      <c r="A2267" s="6"/>
      <c r="B2267" s="3"/>
      <c r="C2267" s="6"/>
    </row>
    <row r="2268" spans="1:3" x14ac:dyDescent="0.2">
      <c r="A2268" s="6"/>
      <c r="B2268" s="3"/>
      <c r="C2268" s="6"/>
    </row>
    <row r="2269" spans="1:3" x14ac:dyDescent="0.2">
      <c r="A2269" s="6"/>
      <c r="B2269" s="3"/>
      <c r="C2269" s="6"/>
    </row>
    <row r="2270" spans="1:3" x14ac:dyDescent="0.2">
      <c r="A2270" s="6"/>
      <c r="B2270" s="3"/>
      <c r="C2270" s="6"/>
    </row>
    <row r="2271" spans="1:3" x14ac:dyDescent="0.2">
      <c r="A2271" s="6"/>
      <c r="B2271" s="3"/>
      <c r="C2271" s="6"/>
    </row>
    <row r="2272" spans="1:3" x14ac:dyDescent="0.2">
      <c r="A2272" s="6"/>
      <c r="B2272" s="3"/>
      <c r="C2272" s="6"/>
    </row>
    <row r="2273" spans="1:3" x14ac:dyDescent="0.2">
      <c r="A2273" s="6"/>
      <c r="B2273" s="3"/>
      <c r="C2273" s="6"/>
    </row>
    <row r="2274" spans="1:3" x14ac:dyDescent="0.2">
      <c r="A2274" s="6"/>
      <c r="B2274" s="3"/>
      <c r="C2274" s="6"/>
    </row>
    <row r="2275" spans="1:3" x14ac:dyDescent="0.2">
      <c r="A2275" s="6"/>
      <c r="B2275" s="3"/>
      <c r="C2275" s="6"/>
    </row>
    <row r="2276" spans="1:3" x14ac:dyDescent="0.2">
      <c r="A2276" s="6"/>
      <c r="B2276" s="3"/>
      <c r="C2276" s="6"/>
    </row>
    <row r="2277" spans="1:3" x14ac:dyDescent="0.2">
      <c r="A2277" s="6"/>
      <c r="B2277" s="3"/>
      <c r="C2277" s="6"/>
    </row>
    <row r="2278" spans="1:3" x14ac:dyDescent="0.2">
      <c r="A2278" s="6"/>
      <c r="B2278" s="3"/>
      <c r="C2278" s="6"/>
    </row>
    <row r="2279" spans="1:3" x14ac:dyDescent="0.2">
      <c r="A2279" s="6"/>
      <c r="B2279" s="3"/>
      <c r="C2279" s="6"/>
    </row>
    <row r="2280" spans="1:3" x14ac:dyDescent="0.2">
      <c r="A2280" s="6"/>
      <c r="B2280" s="3"/>
      <c r="C2280" s="6"/>
    </row>
    <row r="2281" spans="1:3" x14ac:dyDescent="0.2">
      <c r="A2281" s="6"/>
      <c r="B2281" s="3"/>
      <c r="C2281" s="6"/>
    </row>
    <row r="2282" spans="1:3" x14ac:dyDescent="0.2">
      <c r="A2282" s="6"/>
      <c r="B2282" s="3"/>
      <c r="C2282" s="6"/>
    </row>
    <row r="2283" spans="1:3" x14ac:dyDescent="0.2">
      <c r="A2283" s="6"/>
      <c r="B2283" s="3"/>
      <c r="C2283" s="6"/>
    </row>
    <row r="2284" spans="1:3" x14ac:dyDescent="0.2">
      <c r="A2284" s="6"/>
      <c r="B2284" s="3"/>
      <c r="C2284" s="6"/>
    </row>
    <row r="2285" spans="1:3" x14ac:dyDescent="0.2">
      <c r="A2285" s="6"/>
      <c r="B2285" s="3"/>
      <c r="C2285" s="6"/>
    </row>
    <row r="2286" spans="1:3" x14ac:dyDescent="0.2">
      <c r="A2286" s="6"/>
      <c r="B2286" s="3"/>
      <c r="C2286" s="6"/>
    </row>
    <row r="2287" spans="1:3" x14ac:dyDescent="0.2">
      <c r="A2287" s="6"/>
      <c r="B2287" s="3"/>
      <c r="C2287" s="6"/>
    </row>
    <row r="2288" spans="1:3" x14ac:dyDescent="0.2">
      <c r="A2288" s="6"/>
      <c r="B2288" s="3"/>
      <c r="C2288" s="6"/>
    </row>
    <row r="2289" spans="1:3" x14ac:dyDescent="0.2">
      <c r="A2289" s="6"/>
      <c r="B2289" s="3"/>
      <c r="C2289" s="6"/>
    </row>
    <row r="2290" spans="1:3" x14ac:dyDescent="0.2">
      <c r="A2290" s="6"/>
      <c r="B2290" s="3"/>
      <c r="C2290" s="6"/>
    </row>
    <row r="2291" spans="1:3" x14ac:dyDescent="0.2">
      <c r="A2291" s="6"/>
      <c r="B2291" s="3"/>
      <c r="C2291" s="6"/>
    </row>
    <row r="2292" spans="1:3" x14ac:dyDescent="0.2">
      <c r="A2292" s="6"/>
      <c r="B2292" s="3"/>
      <c r="C2292" s="6"/>
    </row>
    <row r="2293" spans="1:3" x14ac:dyDescent="0.2">
      <c r="A2293" s="6"/>
      <c r="B2293" s="3"/>
      <c r="C2293" s="6"/>
    </row>
    <row r="2294" spans="1:3" x14ac:dyDescent="0.2">
      <c r="A2294" s="6"/>
      <c r="B2294" s="3"/>
      <c r="C2294" s="6"/>
    </row>
    <row r="2295" spans="1:3" x14ac:dyDescent="0.2">
      <c r="A2295" s="6"/>
      <c r="B2295" s="3"/>
      <c r="C2295" s="6"/>
    </row>
    <row r="2296" spans="1:3" x14ac:dyDescent="0.2">
      <c r="A2296" s="6"/>
      <c r="B2296" s="3"/>
      <c r="C2296" s="6"/>
    </row>
    <row r="2297" spans="1:3" x14ac:dyDescent="0.2">
      <c r="A2297" s="6"/>
      <c r="B2297" s="3"/>
      <c r="C2297" s="6"/>
    </row>
    <row r="2298" spans="1:3" x14ac:dyDescent="0.2">
      <c r="A2298" s="6"/>
      <c r="B2298" s="3"/>
      <c r="C2298" s="6"/>
    </row>
    <row r="2299" spans="1:3" x14ac:dyDescent="0.2">
      <c r="A2299" s="6"/>
      <c r="B2299" s="3"/>
      <c r="C2299" s="6"/>
    </row>
    <row r="2300" spans="1:3" x14ac:dyDescent="0.2">
      <c r="A2300" s="6"/>
      <c r="B2300" s="3"/>
      <c r="C2300" s="6"/>
    </row>
    <row r="2301" spans="1:3" x14ac:dyDescent="0.2">
      <c r="A2301" s="6"/>
      <c r="B2301" s="3"/>
      <c r="C2301" s="6"/>
    </row>
    <row r="2302" spans="1:3" x14ac:dyDescent="0.2">
      <c r="A2302" s="6"/>
      <c r="B2302" s="3"/>
      <c r="C2302" s="6"/>
    </row>
    <row r="2303" spans="1:3" x14ac:dyDescent="0.2">
      <c r="A2303" s="6"/>
      <c r="B2303" s="3"/>
      <c r="C2303" s="6"/>
    </row>
    <row r="2304" spans="1:3" x14ac:dyDescent="0.2">
      <c r="A2304" s="6"/>
      <c r="B2304" s="3"/>
      <c r="C2304" s="6"/>
    </row>
    <row r="2305" spans="1:3" x14ac:dyDescent="0.2">
      <c r="A2305" s="6"/>
      <c r="B2305" s="3"/>
      <c r="C2305" s="6"/>
    </row>
    <row r="2306" spans="1:3" x14ac:dyDescent="0.2">
      <c r="A2306" s="6"/>
      <c r="B2306" s="3"/>
      <c r="C2306" s="6"/>
    </row>
    <row r="2307" spans="1:3" x14ac:dyDescent="0.2">
      <c r="A2307" s="6"/>
      <c r="B2307" s="3"/>
      <c r="C2307" s="6"/>
    </row>
    <row r="2308" spans="1:3" x14ac:dyDescent="0.2">
      <c r="A2308" s="6"/>
      <c r="B2308" s="3"/>
      <c r="C2308" s="6"/>
    </row>
    <row r="2309" spans="1:3" x14ac:dyDescent="0.2">
      <c r="A2309" s="6"/>
      <c r="B2309" s="3"/>
      <c r="C2309" s="6"/>
    </row>
    <row r="2310" spans="1:3" x14ac:dyDescent="0.2">
      <c r="A2310" s="6"/>
      <c r="B2310" s="3"/>
      <c r="C2310" s="6"/>
    </row>
    <row r="2311" spans="1:3" x14ac:dyDescent="0.2">
      <c r="A2311" s="6"/>
      <c r="B2311" s="3"/>
      <c r="C2311" s="6"/>
    </row>
    <row r="2312" spans="1:3" x14ac:dyDescent="0.2">
      <c r="A2312" s="6"/>
      <c r="B2312" s="3"/>
      <c r="C2312" s="6"/>
    </row>
    <row r="2313" spans="1:3" x14ac:dyDescent="0.2">
      <c r="A2313" s="6"/>
      <c r="B2313" s="3"/>
      <c r="C2313" s="6"/>
    </row>
    <row r="2314" spans="1:3" x14ac:dyDescent="0.2">
      <c r="A2314" s="6"/>
      <c r="B2314" s="3"/>
      <c r="C2314" s="6"/>
    </row>
    <row r="2315" spans="1:3" x14ac:dyDescent="0.2">
      <c r="A2315" s="6"/>
      <c r="B2315" s="3"/>
      <c r="C2315" s="6"/>
    </row>
    <row r="2316" spans="1:3" x14ac:dyDescent="0.2">
      <c r="A2316" s="6"/>
      <c r="B2316" s="3"/>
      <c r="C2316" s="6"/>
    </row>
    <row r="2317" spans="1:3" x14ac:dyDescent="0.2">
      <c r="A2317" s="6"/>
      <c r="B2317" s="3"/>
      <c r="C2317" s="6"/>
    </row>
    <row r="2318" spans="1:3" x14ac:dyDescent="0.2">
      <c r="A2318" s="6"/>
      <c r="B2318" s="3"/>
      <c r="C2318" s="6"/>
    </row>
    <row r="2319" spans="1:3" x14ac:dyDescent="0.2">
      <c r="A2319" s="6"/>
      <c r="B2319" s="3"/>
      <c r="C2319" s="6"/>
    </row>
    <row r="2320" spans="1:3" x14ac:dyDescent="0.2">
      <c r="A2320" s="6"/>
      <c r="B2320" s="3"/>
      <c r="C2320" s="6"/>
    </row>
    <row r="2321" spans="1:3" x14ac:dyDescent="0.2">
      <c r="A2321" s="6"/>
      <c r="B2321" s="3"/>
      <c r="C2321" s="6"/>
    </row>
    <row r="2322" spans="1:3" x14ac:dyDescent="0.2">
      <c r="A2322" s="6"/>
      <c r="B2322" s="3"/>
      <c r="C2322" s="6"/>
    </row>
    <row r="2323" spans="1:3" x14ac:dyDescent="0.2">
      <c r="A2323" s="6"/>
      <c r="B2323" s="3"/>
      <c r="C2323" s="6"/>
    </row>
    <row r="2324" spans="1:3" x14ac:dyDescent="0.2">
      <c r="A2324" s="6"/>
      <c r="B2324" s="3"/>
      <c r="C2324" s="6"/>
    </row>
    <row r="2325" spans="1:3" x14ac:dyDescent="0.2">
      <c r="A2325" s="6"/>
      <c r="B2325" s="3"/>
      <c r="C2325" s="6"/>
    </row>
    <row r="2326" spans="1:3" x14ac:dyDescent="0.2">
      <c r="A2326" s="6"/>
      <c r="B2326" s="3"/>
      <c r="C2326" s="6"/>
    </row>
    <row r="2327" spans="1:3" x14ac:dyDescent="0.2">
      <c r="A2327" s="6"/>
      <c r="B2327" s="3"/>
      <c r="C2327" s="6"/>
    </row>
    <row r="2328" spans="1:3" x14ac:dyDescent="0.2">
      <c r="A2328" s="6"/>
      <c r="B2328" s="3"/>
      <c r="C2328" s="6"/>
    </row>
    <row r="2329" spans="1:3" x14ac:dyDescent="0.2">
      <c r="A2329" s="6"/>
      <c r="B2329" s="3"/>
      <c r="C2329" s="6"/>
    </row>
    <row r="2330" spans="1:3" x14ac:dyDescent="0.2">
      <c r="A2330" s="6"/>
      <c r="B2330" s="3"/>
      <c r="C2330" s="6"/>
    </row>
    <row r="2331" spans="1:3" x14ac:dyDescent="0.2">
      <c r="A2331" s="6"/>
      <c r="B2331" s="3"/>
      <c r="C2331" s="6"/>
    </row>
    <row r="2332" spans="1:3" x14ac:dyDescent="0.2">
      <c r="A2332" s="6"/>
      <c r="B2332" s="3"/>
      <c r="C2332" s="6"/>
    </row>
    <row r="2333" spans="1:3" x14ac:dyDescent="0.2">
      <c r="A2333" s="6"/>
      <c r="B2333" s="3"/>
      <c r="C2333" s="6"/>
    </row>
    <row r="2334" spans="1:3" x14ac:dyDescent="0.2">
      <c r="A2334" s="6"/>
      <c r="B2334" s="3"/>
      <c r="C2334" s="6"/>
    </row>
    <row r="2335" spans="1:3" x14ac:dyDescent="0.2">
      <c r="A2335" s="6"/>
      <c r="B2335" s="3"/>
      <c r="C2335" s="6"/>
    </row>
    <row r="2336" spans="1:3" x14ac:dyDescent="0.2">
      <c r="A2336" s="6"/>
      <c r="B2336" s="3"/>
      <c r="C2336" s="6"/>
    </row>
    <row r="2337" spans="1:3" x14ac:dyDescent="0.2">
      <c r="A2337" s="6"/>
      <c r="B2337" s="3"/>
      <c r="C2337" s="6"/>
    </row>
    <row r="2338" spans="1:3" x14ac:dyDescent="0.2">
      <c r="A2338" s="6"/>
      <c r="B2338" s="3"/>
      <c r="C2338" s="6"/>
    </row>
    <row r="2339" spans="1:3" x14ac:dyDescent="0.2">
      <c r="A2339" s="6"/>
      <c r="B2339" s="3"/>
      <c r="C2339" s="6"/>
    </row>
    <row r="2340" spans="1:3" x14ac:dyDescent="0.2">
      <c r="A2340" s="6"/>
      <c r="B2340" s="3"/>
      <c r="C2340" s="6"/>
    </row>
    <row r="2341" spans="1:3" x14ac:dyDescent="0.2">
      <c r="A2341" s="6"/>
      <c r="B2341" s="3"/>
      <c r="C2341" s="6"/>
    </row>
    <row r="2342" spans="1:3" x14ac:dyDescent="0.2">
      <c r="A2342" s="6"/>
      <c r="B2342" s="3"/>
      <c r="C2342" s="6"/>
    </row>
    <row r="2343" spans="1:3" x14ac:dyDescent="0.2">
      <c r="A2343" s="6"/>
      <c r="B2343" s="3"/>
      <c r="C2343" s="6"/>
    </row>
    <row r="2344" spans="1:3" x14ac:dyDescent="0.2">
      <c r="A2344" s="6"/>
      <c r="B2344" s="3"/>
      <c r="C2344" s="6"/>
    </row>
    <row r="2345" spans="1:3" x14ac:dyDescent="0.2">
      <c r="A2345" s="6"/>
      <c r="B2345" s="3"/>
      <c r="C2345" s="6"/>
    </row>
    <row r="2346" spans="1:3" x14ac:dyDescent="0.2">
      <c r="A2346" s="6"/>
      <c r="B2346" s="3"/>
      <c r="C2346" s="6"/>
    </row>
    <row r="2347" spans="1:3" x14ac:dyDescent="0.2">
      <c r="A2347" s="6"/>
      <c r="B2347" s="3"/>
      <c r="C2347" s="6"/>
    </row>
    <row r="2348" spans="1:3" x14ac:dyDescent="0.2">
      <c r="A2348" s="6"/>
      <c r="B2348" s="3"/>
      <c r="C2348" s="6"/>
    </row>
    <row r="2349" spans="1:3" x14ac:dyDescent="0.2">
      <c r="A2349" s="6"/>
      <c r="B2349" s="3"/>
      <c r="C2349" s="6"/>
    </row>
    <row r="2350" spans="1:3" x14ac:dyDescent="0.2">
      <c r="A2350" s="6"/>
      <c r="B2350" s="3"/>
      <c r="C2350" s="6"/>
    </row>
    <row r="2351" spans="1:3" x14ac:dyDescent="0.2">
      <c r="A2351" s="6"/>
      <c r="B2351" s="3"/>
      <c r="C2351" s="6"/>
    </row>
    <row r="2352" spans="1:3" x14ac:dyDescent="0.2">
      <c r="A2352" s="6"/>
      <c r="B2352" s="3"/>
      <c r="C2352" s="6"/>
    </row>
    <row r="2353" spans="1:3" x14ac:dyDescent="0.2">
      <c r="A2353" s="6"/>
      <c r="B2353" s="3"/>
      <c r="C2353" s="6"/>
    </row>
    <row r="2354" spans="1:3" x14ac:dyDescent="0.2">
      <c r="A2354" s="6"/>
      <c r="B2354" s="3"/>
      <c r="C2354" s="6"/>
    </row>
    <row r="2355" spans="1:3" x14ac:dyDescent="0.2">
      <c r="A2355" s="6"/>
      <c r="B2355" s="3"/>
      <c r="C2355" s="6"/>
    </row>
    <row r="2356" spans="1:3" x14ac:dyDescent="0.2">
      <c r="A2356" s="6"/>
      <c r="B2356" s="3"/>
      <c r="C2356" s="6"/>
    </row>
    <row r="2357" spans="1:3" x14ac:dyDescent="0.2">
      <c r="A2357" s="6"/>
      <c r="B2357" s="3"/>
      <c r="C2357" s="6"/>
    </row>
    <row r="2358" spans="1:3" x14ac:dyDescent="0.2">
      <c r="A2358" s="6"/>
      <c r="B2358" s="3"/>
      <c r="C2358" s="6"/>
    </row>
    <row r="2359" spans="1:3" x14ac:dyDescent="0.2">
      <c r="A2359" s="6"/>
      <c r="B2359" s="3"/>
      <c r="C2359" s="6"/>
    </row>
    <row r="2360" spans="1:3" x14ac:dyDescent="0.2">
      <c r="A2360" s="6"/>
      <c r="B2360" s="3"/>
      <c r="C2360" s="6"/>
    </row>
    <row r="2361" spans="1:3" x14ac:dyDescent="0.2">
      <c r="A2361" s="6"/>
      <c r="B2361" s="3"/>
      <c r="C2361" s="6"/>
    </row>
    <row r="2362" spans="1:3" x14ac:dyDescent="0.2">
      <c r="A2362" s="6"/>
      <c r="B2362" s="3"/>
      <c r="C2362" s="6"/>
    </row>
    <row r="2363" spans="1:3" x14ac:dyDescent="0.2">
      <c r="A2363" s="6"/>
      <c r="B2363" s="3"/>
      <c r="C2363" s="6"/>
    </row>
    <row r="2364" spans="1:3" x14ac:dyDescent="0.2">
      <c r="A2364" s="6"/>
      <c r="B2364" s="3"/>
      <c r="C2364" s="6"/>
    </row>
    <row r="2365" spans="1:3" x14ac:dyDescent="0.2">
      <c r="A2365" s="6"/>
      <c r="B2365" s="3"/>
      <c r="C2365" s="6"/>
    </row>
    <row r="2366" spans="1:3" x14ac:dyDescent="0.2">
      <c r="A2366" s="6"/>
      <c r="B2366" s="3"/>
      <c r="C2366" s="6"/>
    </row>
    <row r="2367" spans="1:3" x14ac:dyDescent="0.2">
      <c r="A2367" s="6"/>
      <c r="B2367" s="3"/>
      <c r="C2367" s="6"/>
    </row>
    <row r="2368" spans="1:3" x14ac:dyDescent="0.2">
      <c r="A2368" s="6"/>
      <c r="B2368" s="3"/>
      <c r="C2368" s="6"/>
    </row>
    <row r="2369" spans="1:3" x14ac:dyDescent="0.2">
      <c r="A2369" s="6"/>
      <c r="B2369" s="3"/>
      <c r="C2369" s="6"/>
    </row>
    <row r="2370" spans="1:3" x14ac:dyDescent="0.2">
      <c r="A2370" s="6"/>
      <c r="B2370" s="3"/>
      <c r="C2370" s="6"/>
    </row>
    <row r="2371" spans="1:3" x14ac:dyDescent="0.2">
      <c r="A2371" s="6"/>
      <c r="B2371" s="3"/>
      <c r="C2371" s="6"/>
    </row>
    <row r="2372" spans="1:3" x14ac:dyDescent="0.2">
      <c r="A2372" s="6"/>
      <c r="B2372" s="3"/>
      <c r="C2372" s="6"/>
    </row>
    <row r="2373" spans="1:3" x14ac:dyDescent="0.2">
      <c r="A2373" s="6"/>
      <c r="B2373" s="3"/>
      <c r="C2373" s="6"/>
    </row>
    <row r="2374" spans="1:3" x14ac:dyDescent="0.2">
      <c r="A2374" s="6"/>
      <c r="B2374" s="3"/>
      <c r="C2374" s="6"/>
    </row>
    <row r="2375" spans="1:3" x14ac:dyDescent="0.2">
      <c r="A2375" s="6"/>
      <c r="B2375" s="3"/>
      <c r="C2375" s="6"/>
    </row>
    <row r="2376" spans="1:3" x14ac:dyDescent="0.2">
      <c r="A2376" s="6"/>
      <c r="B2376" s="3"/>
      <c r="C2376" s="6"/>
    </row>
    <row r="2377" spans="1:3" x14ac:dyDescent="0.2">
      <c r="A2377" s="6"/>
      <c r="B2377" s="3"/>
      <c r="C2377" s="6"/>
    </row>
    <row r="2378" spans="1:3" x14ac:dyDescent="0.2">
      <c r="A2378" s="6"/>
      <c r="B2378" s="3"/>
      <c r="C2378" s="6"/>
    </row>
    <row r="2379" spans="1:3" x14ac:dyDescent="0.2">
      <c r="A2379" s="6"/>
      <c r="B2379" s="3"/>
      <c r="C2379" s="6"/>
    </row>
    <row r="2380" spans="1:3" x14ac:dyDescent="0.2">
      <c r="A2380" s="6"/>
      <c r="B2380" s="3"/>
      <c r="C2380" s="6"/>
    </row>
    <row r="2381" spans="1:3" x14ac:dyDescent="0.2">
      <c r="A2381" s="6"/>
      <c r="B2381" s="3"/>
      <c r="C2381" s="6"/>
    </row>
    <row r="2382" spans="1:3" x14ac:dyDescent="0.2">
      <c r="A2382" s="6"/>
      <c r="B2382" s="3"/>
      <c r="C2382" s="6"/>
    </row>
    <row r="2383" spans="1:3" x14ac:dyDescent="0.2">
      <c r="A2383" s="6"/>
      <c r="B2383" s="3"/>
      <c r="C2383" s="6"/>
    </row>
    <row r="2384" spans="1:3" x14ac:dyDescent="0.2">
      <c r="A2384" s="6"/>
      <c r="B2384" s="3"/>
      <c r="C2384" s="6"/>
    </row>
    <row r="2385" spans="1:3" x14ac:dyDescent="0.2">
      <c r="A2385" s="6"/>
      <c r="B2385" s="3"/>
      <c r="C2385" s="6"/>
    </row>
    <row r="2386" spans="1:3" x14ac:dyDescent="0.2">
      <c r="A2386" s="6"/>
      <c r="B2386" s="3"/>
      <c r="C2386" s="6"/>
    </row>
    <row r="2387" spans="1:3" x14ac:dyDescent="0.2">
      <c r="A2387" s="6"/>
      <c r="B2387" s="3"/>
      <c r="C2387" s="6"/>
    </row>
    <row r="2388" spans="1:3" x14ac:dyDescent="0.2">
      <c r="A2388" s="6"/>
      <c r="B2388" s="3"/>
      <c r="C2388" s="6"/>
    </row>
    <row r="2389" spans="1:3" x14ac:dyDescent="0.2">
      <c r="A2389" s="6"/>
      <c r="B2389" s="3"/>
      <c r="C2389" s="6"/>
    </row>
    <row r="2390" spans="1:3" x14ac:dyDescent="0.2">
      <c r="A2390" s="6"/>
      <c r="B2390" s="3"/>
      <c r="C2390" s="6"/>
    </row>
    <row r="2391" spans="1:3" x14ac:dyDescent="0.2">
      <c r="A2391" s="6"/>
      <c r="B2391" s="3"/>
      <c r="C2391" s="6"/>
    </row>
    <row r="2392" spans="1:3" x14ac:dyDescent="0.2">
      <c r="A2392" s="6"/>
      <c r="B2392" s="3"/>
      <c r="C2392" s="6"/>
    </row>
    <row r="2393" spans="1:3" x14ac:dyDescent="0.2">
      <c r="A2393" s="6"/>
      <c r="B2393" s="3"/>
      <c r="C2393" s="6"/>
    </row>
    <row r="2394" spans="1:3" x14ac:dyDescent="0.2">
      <c r="A2394" s="6"/>
      <c r="B2394" s="3"/>
      <c r="C2394" s="6"/>
    </row>
    <row r="2395" spans="1:3" x14ac:dyDescent="0.2">
      <c r="A2395" s="6"/>
      <c r="B2395" s="3"/>
      <c r="C2395" s="6"/>
    </row>
    <row r="2396" spans="1:3" x14ac:dyDescent="0.2">
      <c r="A2396" s="6"/>
      <c r="B2396" s="3"/>
      <c r="C2396" s="6"/>
    </row>
    <row r="2397" spans="1:3" x14ac:dyDescent="0.2">
      <c r="A2397" s="6"/>
      <c r="B2397" s="3"/>
      <c r="C2397" s="6"/>
    </row>
    <row r="2398" spans="1:3" x14ac:dyDescent="0.2">
      <c r="A2398" s="6"/>
      <c r="B2398" s="3"/>
      <c r="C2398" s="6"/>
    </row>
    <row r="2399" spans="1:3" x14ac:dyDescent="0.2">
      <c r="A2399" s="6"/>
      <c r="B2399" s="3"/>
      <c r="C2399" s="6"/>
    </row>
    <row r="2400" spans="1:3" x14ac:dyDescent="0.2">
      <c r="A2400" s="6"/>
      <c r="B2400" s="3"/>
      <c r="C2400" s="6"/>
    </row>
    <row r="2401" spans="1:3" x14ac:dyDescent="0.2">
      <c r="A2401" s="6"/>
      <c r="B2401" s="3"/>
      <c r="C2401" s="6"/>
    </row>
    <row r="2402" spans="1:3" x14ac:dyDescent="0.2">
      <c r="A2402" s="6"/>
      <c r="B2402" s="3"/>
      <c r="C2402" s="6"/>
    </row>
    <row r="2403" spans="1:3" x14ac:dyDescent="0.2">
      <c r="A2403" s="6"/>
      <c r="B2403" s="3"/>
      <c r="C2403" s="6"/>
    </row>
    <row r="2404" spans="1:3" x14ac:dyDescent="0.2">
      <c r="A2404" s="6"/>
      <c r="B2404" s="3"/>
      <c r="C2404" s="6"/>
    </row>
    <row r="2405" spans="1:3" x14ac:dyDescent="0.2">
      <c r="A2405" s="6"/>
      <c r="B2405" s="3"/>
      <c r="C2405" s="6"/>
    </row>
    <row r="2406" spans="1:3" x14ac:dyDescent="0.2">
      <c r="A2406" s="6"/>
      <c r="B2406" s="3"/>
      <c r="C2406" s="6"/>
    </row>
    <row r="2407" spans="1:3" x14ac:dyDescent="0.2">
      <c r="A2407" s="6"/>
      <c r="B2407" s="3"/>
      <c r="C2407" s="6"/>
    </row>
    <row r="2408" spans="1:3" x14ac:dyDescent="0.2">
      <c r="A2408" s="6"/>
      <c r="B2408" s="3"/>
      <c r="C2408" s="6"/>
    </row>
    <row r="2409" spans="1:3" x14ac:dyDescent="0.2">
      <c r="A2409" s="6"/>
      <c r="B2409" s="3"/>
      <c r="C2409" s="6"/>
    </row>
    <row r="2410" spans="1:3" x14ac:dyDescent="0.2">
      <c r="A2410" s="6"/>
      <c r="B2410" s="3"/>
      <c r="C2410" s="6"/>
    </row>
    <row r="2411" spans="1:3" x14ac:dyDescent="0.2">
      <c r="A2411" s="6"/>
      <c r="B2411" s="3"/>
      <c r="C2411" s="6"/>
    </row>
    <row r="2412" spans="1:3" x14ac:dyDescent="0.2">
      <c r="A2412" s="6"/>
      <c r="B2412" s="3"/>
      <c r="C2412" s="6"/>
    </row>
    <row r="2413" spans="1:3" x14ac:dyDescent="0.2">
      <c r="A2413" s="6"/>
      <c r="B2413" s="3"/>
      <c r="C2413" s="6"/>
    </row>
    <row r="2414" spans="1:3" x14ac:dyDescent="0.2">
      <c r="A2414" s="6"/>
      <c r="B2414" s="3"/>
      <c r="C2414" s="6"/>
    </row>
    <row r="2415" spans="1:3" x14ac:dyDescent="0.2">
      <c r="A2415" s="6"/>
      <c r="B2415" s="3"/>
      <c r="C2415" s="6"/>
    </row>
    <row r="2416" spans="1:3" x14ac:dyDescent="0.2">
      <c r="A2416" s="6"/>
      <c r="B2416" s="3"/>
      <c r="C2416" s="6"/>
    </row>
    <row r="2417" spans="1:3" x14ac:dyDescent="0.2">
      <c r="A2417" s="6"/>
      <c r="B2417" s="3"/>
      <c r="C2417" s="6"/>
    </row>
    <row r="2418" spans="1:3" x14ac:dyDescent="0.2">
      <c r="A2418" s="6"/>
      <c r="B2418" s="3"/>
      <c r="C2418" s="6"/>
    </row>
    <row r="2419" spans="1:3" x14ac:dyDescent="0.2">
      <c r="A2419" s="6"/>
      <c r="B2419" s="3"/>
      <c r="C2419" s="6"/>
    </row>
    <row r="2420" spans="1:3" x14ac:dyDescent="0.2">
      <c r="A2420" s="6"/>
      <c r="B2420" s="3"/>
      <c r="C2420" s="6"/>
    </row>
    <row r="2421" spans="1:3" x14ac:dyDescent="0.2">
      <c r="A2421" s="6"/>
      <c r="B2421" s="3"/>
      <c r="C2421" s="6"/>
    </row>
    <row r="2422" spans="1:3" x14ac:dyDescent="0.2">
      <c r="A2422" s="6"/>
      <c r="B2422" s="3"/>
      <c r="C2422" s="6"/>
    </row>
    <row r="2423" spans="1:3" x14ac:dyDescent="0.2">
      <c r="A2423" s="6"/>
      <c r="B2423" s="3"/>
      <c r="C2423" s="6"/>
    </row>
    <row r="2424" spans="1:3" x14ac:dyDescent="0.2">
      <c r="A2424" s="6"/>
      <c r="B2424" s="3"/>
      <c r="C2424" s="6"/>
    </row>
    <row r="2425" spans="1:3" x14ac:dyDescent="0.2">
      <c r="A2425" s="6"/>
      <c r="B2425" s="3"/>
      <c r="C2425" s="6"/>
    </row>
    <row r="2426" spans="1:3" x14ac:dyDescent="0.2">
      <c r="A2426" s="6"/>
      <c r="B2426" s="3"/>
      <c r="C2426" s="6"/>
    </row>
    <row r="2427" spans="1:3" x14ac:dyDescent="0.2">
      <c r="A2427" s="6"/>
      <c r="B2427" s="3"/>
      <c r="C2427" s="6"/>
    </row>
    <row r="2428" spans="1:3" x14ac:dyDescent="0.2">
      <c r="A2428" s="6"/>
      <c r="B2428" s="3"/>
      <c r="C2428" s="6"/>
    </row>
    <row r="2429" spans="1:3" x14ac:dyDescent="0.2">
      <c r="A2429" s="6"/>
      <c r="B2429" s="3"/>
      <c r="C2429" s="6"/>
    </row>
    <row r="2430" spans="1:3" x14ac:dyDescent="0.2">
      <c r="A2430" s="6"/>
      <c r="B2430" s="3"/>
      <c r="C2430" s="6"/>
    </row>
    <row r="2431" spans="1:3" x14ac:dyDescent="0.2">
      <c r="A2431" s="6"/>
      <c r="B2431" s="3"/>
      <c r="C2431" s="6"/>
    </row>
    <row r="2432" spans="1:3" x14ac:dyDescent="0.2">
      <c r="A2432" s="6"/>
      <c r="B2432" s="3"/>
      <c r="C2432" s="6"/>
    </row>
    <row r="2433" spans="1:3" x14ac:dyDescent="0.2">
      <c r="A2433" s="6"/>
      <c r="B2433" s="3"/>
      <c r="C2433" s="6"/>
    </row>
    <row r="2434" spans="1:3" x14ac:dyDescent="0.2">
      <c r="A2434" s="6"/>
      <c r="B2434" s="3"/>
      <c r="C2434" s="6"/>
    </row>
    <row r="2435" spans="1:3" x14ac:dyDescent="0.2">
      <c r="A2435" s="6"/>
      <c r="B2435" s="3"/>
      <c r="C2435" s="6"/>
    </row>
    <row r="2436" spans="1:3" x14ac:dyDescent="0.2">
      <c r="A2436" s="6"/>
      <c r="B2436" s="3"/>
      <c r="C2436" s="6"/>
    </row>
    <row r="2437" spans="1:3" x14ac:dyDescent="0.2">
      <c r="A2437" s="6"/>
      <c r="B2437" s="3"/>
      <c r="C2437" s="6"/>
    </row>
    <row r="2438" spans="1:3" x14ac:dyDescent="0.2">
      <c r="A2438" s="6"/>
      <c r="B2438" s="3"/>
      <c r="C2438" s="6"/>
    </row>
    <row r="2439" spans="1:3" x14ac:dyDescent="0.2">
      <c r="A2439" s="6"/>
      <c r="B2439" s="3"/>
      <c r="C2439" s="6"/>
    </row>
    <row r="2440" spans="1:3" x14ac:dyDescent="0.2">
      <c r="A2440" s="6"/>
      <c r="B2440" s="3"/>
      <c r="C2440" s="6"/>
    </row>
    <row r="2441" spans="1:3" x14ac:dyDescent="0.2">
      <c r="A2441" s="6"/>
      <c r="B2441" s="3"/>
      <c r="C2441" s="6"/>
    </row>
    <row r="2442" spans="1:3" x14ac:dyDescent="0.2">
      <c r="A2442" s="6"/>
      <c r="B2442" s="3"/>
      <c r="C2442" s="6"/>
    </row>
    <row r="2443" spans="1:3" x14ac:dyDescent="0.2">
      <c r="A2443" s="6"/>
      <c r="B2443" s="3"/>
      <c r="C2443" s="6"/>
    </row>
    <row r="2444" spans="1:3" x14ac:dyDescent="0.2">
      <c r="A2444" s="6"/>
      <c r="B2444" s="3"/>
      <c r="C2444" s="6"/>
    </row>
    <row r="2445" spans="1:3" x14ac:dyDescent="0.2">
      <c r="A2445" s="6"/>
      <c r="B2445" s="3"/>
      <c r="C2445" s="6"/>
    </row>
    <row r="2446" spans="1:3" x14ac:dyDescent="0.2">
      <c r="A2446" s="6"/>
      <c r="B2446" s="3"/>
      <c r="C2446" s="6"/>
    </row>
    <row r="2447" spans="1:3" x14ac:dyDescent="0.2">
      <c r="A2447" s="6"/>
      <c r="B2447" s="3"/>
      <c r="C2447" s="6"/>
    </row>
    <row r="2448" spans="1:3" x14ac:dyDescent="0.2">
      <c r="A2448" s="6"/>
      <c r="B2448" s="3"/>
      <c r="C2448" s="6"/>
    </row>
    <row r="2449" spans="1:3" x14ac:dyDescent="0.2">
      <c r="A2449" s="6"/>
      <c r="B2449" s="3"/>
      <c r="C2449" s="6"/>
    </row>
    <row r="2450" spans="1:3" x14ac:dyDescent="0.2">
      <c r="A2450" s="6"/>
      <c r="B2450" s="3"/>
      <c r="C2450" s="6"/>
    </row>
    <row r="2451" spans="1:3" x14ac:dyDescent="0.2">
      <c r="A2451" s="6"/>
      <c r="B2451" s="3"/>
      <c r="C2451" s="6"/>
    </row>
    <row r="2452" spans="1:3" x14ac:dyDescent="0.2">
      <c r="A2452" s="6"/>
      <c r="B2452" s="3"/>
      <c r="C2452" s="6"/>
    </row>
    <row r="2453" spans="1:3" x14ac:dyDescent="0.2">
      <c r="A2453" s="6"/>
      <c r="B2453" s="3"/>
      <c r="C2453" s="6"/>
    </row>
    <row r="2454" spans="1:3" x14ac:dyDescent="0.2">
      <c r="A2454" s="6"/>
      <c r="B2454" s="3"/>
      <c r="C2454" s="6"/>
    </row>
    <row r="2455" spans="1:3" x14ac:dyDescent="0.2">
      <c r="A2455" s="6"/>
      <c r="B2455" s="3"/>
      <c r="C2455" s="6"/>
    </row>
    <row r="2456" spans="1:3" x14ac:dyDescent="0.2">
      <c r="A2456" s="6"/>
      <c r="B2456" s="3"/>
      <c r="C2456" s="6"/>
    </row>
    <row r="2457" spans="1:3" x14ac:dyDescent="0.2">
      <c r="A2457" s="6"/>
      <c r="B2457" s="3"/>
      <c r="C2457" s="6"/>
    </row>
    <row r="2458" spans="1:3" x14ac:dyDescent="0.2">
      <c r="A2458" s="6"/>
      <c r="B2458" s="3"/>
      <c r="C2458" s="6"/>
    </row>
    <row r="2459" spans="1:3" x14ac:dyDescent="0.2">
      <c r="A2459" s="6"/>
      <c r="B2459" s="3"/>
      <c r="C2459" s="6"/>
    </row>
    <row r="2460" spans="1:3" x14ac:dyDescent="0.2">
      <c r="A2460" s="6"/>
      <c r="B2460" s="3"/>
      <c r="C2460" s="6"/>
    </row>
    <row r="2461" spans="1:3" x14ac:dyDescent="0.2">
      <c r="A2461" s="6"/>
      <c r="B2461" s="3"/>
      <c r="C2461" s="6"/>
    </row>
    <row r="2462" spans="1:3" x14ac:dyDescent="0.2">
      <c r="A2462" s="6"/>
      <c r="B2462" s="3"/>
      <c r="C2462" s="6"/>
    </row>
    <row r="2463" spans="1:3" x14ac:dyDescent="0.2">
      <c r="A2463" s="6"/>
      <c r="B2463" s="3"/>
      <c r="C2463" s="6"/>
    </row>
    <row r="2464" spans="1:3" x14ac:dyDescent="0.2">
      <c r="A2464" s="6"/>
      <c r="B2464" s="3"/>
      <c r="C2464" s="6"/>
    </row>
    <row r="2465" spans="1:3" x14ac:dyDescent="0.2">
      <c r="A2465" s="6"/>
      <c r="B2465" s="3"/>
      <c r="C2465" s="6"/>
    </row>
    <row r="2466" spans="1:3" x14ac:dyDescent="0.2">
      <c r="A2466" s="6"/>
      <c r="B2466" s="3"/>
      <c r="C2466" s="6"/>
    </row>
    <row r="2467" spans="1:3" x14ac:dyDescent="0.2">
      <c r="A2467" s="6"/>
      <c r="B2467" s="3"/>
      <c r="C2467" s="6"/>
    </row>
    <row r="2468" spans="1:3" x14ac:dyDescent="0.2">
      <c r="A2468" s="6"/>
      <c r="B2468" s="3"/>
      <c r="C2468" s="6"/>
    </row>
    <row r="2469" spans="1:3" x14ac:dyDescent="0.2">
      <c r="A2469" s="6"/>
      <c r="B2469" s="3"/>
      <c r="C2469" s="6"/>
    </row>
    <row r="2470" spans="1:3" x14ac:dyDescent="0.2">
      <c r="A2470" s="6"/>
      <c r="B2470" s="3"/>
      <c r="C2470" s="6"/>
    </row>
    <row r="2471" spans="1:3" x14ac:dyDescent="0.2">
      <c r="A2471" s="6"/>
      <c r="B2471" s="3"/>
      <c r="C2471" s="6"/>
    </row>
    <row r="2472" spans="1:3" x14ac:dyDescent="0.2">
      <c r="A2472" s="6"/>
      <c r="B2472" s="3"/>
      <c r="C2472" s="6"/>
    </row>
    <row r="2473" spans="1:3" x14ac:dyDescent="0.2">
      <c r="A2473" s="6"/>
      <c r="B2473" s="3"/>
      <c r="C2473" s="6"/>
    </row>
    <row r="2474" spans="1:3" x14ac:dyDescent="0.2">
      <c r="A2474" s="6"/>
      <c r="B2474" s="3"/>
      <c r="C2474" s="6"/>
    </row>
    <row r="2475" spans="1:3" x14ac:dyDescent="0.2">
      <c r="A2475" s="6"/>
      <c r="B2475" s="3"/>
      <c r="C2475" s="6"/>
    </row>
    <row r="2476" spans="1:3" x14ac:dyDescent="0.2">
      <c r="A2476" s="6"/>
      <c r="B2476" s="3"/>
      <c r="C2476" s="6"/>
    </row>
    <row r="2477" spans="1:3" x14ac:dyDescent="0.2">
      <c r="A2477" s="6"/>
      <c r="B2477" s="3"/>
      <c r="C2477" s="6"/>
    </row>
    <row r="2478" spans="1:3" x14ac:dyDescent="0.2">
      <c r="A2478" s="6"/>
      <c r="B2478" s="3"/>
      <c r="C2478" s="6"/>
    </row>
    <row r="2479" spans="1:3" x14ac:dyDescent="0.2">
      <c r="A2479" s="6"/>
      <c r="B2479" s="3"/>
      <c r="C2479" s="6"/>
    </row>
    <row r="2480" spans="1:3" x14ac:dyDescent="0.2">
      <c r="A2480" s="6"/>
      <c r="B2480" s="3"/>
      <c r="C2480" s="6"/>
    </row>
    <row r="2481" spans="1:3" x14ac:dyDescent="0.2">
      <c r="A2481" s="6"/>
      <c r="B2481" s="3"/>
      <c r="C2481" s="6"/>
    </row>
    <row r="2482" spans="1:3" x14ac:dyDescent="0.2">
      <c r="A2482" s="6"/>
      <c r="B2482" s="3"/>
      <c r="C2482" s="6"/>
    </row>
    <row r="2483" spans="1:3" x14ac:dyDescent="0.2">
      <c r="A2483" s="6"/>
      <c r="B2483" s="3"/>
      <c r="C2483" s="6"/>
    </row>
    <row r="2484" spans="1:3" x14ac:dyDescent="0.2">
      <c r="A2484" s="6"/>
      <c r="B2484" s="3"/>
      <c r="C2484" s="6"/>
    </row>
    <row r="2485" spans="1:3" x14ac:dyDescent="0.2">
      <c r="A2485" s="6"/>
      <c r="B2485" s="3"/>
      <c r="C2485" s="6"/>
    </row>
    <row r="2486" spans="1:3" x14ac:dyDescent="0.2">
      <c r="A2486" s="6"/>
      <c r="B2486" s="3"/>
      <c r="C2486" s="6"/>
    </row>
    <row r="2487" spans="1:3" x14ac:dyDescent="0.2">
      <c r="A2487" s="6"/>
      <c r="B2487" s="3"/>
      <c r="C2487" s="6"/>
    </row>
    <row r="2488" spans="1:3" x14ac:dyDescent="0.2">
      <c r="A2488" s="6"/>
      <c r="B2488" s="3"/>
      <c r="C2488" s="6"/>
    </row>
    <row r="2489" spans="1:3" x14ac:dyDescent="0.2">
      <c r="A2489" s="6"/>
      <c r="B2489" s="3"/>
      <c r="C2489" s="6"/>
    </row>
    <row r="2490" spans="1:3" x14ac:dyDescent="0.2">
      <c r="A2490" s="6"/>
      <c r="B2490" s="3"/>
      <c r="C2490" s="6"/>
    </row>
    <row r="2491" spans="1:3" x14ac:dyDescent="0.2">
      <c r="A2491" s="6"/>
      <c r="B2491" s="3"/>
      <c r="C2491" s="6"/>
    </row>
    <row r="2492" spans="1:3" x14ac:dyDescent="0.2">
      <c r="A2492" s="6"/>
      <c r="B2492" s="3"/>
      <c r="C2492" s="6"/>
    </row>
    <row r="2493" spans="1:3" x14ac:dyDescent="0.2">
      <c r="A2493" s="6"/>
      <c r="B2493" s="3"/>
      <c r="C2493" s="6"/>
    </row>
    <row r="2494" spans="1:3" x14ac:dyDescent="0.2">
      <c r="A2494" s="6"/>
      <c r="B2494" s="3"/>
      <c r="C2494" s="6"/>
    </row>
    <row r="2495" spans="1:3" x14ac:dyDescent="0.2">
      <c r="A2495" s="6"/>
      <c r="B2495" s="3"/>
      <c r="C2495" s="6"/>
    </row>
    <row r="2496" spans="1:3" x14ac:dyDescent="0.2">
      <c r="A2496" s="6"/>
      <c r="B2496" s="3"/>
      <c r="C2496" s="6"/>
    </row>
    <row r="2497" spans="1:3" x14ac:dyDescent="0.2">
      <c r="A2497" s="6"/>
      <c r="B2497" s="3"/>
      <c r="C2497" s="6"/>
    </row>
    <row r="2498" spans="1:3" x14ac:dyDescent="0.2">
      <c r="A2498" s="6"/>
      <c r="B2498" s="3"/>
      <c r="C2498" s="6"/>
    </row>
    <row r="2499" spans="1:3" x14ac:dyDescent="0.2">
      <c r="A2499" s="6"/>
      <c r="B2499" s="3"/>
      <c r="C2499" s="6"/>
    </row>
    <row r="2500" spans="1:3" x14ac:dyDescent="0.2">
      <c r="A2500" s="6"/>
      <c r="B2500" s="3"/>
      <c r="C2500" s="6"/>
    </row>
    <row r="2501" spans="1:3" x14ac:dyDescent="0.2">
      <c r="A2501" s="6"/>
      <c r="B2501" s="3"/>
      <c r="C2501" s="6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>
      <selection activeCell="C1" sqref="C1:C1000"/>
    </sheetView>
  </sheetViews>
  <sheetFormatPr defaultColWidth="12.5703125" defaultRowHeight="15.75" customHeight="1" x14ac:dyDescent="0.2"/>
  <sheetData>
    <row r="1" spans="1:26" ht="13.5" thickBot="1" x14ac:dyDescent="0.25">
      <c r="A1" s="8" t="s">
        <v>14</v>
      </c>
      <c r="B1" s="9" t="s">
        <v>15</v>
      </c>
      <c r="C1" s="29" t="s">
        <v>13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5" thickBot="1" x14ac:dyDescent="0.25">
      <c r="A2" s="11">
        <v>45292</v>
      </c>
      <c r="B2" s="12">
        <f ca="1">IFERROR(__xludf.DUMMYFUNCTION("COUNTUNIQUEIFS(purchases!$A$2:$A$2001,purchases!$E$2:$E$2001,A2)"),31)</f>
        <v>31</v>
      </c>
      <c r="C2" s="30">
        <v>45292</v>
      </c>
    </row>
    <row r="3" spans="1:26" ht="13.5" thickBot="1" x14ac:dyDescent="0.25">
      <c r="A3" s="11">
        <v>45299</v>
      </c>
      <c r="B3" s="12">
        <f ca="1">IFERROR(__xludf.DUMMYFUNCTION("COUNTUNIQUEIFS(purchases!$A$2:$A$2001,purchases!$E$2:$E$2001,A3)"),75)</f>
        <v>75</v>
      </c>
      <c r="C3" s="30">
        <v>45292</v>
      </c>
    </row>
    <row r="4" spans="1:26" ht="13.5" thickBot="1" x14ac:dyDescent="0.25">
      <c r="A4" s="11">
        <v>45306</v>
      </c>
      <c r="B4" s="12">
        <f ca="1">IFERROR(__xludf.DUMMYFUNCTION("COUNTUNIQUEIFS(purchases!$A$2:$A$2001,purchases!$E$2:$E$2001,A4)"),84)</f>
        <v>84</v>
      </c>
      <c r="C4" s="30">
        <v>45292</v>
      </c>
    </row>
    <row r="5" spans="1:26" ht="13.5" thickBot="1" x14ac:dyDescent="0.25">
      <c r="A5" s="11">
        <v>45313</v>
      </c>
      <c r="B5" s="12">
        <f ca="1">IFERROR(__xludf.DUMMYFUNCTION("COUNTUNIQUEIFS(purchases!$A$2:$A$2001,purchases!$E$2:$E$2001,A5)"),73)</f>
        <v>73</v>
      </c>
      <c r="C5" s="30">
        <v>45292</v>
      </c>
    </row>
    <row r="6" spans="1:26" ht="13.5" thickBot="1" x14ac:dyDescent="0.25">
      <c r="A6" s="11">
        <v>45320</v>
      </c>
      <c r="B6" s="12">
        <f ca="1">IFERROR(__xludf.DUMMYFUNCTION("COUNTUNIQUEIFS(purchases!$A$2:$A$2001,purchases!$E$2:$E$2001,A6)"),79)</f>
        <v>79</v>
      </c>
      <c r="C6" s="30">
        <v>45292</v>
      </c>
    </row>
    <row r="7" spans="1:26" ht="13.5" thickBot="1" x14ac:dyDescent="0.25">
      <c r="A7" s="11">
        <v>45327</v>
      </c>
      <c r="B7" s="12">
        <f ca="1">IFERROR(__xludf.DUMMYFUNCTION("COUNTUNIQUEIFS(purchases!$A$2:$A$2001,purchases!$E$2:$E$2001,A7)"),82)</f>
        <v>82</v>
      </c>
      <c r="C7" s="30">
        <v>45323</v>
      </c>
    </row>
    <row r="8" spans="1:26" ht="13.5" thickBot="1" x14ac:dyDescent="0.25">
      <c r="A8" s="11">
        <v>45334</v>
      </c>
      <c r="B8" s="12">
        <f ca="1">IFERROR(__xludf.DUMMYFUNCTION("COUNTUNIQUEIFS(purchases!$A$2:$A$2001,purchases!$E$2:$E$2001,A8)"),72)</f>
        <v>72</v>
      </c>
      <c r="C8" s="30">
        <v>45323</v>
      </c>
    </row>
    <row r="9" spans="1:26" ht="13.5" thickBot="1" x14ac:dyDescent="0.25">
      <c r="A9" s="11">
        <v>45341</v>
      </c>
      <c r="B9" s="12">
        <f ca="1">IFERROR(__xludf.DUMMYFUNCTION("COUNTUNIQUEIFS(purchases!$A$2:$A$2001,purchases!$E$2:$E$2001,A9)"),72)</f>
        <v>72</v>
      </c>
      <c r="C9" s="30">
        <v>45323</v>
      </c>
    </row>
    <row r="10" spans="1:26" ht="13.5" thickBot="1" x14ac:dyDescent="0.25">
      <c r="A10" s="11">
        <v>45348</v>
      </c>
      <c r="B10" s="12">
        <f ca="1">IFERROR(__xludf.DUMMYFUNCTION("COUNTUNIQUEIFS(purchases!$A$2:$A$2001,purchases!$E$2:$E$2001,A10)"),77)</f>
        <v>77</v>
      </c>
      <c r="C10" s="30">
        <v>45323</v>
      </c>
    </row>
    <row r="11" spans="1:26" ht="13.5" thickBot="1" x14ac:dyDescent="0.25">
      <c r="A11" s="11">
        <v>45355</v>
      </c>
      <c r="B11" s="12">
        <f ca="1">IFERROR(__xludf.DUMMYFUNCTION("COUNTUNIQUEIFS(purchases!$A$2:$A$2001,purchases!$E$2:$E$2001,A11)"),80)</f>
        <v>80</v>
      </c>
      <c r="C11" s="30">
        <v>45352</v>
      </c>
    </row>
    <row r="12" spans="1:26" ht="13.5" thickBot="1" x14ac:dyDescent="0.25">
      <c r="A12" s="11">
        <v>45362</v>
      </c>
      <c r="B12" s="12">
        <f ca="1">IFERROR(__xludf.DUMMYFUNCTION("COUNTUNIQUEIFS(purchases!$A$2:$A$2001,purchases!$E$2:$E$2001,A12)"),82)</f>
        <v>82</v>
      </c>
      <c r="C12" s="30">
        <v>45352</v>
      </c>
    </row>
    <row r="13" spans="1:26" ht="13.5" thickBot="1" x14ac:dyDescent="0.25">
      <c r="A13" s="11">
        <v>45369</v>
      </c>
      <c r="B13" s="12">
        <f ca="1">IFERROR(__xludf.DUMMYFUNCTION("COUNTUNIQUEIFS(purchases!$A$2:$A$2001,purchases!$E$2:$E$2001,A13)"),94)</f>
        <v>94</v>
      </c>
      <c r="C13" s="30">
        <v>45352</v>
      </c>
    </row>
    <row r="14" spans="1:26" ht="13.5" thickBot="1" x14ac:dyDescent="0.25">
      <c r="A14" s="11">
        <v>45376</v>
      </c>
      <c r="B14" s="12">
        <f ca="1">IFERROR(__xludf.DUMMYFUNCTION("COUNTUNIQUEIFS(purchases!$A$2:$A$2001,purchases!$E$2:$E$2001,A14)"),90)</f>
        <v>90</v>
      </c>
      <c r="C14" s="30">
        <v>45352</v>
      </c>
    </row>
    <row r="15" spans="1:26" ht="13.5" thickBot="1" x14ac:dyDescent="0.25">
      <c r="A15" s="11">
        <v>45383</v>
      </c>
      <c r="B15" s="12">
        <f ca="1">IFERROR(__xludf.DUMMYFUNCTION("COUNTUNIQUEIFS(purchases!$A$2:$A$2001,purchases!$E$2:$E$2001,A15)"),71)</f>
        <v>71</v>
      </c>
      <c r="C15" s="30">
        <v>45383</v>
      </c>
    </row>
    <row r="16" spans="1:26" ht="13.5" thickBot="1" x14ac:dyDescent="0.25">
      <c r="A16" s="11">
        <v>45390</v>
      </c>
      <c r="B16" s="12">
        <f ca="1">IFERROR(__xludf.DUMMYFUNCTION("COUNTUNIQUEIFS(purchases!$A$2:$A$2001,purchases!$E$2:$E$2001,A16)"),72)</f>
        <v>72</v>
      </c>
      <c r="C16" s="30">
        <v>45383</v>
      </c>
    </row>
    <row r="17" spans="1:3" ht="13.5" thickBot="1" x14ac:dyDescent="0.25">
      <c r="A17" s="11">
        <v>45397</v>
      </c>
      <c r="B17" s="12">
        <f ca="1">IFERROR(__xludf.DUMMYFUNCTION("COUNTUNIQUEIFS(purchases!$A$2:$A$2001,purchases!$E$2:$E$2001,A17)"),81)</f>
        <v>81</v>
      </c>
      <c r="C17" s="30">
        <v>45383</v>
      </c>
    </row>
    <row r="18" spans="1:3" ht="13.5" thickBot="1" x14ac:dyDescent="0.25">
      <c r="A18" s="11">
        <v>45404</v>
      </c>
      <c r="B18" s="12">
        <f ca="1">IFERROR(__xludf.DUMMYFUNCTION("COUNTUNIQUEIFS(purchases!$A$2:$A$2001,purchases!$E$2:$E$2001,A18)"),74)</f>
        <v>74</v>
      </c>
      <c r="C18" s="30">
        <v>45383</v>
      </c>
    </row>
    <row r="19" spans="1:3" ht="13.5" thickBot="1" x14ac:dyDescent="0.25">
      <c r="A19" s="11">
        <v>45411</v>
      </c>
      <c r="B19" s="12">
        <f ca="1">IFERROR(__xludf.DUMMYFUNCTION("COUNTUNIQUEIFS(purchases!$A$2:$A$2001,purchases!$E$2:$E$2001,A19)"),68)</f>
        <v>68</v>
      </c>
      <c r="C19" s="30">
        <v>45383</v>
      </c>
    </row>
    <row r="20" spans="1:3" ht="13.5" thickBot="1" x14ac:dyDescent="0.25">
      <c r="A20" s="11">
        <v>45418</v>
      </c>
      <c r="B20" s="12">
        <f ca="1">IFERROR(__xludf.DUMMYFUNCTION("COUNTUNIQUEIFS(purchases!$A$2:$A$2001,purchases!$E$2:$E$2001,A20)"),69)</f>
        <v>69</v>
      </c>
      <c r="C20" s="30">
        <v>45413</v>
      </c>
    </row>
    <row r="21" spans="1:3" ht="13.5" thickBot="1" x14ac:dyDescent="0.25">
      <c r="A21" s="11">
        <v>45425</v>
      </c>
      <c r="B21" s="12">
        <f ca="1">IFERROR(__xludf.DUMMYFUNCTION("COUNTUNIQUEIFS(purchases!$A$2:$A$2001,purchases!$E$2:$E$2001,A21)"),74)</f>
        <v>74</v>
      </c>
      <c r="C21" s="30">
        <v>45413</v>
      </c>
    </row>
    <row r="22" spans="1:3" ht="13.5" thickBot="1" x14ac:dyDescent="0.25">
      <c r="A22" s="11">
        <v>45432</v>
      </c>
      <c r="B22" s="12">
        <f ca="1">IFERROR(__xludf.DUMMYFUNCTION("COUNTUNIQUEIFS(purchases!$A$2:$A$2001,purchases!$E$2:$E$2001,A22)"),76)</f>
        <v>76</v>
      </c>
      <c r="C22" s="30">
        <v>45413</v>
      </c>
    </row>
    <row r="23" spans="1:3" ht="13.5" thickBot="1" x14ac:dyDescent="0.25">
      <c r="A23" s="11">
        <v>45439</v>
      </c>
      <c r="B23" s="12">
        <f ca="1">IFERROR(__xludf.DUMMYFUNCTION("COUNTUNIQUEIFS(purchases!$A$2:$A$2001,purchases!$E$2:$E$2001,A23)"),70)</f>
        <v>70</v>
      </c>
      <c r="C23" s="30">
        <v>45413</v>
      </c>
    </row>
    <row r="24" spans="1:3" ht="13.5" thickBot="1" x14ac:dyDescent="0.25">
      <c r="A24" s="11">
        <v>45446</v>
      </c>
      <c r="B24" s="12">
        <f ca="1">IFERROR(__xludf.DUMMYFUNCTION("COUNTUNIQUEIFS(purchases!$A$2:$A$2001,purchases!$E$2:$E$2001,A24)"),71)</f>
        <v>71</v>
      </c>
      <c r="C24" s="30">
        <v>45444</v>
      </c>
    </row>
    <row r="25" spans="1:3" ht="13.5" thickBot="1" x14ac:dyDescent="0.25">
      <c r="A25" s="11">
        <v>45453</v>
      </c>
      <c r="B25" s="12">
        <f ca="1">IFERROR(__xludf.DUMMYFUNCTION("COUNTUNIQUEIFS(purchases!$A$2:$A$2001,purchases!$E$2:$E$2001,A25)"),79)</f>
        <v>79</v>
      </c>
      <c r="C25" s="30">
        <v>45444</v>
      </c>
    </row>
    <row r="26" spans="1:3" ht="13.5" thickBot="1" x14ac:dyDescent="0.25">
      <c r="A26" s="11">
        <v>45460</v>
      </c>
      <c r="B26" s="12">
        <f ca="1">IFERROR(__xludf.DUMMYFUNCTION("COUNTUNIQUEIFS(purchases!$A$2:$A$2001,purchases!$E$2:$E$2001,A26)"),63)</f>
        <v>63</v>
      </c>
      <c r="C26" s="30">
        <v>45444</v>
      </c>
    </row>
    <row r="27" spans="1:3" ht="13.5" thickBot="1" x14ac:dyDescent="0.25">
      <c r="A27" s="11">
        <v>45467</v>
      </c>
      <c r="B27" s="12">
        <f ca="1">IFERROR(__xludf.DUMMYFUNCTION("COUNTUNIQUEIFS(purchases!$A$2:$A$2001,purchases!$E$2:$E$2001,A27)"),71)</f>
        <v>71</v>
      </c>
      <c r="C27" s="30">
        <v>45444</v>
      </c>
    </row>
    <row r="28" spans="1:3" ht="13.5" thickBot="1" x14ac:dyDescent="0.25">
      <c r="A28" s="11">
        <v>45474</v>
      </c>
      <c r="B28" s="12">
        <f ca="1">IFERROR(__xludf.DUMMYFUNCTION("COUNTUNIQUEIFS(purchases!$A$2:$A$2001,purchases!$E$2:$E$2001,A28)"),67)</f>
        <v>67</v>
      </c>
      <c r="C28" s="30">
        <v>45474</v>
      </c>
    </row>
    <row r="29" spans="1:3" ht="13.5" thickBot="1" x14ac:dyDescent="0.25">
      <c r="A29" s="11">
        <v>45481</v>
      </c>
      <c r="B29" s="12">
        <f ca="1">IFERROR(__xludf.DUMMYFUNCTION("COUNTUNIQUEIFS(purchases!$A$2:$A$2001,purchases!$E$2:$E$2001,A29)"),3)</f>
        <v>3</v>
      </c>
      <c r="C29" s="30">
        <v>45474</v>
      </c>
    </row>
    <row r="30" spans="1:3" ht="13.5" thickBot="1" x14ac:dyDescent="0.25">
      <c r="A30" s="6"/>
      <c r="B30" s="3"/>
      <c r="C30" s="31"/>
    </row>
    <row r="31" spans="1:3" ht="13.5" thickBot="1" x14ac:dyDescent="0.25">
      <c r="A31" s="6"/>
      <c r="B31" s="3"/>
      <c r="C31" s="31"/>
    </row>
    <row r="32" spans="1:3" ht="13.5" thickBot="1" x14ac:dyDescent="0.25">
      <c r="A32" s="6"/>
      <c r="B32" s="3"/>
      <c r="C32" s="31"/>
    </row>
    <row r="33" spans="1:3" ht="13.5" thickBot="1" x14ac:dyDescent="0.25">
      <c r="A33" s="6"/>
      <c r="B33" s="3"/>
      <c r="C33" s="31"/>
    </row>
    <row r="34" spans="1:3" ht="13.5" thickBot="1" x14ac:dyDescent="0.25">
      <c r="A34" s="6"/>
      <c r="B34" s="3"/>
      <c r="C34" s="31"/>
    </row>
    <row r="35" spans="1:3" ht="13.5" thickBot="1" x14ac:dyDescent="0.25">
      <c r="A35" s="6"/>
      <c r="B35" s="3"/>
      <c r="C35" s="31"/>
    </row>
    <row r="36" spans="1:3" ht="13.5" thickBot="1" x14ac:dyDescent="0.25">
      <c r="A36" s="6"/>
      <c r="B36" s="3"/>
      <c r="C36" s="31"/>
    </row>
    <row r="37" spans="1:3" ht="13.5" thickBot="1" x14ac:dyDescent="0.25">
      <c r="A37" s="6"/>
      <c r="B37" s="3"/>
      <c r="C37" s="31"/>
    </row>
    <row r="38" spans="1:3" ht="13.5" thickBot="1" x14ac:dyDescent="0.25">
      <c r="A38" s="6"/>
      <c r="B38" s="3"/>
      <c r="C38" s="31"/>
    </row>
    <row r="39" spans="1:3" ht="13.5" thickBot="1" x14ac:dyDescent="0.25">
      <c r="A39" s="6"/>
      <c r="B39" s="3"/>
      <c r="C39" s="31"/>
    </row>
    <row r="40" spans="1:3" ht="13.5" thickBot="1" x14ac:dyDescent="0.25">
      <c r="A40" s="6"/>
      <c r="B40" s="3"/>
      <c r="C40" s="31"/>
    </row>
    <row r="41" spans="1:3" ht="13.5" thickBot="1" x14ac:dyDescent="0.25">
      <c r="A41" s="6"/>
      <c r="B41" s="3"/>
      <c r="C41" s="31"/>
    </row>
    <row r="42" spans="1:3" ht="13.5" thickBot="1" x14ac:dyDescent="0.25">
      <c r="A42" s="6"/>
      <c r="B42" s="3"/>
      <c r="C42" s="31"/>
    </row>
    <row r="43" spans="1:3" ht="13.5" thickBot="1" x14ac:dyDescent="0.25">
      <c r="A43" s="6"/>
      <c r="B43" s="3"/>
      <c r="C43" s="31"/>
    </row>
    <row r="44" spans="1:3" ht="13.5" thickBot="1" x14ac:dyDescent="0.25">
      <c r="A44" s="6"/>
      <c r="B44" s="3"/>
      <c r="C44" s="31"/>
    </row>
    <row r="45" spans="1:3" ht="13.5" thickBot="1" x14ac:dyDescent="0.25">
      <c r="A45" s="6"/>
      <c r="B45" s="3"/>
      <c r="C45" s="31"/>
    </row>
    <row r="46" spans="1:3" ht="13.5" thickBot="1" x14ac:dyDescent="0.25">
      <c r="A46" s="6"/>
      <c r="B46" s="3"/>
      <c r="C46" s="31"/>
    </row>
    <row r="47" spans="1:3" ht="13.5" thickBot="1" x14ac:dyDescent="0.25">
      <c r="A47" s="6"/>
      <c r="B47" s="3"/>
      <c r="C47" s="31"/>
    </row>
    <row r="48" spans="1:3" ht="13.5" thickBot="1" x14ac:dyDescent="0.25">
      <c r="A48" s="6"/>
      <c r="B48" s="3"/>
      <c r="C48" s="31"/>
    </row>
    <row r="49" spans="1:3" ht="13.5" thickBot="1" x14ac:dyDescent="0.25">
      <c r="A49" s="6"/>
      <c r="B49" s="3"/>
      <c r="C49" s="31"/>
    </row>
    <row r="50" spans="1:3" ht="13.5" thickBot="1" x14ac:dyDescent="0.25">
      <c r="A50" s="6"/>
      <c r="B50" s="3"/>
      <c r="C50" s="31"/>
    </row>
    <row r="51" spans="1:3" ht="13.5" thickBot="1" x14ac:dyDescent="0.25">
      <c r="A51" s="6"/>
      <c r="B51" s="3"/>
      <c r="C51" s="31"/>
    </row>
    <row r="52" spans="1:3" ht="13.5" thickBot="1" x14ac:dyDescent="0.25">
      <c r="A52" s="6"/>
      <c r="B52" s="3"/>
      <c r="C52" s="31"/>
    </row>
    <row r="53" spans="1:3" ht="13.5" thickBot="1" x14ac:dyDescent="0.25">
      <c r="A53" s="6"/>
      <c r="B53" s="3"/>
      <c r="C53" s="31"/>
    </row>
    <row r="54" spans="1:3" ht="13.5" thickBot="1" x14ac:dyDescent="0.25">
      <c r="A54" s="6"/>
      <c r="B54" s="3"/>
      <c r="C54" s="31"/>
    </row>
    <row r="55" spans="1:3" ht="13.5" thickBot="1" x14ac:dyDescent="0.25">
      <c r="A55" s="6"/>
      <c r="B55" s="3"/>
      <c r="C55" s="31"/>
    </row>
    <row r="56" spans="1:3" ht="13.5" thickBot="1" x14ac:dyDescent="0.25">
      <c r="A56" s="6"/>
      <c r="B56" s="3"/>
      <c r="C56" s="31"/>
    </row>
    <row r="57" spans="1:3" ht="13.5" thickBot="1" x14ac:dyDescent="0.25">
      <c r="A57" s="6"/>
      <c r="B57" s="3"/>
      <c r="C57" s="31"/>
    </row>
    <row r="58" spans="1:3" ht="13.5" thickBot="1" x14ac:dyDescent="0.25">
      <c r="A58" s="6"/>
      <c r="B58" s="3"/>
      <c r="C58" s="31"/>
    </row>
    <row r="59" spans="1:3" ht="13.5" thickBot="1" x14ac:dyDescent="0.25">
      <c r="A59" s="6"/>
      <c r="B59" s="3"/>
      <c r="C59" s="31"/>
    </row>
    <row r="60" spans="1:3" ht="13.5" thickBot="1" x14ac:dyDescent="0.25">
      <c r="A60" s="6"/>
      <c r="B60" s="3"/>
      <c r="C60" s="31"/>
    </row>
    <row r="61" spans="1:3" ht="13.5" thickBot="1" x14ac:dyDescent="0.25">
      <c r="A61" s="6"/>
      <c r="B61" s="3"/>
      <c r="C61" s="31"/>
    </row>
    <row r="62" spans="1:3" ht="13.5" thickBot="1" x14ac:dyDescent="0.25">
      <c r="A62" s="6"/>
      <c r="B62" s="3"/>
      <c r="C62" s="31"/>
    </row>
    <row r="63" spans="1:3" ht="13.5" thickBot="1" x14ac:dyDescent="0.25">
      <c r="A63" s="6"/>
      <c r="B63" s="3"/>
      <c r="C63" s="31"/>
    </row>
    <row r="64" spans="1:3" ht="13.5" thickBot="1" x14ac:dyDescent="0.25">
      <c r="A64" s="6"/>
      <c r="B64" s="3"/>
      <c r="C64" s="31"/>
    </row>
    <row r="65" spans="1:3" ht="13.5" thickBot="1" x14ac:dyDescent="0.25">
      <c r="A65" s="6"/>
      <c r="B65" s="3"/>
      <c r="C65" s="31"/>
    </row>
    <row r="66" spans="1:3" ht="13.5" thickBot="1" x14ac:dyDescent="0.25">
      <c r="A66" s="6"/>
      <c r="B66" s="3"/>
      <c r="C66" s="31"/>
    </row>
    <row r="67" spans="1:3" ht="13.5" thickBot="1" x14ac:dyDescent="0.25">
      <c r="A67" s="6"/>
      <c r="B67" s="3"/>
      <c r="C67" s="31"/>
    </row>
    <row r="68" spans="1:3" ht="13.5" thickBot="1" x14ac:dyDescent="0.25">
      <c r="A68" s="6"/>
      <c r="B68" s="3"/>
      <c r="C68" s="31"/>
    </row>
    <row r="69" spans="1:3" ht="13.5" thickBot="1" x14ac:dyDescent="0.25">
      <c r="A69" s="6"/>
      <c r="B69" s="3"/>
      <c r="C69" s="31"/>
    </row>
    <row r="70" spans="1:3" ht="13.5" thickBot="1" x14ac:dyDescent="0.25">
      <c r="A70" s="6"/>
      <c r="B70" s="3"/>
      <c r="C70" s="31"/>
    </row>
    <row r="71" spans="1:3" ht="13.5" thickBot="1" x14ac:dyDescent="0.25">
      <c r="A71" s="6"/>
      <c r="B71" s="3"/>
      <c r="C71" s="31"/>
    </row>
    <row r="72" spans="1:3" ht="13.5" thickBot="1" x14ac:dyDescent="0.25">
      <c r="A72" s="6"/>
      <c r="B72" s="3"/>
      <c r="C72" s="31"/>
    </row>
    <row r="73" spans="1:3" ht="13.5" thickBot="1" x14ac:dyDescent="0.25">
      <c r="A73" s="6"/>
      <c r="B73" s="3"/>
      <c r="C73" s="31"/>
    </row>
    <row r="74" spans="1:3" ht="13.5" thickBot="1" x14ac:dyDescent="0.25">
      <c r="A74" s="6"/>
      <c r="B74" s="3"/>
      <c r="C74" s="31"/>
    </row>
    <row r="75" spans="1:3" ht="13.5" thickBot="1" x14ac:dyDescent="0.25">
      <c r="A75" s="6"/>
      <c r="B75" s="3"/>
      <c r="C75" s="31"/>
    </row>
    <row r="76" spans="1:3" ht="13.5" thickBot="1" x14ac:dyDescent="0.25">
      <c r="A76" s="6"/>
      <c r="B76" s="3"/>
      <c r="C76" s="31"/>
    </row>
    <row r="77" spans="1:3" ht="13.5" thickBot="1" x14ac:dyDescent="0.25">
      <c r="A77" s="6"/>
      <c r="B77" s="3"/>
      <c r="C77" s="31"/>
    </row>
    <row r="78" spans="1:3" ht="13.5" thickBot="1" x14ac:dyDescent="0.25">
      <c r="A78" s="6"/>
      <c r="B78" s="3"/>
      <c r="C78" s="31"/>
    </row>
    <row r="79" spans="1:3" ht="13.5" thickBot="1" x14ac:dyDescent="0.25">
      <c r="A79" s="6"/>
      <c r="B79" s="3"/>
      <c r="C79" s="31"/>
    </row>
    <row r="80" spans="1:3" ht="13.5" thickBot="1" x14ac:dyDescent="0.25">
      <c r="A80" s="6"/>
      <c r="B80" s="3"/>
      <c r="C80" s="31"/>
    </row>
    <row r="81" spans="1:3" ht="13.5" thickBot="1" x14ac:dyDescent="0.25">
      <c r="A81" s="6"/>
      <c r="B81" s="3"/>
      <c r="C81" s="31"/>
    </row>
    <row r="82" spans="1:3" ht="13.5" thickBot="1" x14ac:dyDescent="0.25">
      <c r="A82" s="6"/>
      <c r="B82" s="3"/>
      <c r="C82" s="31"/>
    </row>
    <row r="83" spans="1:3" ht="13.5" thickBot="1" x14ac:dyDescent="0.25">
      <c r="A83" s="6"/>
      <c r="B83" s="3"/>
      <c r="C83" s="31"/>
    </row>
    <row r="84" spans="1:3" ht="13.5" thickBot="1" x14ac:dyDescent="0.25">
      <c r="A84" s="6"/>
      <c r="B84" s="3"/>
      <c r="C84" s="31"/>
    </row>
    <row r="85" spans="1:3" ht="13.5" thickBot="1" x14ac:dyDescent="0.25">
      <c r="A85" s="6"/>
      <c r="B85" s="3"/>
      <c r="C85" s="31"/>
    </row>
    <row r="86" spans="1:3" ht="13.5" thickBot="1" x14ac:dyDescent="0.25">
      <c r="A86" s="6"/>
      <c r="B86" s="3"/>
      <c r="C86" s="31"/>
    </row>
    <row r="87" spans="1:3" ht="13.5" thickBot="1" x14ac:dyDescent="0.25">
      <c r="A87" s="6"/>
      <c r="B87" s="3"/>
      <c r="C87" s="31"/>
    </row>
    <row r="88" spans="1:3" ht="13.5" thickBot="1" x14ac:dyDescent="0.25">
      <c r="A88" s="6"/>
      <c r="B88" s="3"/>
      <c r="C88" s="31"/>
    </row>
    <row r="89" spans="1:3" ht="13.5" thickBot="1" x14ac:dyDescent="0.25">
      <c r="A89" s="6"/>
      <c r="B89" s="3"/>
      <c r="C89" s="31"/>
    </row>
    <row r="90" spans="1:3" ht="13.5" thickBot="1" x14ac:dyDescent="0.25">
      <c r="A90" s="6"/>
      <c r="B90" s="3"/>
      <c r="C90" s="31"/>
    </row>
    <row r="91" spans="1:3" ht="13.5" thickBot="1" x14ac:dyDescent="0.25">
      <c r="A91" s="6"/>
      <c r="B91" s="3"/>
      <c r="C91" s="31"/>
    </row>
    <row r="92" spans="1:3" ht="13.5" thickBot="1" x14ac:dyDescent="0.25">
      <c r="A92" s="6"/>
      <c r="B92" s="3"/>
      <c r="C92" s="31"/>
    </row>
    <row r="93" spans="1:3" ht="13.5" thickBot="1" x14ac:dyDescent="0.25">
      <c r="A93" s="6"/>
      <c r="B93" s="3"/>
      <c r="C93" s="31"/>
    </row>
    <row r="94" spans="1:3" ht="13.5" thickBot="1" x14ac:dyDescent="0.25">
      <c r="A94" s="6"/>
      <c r="B94" s="3"/>
      <c r="C94" s="31"/>
    </row>
    <row r="95" spans="1:3" ht="13.5" thickBot="1" x14ac:dyDescent="0.25">
      <c r="A95" s="6"/>
      <c r="B95" s="3"/>
      <c r="C95" s="31"/>
    </row>
    <row r="96" spans="1:3" ht="13.5" thickBot="1" x14ac:dyDescent="0.25">
      <c r="A96" s="6"/>
      <c r="B96" s="3"/>
      <c r="C96" s="31"/>
    </row>
    <row r="97" spans="1:3" ht="13.5" thickBot="1" x14ac:dyDescent="0.25">
      <c r="A97" s="6"/>
      <c r="B97" s="3"/>
      <c r="C97" s="31"/>
    </row>
    <row r="98" spans="1:3" ht="13.5" thickBot="1" x14ac:dyDescent="0.25">
      <c r="A98" s="6"/>
      <c r="B98" s="3"/>
      <c r="C98" s="31"/>
    </row>
    <row r="99" spans="1:3" ht="13.5" thickBot="1" x14ac:dyDescent="0.25">
      <c r="A99" s="6"/>
      <c r="B99" s="3"/>
      <c r="C99" s="31"/>
    </row>
    <row r="100" spans="1:3" ht="13.5" thickBot="1" x14ac:dyDescent="0.25">
      <c r="A100" s="6"/>
      <c r="B100" s="3"/>
      <c r="C100" s="31"/>
    </row>
    <row r="101" spans="1:3" ht="13.5" thickBot="1" x14ac:dyDescent="0.25">
      <c r="A101" s="6"/>
      <c r="B101" s="3"/>
      <c r="C101" s="31"/>
    </row>
    <row r="102" spans="1:3" ht="13.5" thickBot="1" x14ac:dyDescent="0.25">
      <c r="A102" s="6"/>
      <c r="B102" s="3"/>
      <c r="C102" s="31"/>
    </row>
    <row r="103" spans="1:3" ht="13.5" thickBot="1" x14ac:dyDescent="0.25">
      <c r="A103" s="6"/>
      <c r="B103" s="3"/>
      <c r="C103" s="31"/>
    </row>
    <row r="104" spans="1:3" ht="13.5" thickBot="1" x14ac:dyDescent="0.25">
      <c r="A104" s="6"/>
      <c r="B104" s="3"/>
      <c r="C104" s="31"/>
    </row>
    <row r="105" spans="1:3" ht="13.5" thickBot="1" x14ac:dyDescent="0.25">
      <c r="A105" s="6"/>
      <c r="B105" s="3"/>
      <c r="C105" s="31"/>
    </row>
    <row r="106" spans="1:3" ht="13.5" thickBot="1" x14ac:dyDescent="0.25">
      <c r="A106" s="6"/>
      <c r="B106" s="3"/>
      <c r="C106" s="31"/>
    </row>
    <row r="107" spans="1:3" ht="13.5" thickBot="1" x14ac:dyDescent="0.25">
      <c r="A107" s="6"/>
      <c r="B107" s="3"/>
      <c r="C107" s="31"/>
    </row>
    <row r="108" spans="1:3" ht="13.5" thickBot="1" x14ac:dyDescent="0.25">
      <c r="A108" s="6"/>
      <c r="B108" s="3"/>
      <c r="C108" s="31"/>
    </row>
    <row r="109" spans="1:3" ht="13.5" thickBot="1" x14ac:dyDescent="0.25">
      <c r="A109" s="6"/>
      <c r="B109" s="3"/>
      <c r="C109" s="31"/>
    </row>
    <row r="110" spans="1:3" ht="13.5" thickBot="1" x14ac:dyDescent="0.25">
      <c r="A110" s="6"/>
      <c r="B110" s="3"/>
      <c r="C110" s="31"/>
    </row>
    <row r="111" spans="1:3" ht="13.5" thickBot="1" x14ac:dyDescent="0.25">
      <c r="A111" s="6"/>
      <c r="B111" s="3"/>
      <c r="C111" s="31"/>
    </row>
    <row r="112" spans="1:3" ht="13.5" thickBot="1" x14ac:dyDescent="0.25">
      <c r="A112" s="6"/>
      <c r="B112" s="3"/>
      <c r="C112" s="31"/>
    </row>
    <row r="113" spans="1:3" ht="13.5" thickBot="1" x14ac:dyDescent="0.25">
      <c r="A113" s="6"/>
      <c r="B113" s="3"/>
      <c r="C113" s="31"/>
    </row>
    <row r="114" spans="1:3" ht="13.5" thickBot="1" x14ac:dyDescent="0.25">
      <c r="A114" s="6"/>
      <c r="B114" s="3"/>
      <c r="C114" s="31"/>
    </row>
    <row r="115" spans="1:3" ht="13.5" thickBot="1" x14ac:dyDescent="0.25">
      <c r="A115" s="6"/>
      <c r="B115" s="3"/>
      <c r="C115" s="31"/>
    </row>
    <row r="116" spans="1:3" ht="13.5" thickBot="1" x14ac:dyDescent="0.25">
      <c r="A116" s="6"/>
      <c r="B116" s="3"/>
      <c r="C116" s="31"/>
    </row>
    <row r="117" spans="1:3" ht="13.5" thickBot="1" x14ac:dyDescent="0.25">
      <c r="A117" s="6"/>
      <c r="B117" s="3"/>
      <c r="C117" s="31"/>
    </row>
    <row r="118" spans="1:3" ht="13.5" thickBot="1" x14ac:dyDescent="0.25">
      <c r="A118" s="6"/>
      <c r="B118" s="3"/>
      <c r="C118" s="31"/>
    </row>
    <row r="119" spans="1:3" ht="13.5" thickBot="1" x14ac:dyDescent="0.25">
      <c r="A119" s="6"/>
      <c r="B119" s="3"/>
      <c r="C119" s="31"/>
    </row>
    <row r="120" spans="1:3" ht="13.5" thickBot="1" x14ac:dyDescent="0.25">
      <c r="A120" s="6"/>
      <c r="B120" s="3"/>
      <c r="C120" s="31"/>
    </row>
    <row r="121" spans="1:3" ht="13.5" thickBot="1" x14ac:dyDescent="0.25">
      <c r="A121" s="6"/>
      <c r="B121" s="3"/>
      <c r="C121" s="31"/>
    </row>
    <row r="122" spans="1:3" ht="13.5" thickBot="1" x14ac:dyDescent="0.25">
      <c r="A122" s="6"/>
      <c r="B122" s="3"/>
      <c r="C122" s="31"/>
    </row>
    <row r="123" spans="1:3" ht="13.5" thickBot="1" x14ac:dyDescent="0.25">
      <c r="A123" s="6"/>
      <c r="B123" s="3"/>
      <c r="C123" s="31"/>
    </row>
    <row r="124" spans="1:3" ht="13.5" thickBot="1" x14ac:dyDescent="0.25">
      <c r="A124" s="6"/>
      <c r="B124" s="3"/>
      <c r="C124" s="31"/>
    </row>
    <row r="125" spans="1:3" ht="13.5" thickBot="1" x14ac:dyDescent="0.25">
      <c r="A125" s="6"/>
      <c r="B125" s="3"/>
      <c r="C125" s="31"/>
    </row>
    <row r="126" spans="1:3" ht="13.5" thickBot="1" x14ac:dyDescent="0.25">
      <c r="A126" s="6"/>
      <c r="B126" s="3"/>
      <c r="C126" s="31"/>
    </row>
    <row r="127" spans="1:3" ht="13.5" thickBot="1" x14ac:dyDescent="0.25">
      <c r="A127" s="6"/>
      <c r="B127" s="3"/>
      <c r="C127" s="31"/>
    </row>
    <row r="128" spans="1:3" ht="13.5" thickBot="1" x14ac:dyDescent="0.25">
      <c r="A128" s="6"/>
      <c r="B128" s="3"/>
      <c r="C128" s="31"/>
    </row>
    <row r="129" spans="1:3" ht="13.5" thickBot="1" x14ac:dyDescent="0.25">
      <c r="A129" s="6"/>
      <c r="B129" s="3"/>
      <c r="C129" s="31"/>
    </row>
    <row r="130" spans="1:3" ht="13.5" thickBot="1" x14ac:dyDescent="0.25">
      <c r="A130" s="6"/>
      <c r="B130" s="3"/>
      <c r="C130" s="31"/>
    </row>
    <row r="131" spans="1:3" ht="13.5" thickBot="1" x14ac:dyDescent="0.25">
      <c r="A131" s="6"/>
      <c r="B131" s="3"/>
      <c r="C131" s="31"/>
    </row>
    <row r="132" spans="1:3" ht="13.5" thickBot="1" x14ac:dyDescent="0.25">
      <c r="A132" s="6"/>
      <c r="B132" s="3"/>
      <c r="C132" s="31"/>
    </row>
    <row r="133" spans="1:3" ht="13.5" thickBot="1" x14ac:dyDescent="0.25">
      <c r="A133" s="6"/>
      <c r="B133" s="3"/>
      <c r="C133" s="31"/>
    </row>
    <row r="134" spans="1:3" ht="13.5" thickBot="1" x14ac:dyDescent="0.25">
      <c r="A134" s="6"/>
      <c r="B134" s="3"/>
      <c r="C134" s="31"/>
    </row>
    <row r="135" spans="1:3" ht="13.5" thickBot="1" x14ac:dyDescent="0.25">
      <c r="A135" s="6"/>
      <c r="B135" s="3"/>
      <c r="C135" s="31"/>
    </row>
    <row r="136" spans="1:3" ht="13.5" thickBot="1" x14ac:dyDescent="0.25">
      <c r="A136" s="6"/>
      <c r="B136" s="3"/>
      <c r="C136" s="31"/>
    </row>
    <row r="137" spans="1:3" ht="13.5" thickBot="1" x14ac:dyDescent="0.25">
      <c r="A137" s="6"/>
      <c r="B137" s="3"/>
      <c r="C137" s="31"/>
    </row>
    <row r="138" spans="1:3" ht="13.5" thickBot="1" x14ac:dyDescent="0.25">
      <c r="A138" s="6"/>
      <c r="B138" s="3"/>
      <c r="C138" s="31"/>
    </row>
    <row r="139" spans="1:3" ht="13.5" thickBot="1" x14ac:dyDescent="0.25">
      <c r="A139" s="6"/>
      <c r="B139" s="3"/>
      <c r="C139" s="31"/>
    </row>
    <row r="140" spans="1:3" ht="13.5" thickBot="1" x14ac:dyDescent="0.25">
      <c r="A140" s="6"/>
      <c r="B140" s="3"/>
      <c r="C140" s="31"/>
    </row>
    <row r="141" spans="1:3" ht="13.5" thickBot="1" x14ac:dyDescent="0.25">
      <c r="A141" s="6"/>
      <c r="B141" s="3"/>
      <c r="C141" s="31"/>
    </row>
    <row r="142" spans="1:3" ht="13.5" thickBot="1" x14ac:dyDescent="0.25">
      <c r="A142" s="6"/>
      <c r="B142" s="3"/>
      <c r="C142" s="31"/>
    </row>
    <row r="143" spans="1:3" ht="13.5" thickBot="1" x14ac:dyDescent="0.25">
      <c r="A143" s="6"/>
      <c r="B143" s="3"/>
      <c r="C143" s="31"/>
    </row>
    <row r="144" spans="1:3" ht="13.5" thickBot="1" x14ac:dyDescent="0.25">
      <c r="A144" s="6"/>
      <c r="B144" s="3"/>
      <c r="C144" s="31"/>
    </row>
    <row r="145" spans="1:3" ht="13.5" thickBot="1" x14ac:dyDescent="0.25">
      <c r="A145" s="6"/>
      <c r="B145" s="3"/>
      <c r="C145" s="31"/>
    </row>
    <row r="146" spans="1:3" ht="13.5" thickBot="1" x14ac:dyDescent="0.25">
      <c r="A146" s="6"/>
      <c r="B146" s="3"/>
      <c r="C146" s="31"/>
    </row>
    <row r="147" spans="1:3" ht="13.5" thickBot="1" x14ac:dyDescent="0.25">
      <c r="A147" s="6"/>
      <c r="B147" s="3"/>
      <c r="C147" s="31"/>
    </row>
    <row r="148" spans="1:3" ht="13.5" thickBot="1" x14ac:dyDescent="0.25">
      <c r="A148" s="6"/>
      <c r="B148" s="3"/>
      <c r="C148" s="31"/>
    </row>
    <row r="149" spans="1:3" ht="13.5" thickBot="1" x14ac:dyDescent="0.25">
      <c r="A149" s="6"/>
      <c r="B149" s="3"/>
      <c r="C149" s="31"/>
    </row>
    <row r="150" spans="1:3" ht="13.5" thickBot="1" x14ac:dyDescent="0.25">
      <c r="A150" s="6"/>
      <c r="B150" s="3"/>
      <c r="C150" s="31"/>
    </row>
    <row r="151" spans="1:3" ht="13.5" thickBot="1" x14ac:dyDescent="0.25">
      <c r="A151" s="6"/>
      <c r="B151" s="3"/>
      <c r="C151" s="31"/>
    </row>
    <row r="152" spans="1:3" ht="13.5" thickBot="1" x14ac:dyDescent="0.25">
      <c r="A152" s="6"/>
      <c r="B152" s="3"/>
      <c r="C152" s="31"/>
    </row>
    <row r="153" spans="1:3" ht="13.5" thickBot="1" x14ac:dyDescent="0.25">
      <c r="A153" s="6"/>
      <c r="B153" s="3"/>
      <c r="C153" s="31"/>
    </row>
    <row r="154" spans="1:3" ht="13.5" thickBot="1" x14ac:dyDescent="0.25">
      <c r="A154" s="6"/>
      <c r="B154" s="3"/>
      <c r="C154" s="31"/>
    </row>
    <row r="155" spans="1:3" ht="13.5" thickBot="1" x14ac:dyDescent="0.25">
      <c r="A155" s="6"/>
      <c r="B155" s="3"/>
      <c r="C155" s="31"/>
    </row>
    <row r="156" spans="1:3" ht="13.5" thickBot="1" x14ac:dyDescent="0.25">
      <c r="A156" s="6"/>
      <c r="B156" s="3"/>
      <c r="C156" s="31"/>
    </row>
    <row r="157" spans="1:3" ht="13.5" thickBot="1" x14ac:dyDescent="0.25">
      <c r="A157" s="6"/>
      <c r="B157" s="3"/>
      <c r="C157" s="31"/>
    </row>
    <row r="158" spans="1:3" ht="13.5" thickBot="1" x14ac:dyDescent="0.25">
      <c r="A158" s="6"/>
      <c r="B158" s="3"/>
      <c r="C158" s="31"/>
    </row>
    <row r="159" spans="1:3" ht="13.5" thickBot="1" x14ac:dyDescent="0.25">
      <c r="A159" s="6"/>
      <c r="B159" s="3"/>
      <c r="C159" s="31"/>
    </row>
    <row r="160" spans="1:3" ht="13.5" thickBot="1" x14ac:dyDescent="0.25">
      <c r="A160" s="6"/>
      <c r="B160" s="3"/>
      <c r="C160" s="31"/>
    </row>
    <row r="161" spans="1:3" ht="13.5" thickBot="1" x14ac:dyDescent="0.25">
      <c r="A161" s="6"/>
      <c r="B161" s="3"/>
      <c r="C161" s="31"/>
    </row>
    <row r="162" spans="1:3" ht="13.5" thickBot="1" x14ac:dyDescent="0.25">
      <c r="A162" s="6"/>
      <c r="B162" s="3"/>
      <c r="C162" s="31"/>
    </row>
    <row r="163" spans="1:3" ht="13.5" thickBot="1" x14ac:dyDescent="0.25">
      <c r="A163" s="6"/>
      <c r="B163" s="3"/>
      <c r="C163" s="31"/>
    </row>
    <row r="164" spans="1:3" ht="13.5" thickBot="1" x14ac:dyDescent="0.25">
      <c r="A164" s="6"/>
      <c r="B164" s="3"/>
      <c r="C164" s="31"/>
    </row>
    <row r="165" spans="1:3" ht="13.5" thickBot="1" x14ac:dyDescent="0.25">
      <c r="A165" s="6"/>
      <c r="B165" s="3"/>
      <c r="C165" s="31"/>
    </row>
    <row r="166" spans="1:3" ht="13.5" thickBot="1" x14ac:dyDescent="0.25">
      <c r="A166" s="6"/>
      <c r="B166" s="3"/>
      <c r="C166" s="31"/>
    </row>
    <row r="167" spans="1:3" ht="13.5" thickBot="1" x14ac:dyDescent="0.25">
      <c r="A167" s="6"/>
      <c r="B167" s="3"/>
      <c r="C167" s="31"/>
    </row>
    <row r="168" spans="1:3" ht="13.5" thickBot="1" x14ac:dyDescent="0.25">
      <c r="A168" s="6"/>
      <c r="B168" s="3"/>
      <c r="C168" s="31"/>
    </row>
    <row r="169" spans="1:3" ht="13.5" thickBot="1" x14ac:dyDescent="0.25">
      <c r="A169" s="6"/>
      <c r="B169" s="3"/>
      <c r="C169" s="31"/>
    </row>
    <row r="170" spans="1:3" ht="13.5" thickBot="1" x14ac:dyDescent="0.25">
      <c r="A170" s="6"/>
      <c r="B170" s="3"/>
      <c r="C170" s="31"/>
    </row>
    <row r="171" spans="1:3" ht="13.5" thickBot="1" x14ac:dyDescent="0.25">
      <c r="A171" s="6"/>
      <c r="B171" s="3"/>
      <c r="C171" s="31"/>
    </row>
    <row r="172" spans="1:3" ht="13.5" thickBot="1" x14ac:dyDescent="0.25">
      <c r="A172" s="6"/>
      <c r="B172" s="3"/>
      <c r="C172" s="31"/>
    </row>
    <row r="173" spans="1:3" ht="13.5" thickBot="1" x14ac:dyDescent="0.25">
      <c r="A173" s="6"/>
      <c r="B173" s="3"/>
      <c r="C173" s="31"/>
    </row>
    <row r="174" spans="1:3" ht="13.5" thickBot="1" x14ac:dyDescent="0.25">
      <c r="A174" s="6"/>
      <c r="B174" s="3"/>
      <c r="C174" s="31"/>
    </row>
    <row r="175" spans="1:3" ht="13.5" thickBot="1" x14ac:dyDescent="0.25">
      <c r="A175" s="6"/>
      <c r="B175" s="3"/>
      <c r="C175" s="31"/>
    </row>
    <row r="176" spans="1:3" ht="13.5" thickBot="1" x14ac:dyDescent="0.25">
      <c r="A176" s="6"/>
      <c r="B176" s="3"/>
      <c r="C176" s="31"/>
    </row>
    <row r="177" spans="1:3" ht="13.5" thickBot="1" x14ac:dyDescent="0.25">
      <c r="A177" s="6"/>
      <c r="B177" s="3"/>
      <c r="C177" s="31"/>
    </row>
    <row r="178" spans="1:3" ht="13.5" thickBot="1" x14ac:dyDescent="0.25">
      <c r="A178" s="6"/>
      <c r="B178" s="3"/>
      <c r="C178" s="31"/>
    </row>
    <row r="179" spans="1:3" ht="13.5" thickBot="1" x14ac:dyDescent="0.25">
      <c r="A179" s="6"/>
      <c r="B179" s="3"/>
      <c r="C179" s="31"/>
    </row>
    <row r="180" spans="1:3" ht="13.5" thickBot="1" x14ac:dyDescent="0.25">
      <c r="A180" s="6"/>
      <c r="B180" s="3"/>
      <c r="C180" s="31"/>
    </row>
    <row r="181" spans="1:3" ht="13.5" thickBot="1" x14ac:dyDescent="0.25">
      <c r="A181" s="6"/>
      <c r="B181" s="3"/>
      <c r="C181" s="31"/>
    </row>
    <row r="182" spans="1:3" ht="13.5" thickBot="1" x14ac:dyDescent="0.25">
      <c r="A182" s="6"/>
      <c r="B182" s="3"/>
      <c r="C182" s="31"/>
    </row>
    <row r="183" spans="1:3" ht="13.5" thickBot="1" x14ac:dyDescent="0.25">
      <c r="A183" s="6"/>
      <c r="B183" s="3"/>
      <c r="C183" s="31"/>
    </row>
    <row r="184" spans="1:3" ht="13.5" thickBot="1" x14ac:dyDescent="0.25">
      <c r="A184" s="6"/>
      <c r="B184" s="3"/>
      <c r="C184" s="31"/>
    </row>
    <row r="185" spans="1:3" ht="13.5" thickBot="1" x14ac:dyDescent="0.25">
      <c r="A185" s="6"/>
      <c r="B185" s="3"/>
      <c r="C185" s="31"/>
    </row>
    <row r="186" spans="1:3" ht="13.5" thickBot="1" x14ac:dyDescent="0.25">
      <c r="A186" s="6"/>
      <c r="B186" s="3"/>
      <c r="C186" s="31"/>
    </row>
    <row r="187" spans="1:3" ht="13.5" thickBot="1" x14ac:dyDescent="0.25">
      <c r="A187" s="6"/>
      <c r="B187" s="3"/>
      <c r="C187" s="31"/>
    </row>
    <row r="188" spans="1:3" ht="13.5" thickBot="1" x14ac:dyDescent="0.25">
      <c r="A188" s="6"/>
      <c r="B188" s="3"/>
      <c r="C188" s="31"/>
    </row>
    <row r="189" spans="1:3" ht="13.5" thickBot="1" x14ac:dyDescent="0.25">
      <c r="A189" s="6"/>
      <c r="B189" s="3"/>
      <c r="C189" s="31"/>
    </row>
    <row r="190" spans="1:3" ht="13.5" thickBot="1" x14ac:dyDescent="0.25">
      <c r="A190" s="6"/>
      <c r="B190" s="3"/>
      <c r="C190" s="31"/>
    </row>
    <row r="191" spans="1:3" ht="13.5" thickBot="1" x14ac:dyDescent="0.25">
      <c r="A191" s="6"/>
      <c r="B191" s="3"/>
      <c r="C191" s="31"/>
    </row>
    <row r="192" spans="1:3" ht="13.5" thickBot="1" x14ac:dyDescent="0.25">
      <c r="A192" s="6"/>
      <c r="B192" s="3"/>
      <c r="C192" s="31"/>
    </row>
    <row r="193" spans="1:3" ht="13.5" thickBot="1" x14ac:dyDescent="0.25">
      <c r="A193" s="6"/>
      <c r="B193" s="3"/>
      <c r="C193" s="31"/>
    </row>
    <row r="194" spans="1:3" ht="13.5" thickBot="1" x14ac:dyDescent="0.25">
      <c r="A194" s="6"/>
      <c r="B194" s="3"/>
      <c r="C194" s="31"/>
    </row>
    <row r="195" spans="1:3" ht="13.5" thickBot="1" x14ac:dyDescent="0.25">
      <c r="A195" s="6"/>
      <c r="B195" s="3"/>
      <c r="C195" s="31"/>
    </row>
    <row r="196" spans="1:3" ht="13.5" thickBot="1" x14ac:dyDescent="0.25">
      <c r="A196" s="6"/>
      <c r="B196" s="3"/>
      <c r="C196" s="31"/>
    </row>
    <row r="197" spans="1:3" ht="13.5" thickBot="1" x14ac:dyDescent="0.25">
      <c r="A197" s="6"/>
      <c r="B197" s="3"/>
      <c r="C197" s="31"/>
    </row>
    <row r="198" spans="1:3" ht="13.5" thickBot="1" x14ac:dyDescent="0.25">
      <c r="A198" s="6"/>
      <c r="B198" s="3"/>
      <c r="C198" s="31"/>
    </row>
    <row r="199" spans="1:3" ht="13.5" thickBot="1" x14ac:dyDescent="0.25">
      <c r="A199" s="6"/>
      <c r="B199" s="3"/>
      <c r="C199" s="31"/>
    </row>
    <row r="200" spans="1:3" ht="13.5" thickBot="1" x14ac:dyDescent="0.25">
      <c r="A200" s="6"/>
      <c r="B200" s="3"/>
      <c r="C200" s="31"/>
    </row>
    <row r="201" spans="1:3" ht="13.5" thickBot="1" x14ac:dyDescent="0.25">
      <c r="A201" s="6"/>
      <c r="B201" s="3"/>
      <c r="C201" s="31"/>
    </row>
    <row r="202" spans="1:3" ht="13.5" thickBot="1" x14ac:dyDescent="0.25">
      <c r="A202" s="6"/>
      <c r="B202" s="3"/>
      <c r="C202" s="31"/>
    </row>
    <row r="203" spans="1:3" ht="13.5" thickBot="1" x14ac:dyDescent="0.25">
      <c r="A203" s="6"/>
      <c r="B203" s="3"/>
      <c r="C203" s="31"/>
    </row>
    <row r="204" spans="1:3" ht="13.5" thickBot="1" x14ac:dyDescent="0.25">
      <c r="A204" s="6"/>
      <c r="B204" s="3"/>
      <c r="C204" s="31"/>
    </row>
    <row r="205" spans="1:3" ht="13.5" thickBot="1" x14ac:dyDescent="0.25">
      <c r="A205" s="6"/>
      <c r="B205" s="3"/>
      <c r="C205" s="31"/>
    </row>
    <row r="206" spans="1:3" ht="13.5" thickBot="1" x14ac:dyDescent="0.25">
      <c r="A206" s="6"/>
      <c r="B206" s="3"/>
      <c r="C206" s="31"/>
    </row>
    <row r="207" spans="1:3" ht="13.5" thickBot="1" x14ac:dyDescent="0.25">
      <c r="A207" s="6"/>
      <c r="B207" s="3"/>
      <c r="C207" s="31"/>
    </row>
    <row r="208" spans="1:3" ht="13.5" thickBot="1" x14ac:dyDescent="0.25">
      <c r="A208" s="6"/>
      <c r="B208" s="3"/>
      <c r="C208" s="31"/>
    </row>
    <row r="209" spans="1:3" ht="13.5" thickBot="1" x14ac:dyDescent="0.25">
      <c r="A209" s="6"/>
      <c r="B209" s="3"/>
      <c r="C209" s="31"/>
    </row>
    <row r="210" spans="1:3" ht="13.5" thickBot="1" x14ac:dyDescent="0.25">
      <c r="A210" s="6"/>
      <c r="B210" s="3"/>
      <c r="C210" s="31"/>
    </row>
    <row r="211" spans="1:3" ht="13.5" thickBot="1" x14ac:dyDescent="0.25">
      <c r="A211" s="6"/>
      <c r="B211" s="3"/>
      <c r="C211" s="31"/>
    </row>
    <row r="212" spans="1:3" ht="13.5" thickBot="1" x14ac:dyDescent="0.25">
      <c r="A212" s="6"/>
      <c r="B212" s="3"/>
      <c r="C212" s="31"/>
    </row>
    <row r="213" spans="1:3" ht="13.5" thickBot="1" x14ac:dyDescent="0.25">
      <c r="A213" s="6"/>
      <c r="B213" s="3"/>
      <c r="C213" s="31"/>
    </row>
    <row r="214" spans="1:3" ht="13.5" thickBot="1" x14ac:dyDescent="0.25">
      <c r="A214" s="6"/>
      <c r="B214" s="3"/>
      <c r="C214" s="31"/>
    </row>
    <row r="215" spans="1:3" ht="13.5" thickBot="1" x14ac:dyDescent="0.25">
      <c r="A215" s="6"/>
      <c r="B215" s="3"/>
      <c r="C215" s="31"/>
    </row>
    <row r="216" spans="1:3" ht="13.5" thickBot="1" x14ac:dyDescent="0.25">
      <c r="A216" s="6"/>
      <c r="B216" s="3"/>
      <c r="C216" s="31"/>
    </row>
    <row r="217" spans="1:3" ht="13.5" thickBot="1" x14ac:dyDescent="0.25">
      <c r="A217" s="6"/>
      <c r="B217" s="3"/>
      <c r="C217" s="31"/>
    </row>
    <row r="218" spans="1:3" ht="13.5" thickBot="1" x14ac:dyDescent="0.25">
      <c r="A218" s="6"/>
      <c r="B218" s="3"/>
      <c r="C218" s="31"/>
    </row>
    <row r="219" spans="1:3" ht="13.5" thickBot="1" x14ac:dyDescent="0.25">
      <c r="A219" s="6"/>
      <c r="B219" s="3"/>
      <c r="C219" s="31"/>
    </row>
    <row r="220" spans="1:3" ht="13.5" thickBot="1" x14ac:dyDescent="0.25">
      <c r="A220" s="6"/>
      <c r="B220" s="3"/>
      <c r="C220" s="31"/>
    </row>
    <row r="221" spans="1:3" ht="13.5" thickBot="1" x14ac:dyDescent="0.25">
      <c r="A221" s="6"/>
      <c r="B221" s="3"/>
      <c r="C221" s="31"/>
    </row>
    <row r="222" spans="1:3" ht="13.5" thickBot="1" x14ac:dyDescent="0.25">
      <c r="A222" s="6"/>
      <c r="B222" s="3"/>
      <c r="C222" s="31"/>
    </row>
    <row r="223" spans="1:3" ht="13.5" thickBot="1" x14ac:dyDescent="0.25">
      <c r="A223" s="6"/>
      <c r="B223" s="3"/>
      <c r="C223" s="31"/>
    </row>
    <row r="224" spans="1:3" ht="13.5" thickBot="1" x14ac:dyDescent="0.25">
      <c r="A224" s="6"/>
      <c r="B224" s="3"/>
      <c r="C224" s="31"/>
    </row>
    <row r="225" spans="1:3" ht="13.5" thickBot="1" x14ac:dyDescent="0.25">
      <c r="A225" s="6"/>
      <c r="B225" s="3"/>
      <c r="C225" s="31"/>
    </row>
    <row r="226" spans="1:3" ht="13.5" thickBot="1" x14ac:dyDescent="0.25">
      <c r="A226" s="6"/>
      <c r="B226" s="3"/>
      <c r="C226" s="31"/>
    </row>
    <row r="227" spans="1:3" ht="13.5" thickBot="1" x14ac:dyDescent="0.25">
      <c r="A227" s="6"/>
      <c r="B227" s="3"/>
      <c r="C227" s="31"/>
    </row>
    <row r="228" spans="1:3" ht="13.5" thickBot="1" x14ac:dyDescent="0.25">
      <c r="A228" s="6"/>
      <c r="B228" s="3"/>
      <c r="C228" s="31"/>
    </row>
    <row r="229" spans="1:3" ht="13.5" thickBot="1" x14ac:dyDescent="0.25">
      <c r="A229" s="6"/>
      <c r="B229" s="3"/>
      <c r="C229" s="31"/>
    </row>
    <row r="230" spans="1:3" ht="13.5" thickBot="1" x14ac:dyDescent="0.25">
      <c r="A230" s="6"/>
      <c r="B230" s="3"/>
      <c r="C230" s="31"/>
    </row>
    <row r="231" spans="1:3" ht="13.5" thickBot="1" x14ac:dyDescent="0.25">
      <c r="A231" s="6"/>
      <c r="B231" s="3"/>
      <c r="C231" s="31"/>
    </row>
    <row r="232" spans="1:3" ht="13.5" thickBot="1" x14ac:dyDescent="0.25">
      <c r="A232" s="6"/>
      <c r="B232" s="3"/>
      <c r="C232" s="31"/>
    </row>
    <row r="233" spans="1:3" ht="13.5" thickBot="1" x14ac:dyDescent="0.25">
      <c r="A233" s="6"/>
      <c r="B233" s="3"/>
      <c r="C233" s="31"/>
    </row>
    <row r="234" spans="1:3" ht="13.5" thickBot="1" x14ac:dyDescent="0.25">
      <c r="A234" s="6"/>
      <c r="B234" s="3"/>
      <c r="C234" s="31"/>
    </row>
    <row r="235" spans="1:3" ht="13.5" thickBot="1" x14ac:dyDescent="0.25">
      <c r="A235" s="6"/>
      <c r="B235" s="3"/>
      <c r="C235" s="31"/>
    </row>
    <row r="236" spans="1:3" ht="13.5" thickBot="1" x14ac:dyDescent="0.25">
      <c r="A236" s="6"/>
      <c r="B236" s="3"/>
      <c r="C236" s="31"/>
    </row>
    <row r="237" spans="1:3" ht="13.5" thickBot="1" x14ac:dyDescent="0.25">
      <c r="A237" s="6"/>
      <c r="B237" s="3"/>
      <c r="C237" s="31"/>
    </row>
    <row r="238" spans="1:3" ht="13.5" thickBot="1" x14ac:dyDescent="0.25">
      <c r="A238" s="6"/>
      <c r="B238" s="3"/>
      <c r="C238" s="31"/>
    </row>
    <row r="239" spans="1:3" ht="13.5" thickBot="1" x14ac:dyDescent="0.25">
      <c r="A239" s="6"/>
      <c r="B239" s="3"/>
      <c r="C239" s="31"/>
    </row>
    <row r="240" spans="1:3" ht="13.5" thickBot="1" x14ac:dyDescent="0.25">
      <c r="A240" s="6"/>
      <c r="B240" s="3"/>
      <c r="C240" s="31"/>
    </row>
    <row r="241" spans="1:3" ht="13.5" thickBot="1" x14ac:dyDescent="0.25">
      <c r="A241" s="6"/>
      <c r="B241" s="3"/>
      <c r="C241" s="31"/>
    </row>
    <row r="242" spans="1:3" ht="13.5" thickBot="1" x14ac:dyDescent="0.25">
      <c r="A242" s="6"/>
      <c r="B242" s="3"/>
      <c r="C242" s="31"/>
    </row>
    <row r="243" spans="1:3" ht="13.5" thickBot="1" x14ac:dyDescent="0.25">
      <c r="A243" s="6"/>
      <c r="B243" s="3"/>
      <c r="C243" s="31"/>
    </row>
    <row r="244" spans="1:3" ht="13.5" thickBot="1" x14ac:dyDescent="0.25">
      <c r="A244" s="6"/>
      <c r="B244" s="3"/>
      <c r="C244" s="31"/>
    </row>
    <row r="245" spans="1:3" ht="13.5" thickBot="1" x14ac:dyDescent="0.25">
      <c r="A245" s="6"/>
      <c r="B245" s="3"/>
      <c r="C245" s="31"/>
    </row>
    <row r="246" spans="1:3" ht="13.5" thickBot="1" x14ac:dyDescent="0.25">
      <c r="A246" s="6"/>
      <c r="B246" s="3"/>
      <c r="C246" s="31"/>
    </row>
    <row r="247" spans="1:3" ht="13.5" thickBot="1" x14ac:dyDescent="0.25">
      <c r="A247" s="6"/>
      <c r="B247" s="3"/>
      <c r="C247" s="31"/>
    </row>
    <row r="248" spans="1:3" ht="13.5" thickBot="1" x14ac:dyDescent="0.25">
      <c r="A248" s="6"/>
      <c r="B248" s="3"/>
      <c r="C248" s="31"/>
    </row>
    <row r="249" spans="1:3" ht="13.5" thickBot="1" x14ac:dyDescent="0.25">
      <c r="A249" s="6"/>
      <c r="B249" s="3"/>
      <c r="C249" s="31"/>
    </row>
    <row r="250" spans="1:3" ht="13.5" thickBot="1" x14ac:dyDescent="0.25">
      <c r="A250" s="6"/>
      <c r="B250" s="3"/>
      <c r="C250" s="31"/>
    </row>
    <row r="251" spans="1:3" ht="13.5" thickBot="1" x14ac:dyDescent="0.25">
      <c r="A251" s="6"/>
      <c r="B251" s="3"/>
      <c r="C251" s="31"/>
    </row>
    <row r="252" spans="1:3" ht="13.5" thickBot="1" x14ac:dyDescent="0.25">
      <c r="A252" s="6"/>
      <c r="B252" s="3"/>
      <c r="C252" s="31"/>
    </row>
    <row r="253" spans="1:3" ht="13.5" thickBot="1" x14ac:dyDescent="0.25">
      <c r="A253" s="6"/>
      <c r="B253" s="3"/>
      <c r="C253" s="31"/>
    </row>
    <row r="254" spans="1:3" ht="13.5" thickBot="1" x14ac:dyDescent="0.25">
      <c r="A254" s="6"/>
      <c r="B254" s="3"/>
      <c r="C254" s="31"/>
    </row>
    <row r="255" spans="1:3" ht="13.5" thickBot="1" x14ac:dyDescent="0.25">
      <c r="A255" s="6"/>
      <c r="B255" s="3"/>
      <c r="C255" s="31"/>
    </row>
    <row r="256" spans="1:3" ht="13.5" thickBot="1" x14ac:dyDescent="0.25">
      <c r="A256" s="6"/>
      <c r="B256" s="3"/>
      <c r="C256" s="31"/>
    </row>
    <row r="257" spans="1:3" ht="13.5" thickBot="1" x14ac:dyDescent="0.25">
      <c r="A257" s="6"/>
      <c r="B257" s="3"/>
      <c r="C257" s="31"/>
    </row>
    <row r="258" spans="1:3" ht="13.5" thickBot="1" x14ac:dyDescent="0.25">
      <c r="A258" s="6"/>
      <c r="B258" s="3"/>
      <c r="C258" s="31"/>
    </row>
    <row r="259" spans="1:3" ht="13.5" thickBot="1" x14ac:dyDescent="0.25">
      <c r="A259" s="6"/>
      <c r="B259" s="3"/>
      <c r="C259" s="31"/>
    </row>
    <row r="260" spans="1:3" ht="13.5" thickBot="1" x14ac:dyDescent="0.25">
      <c r="A260" s="6"/>
      <c r="B260" s="3"/>
      <c r="C260" s="31"/>
    </row>
    <row r="261" spans="1:3" ht="13.5" thickBot="1" x14ac:dyDescent="0.25">
      <c r="A261" s="6"/>
      <c r="B261" s="3"/>
      <c r="C261" s="31"/>
    </row>
    <row r="262" spans="1:3" ht="13.5" thickBot="1" x14ac:dyDescent="0.25">
      <c r="A262" s="6"/>
      <c r="B262" s="3"/>
      <c r="C262" s="31"/>
    </row>
    <row r="263" spans="1:3" ht="13.5" thickBot="1" x14ac:dyDescent="0.25">
      <c r="A263" s="6"/>
      <c r="B263" s="3"/>
      <c r="C263" s="31"/>
    </row>
    <row r="264" spans="1:3" ht="13.5" thickBot="1" x14ac:dyDescent="0.25">
      <c r="A264" s="6"/>
      <c r="B264" s="3"/>
      <c r="C264" s="31"/>
    </row>
    <row r="265" spans="1:3" ht="13.5" thickBot="1" x14ac:dyDescent="0.25">
      <c r="A265" s="6"/>
      <c r="B265" s="3"/>
      <c r="C265" s="31"/>
    </row>
    <row r="266" spans="1:3" ht="13.5" thickBot="1" x14ac:dyDescent="0.25">
      <c r="A266" s="6"/>
      <c r="B266" s="3"/>
      <c r="C266" s="31"/>
    </row>
    <row r="267" spans="1:3" ht="13.5" thickBot="1" x14ac:dyDescent="0.25">
      <c r="A267" s="6"/>
      <c r="B267" s="3"/>
      <c r="C267" s="31"/>
    </row>
    <row r="268" spans="1:3" ht="13.5" thickBot="1" x14ac:dyDescent="0.25">
      <c r="A268" s="6"/>
      <c r="B268" s="3"/>
      <c r="C268" s="31"/>
    </row>
    <row r="269" spans="1:3" ht="13.5" thickBot="1" x14ac:dyDescent="0.25">
      <c r="A269" s="6"/>
      <c r="B269" s="3"/>
      <c r="C269" s="31"/>
    </row>
    <row r="270" spans="1:3" ht="13.5" thickBot="1" x14ac:dyDescent="0.25">
      <c r="A270" s="6"/>
      <c r="B270" s="3"/>
      <c r="C270" s="31"/>
    </row>
    <row r="271" spans="1:3" ht="13.5" thickBot="1" x14ac:dyDescent="0.25">
      <c r="A271" s="6"/>
      <c r="B271" s="3"/>
      <c r="C271" s="31"/>
    </row>
    <row r="272" spans="1:3" ht="13.5" thickBot="1" x14ac:dyDescent="0.25">
      <c r="A272" s="6"/>
      <c r="B272" s="3"/>
      <c r="C272" s="31"/>
    </row>
    <row r="273" spans="1:3" ht="13.5" thickBot="1" x14ac:dyDescent="0.25">
      <c r="A273" s="6"/>
      <c r="B273" s="3"/>
      <c r="C273" s="31"/>
    </row>
    <row r="274" spans="1:3" ht="13.5" thickBot="1" x14ac:dyDescent="0.25">
      <c r="A274" s="6"/>
      <c r="B274" s="3"/>
      <c r="C274" s="31"/>
    </row>
    <row r="275" spans="1:3" ht="13.5" thickBot="1" x14ac:dyDescent="0.25">
      <c r="A275" s="6"/>
      <c r="B275" s="3"/>
      <c r="C275" s="31"/>
    </row>
    <row r="276" spans="1:3" ht="13.5" thickBot="1" x14ac:dyDescent="0.25">
      <c r="A276" s="6"/>
      <c r="B276" s="3"/>
      <c r="C276" s="31"/>
    </row>
    <row r="277" spans="1:3" ht="13.5" thickBot="1" x14ac:dyDescent="0.25">
      <c r="A277" s="6"/>
      <c r="B277" s="3"/>
      <c r="C277" s="31"/>
    </row>
    <row r="278" spans="1:3" ht="13.5" thickBot="1" x14ac:dyDescent="0.25">
      <c r="A278" s="6"/>
      <c r="B278" s="3"/>
      <c r="C278" s="31"/>
    </row>
    <row r="279" spans="1:3" ht="13.5" thickBot="1" x14ac:dyDescent="0.25">
      <c r="A279" s="6"/>
      <c r="B279" s="3"/>
      <c r="C279" s="31"/>
    </row>
    <row r="280" spans="1:3" ht="13.5" thickBot="1" x14ac:dyDescent="0.25">
      <c r="A280" s="6"/>
      <c r="B280" s="3"/>
      <c r="C280" s="31"/>
    </row>
    <row r="281" spans="1:3" ht="13.5" thickBot="1" x14ac:dyDescent="0.25">
      <c r="A281" s="6"/>
      <c r="B281" s="3"/>
      <c r="C281" s="31"/>
    </row>
    <row r="282" spans="1:3" ht="13.5" thickBot="1" x14ac:dyDescent="0.25">
      <c r="A282" s="6"/>
      <c r="B282" s="3"/>
      <c r="C282" s="31"/>
    </row>
    <row r="283" spans="1:3" ht="13.5" thickBot="1" x14ac:dyDescent="0.25">
      <c r="A283" s="6"/>
      <c r="B283" s="3"/>
      <c r="C283" s="31"/>
    </row>
    <row r="284" spans="1:3" ht="13.5" thickBot="1" x14ac:dyDescent="0.25">
      <c r="A284" s="6"/>
      <c r="B284" s="3"/>
      <c r="C284" s="31"/>
    </row>
    <row r="285" spans="1:3" ht="13.5" thickBot="1" x14ac:dyDescent="0.25">
      <c r="A285" s="6"/>
      <c r="B285" s="3"/>
      <c r="C285" s="31"/>
    </row>
    <row r="286" spans="1:3" ht="13.5" thickBot="1" x14ac:dyDescent="0.25">
      <c r="A286" s="6"/>
      <c r="B286" s="3"/>
      <c r="C286" s="31"/>
    </row>
    <row r="287" spans="1:3" ht="13.5" thickBot="1" x14ac:dyDescent="0.25">
      <c r="A287" s="6"/>
      <c r="B287" s="3"/>
      <c r="C287" s="31"/>
    </row>
    <row r="288" spans="1:3" ht="13.5" thickBot="1" x14ac:dyDescent="0.25">
      <c r="A288" s="6"/>
      <c r="B288" s="3"/>
      <c r="C288" s="31"/>
    </row>
    <row r="289" spans="1:3" ht="13.5" thickBot="1" x14ac:dyDescent="0.25">
      <c r="A289" s="6"/>
      <c r="B289" s="3"/>
      <c r="C289" s="31"/>
    </row>
    <row r="290" spans="1:3" ht="13.5" thickBot="1" x14ac:dyDescent="0.25">
      <c r="A290" s="6"/>
      <c r="B290" s="3"/>
      <c r="C290" s="31"/>
    </row>
    <row r="291" spans="1:3" ht="13.5" thickBot="1" x14ac:dyDescent="0.25">
      <c r="A291" s="6"/>
      <c r="B291" s="3"/>
      <c r="C291" s="31"/>
    </row>
    <row r="292" spans="1:3" ht="13.5" thickBot="1" x14ac:dyDescent="0.25">
      <c r="A292" s="6"/>
      <c r="B292" s="3"/>
      <c r="C292" s="31"/>
    </row>
    <row r="293" spans="1:3" ht="13.5" thickBot="1" x14ac:dyDescent="0.25">
      <c r="A293" s="6"/>
      <c r="B293" s="3"/>
      <c r="C293" s="31"/>
    </row>
    <row r="294" spans="1:3" ht="13.5" thickBot="1" x14ac:dyDescent="0.25">
      <c r="A294" s="6"/>
      <c r="B294" s="3"/>
      <c r="C294" s="31"/>
    </row>
    <row r="295" spans="1:3" ht="13.5" thickBot="1" x14ac:dyDescent="0.25">
      <c r="A295" s="6"/>
      <c r="B295" s="3"/>
      <c r="C295" s="31"/>
    </row>
    <row r="296" spans="1:3" ht="13.5" thickBot="1" x14ac:dyDescent="0.25">
      <c r="A296" s="6"/>
      <c r="B296" s="3"/>
      <c r="C296" s="31"/>
    </row>
    <row r="297" spans="1:3" ht="13.5" thickBot="1" x14ac:dyDescent="0.25">
      <c r="A297" s="6"/>
      <c r="B297" s="3"/>
      <c r="C297" s="31"/>
    </row>
    <row r="298" spans="1:3" ht="13.5" thickBot="1" x14ac:dyDescent="0.25">
      <c r="A298" s="6"/>
      <c r="B298" s="3"/>
      <c r="C298" s="31"/>
    </row>
    <row r="299" spans="1:3" ht="13.5" thickBot="1" x14ac:dyDescent="0.25">
      <c r="A299" s="6"/>
      <c r="B299" s="3"/>
      <c r="C299" s="31"/>
    </row>
    <row r="300" spans="1:3" ht="13.5" thickBot="1" x14ac:dyDescent="0.25">
      <c r="A300" s="6"/>
      <c r="B300" s="3"/>
      <c r="C300" s="31"/>
    </row>
    <row r="301" spans="1:3" ht="13.5" thickBot="1" x14ac:dyDescent="0.25">
      <c r="A301" s="6"/>
      <c r="B301" s="3"/>
      <c r="C301" s="31"/>
    </row>
    <row r="302" spans="1:3" ht="13.5" thickBot="1" x14ac:dyDescent="0.25">
      <c r="A302" s="6"/>
      <c r="B302" s="3"/>
      <c r="C302" s="31"/>
    </row>
    <row r="303" spans="1:3" ht="13.5" thickBot="1" x14ac:dyDescent="0.25">
      <c r="A303" s="6"/>
      <c r="B303" s="3"/>
      <c r="C303" s="31"/>
    </row>
    <row r="304" spans="1:3" ht="13.5" thickBot="1" x14ac:dyDescent="0.25">
      <c r="A304" s="6"/>
      <c r="B304" s="3"/>
      <c r="C304" s="31"/>
    </row>
    <row r="305" spans="1:3" ht="13.5" thickBot="1" x14ac:dyDescent="0.25">
      <c r="A305" s="6"/>
      <c r="B305" s="3"/>
      <c r="C305" s="31"/>
    </row>
    <row r="306" spans="1:3" ht="13.5" thickBot="1" x14ac:dyDescent="0.25">
      <c r="A306" s="6"/>
      <c r="B306" s="3"/>
      <c r="C306" s="31"/>
    </row>
    <row r="307" spans="1:3" ht="13.5" thickBot="1" x14ac:dyDescent="0.25">
      <c r="A307" s="6"/>
      <c r="B307" s="3"/>
      <c r="C307" s="31"/>
    </row>
    <row r="308" spans="1:3" ht="13.5" thickBot="1" x14ac:dyDescent="0.25">
      <c r="A308" s="6"/>
      <c r="B308" s="3"/>
      <c r="C308" s="31"/>
    </row>
    <row r="309" spans="1:3" ht="13.5" thickBot="1" x14ac:dyDescent="0.25">
      <c r="A309" s="6"/>
      <c r="B309" s="3"/>
      <c r="C309" s="31"/>
    </row>
    <row r="310" spans="1:3" ht="13.5" thickBot="1" x14ac:dyDescent="0.25">
      <c r="A310" s="6"/>
      <c r="B310" s="3"/>
      <c r="C310" s="31"/>
    </row>
    <row r="311" spans="1:3" ht="13.5" thickBot="1" x14ac:dyDescent="0.25">
      <c r="A311" s="6"/>
      <c r="B311" s="3"/>
      <c r="C311" s="31"/>
    </row>
    <row r="312" spans="1:3" ht="13.5" thickBot="1" x14ac:dyDescent="0.25">
      <c r="A312" s="6"/>
      <c r="B312" s="3"/>
      <c r="C312" s="31"/>
    </row>
    <row r="313" spans="1:3" ht="13.5" thickBot="1" x14ac:dyDescent="0.25">
      <c r="A313" s="6"/>
      <c r="B313" s="3"/>
      <c r="C313" s="31"/>
    </row>
    <row r="314" spans="1:3" ht="13.5" thickBot="1" x14ac:dyDescent="0.25">
      <c r="A314" s="6"/>
      <c r="B314" s="3"/>
      <c r="C314" s="31"/>
    </row>
    <row r="315" spans="1:3" ht="13.5" thickBot="1" x14ac:dyDescent="0.25">
      <c r="A315" s="6"/>
      <c r="B315" s="3"/>
      <c r="C315" s="31"/>
    </row>
    <row r="316" spans="1:3" ht="13.5" thickBot="1" x14ac:dyDescent="0.25">
      <c r="A316" s="6"/>
      <c r="B316" s="3"/>
      <c r="C316" s="31"/>
    </row>
    <row r="317" spans="1:3" ht="13.5" thickBot="1" x14ac:dyDescent="0.25">
      <c r="A317" s="6"/>
      <c r="B317" s="3"/>
      <c r="C317" s="31"/>
    </row>
    <row r="318" spans="1:3" ht="13.5" thickBot="1" x14ac:dyDescent="0.25">
      <c r="A318" s="6"/>
      <c r="B318" s="3"/>
      <c r="C318" s="31"/>
    </row>
    <row r="319" spans="1:3" ht="13.5" thickBot="1" x14ac:dyDescent="0.25">
      <c r="A319" s="6"/>
      <c r="B319" s="3"/>
      <c r="C319" s="31"/>
    </row>
    <row r="320" spans="1:3" ht="13.5" thickBot="1" x14ac:dyDescent="0.25">
      <c r="A320" s="6"/>
      <c r="B320" s="3"/>
      <c r="C320" s="31"/>
    </row>
    <row r="321" spans="1:3" ht="13.5" thickBot="1" x14ac:dyDescent="0.25">
      <c r="A321" s="6"/>
      <c r="B321" s="3"/>
      <c r="C321" s="31"/>
    </row>
    <row r="322" spans="1:3" ht="13.5" thickBot="1" x14ac:dyDescent="0.25">
      <c r="A322" s="6"/>
      <c r="B322" s="3"/>
      <c r="C322" s="31"/>
    </row>
    <row r="323" spans="1:3" ht="13.5" thickBot="1" x14ac:dyDescent="0.25">
      <c r="A323" s="6"/>
      <c r="B323" s="3"/>
      <c r="C323" s="31"/>
    </row>
    <row r="324" spans="1:3" ht="13.5" thickBot="1" x14ac:dyDescent="0.25">
      <c r="A324" s="6"/>
      <c r="B324" s="3"/>
      <c r="C324" s="31"/>
    </row>
    <row r="325" spans="1:3" ht="13.5" thickBot="1" x14ac:dyDescent="0.25">
      <c r="A325" s="6"/>
      <c r="B325" s="3"/>
      <c r="C325" s="31"/>
    </row>
    <row r="326" spans="1:3" ht="13.5" thickBot="1" x14ac:dyDescent="0.25">
      <c r="A326" s="6"/>
      <c r="B326" s="3"/>
      <c r="C326" s="31"/>
    </row>
    <row r="327" spans="1:3" ht="13.5" thickBot="1" x14ac:dyDescent="0.25">
      <c r="A327" s="6"/>
      <c r="B327" s="3"/>
      <c r="C327" s="31"/>
    </row>
    <row r="328" spans="1:3" ht="13.5" thickBot="1" x14ac:dyDescent="0.25">
      <c r="A328" s="6"/>
      <c r="B328" s="3"/>
      <c r="C328" s="31"/>
    </row>
    <row r="329" spans="1:3" ht="13.5" thickBot="1" x14ac:dyDescent="0.25">
      <c r="A329" s="6"/>
      <c r="B329" s="3"/>
      <c r="C329" s="31"/>
    </row>
    <row r="330" spans="1:3" ht="13.5" thickBot="1" x14ac:dyDescent="0.25">
      <c r="A330" s="6"/>
      <c r="B330" s="3"/>
      <c r="C330" s="31"/>
    </row>
    <row r="331" spans="1:3" ht="13.5" thickBot="1" x14ac:dyDescent="0.25">
      <c r="A331" s="6"/>
      <c r="B331" s="3"/>
      <c r="C331" s="31"/>
    </row>
    <row r="332" spans="1:3" ht="13.5" thickBot="1" x14ac:dyDescent="0.25">
      <c r="A332" s="6"/>
      <c r="B332" s="3"/>
      <c r="C332" s="31"/>
    </row>
    <row r="333" spans="1:3" ht="13.5" thickBot="1" x14ac:dyDescent="0.25">
      <c r="A333" s="6"/>
      <c r="B333" s="3"/>
      <c r="C333" s="31"/>
    </row>
    <row r="334" spans="1:3" ht="13.5" thickBot="1" x14ac:dyDescent="0.25">
      <c r="A334" s="6"/>
      <c r="B334" s="3"/>
      <c r="C334" s="31"/>
    </row>
    <row r="335" spans="1:3" ht="13.5" thickBot="1" x14ac:dyDescent="0.25">
      <c r="A335" s="6"/>
      <c r="B335" s="3"/>
      <c r="C335" s="31"/>
    </row>
    <row r="336" spans="1:3" ht="13.5" thickBot="1" x14ac:dyDescent="0.25">
      <c r="A336" s="6"/>
      <c r="B336" s="3"/>
      <c r="C336" s="31"/>
    </row>
    <row r="337" spans="1:3" ht="13.5" thickBot="1" x14ac:dyDescent="0.25">
      <c r="A337" s="6"/>
      <c r="B337" s="3"/>
      <c r="C337" s="31"/>
    </row>
    <row r="338" spans="1:3" ht="13.5" thickBot="1" x14ac:dyDescent="0.25">
      <c r="A338" s="6"/>
      <c r="B338" s="3"/>
      <c r="C338" s="31"/>
    </row>
    <row r="339" spans="1:3" ht="13.5" thickBot="1" x14ac:dyDescent="0.25">
      <c r="A339" s="6"/>
      <c r="B339" s="3"/>
      <c r="C339" s="31"/>
    </row>
    <row r="340" spans="1:3" ht="13.5" thickBot="1" x14ac:dyDescent="0.25">
      <c r="A340" s="6"/>
      <c r="B340" s="3"/>
      <c r="C340" s="31"/>
    </row>
    <row r="341" spans="1:3" ht="13.5" thickBot="1" x14ac:dyDescent="0.25">
      <c r="A341" s="6"/>
      <c r="B341" s="3"/>
      <c r="C341" s="31"/>
    </row>
    <row r="342" spans="1:3" ht="13.5" thickBot="1" x14ac:dyDescent="0.25">
      <c r="A342" s="6"/>
      <c r="B342" s="3"/>
      <c r="C342" s="31"/>
    </row>
    <row r="343" spans="1:3" ht="13.5" thickBot="1" x14ac:dyDescent="0.25">
      <c r="A343" s="6"/>
      <c r="B343" s="3"/>
      <c r="C343" s="31"/>
    </row>
    <row r="344" spans="1:3" ht="13.5" thickBot="1" x14ac:dyDescent="0.25">
      <c r="A344" s="6"/>
      <c r="B344" s="3"/>
      <c r="C344" s="31"/>
    </row>
    <row r="345" spans="1:3" ht="13.5" thickBot="1" x14ac:dyDescent="0.25">
      <c r="A345" s="6"/>
      <c r="B345" s="3"/>
      <c r="C345" s="31"/>
    </row>
    <row r="346" spans="1:3" ht="13.5" thickBot="1" x14ac:dyDescent="0.25">
      <c r="A346" s="6"/>
      <c r="B346" s="3"/>
      <c r="C346" s="31"/>
    </row>
    <row r="347" spans="1:3" ht="13.5" thickBot="1" x14ac:dyDescent="0.25">
      <c r="A347" s="6"/>
      <c r="B347" s="3"/>
      <c r="C347" s="31"/>
    </row>
    <row r="348" spans="1:3" ht="13.5" thickBot="1" x14ac:dyDescent="0.25">
      <c r="A348" s="6"/>
      <c r="B348" s="3"/>
      <c r="C348" s="31"/>
    </row>
    <row r="349" spans="1:3" ht="13.5" thickBot="1" x14ac:dyDescent="0.25">
      <c r="A349" s="6"/>
      <c r="B349" s="3"/>
      <c r="C349" s="31"/>
    </row>
    <row r="350" spans="1:3" ht="13.5" thickBot="1" x14ac:dyDescent="0.25">
      <c r="A350" s="6"/>
      <c r="B350" s="3"/>
      <c r="C350" s="31"/>
    </row>
    <row r="351" spans="1:3" ht="13.5" thickBot="1" x14ac:dyDescent="0.25">
      <c r="A351" s="6"/>
      <c r="B351" s="3"/>
      <c r="C351" s="31"/>
    </row>
    <row r="352" spans="1:3" ht="13.5" thickBot="1" x14ac:dyDescent="0.25">
      <c r="A352" s="6"/>
      <c r="B352" s="3"/>
      <c r="C352" s="31"/>
    </row>
    <row r="353" spans="1:3" ht="13.5" thickBot="1" x14ac:dyDescent="0.25">
      <c r="A353" s="6"/>
      <c r="B353" s="3"/>
      <c r="C353" s="31"/>
    </row>
    <row r="354" spans="1:3" ht="13.5" thickBot="1" x14ac:dyDescent="0.25">
      <c r="A354" s="6"/>
      <c r="B354" s="3"/>
      <c r="C354" s="31"/>
    </row>
    <row r="355" spans="1:3" ht="13.5" thickBot="1" x14ac:dyDescent="0.25">
      <c r="A355" s="6"/>
      <c r="B355" s="3"/>
      <c r="C355" s="31"/>
    </row>
    <row r="356" spans="1:3" ht="13.5" thickBot="1" x14ac:dyDescent="0.25">
      <c r="A356" s="6"/>
      <c r="B356" s="3"/>
      <c r="C356" s="31"/>
    </row>
    <row r="357" spans="1:3" ht="13.5" thickBot="1" x14ac:dyDescent="0.25">
      <c r="A357" s="6"/>
      <c r="B357" s="3"/>
      <c r="C357" s="31"/>
    </row>
    <row r="358" spans="1:3" ht="13.5" thickBot="1" x14ac:dyDescent="0.25">
      <c r="A358" s="6"/>
      <c r="B358" s="3"/>
      <c r="C358" s="31"/>
    </row>
    <row r="359" spans="1:3" ht="13.5" thickBot="1" x14ac:dyDescent="0.25">
      <c r="A359" s="6"/>
      <c r="B359" s="3"/>
      <c r="C359" s="31"/>
    </row>
    <row r="360" spans="1:3" ht="13.5" thickBot="1" x14ac:dyDescent="0.25">
      <c r="A360" s="6"/>
      <c r="B360" s="3"/>
      <c r="C360" s="31"/>
    </row>
    <row r="361" spans="1:3" ht="13.5" thickBot="1" x14ac:dyDescent="0.25">
      <c r="A361" s="6"/>
      <c r="B361" s="3"/>
      <c r="C361" s="31"/>
    </row>
    <row r="362" spans="1:3" ht="13.5" thickBot="1" x14ac:dyDescent="0.25">
      <c r="A362" s="6"/>
      <c r="B362" s="3"/>
      <c r="C362" s="31"/>
    </row>
    <row r="363" spans="1:3" ht="13.5" thickBot="1" x14ac:dyDescent="0.25">
      <c r="A363" s="6"/>
      <c r="B363" s="3"/>
      <c r="C363" s="31"/>
    </row>
    <row r="364" spans="1:3" ht="13.5" thickBot="1" x14ac:dyDescent="0.25">
      <c r="A364" s="6"/>
      <c r="B364" s="3"/>
      <c r="C364" s="31"/>
    </row>
    <row r="365" spans="1:3" ht="13.5" thickBot="1" x14ac:dyDescent="0.25">
      <c r="A365" s="6"/>
      <c r="B365" s="3"/>
      <c r="C365" s="31"/>
    </row>
    <row r="366" spans="1:3" ht="13.5" thickBot="1" x14ac:dyDescent="0.25">
      <c r="A366" s="6"/>
      <c r="B366" s="3"/>
      <c r="C366" s="31"/>
    </row>
    <row r="367" spans="1:3" ht="13.5" thickBot="1" x14ac:dyDescent="0.25">
      <c r="A367" s="6"/>
      <c r="B367" s="3"/>
      <c r="C367" s="31"/>
    </row>
    <row r="368" spans="1:3" ht="13.5" thickBot="1" x14ac:dyDescent="0.25">
      <c r="A368" s="6"/>
      <c r="B368" s="3"/>
      <c r="C368" s="31"/>
    </row>
    <row r="369" spans="1:3" ht="13.5" thickBot="1" x14ac:dyDescent="0.25">
      <c r="A369" s="6"/>
      <c r="B369" s="3"/>
      <c r="C369" s="31"/>
    </row>
    <row r="370" spans="1:3" ht="13.5" thickBot="1" x14ac:dyDescent="0.25">
      <c r="A370" s="6"/>
      <c r="B370" s="3"/>
      <c r="C370" s="31"/>
    </row>
    <row r="371" spans="1:3" ht="13.5" thickBot="1" x14ac:dyDescent="0.25">
      <c r="A371" s="6"/>
      <c r="B371" s="3"/>
      <c r="C371" s="31"/>
    </row>
    <row r="372" spans="1:3" ht="13.5" thickBot="1" x14ac:dyDescent="0.25">
      <c r="A372" s="6"/>
      <c r="B372" s="3"/>
      <c r="C372" s="31"/>
    </row>
    <row r="373" spans="1:3" ht="13.5" thickBot="1" x14ac:dyDescent="0.25">
      <c r="A373" s="6"/>
      <c r="B373" s="3"/>
      <c r="C373" s="31"/>
    </row>
    <row r="374" spans="1:3" ht="13.5" thickBot="1" x14ac:dyDescent="0.25">
      <c r="A374" s="6"/>
      <c r="B374" s="3"/>
      <c r="C374" s="31"/>
    </row>
    <row r="375" spans="1:3" ht="13.5" thickBot="1" x14ac:dyDescent="0.25">
      <c r="A375" s="6"/>
      <c r="B375" s="3"/>
      <c r="C375" s="31"/>
    </row>
    <row r="376" spans="1:3" ht="13.5" thickBot="1" x14ac:dyDescent="0.25">
      <c r="A376" s="6"/>
      <c r="B376" s="3"/>
      <c r="C376" s="31"/>
    </row>
    <row r="377" spans="1:3" ht="13.5" thickBot="1" x14ac:dyDescent="0.25">
      <c r="A377" s="6"/>
      <c r="B377" s="3"/>
      <c r="C377" s="31"/>
    </row>
    <row r="378" spans="1:3" ht="13.5" thickBot="1" x14ac:dyDescent="0.25">
      <c r="A378" s="6"/>
      <c r="B378" s="3"/>
      <c r="C378" s="31"/>
    </row>
    <row r="379" spans="1:3" ht="13.5" thickBot="1" x14ac:dyDescent="0.25">
      <c r="A379" s="6"/>
      <c r="B379" s="3"/>
      <c r="C379" s="31"/>
    </row>
    <row r="380" spans="1:3" ht="13.5" thickBot="1" x14ac:dyDescent="0.25">
      <c r="A380" s="6"/>
      <c r="B380" s="3"/>
      <c r="C380" s="31"/>
    </row>
    <row r="381" spans="1:3" ht="13.5" thickBot="1" x14ac:dyDescent="0.25">
      <c r="A381" s="6"/>
      <c r="B381" s="3"/>
      <c r="C381" s="31"/>
    </row>
    <row r="382" spans="1:3" ht="13.5" thickBot="1" x14ac:dyDescent="0.25">
      <c r="A382" s="6"/>
      <c r="B382" s="3"/>
      <c r="C382" s="31"/>
    </row>
    <row r="383" spans="1:3" ht="13.5" thickBot="1" x14ac:dyDescent="0.25">
      <c r="A383" s="6"/>
      <c r="B383" s="3"/>
      <c r="C383" s="31"/>
    </row>
    <row r="384" spans="1:3" ht="13.5" thickBot="1" x14ac:dyDescent="0.25">
      <c r="A384" s="6"/>
      <c r="B384" s="3"/>
      <c r="C384" s="31"/>
    </row>
    <row r="385" spans="1:3" ht="13.5" thickBot="1" x14ac:dyDescent="0.25">
      <c r="A385" s="6"/>
      <c r="B385" s="3"/>
      <c r="C385" s="31"/>
    </row>
    <row r="386" spans="1:3" ht="13.5" thickBot="1" x14ac:dyDescent="0.25">
      <c r="A386" s="6"/>
      <c r="B386" s="3"/>
      <c r="C386" s="31"/>
    </row>
    <row r="387" spans="1:3" ht="13.5" thickBot="1" x14ac:dyDescent="0.25">
      <c r="A387" s="6"/>
      <c r="B387" s="3"/>
      <c r="C387" s="31"/>
    </row>
    <row r="388" spans="1:3" ht="13.5" thickBot="1" x14ac:dyDescent="0.25">
      <c r="A388" s="6"/>
      <c r="B388" s="3"/>
      <c r="C388" s="31"/>
    </row>
    <row r="389" spans="1:3" ht="13.5" thickBot="1" x14ac:dyDescent="0.25">
      <c r="A389" s="6"/>
      <c r="B389" s="3"/>
      <c r="C389" s="31"/>
    </row>
    <row r="390" spans="1:3" ht="13.5" thickBot="1" x14ac:dyDescent="0.25">
      <c r="A390" s="6"/>
      <c r="B390" s="3"/>
      <c r="C390" s="31"/>
    </row>
    <row r="391" spans="1:3" ht="13.5" thickBot="1" x14ac:dyDescent="0.25">
      <c r="A391" s="6"/>
      <c r="B391" s="3"/>
      <c r="C391" s="31"/>
    </row>
    <row r="392" spans="1:3" ht="13.5" thickBot="1" x14ac:dyDescent="0.25">
      <c r="A392" s="6"/>
      <c r="B392" s="3"/>
      <c r="C392" s="31"/>
    </row>
    <row r="393" spans="1:3" ht="13.5" thickBot="1" x14ac:dyDescent="0.25">
      <c r="A393" s="6"/>
      <c r="B393" s="3"/>
      <c r="C393" s="31"/>
    </row>
    <row r="394" spans="1:3" ht="13.5" thickBot="1" x14ac:dyDescent="0.25">
      <c r="A394" s="6"/>
      <c r="B394" s="3"/>
      <c r="C394" s="31"/>
    </row>
    <row r="395" spans="1:3" ht="13.5" thickBot="1" x14ac:dyDescent="0.25">
      <c r="A395" s="6"/>
      <c r="B395" s="3"/>
      <c r="C395" s="31"/>
    </row>
    <row r="396" spans="1:3" ht="13.5" thickBot="1" x14ac:dyDescent="0.25">
      <c r="A396" s="6"/>
      <c r="B396" s="3"/>
      <c r="C396" s="31"/>
    </row>
    <row r="397" spans="1:3" ht="13.5" thickBot="1" x14ac:dyDescent="0.25">
      <c r="A397" s="6"/>
      <c r="B397" s="3"/>
      <c r="C397" s="31"/>
    </row>
    <row r="398" spans="1:3" ht="13.5" thickBot="1" x14ac:dyDescent="0.25">
      <c r="A398" s="6"/>
      <c r="B398" s="3"/>
      <c r="C398" s="31"/>
    </row>
    <row r="399" spans="1:3" ht="13.5" thickBot="1" x14ac:dyDescent="0.25">
      <c r="A399" s="6"/>
      <c r="B399" s="3"/>
      <c r="C399" s="31"/>
    </row>
    <row r="400" spans="1:3" ht="13.5" thickBot="1" x14ac:dyDescent="0.25">
      <c r="A400" s="6"/>
      <c r="B400" s="3"/>
      <c r="C400" s="31"/>
    </row>
    <row r="401" spans="1:3" ht="13.5" thickBot="1" x14ac:dyDescent="0.25">
      <c r="A401" s="6"/>
      <c r="B401" s="3"/>
      <c r="C401" s="31"/>
    </row>
    <row r="402" spans="1:3" ht="13.5" thickBot="1" x14ac:dyDescent="0.25">
      <c r="A402" s="6"/>
      <c r="B402" s="3"/>
      <c r="C402" s="31"/>
    </row>
    <row r="403" spans="1:3" ht="13.5" thickBot="1" x14ac:dyDescent="0.25">
      <c r="A403" s="6"/>
      <c r="B403" s="3"/>
      <c r="C403" s="31"/>
    </row>
    <row r="404" spans="1:3" ht="13.5" thickBot="1" x14ac:dyDescent="0.25">
      <c r="A404" s="6"/>
      <c r="B404" s="3"/>
      <c r="C404" s="31"/>
    </row>
    <row r="405" spans="1:3" ht="13.5" thickBot="1" x14ac:dyDescent="0.25">
      <c r="A405" s="6"/>
      <c r="B405" s="3"/>
      <c r="C405" s="31"/>
    </row>
    <row r="406" spans="1:3" ht="13.5" thickBot="1" x14ac:dyDescent="0.25">
      <c r="A406" s="6"/>
      <c r="B406" s="3"/>
      <c r="C406" s="31"/>
    </row>
    <row r="407" spans="1:3" ht="13.5" thickBot="1" x14ac:dyDescent="0.25">
      <c r="A407" s="6"/>
      <c r="B407" s="3"/>
      <c r="C407" s="31"/>
    </row>
    <row r="408" spans="1:3" ht="13.5" thickBot="1" x14ac:dyDescent="0.25">
      <c r="A408" s="6"/>
      <c r="B408" s="3"/>
      <c r="C408" s="31"/>
    </row>
    <row r="409" spans="1:3" ht="13.5" thickBot="1" x14ac:dyDescent="0.25">
      <c r="A409" s="6"/>
      <c r="B409" s="3"/>
      <c r="C409" s="31"/>
    </row>
    <row r="410" spans="1:3" ht="13.5" thickBot="1" x14ac:dyDescent="0.25">
      <c r="A410" s="6"/>
      <c r="B410" s="3"/>
      <c r="C410" s="31"/>
    </row>
    <row r="411" spans="1:3" ht="13.5" thickBot="1" x14ac:dyDescent="0.25">
      <c r="A411" s="6"/>
      <c r="B411" s="3"/>
      <c r="C411" s="31"/>
    </row>
    <row r="412" spans="1:3" ht="13.5" thickBot="1" x14ac:dyDescent="0.25">
      <c r="A412" s="6"/>
      <c r="B412" s="3"/>
      <c r="C412" s="31"/>
    </row>
    <row r="413" spans="1:3" ht="13.5" thickBot="1" x14ac:dyDescent="0.25">
      <c r="A413" s="6"/>
      <c r="B413" s="3"/>
      <c r="C413" s="31"/>
    </row>
    <row r="414" spans="1:3" ht="13.5" thickBot="1" x14ac:dyDescent="0.25">
      <c r="A414" s="6"/>
      <c r="B414" s="3"/>
      <c r="C414" s="31"/>
    </row>
    <row r="415" spans="1:3" ht="13.5" thickBot="1" x14ac:dyDescent="0.25">
      <c r="A415" s="6"/>
      <c r="B415" s="3"/>
      <c r="C415" s="31"/>
    </row>
    <row r="416" spans="1:3" ht="13.5" thickBot="1" x14ac:dyDescent="0.25">
      <c r="A416" s="6"/>
      <c r="B416" s="3"/>
      <c r="C416" s="31"/>
    </row>
    <row r="417" spans="1:3" ht="13.5" thickBot="1" x14ac:dyDescent="0.25">
      <c r="A417" s="6"/>
      <c r="B417" s="3"/>
      <c r="C417" s="31"/>
    </row>
    <row r="418" spans="1:3" ht="13.5" thickBot="1" x14ac:dyDescent="0.25">
      <c r="A418" s="6"/>
      <c r="B418" s="3"/>
      <c r="C418" s="31"/>
    </row>
    <row r="419" spans="1:3" ht="13.5" thickBot="1" x14ac:dyDescent="0.25">
      <c r="A419" s="6"/>
      <c r="B419" s="3"/>
      <c r="C419" s="31"/>
    </row>
    <row r="420" spans="1:3" ht="13.5" thickBot="1" x14ac:dyDescent="0.25">
      <c r="A420" s="6"/>
      <c r="B420" s="3"/>
      <c r="C420" s="31"/>
    </row>
    <row r="421" spans="1:3" ht="13.5" thickBot="1" x14ac:dyDescent="0.25">
      <c r="A421" s="6"/>
      <c r="B421" s="3"/>
      <c r="C421" s="31"/>
    </row>
    <row r="422" spans="1:3" ht="13.5" thickBot="1" x14ac:dyDescent="0.25">
      <c r="A422" s="6"/>
      <c r="B422" s="3"/>
      <c r="C422" s="31"/>
    </row>
    <row r="423" spans="1:3" ht="13.5" thickBot="1" x14ac:dyDescent="0.25">
      <c r="A423" s="6"/>
      <c r="B423" s="3"/>
      <c r="C423" s="31"/>
    </row>
    <row r="424" spans="1:3" ht="13.5" thickBot="1" x14ac:dyDescent="0.25">
      <c r="A424" s="6"/>
      <c r="B424" s="3"/>
      <c r="C424" s="31"/>
    </row>
    <row r="425" spans="1:3" ht="13.5" thickBot="1" x14ac:dyDescent="0.25">
      <c r="A425" s="6"/>
      <c r="B425" s="3"/>
      <c r="C425" s="31"/>
    </row>
    <row r="426" spans="1:3" ht="13.5" thickBot="1" x14ac:dyDescent="0.25">
      <c r="A426" s="6"/>
      <c r="B426" s="3"/>
      <c r="C426" s="31"/>
    </row>
    <row r="427" spans="1:3" ht="13.5" thickBot="1" x14ac:dyDescent="0.25">
      <c r="A427" s="6"/>
      <c r="B427" s="3"/>
      <c r="C427" s="31"/>
    </row>
    <row r="428" spans="1:3" ht="13.5" thickBot="1" x14ac:dyDescent="0.25">
      <c r="A428" s="6"/>
      <c r="B428" s="3"/>
      <c r="C428" s="31"/>
    </row>
    <row r="429" spans="1:3" ht="13.5" thickBot="1" x14ac:dyDescent="0.25">
      <c r="A429" s="6"/>
      <c r="B429" s="3"/>
      <c r="C429" s="31"/>
    </row>
    <row r="430" spans="1:3" ht="13.5" thickBot="1" x14ac:dyDescent="0.25">
      <c r="A430" s="6"/>
      <c r="B430" s="3"/>
      <c r="C430" s="31"/>
    </row>
    <row r="431" spans="1:3" ht="13.5" thickBot="1" x14ac:dyDescent="0.25">
      <c r="A431" s="6"/>
      <c r="B431" s="3"/>
      <c r="C431" s="31"/>
    </row>
    <row r="432" spans="1:3" ht="13.5" thickBot="1" x14ac:dyDescent="0.25">
      <c r="A432" s="6"/>
      <c r="B432" s="3"/>
      <c r="C432" s="31"/>
    </row>
    <row r="433" spans="1:3" ht="13.5" thickBot="1" x14ac:dyDescent="0.25">
      <c r="A433" s="6"/>
      <c r="B433" s="3"/>
      <c r="C433" s="31"/>
    </row>
    <row r="434" spans="1:3" ht="13.5" thickBot="1" x14ac:dyDescent="0.25">
      <c r="A434" s="6"/>
      <c r="B434" s="3"/>
      <c r="C434" s="31"/>
    </row>
    <row r="435" spans="1:3" ht="13.5" thickBot="1" x14ac:dyDescent="0.25">
      <c r="A435" s="6"/>
      <c r="B435" s="3"/>
      <c r="C435" s="31"/>
    </row>
    <row r="436" spans="1:3" ht="13.5" thickBot="1" x14ac:dyDescent="0.25">
      <c r="A436" s="6"/>
      <c r="B436" s="3"/>
      <c r="C436" s="31"/>
    </row>
    <row r="437" spans="1:3" ht="13.5" thickBot="1" x14ac:dyDescent="0.25">
      <c r="A437" s="6"/>
      <c r="B437" s="3"/>
      <c r="C437" s="31"/>
    </row>
    <row r="438" spans="1:3" ht="13.5" thickBot="1" x14ac:dyDescent="0.25">
      <c r="A438" s="6"/>
      <c r="B438" s="3"/>
      <c r="C438" s="31"/>
    </row>
    <row r="439" spans="1:3" ht="13.5" thickBot="1" x14ac:dyDescent="0.25">
      <c r="A439" s="6"/>
      <c r="B439" s="3"/>
      <c r="C439" s="31"/>
    </row>
    <row r="440" spans="1:3" ht="13.5" thickBot="1" x14ac:dyDescent="0.25">
      <c r="A440" s="6"/>
      <c r="B440" s="3"/>
      <c r="C440" s="31"/>
    </row>
    <row r="441" spans="1:3" ht="13.5" thickBot="1" x14ac:dyDescent="0.25">
      <c r="A441" s="6"/>
      <c r="B441" s="3"/>
      <c r="C441" s="31"/>
    </row>
    <row r="442" spans="1:3" ht="13.5" thickBot="1" x14ac:dyDescent="0.25">
      <c r="A442" s="6"/>
      <c r="B442" s="3"/>
      <c r="C442" s="31"/>
    </row>
    <row r="443" spans="1:3" ht="13.5" thickBot="1" x14ac:dyDescent="0.25">
      <c r="A443" s="6"/>
      <c r="B443" s="3"/>
      <c r="C443" s="31"/>
    </row>
    <row r="444" spans="1:3" ht="13.5" thickBot="1" x14ac:dyDescent="0.25">
      <c r="A444" s="6"/>
      <c r="B444" s="3"/>
      <c r="C444" s="31"/>
    </row>
    <row r="445" spans="1:3" ht="13.5" thickBot="1" x14ac:dyDescent="0.25">
      <c r="A445" s="6"/>
      <c r="B445" s="3"/>
      <c r="C445" s="31"/>
    </row>
    <row r="446" spans="1:3" ht="13.5" thickBot="1" x14ac:dyDescent="0.25">
      <c r="A446" s="6"/>
      <c r="B446" s="3"/>
      <c r="C446" s="31"/>
    </row>
    <row r="447" spans="1:3" ht="13.5" thickBot="1" x14ac:dyDescent="0.25">
      <c r="A447" s="6"/>
      <c r="B447" s="3"/>
      <c r="C447" s="31"/>
    </row>
    <row r="448" spans="1:3" ht="13.5" thickBot="1" x14ac:dyDescent="0.25">
      <c r="A448" s="6"/>
      <c r="B448" s="3"/>
      <c r="C448" s="31"/>
    </row>
    <row r="449" spans="1:3" ht="13.5" thickBot="1" x14ac:dyDescent="0.25">
      <c r="A449" s="6"/>
      <c r="B449" s="3"/>
      <c r="C449" s="31"/>
    </row>
    <row r="450" spans="1:3" ht="13.5" thickBot="1" x14ac:dyDescent="0.25">
      <c r="A450" s="6"/>
      <c r="B450" s="3"/>
      <c r="C450" s="31"/>
    </row>
    <row r="451" spans="1:3" ht="13.5" thickBot="1" x14ac:dyDescent="0.25">
      <c r="A451" s="6"/>
      <c r="B451" s="3"/>
      <c r="C451" s="31"/>
    </row>
    <row r="452" spans="1:3" ht="13.5" thickBot="1" x14ac:dyDescent="0.25">
      <c r="A452" s="6"/>
      <c r="B452" s="3"/>
      <c r="C452" s="31"/>
    </row>
    <row r="453" spans="1:3" ht="13.5" thickBot="1" x14ac:dyDescent="0.25">
      <c r="A453" s="6"/>
      <c r="B453" s="3"/>
      <c r="C453" s="31"/>
    </row>
    <row r="454" spans="1:3" ht="13.5" thickBot="1" x14ac:dyDescent="0.25">
      <c r="A454" s="6"/>
      <c r="B454" s="3"/>
      <c r="C454" s="31"/>
    </row>
    <row r="455" spans="1:3" ht="13.5" thickBot="1" x14ac:dyDescent="0.25">
      <c r="A455" s="6"/>
      <c r="B455" s="3"/>
      <c r="C455" s="31"/>
    </row>
    <row r="456" spans="1:3" ht="13.5" thickBot="1" x14ac:dyDescent="0.25">
      <c r="A456" s="6"/>
      <c r="B456" s="3"/>
      <c r="C456" s="31"/>
    </row>
    <row r="457" spans="1:3" ht="13.5" thickBot="1" x14ac:dyDescent="0.25">
      <c r="A457" s="6"/>
      <c r="B457" s="3"/>
      <c r="C457" s="31"/>
    </row>
    <row r="458" spans="1:3" ht="13.5" thickBot="1" x14ac:dyDescent="0.25">
      <c r="A458" s="6"/>
      <c r="B458" s="3"/>
      <c r="C458" s="31"/>
    </row>
    <row r="459" spans="1:3" ht="13.5" thickBot="1" x14ac:dyDescent="0.25">
      <c r="A459" s="6"/>
      <c r="B459" s="3"/>
      <c r="C459" s="31"/>
    </row>
    <row r="460" spans="1:3" ht="13.5" thickBot="1" x14ac:dyDescent="0.25">
      <c r="A460" s="6"/>
      <c r="B460" s="3"/>
      <c r="C460" s="31"/>
    </row>
    <row r="461" spans="1:3" ht="13.5" thickBot="1" x14ac:dyDescent="0.25">
      <c r="A461" s="6"/>
      <c r="B461" s="3"/>
      <c r="C461" s="31"/>
    </row>
    <row r="462" spans="1:3" ht="13.5" thickBot="1" x14ac:dyDescent="0.25">
      <c r="A462" s="6"/>
      <c r="B462" s="3"/>
      <c r="C462" s="31"/>
    </row>
    <row r="463" spans="1:3" ht="13.5" thickBot="1" x14ac:dyDescent="0.25">
      <c r="A463" s="6"/>
      <c r="B463" s="3"/>
      <c r="C463" s="31"/>
    </row>
    <row r="464" spans="1:3" ht="13.5" thickBot="1" x14ac:dyDescent="0.25">
      <c r="A464" s="6"/>
      <c r="B464" s="3"/>
      <c r="C464" s="31"/>
    </row>
    <row r="465" spans="1:3" ht="13.5" thickBot="1" x14ac:dyDescent="0.25">
      <c r="A465" s="6"/>
      <c r="B465" s="3"/>
      <c r="C465" s="31"/>
    </row>
    <row r="466" spans="1:3" ht="13.5" thickBot="1" x14ac:dyDescent="0.25">
      <c r="A466" s="6"/>
      <c r="B466" s="3"/>
      <c r="C466" s="31"/>
    </row>
    <row r="467" spans="1:3" ht="13.5" thickBot="1" x14ac:dyDescent="0.25">
      <c r="A467" s="6"/>
      <c r="B467" s="3"/>
      <c r="C467" s="31"/>
    </row>
    <row r="468" spans="1:3" ht="13.5" thickBot="1" x14ac:dyDescent="0.25">
      <c r="A468" s="6"/>
      <c r="B468" s="3"/>
      <c r="C468" s="31"/>
    </row>
    <row r="469" spans="1:3" ht="13.5" thickBot="1" x14ac:dyDescent="0.25">
      <c r="A469" s="6"/>
      <c r="B469" s="3"/>
      <c r="C469" s="31"/>
    </row>
    <row r="470" spans="1:3" ht="13.5" thickBot="1" x14ac:dyDescent="0.25">
      <c r="A470" s="6"/>
      <c r="B470" s="3"/>
      <c r="C470" s="31"/>
    </row>
    <row r="471" spans="1:3" ht="13.5" thickBot="1" x14ac:dyDescent="0.25">
      <c r="A471" s="6"/>
      <c r="B471" s="3"/>
      <c r="C471" s="31"/>
    </row>
    <row r="472" spans="1:3" ht="13.5" thickBot="1" x14ac:dyDescent="0.25">
      <c r="A472" s="6"/>
      <c r="B472" s="3"/>
      <c r="C472" s="31"/>
    </row>
    <row r="473" spans="1:3" ht="13.5" thickBot="1" x14ac:dyDescent="0.25">
      <c r="A473" s="6"/>
      <c r="B473" s="3"/>
      <c r="C473" s="31"/>
    </row>
    <row r="474" spans="1:3" ht="13.5" thickBot="1" x14ac:dyDescent="0.25">
      <c r="A474" s="6"/>
      <c r="B474" s="3"/>
      <c r="C474" s="31"/>
    </row>
    <row r="475" spans="1:3" ht="13.5" thickBot="1" x14ac:dyDescent="0.25">
      <c r="A475" s="6"/>
      <c r="B475" s="3"/>
      <c r="C475" s="31"/>
    </row>
    <row r="476" spans="1:3" ht="13.5" thickBot="1" x14ac:dyDescent="0.25">
      <c r="A476" s="6"/>
      <c r="B476" s="3"/>
      <c r="C476" s="31"/>
    </row>
    <row r="477" spans="1:3" ht="13.5" thickBot="1" x14ac:dyDescent="0.25">
      <c r="A477" s="6"/>
      <c r="B477" s="3"/>
      <c r="C477" s="31"/>
    </row>
    <row r="478" spans="1:3" ht="13.5" thickBot="1" x14ac:dyDescent="0.25">
      <c r="A478" s="6"/>
      <c r="B478" s="3"/>
      <c r="C478" s="31"/>
    </row>
    <row r="479" spans="1:3" ht="13.5" thickBot="1" x14ac:dyDescent="0.25">
      <c r="A479" s="6"/>
      <c r="B479" s="3"/>
      <c r="C479" s="31"/>
    </row>
    <row r="480" spans="1:3" ht="13.5" thickBot="1" x14ac:dyDescent="0.25">
      <c r="A480" s="6"/>
      <c r="B480" s="3"/>
      <c r="C480" s="31"/>
    </row>
    <row r="481" spans="1:3" ht="13.5" thickBot="1" x14ac:dyDescent="0.25">
      <c r="A481" s="6"/>
      <c r="B481" s="3"/>
      <c r="C481" s="31"/>
    </row>
    <row r="482" spans="1:3" ht="13.5" thickBot="1" x14ac:dyDescent="0.25">
      <c r="A482" s="6"/>
      <c r="B482" s="3"/>
      <c r="C482" s="31"/>
    </row>
    <row r="483" spans="1:3" ht="13.5" thickBot="1" x14ac:dyDescent="0.25">
      <c r="A483" s="6"/>
      <c r="B483" s="3"/>
      <c r="C483" s="31"/>
    </row>
    <row r="484" spans="1:3" ht="13.5" thickBot="1" x14ac:dyDescent="0.25">
      <c r="A484" s="6"/>
      <c r="B484" s="3"/>
      <c r="C484" s="31"/>
    </row>
    <row r="485" spans="1:3" ht="13.5" thickBot="1" x14ac:dyDescent="0.25">
      <c r="A485" s="6"/>
      <c r="B485" s="3"/>
      <c r="C485" s="31"/>
    </row>
    <row r="486" spans="1:3" ht="13.5" thickBot="1" x14ac:dyDescent="0.25">
      <c r="A486" s="6"/>
      <c r="B486" s="3"/>
      <c r="C486" s="31"/>
    </row>
    <row r="487" spans="1:3" ht="13.5" thickBot="1" x14ac:dyDescent="0.25">
      <c r="A487" s="6"/>
      <c r="B487" s="3"/>
      <c r="C487" s="31"/>
    </row>
    <row r="488" spans="1:3" ht="13.5" thickBot="1" x14ac:dyDescent="0.25">
      <c r="A488" s="6"/>
      <c r="B488" s="3"/>
      <c r="C488" s="31"/>
    </row>
    <row r="489" spans="1:3" ht="13.5" thickBot="1" x14ac:dyDescent="0.25">
      <c r="A489" s="6"/>
      <c r="B489" s="3"/>
      <c r="C489" s="31"/>
    </row>
    <row r="490" spans="1:3" ht="13.5" thickBot="1" x14ac:dyDescent="0.25">
      <c r="A490" s="6"/>
      <c r="B490" s="3"/>
      <c r="C490" s="31"/>
    </row>
    <row r="491" spans="1:3" ht="13.5" thickBot="1" x14ac:dyDescent="0.25">
      <c r="A491" s="6"/>
      <c r="B491" s="3"/>
      <c r="C491" s="31"/>
    </row>
    <row r="492" spans="1:3" ht="13.5" thickBot="1" x14ac:dyDescent="0.25">
      <c r="A492" s="6"/>
      <c r="B492" s="3"/>
      <c r="C492" s="31"/>
    </row>
    <row r="493" spans="1:3" ht="13.5" thickBot="1" x14ac:dyDescent="0.25">
      <c r="A493" s="6"/>
      <c r="B493" s="3"/>
      <c r="C493" s="31"/>
    </row>
    <row r="494" spans="1:3" ht="13.5" thickBot="1" x14ac:dyDescent="0.25">
      <c r="A494" s="6"/>
      <c r="B494" s="3"/>
      <c r="C494" s="31"/>
    </row>
    <row r="495" spans="1:3" ht="13.5" thickBot="1" x14ac:dyDescent="0.25">
      <c r="A495" s="6"/>
      <c r="B495" s="3"/>
      <c r="C495" s="31"/>
    </row>
    <row r="496" spans="1:3" ht="13.5" thickBot="1" x14ac:dyDescent="0.25">
      <c r="A496" s="6"/>
      <c r="B496" s="3"/>
      <c r="C496" s="31"/>
    </row>
    <row r="497" spans="1:3" ht="13.5" thickBot="1" x14ac:dyDescent="0.25">
      <c r="A497" s="6"/>
      <c r="B497" s="3"/>
      <c r="C497" s="31"/>
    </row>
    <row r="498" spans="1:3" ht="13.5" thickBot="1" x14ac:dyDescent="0.25">
      <c r="A498" s="6"/>
      <c r="B498" s="3"/>
      <c r="C498" s="31"/>
    </row>
    <row r="499" spans="1:3" ht="13.5" thickBot="1" x14ac:dyDescent="0.25">
      <c r="A499" s="6"/>
      <c r="B499" s="3"/>
      <c r="C499" s="31"/>
    </row>
    <row r="500" spans="1:3" ht="13.5" thickBot="1" x14ac:dyDescent="0.25">
      <c r="A500" s="6"/>
      <c r="B500" s="3"/>
      <c r="C500" s="31"/>
    </row>
    <row r="501" spans="1:3" ht="13.5" thickBot="1" x14ac:dyDescent="0.25">
      <c r="A501" s="6"/>
      <c r="B501" s="3"/>
      <c r="C501" s="31"/>
    </row>
    <row r="502" spans="1:3" ht="13.5" thickBot="1" x14ac:dyDescent="0.25">
      <c r="A502" s="6"/>
      <c r="B502" s="3"/>
      <c r="C502" s="31"/>
    </row>
    <row r="503" spans="1:3" ht="13.5" thickBot="1" x14ac:dyDescent="0.25">
      <c r="A503" s="6"/>
      <c r="B503" s="3"/>
      <c r="C503" s="31"/>
    </row>
    <row r="504" spans="1:3" ht="13.5" thickBot="1" x14ac:dyDescent="0.25">
      <c r="A504" s="6"/>
      <c r="B504" s="3"/>
      <c r="C504" s="31"/>
    </row>
    <row r="505" spans="1:3" ht="13.5" thickBot="1" x14ac:dyDescent="0.25">
      <c r="A505" s="6"/>
      <c r="B505" s="3"/>
      <c r="C505" s="31"/>
    </row>
    <row r="506" spans="1:3" ht="13.5" thickBot="1" x14ac:dyDescent="0.25">
      <c r="A506" s="6"/>
      <c r="B506" s="3"/>
      <c r="C506" s="31"/>
    </row>
    <row r="507" spans="1:3" ht="13.5" thickBot="1" x14ac:dyDescent="0.25">
      <c r="A507" s="6"/>
      <c r="B507" s="3"/>
      <c r="C507" s="31"/>
    </row>
    <row r="508" spans="1:3" ht="13.5" thickBot="1" x14ac:dyDescent="0.25">
      <c r="A508" s="6"/>
      <c r="B508" s="3"/>
      <c r="C508" s="31"/>
    </row>
    <row r="509" spans="1:3" ht="13.5" thickBot="1" x14ac:dyDescent="0.25">
      <c r="A509" s="6"/>
      <c r="B509" s="3"/>
      <c r="C509" s="31"/>
    </row>
    <row r="510" spans="1:3" ht="13.5" thickBot="1" x14ac:dyDescent="0.25">
      <c r="A510" s="6"/>
      <c r="B510" s="3"/>
      <c r="C510" s="31"/>
    </row>
    <row r="511" spans="1:3" ht="13.5" thickBot="1" x14ac:dyDescent="0.25">
      <c r="A511" s="6"/>
      <c r="B511" s="3"/>
      <c r="C511" s="31"/>
    </row>
    <row r="512" spans="1:3" ht="13.5" thickBot="1" x14ac:dyDescent="0.25">
      <c r="A512" s="6"/>
      <c r="B512" s="3"/>
      <c r="C512" s="31"/>
    </row>
    <row r="513" spans="1:3" ht="13.5" thickBot="1" x14ac:dyDescent="0.25">
      <c r="A513" s="6"/>
      <c r="B513" s="3"/>
      <c r="C513" s="31"/>
    </row>
    <row r="514" spans="1:3" ht="13.5" thickBot="1" x14ac:dyDescent="0.25">
      <c r="A514" s="6"/>
      <c r="B514" s="3"/>
      <c r="C514" s="31"/>
    </row>
    <row r="515" spans="1:3" ht="13.5" thickBot="1" x14ac:dyDescent="0.25">
      <c r="A515" s="6"/>
      <c r="B515" s="3"/>
      <c r="C515" s="31"/>
    </row>
    <row r="516" spans="1:3" ht="13.5" thickBot="1" x14ac:dyDescent="0.25">
      <c r="A516" s="6"/>
      <c r="B516" s="3"/>
      <c r="C516" s="31"/>
    </row>
    <row r="517" spans="1:3" ht="13.5" thickBot="1" x14ac:dyDescent="0.25">
      <c r="A517" s="6"/>
      <c r="B517" s="3"/>
      <c r="C517" s="31"/>
    </row>
    <row r="518" spans="1:3" ht="13.5" thickBot="1" x14ac:dyDescent="0.25">
      <c r="A518" s="6"/>
      <c r="B518" s="3"/>
      <c r="C518" s="31"/>
    </row>
    <row r="519" spans="1:3" ht="13.5" thickBot="1" x14ac:dyDescent="0.25">
      <c r="A519" s="6"/>
      <c r="B519" s="3"/>
      <c r="C519" s="31"/>
    </row>
    <row r="520" spans="1:3" ht="13.5" thickBot="1" x14ac:dyDescent="0.25">
      <c r="A520" s="6"/>
      <c r="B520" s="3"/>
      <c r="C520" s="31"/>
    </row>
    <row r="521" spans="1:3" ht="13.5" thickBot="1" x14ac:dyDescent="0.25">
      <c r="A521" s="6"/>
      <c r="B521" s="3"/>
      <c r="C521" s="31"/>
    </row>
    <row r="522" spans="1:3" ht="13.5" thickBot="1" x14ac:dyDescent="0.25">
      <c r="A522" s="6"/>
      <c r="B522" s="3"/>
      <c r="C522" s="31"/>
    </row>
    <row r="523" spans="1:3" ht="13.5" thickBot="1" x14ac:dyDescent="0.25">
      <c r="A523" s="6"/>
      <c r="B523" s="3"/>
      <c r="C523" s="31"/>
    </row>
    <row r="524" spans="1:3" ht="13.5" thickBot="1" x14ac:dyDescent="0.25">
      <c r="A524" s="6"/>
      <c r="B524" s="3"/>
      <c r="C524" s="31"/>
    </row>
    <row r="525" spans="1:3" ht="13.5" thickBot="1" x14ac:dyDescent="0.25">
      <c r="A525" s="6"/>
      <c r="B525" s="3"/>
      <c r="C525" s="31"/>
    </row>
    <row r="526" spans="1:3" ht="13.5" thickBot="1" x14ac:dyDescent="0.25">
      <c r="A526" s="6"/>
      <c r="B526" s="3"/>
      <c r="C526" s="31"/>
    </row>
    <row r="527" spans="1:3" ht="13.5" thickBot="1" x14ac:dyDescent="0.25">
      <c r="A527" s="6"/>
      <c r="B527" s="3"/>
      <c r="C527" s="31"/>
    </row>
    <row r="528" spans="1:3" ht="13.5" thickBot="1" x14ac:dyDescent="0.25">
      <c r="A528" s="6"/>
      <c r="B528" s="3"/>
      <c r="C528" s="31"/>
    </row>
    <row r="529" spans="1:3" ht="13.5" thickBot="1" x14ac:dyDescent="0.25">
      <c r="A529" s="6"/>
      <c r="B529" s="3"/>
      <c r="C529" s="31"/>
    </row>
    <row r="530" spans="1:3" ht="13.5" thickBot="1" x14ac:dyDescent="0.25">
      <c r="A530" s="6"/>
      <c r="B530" s="3"/>
      <c r="C530" s="31"/>
    </row>
    <row r="531" spans="1:3" ht="13.5" thickBot="1" x14ac:dyDescent="0.25">
      <c r="A531" s="6"/>
      <c r="B531" s="3"/>
      <c r="C531" s="31"/>
    </row>
    <row r="532" spans="1:3" ht="13.5" thickBot="1" x14ac:dyDescent="0.25">
      <c r="A532" s="6"/>
      <c r="B532" s="3"/>
      <c r="C532" s="31"/>
    </row>
    <row r="533" spans="1:3" ht="13.5" thickBot="1" x14ac:dyDescent="0.25">
      <c r="A533" s="6"/>
      <c r="B533" s="3"/>
      <c r="C533" s="31"/>
    </row>
    <row r="534" spans="1:3" ht="13.5" thickBot="1" x14ac:dyDescent="0.25">
      <c r="A534" s="6"/>
      <c r="B534" s="3"/>
      <c r="C534" s="31"/>
    </row>
    <row r="535" spans="1:3" ht="13.5" thickBot="1" x14ac:dyDescent="0.25">
      <c r="A535" s="6"/>
      <c r="B535" s="3"/>
      <c r="C535" s="31"/>
    </row>
    <row r="536" spans="1:3" ht="13.5" thickBot="1" x14ac:dyDescent="0.25">
      <c r="A536" s="6"/>
      <c r="B536" s="3"/>
      <c r="C536" s="31"/>
    </row>
    <row r="537" spans="1:3" ht="13.5" thickBot="1" x14ac:dyDescent="0.25">
      <c r="A537" s="6"/>
      <c r="B537" s="3"/>
      <c r="C537" s="31"/>
    </row>
    <row r="538" spans="1:3" ht="13.5" thickBot="1" x14ac:dyDescent="0.25">
      <c r="A538" s="6"/>
      <c r="B538" s="3"/>
      <c r="C538" s="31"/>
    </row>
    <row r="539" spans="1:3" ht="13.5" thickBot="1" x14ac:dyDescent="0.25">
      <c r="A539" s="6"/>
      <c r="B539" s="3"/>
      <c r="C539" s="31"/>
    </row>
    <row r="540" spans="1:3" ht="13.5" thickBot="1" x14ac:dyDescent="0.25">
      <c r="A540" s="6"/>
      <c r="B540" s="3"/>
      <c r="C540" s="31"/>
    </row>
    <row r="541" spans="1:3" ht="13.5" thickBot="1" x14ac:dyDescent="0.25">
      <c r="A541" s="6"/>
      <c r="B541" s="3"/>
      <c r="C541" s="31"/>
    </row>
    <row r="542" spans="1:3" ht="13.5" thickBot="1" x14ac:dyDescent="0.25">
      <c r="A542" s="6"/>
      <c r="B542" s="3"/>
      <c r="C542" s="31"/>
    </row>
    <row r="543" spans="1:3" ht="13.5" thickBot="1" x14ac:dyDescent="0.25">
      <c r="A543" s="6"/>
      <c r="B543" s="3"/>
      <c r="C543" s="31"/>
    </row>
    <row r="544" spans="1:3" ht="13.5" thickBot="1" x14ac:dyDescent="0.25">
      <c r="A544" s="6"/>
      <c r="B544" s="3"/>
      <c r="C544" s="31"/>
    </row>
    <row r="545" spans="1:3" ht="13.5" thickBot="1" x14ac:dyDescent="0.25">
      <c r="A545" s="6"/>
      <c r="B545" s="3"/>
      <c r="C545" s="31"/>
    </row>
    <row r="546" spans="1:3" ht="13.5" thickBot="1" x14ac:dyDescent="0.25">
      <c r="A546" s="6"/>
      <c r="B546" s="3"/>
      <c r="C546" s="31"/>
    </row>
    <row r="547" spans="1:3" ht="13.5" thickBot="1" x14ac:dyDescent="0.25">
      <c r="A547" s="6"/>
      <c r="B547" s="3"/>
      <c r="C547" s="31"/>
    </row>
    <row r="548" spans="1:3" ht="13.5" thickBot="1" x14ac:dyDescent="0.25">
      <c r="A548" s="6"/>
      <c r="B548" s="3"/>
      <c r="C548" s="31"/>
    </row>
    <row r="549" spans="1:3" ht="13.5" thickBot="1" x14ac:dyDescent="0.25">
      <c r="A549" s="6"/>
      <c r="B549" s="3"/>
      <c r="C549" s="31"/>
    </row>
    <row r="550" spans="1:3" ht="13.5" thickBot="1" x14ac:dyDescent="0.25">
      <c r="A550" s="6"/>
      <c r="B550" s="3"/>
      <c r="C550" s="31"/>
    </row>
    <row r="551" spans="1:3" ht="13.5" thickBot="1" x14ac:dyDescent="0.25">
      <c r="A551" s="6"/>
      <c r="B551" s="3"/>
      <c r="C551" s="31"/>
    </row>
    <row r="552" spans="1:3" ht="13.5" thickBot="1" x14ac:dyDescent="0.25">
      <c r="A552" s="6"/>
      <c r="B552" s="3"/>
      <c r="C552" s="31"/>
    </row>
    <row r="553" spans="1:3" ht="13.5" thickBot="1" x14ac:dyDescent="0.25">
      <c r="A553" s="6"/>
      <c r="B553" s="3"/>
      <c r="C553" s="31"/>
    </row>
    <row r="554" spans="1:3" ht="13.5" thickBot="1" x14ac:dyDescent="0.25">
      <c r="A554" s="6"/>
      <c r="B554" s="3"/>
      <c r="C554" s="31"/>
    </row>
    <row r="555" spans="1:3" ht="13.5" thickBot="1" x14ac:dyDescent="0.25">
      <c r="A555" s="6"/>
      <c r="B555" s="3"/>
      <c r="C555" s="31"/>
    </row>
    <row r="556" spans="1:3" ht="13.5" thickBot="1" x14ac:dyDescent="0.25">
      <c r="A556" s="6"/>
      <c r="B556" s="3"/>
      <c r="C556" s="31"/>
    </row>
    <row r="557" spans="1:3" ht="13.5" thickBot="1" x14ac:dyDescent="0.25">
      <c r="A557" s="6"/>
      <c r="B557" s="3"/>
      <c r="C557" s="31"/>
    </row>
    <row r="558" spans="1:3" ht="13.5" thickBot="1" x14ac:dyDescent="0.25">
      <c r="A558" s="6"/>
      <c r="B558" s="3"/>
      <c r="C558" s="31"/>
    </row>
    <row r="559" spans="1:3" ht="13.5" thickBot="1" x14ac:dyDescent="0.25">
      <c r="A559" s="6"/>
      <c r="B559" s="3"/>
      <c r="C559" s="31"/>
    </row>
    <row r="560" spans="1:3" ht="13.5" thickBot="1" x14ac:dyDescent="0.25">
      <c r="A560" s="6"/>
      <c r="B560" s="3"/>
      <c r="C560" s="31"/>
    </row>
    <row r="561" spans="1:3" ht="13.5" thickBot="1" x14ac:dyDescent="0.25">
      <c r="A561" s="6"/>
      <c r="B561" s="3"/>
      <c r="C561" s="31"/>
    </row>
    <row r="562" spans="1:3" ht="13.5" thickBot="1" x14ac:dyDescent="0.25">
      <c r="A562" s="6"/>
      <c r="B562" s="3"/>
      <c r="C562" s="31"/>
    </row>
    <row r="563" spans="1:3" ht="13.5" thickBot="1" x14ac:dyDescent="0.25">
      <c r="A563" s="6"/>
      <c r="B563" s="3"/>
      <c r="C563" s="31"/>
    </row>
    <row r="564" spans="1:3" ht="13.5" thickBot="1" x14ac:dyDescent="0.25">
      <c r="A564" s="6"/>
      <c r="B564" s="3"/>
      <c r="C564" s="31"/>
    </row>
    <row r="565" spans="1:3" ht="13.5" thickBot="1" x14ac:dyDescent="0.25">
      <c r="A565" s="6"/>
      <c r="B565" s="3"/>
      <c r="C565" s="31"/>
    </row>
    <row r="566" spans="1:3" ht="13.5" thickBot="1" x14ac:dyDescent="0.25">
      <c r="A566" s="6"/>
      <c r="B566" s="3"/>
      <c r="C566" s="31"/>
    </row>
    <row r="567" spans="1:3" ht="13.5" thickBot="1" x14ac:dyDescent="0.25">
      <c r="A567" s="6"/>
      <c r="B567" s="3"/>
      <c r="C567" s="31"/>
    </row>
    <row r="568" spans="1:3" ht="13.5" thickBot="1" x14ac:dyDescent="0.25">
      <c r="A568" s="6"/>
      <c r="B568" s="3"/>
      <c r="C568" s="31"/>
    </row>
    <row r="569" spans="1:3" ht="13.5" thickBot="1" x14ac:dyDescent="0.25">
      <c r="A569" s="6"/>
      <c r="B569" s="3"/>
      <c r="C569" s="31"/>
    </row>
    <row r="570" spans="1:3" ht="13.5" thickBot="1" x14ac:dyDescent="0.25">
      <c r="A570" s="6"/>
      <c r="B570" s="3"/>
      <c r="C570" s="31"/>
    </row>
    <row r="571" spans="1:3" ht="13.5" thickBot="1" x14ac:dyDescent="0.25">
      <c r="A571" s="6"/>
      <c r="B571" s="3"/>
      <c r="C571" s="31"/>
    </row>
    <row r="572" spans="1:3" ht="13.5" thickBot="1" x14ac:dyDescent="0.25">
      <c r="A572" s="6"/>
      <c r="B572" s="3"/>
      <c r="C572" s="31"/>
    </row>
    <row r="573" spans="1:3" ht="13.5" thickBot="1" x14ac:dyDescent="0.25">
      <c r="A573" s="6"/>
      <c r="B573" s="3"/>
      <c r="C573" s="31"/>
    </row>
    <row r="574" spans="1:3" ht="13.5" thickBot="1" x14ac:dyDescent="0.25">
      <c r="A574" s="6"/>
      <c r="B574" s="3"/>
      <c r="C574" s="31"/>
    </row>
    <row r="575" spans="1:3" ht="13.5" thickBot="1" x14ac:dyDescent="0.25">
      <c r="A575" s="6"/>
      <c r="B575" s="3"/>
      <c r="C575" s="31"/>
    </row>
    <row r="576" spans="1:3" ht="13.5" thickBot="1" x14ac:dyDescent="0.25">
      <c r="A576" s="6"/>
      <c r="B576" s="3"/>
      <c r="C576" s="31"/>
    </row>
    <row r="577" spans="1:3" ht="13.5" thickBot="1" x14ac:dyDescent="0.25">
      <c r="A577" s="6"/>
      <c r="B577" s="3"/>
      <c r="C577" s="31"/>
    </row>
    <row r="578" spans="1:3" ht="13.5" thickBot="1" x14ac:dyDescent="0.25">
      <c r="A578" s="6"/>
      <c r="B578" s="3"/>
      <c r="C578" s="31"/>
    </row>
    <row r="579" spans="1:3" ht="13.5" thickBot="1" x14ac:dyDescent="0.25">
      <c r="A579" s="6"/>
      <c r="B579" s="3"/>
      <c r="C579" s="31"/>
    </row>
    <row r="580" spans="1:3" ht="13.5" thickBot="1" x14ac:dyDescent="0.25">
      <c r="A580" s="6"/>
      <c r="B580" s="3"/>
      <c r="C580" s="31"/>
    </row>
    <row r="581" spans="1:3" ht="13.5" thickBot="1" x14ac:dyDescent="0.25">
      <c r="A581" s="6"/>
      <c r="B581" s="3"/>
      <c r="C581" s="31"/>
    </row>
    <row r="582" spans="1:3" ht="13.5" thickBot="1" x14ac:dyDescent="0.25">
      <c r="A582" s="6"/>
      <c r="B582" s="3"/>
      <c r="C582" s="31"/>
    </row>
    <row r="583" spans="1:3" ht="13.5" thickBot="1" x14ac:dyDescent="0.25">
      <c r="A583" s="6"/>
      <c r="B583" s="3"/>
      <c r="C583" s="31"/>
    </row>
    <row r="584" spans="1:3" ht="13.5" thickBot="1" x14ac:dyDescent="0.25">
      <c r="A584" s="6"/>
      <c r="B584" s="3"/>
      <c r="C584" s="31"/>
    </row>
    <row r="585" spans="1:3" ht="13.5" thickBot="1" x14ac:dyDescent="0.25">
      <c r="A585" s="6"/>
      <c r="B585" s="3"/>
      <c r="C585" s="31"/>
    </row>
    <row r="586" spans="1:3" ht="13.5" thickBot="1" x14ac:dyDescent="0.25">
      <c r="A586" s="6"/>
      <c r="B586" s="3"/>
      <c r="C586" s="31"/>
    </row>
    <row r="587" spans="1:3" ht="13.5" thickBot="1" x14ac:dyDescent="0.25">
      <c r="A587" s="6"/>
      <c r="B587" s="3"/>
      <c r="C587" s="31"/>
    </row>
    <row r="588" spans="1:3" ht="13.5" thickBot="1" x14ac:dyDescent="0.25">
      <c r="A588" s="6"/>
      <c r="B588" s="3"/>
      <c r="C588" s="31"/>
    </row>
    <row r="589" spans="1:3" ht="13.5" thickBot="1" x14ac:dyDescent="0.25">
      <c r="A589" s="6"/>
      <c r="B589" s="3"/>
      <c r="C589" s="31"/>
    </row>
    <row r="590" spans="1:3" ht="13.5" thickBot="1" x14ac:dyDescent="0.25">
      <c r="A590" s="6"/>
      <c r="B590" s="3"/>
      <c r="C590" s="31"/>
    </row>
    <row r="591" spans="1:3" ht="13.5" thickBot="1" x14ac:dyDescent="0.25">
      <c r="A591" s="6"/>
      <c r="B591" s="3"/>
      <c r="C591" s="31"/>
    </row>
    <row r="592" spans="1:3" ht="13.5" thickBot="1" x14ac:dyDescent="0.25">
      <c r="A592" s="6"/>
      <c r="B592" s="3"/>
      <c r="C592" s="31"/>
    </row>
    <row r="593" spans="1:3" ht="13.5" thickBot="1" x14ac:dyDescent="0.25">
      <c r="A593" s="6"/>
      <c r="B593" s="3"/>
      <c r="C593" s="31"/>
    </row>
    <row r="594" spans="1:3" ht="13.5" thickBot="1" x14ac:dyDescent="0.25">
      <c r="A594" s="6"/>
      <c r="B594" s="3"/>
      <c r="C594" s="31"/>
    </row>
    <row r="595" spans="1:3" ht="13.5" thickBot="1" x14ac:dyDescent="0.25">
      <c r="A595" s="6"/>
      <c r="B595" s="3"/>
      <c r="C595" s="31"/>
    </row>
    <row r="596" spans="1:3" ht="13.5" thickBot="1" x14ac:dyDescent="0.25">
      <c r="A596" s="6"/>
      <c r="B596" s="3"/>
      <c r="C596" s="31"/>
    </row>
    <row r="597" spans="1:3" ht="13.5" thickBot="1" x14ac:dyDescent="0.25">
      <c r="A597" s="6"/>
      <c r="B597" s="3"/>
      <c r="C597" s="31"/>
    </row>
    <row r="598" spans="1:3" ht="13.5" thickBot="1" x14ac:dyDescent="0.25">
      <c r="A598" s="6"/>
      <c r="B598" s="3"/>
      <c r="C598" s="31"/>
    </row>
    <row r="599" spans="1:3" ht="13.5" thickBot="1" x14ac:dyDescent="0.25">
      <c r="A599" s="6"/>
      <c r="B599" s="3"/>
      <c r="C599" s="31"/>
    </row>
    <row r="600" spans="1:3" ht="13.5" thickBot="1" x14ac:dyDescent="0.25">
      <c r="A600" s="6"/>
      <c r="B600" s="3"/>
      <c r="C600" s="31"/>
    </row>
    <row r="601" spans="1:3" ht="13.5" thickBot="1" x14ac:dyDescent="0.25">
      <c r="A601" s="6"/>
      <c r="B601" s="3"/>
      <c r="C601" s="31"/>
    </row>
    <row r="602" spans="1:3" ht="13.5" thickBot="1" x14ac:dyDescent="0.25">
      <c r="A602" s="6"/>
      <c r="B602" s="3"/>
      <c r="C602" s="31"/>
    </row>
    <row r="603" spans="1:3" ht="13.5" thickBot="1" x14ac:dyDescent="0.25">
      <c r="A603" s="6"/>
      <c r="B603" s="3"/>
      <c r="C603" s="31"/>
    </row>
    <row r="604" spans="1:3" ht="13.5" thickBot="1" x14ac:dyDescent="0.25">
      <c r="A604" s="6"/>
      <c r="B604" s="3"/>
      <c r="C604" s="31"/>
    </row>
    <row r="605" spans="1:3" ht="13.5" thickBot="1" x14ac:dyDescent="0.25">
      <c r="A605" s="6"/>
      <c r="B605" s="3"/>
      <c r="C605" s="31"/>
    </row>
    <row r="606" spans="1:3" ht="13.5" thickBot="1" x14ac:dyDescent="0.25">
      <c r="A606" s="6"/>
      <c r="B606" s="3"/>
      <c r="C606" s="31"/>
    </row>
    <row r="607" spans="1:3" ht="13.5" thickBot="1" x14ac:dyDescent="0.25">
      <c r="A607" s="6"/>
      <c r="B607" s="3"/>
      <c r="C607" s="31"/>
    </row>
    <row r="608" spans="1:3" ht="13.5" thickBot="1" x14ac:dyDescent="0.25">
      <c r="A608" s="6"/>
      <c r="B608" s="3"/>
      <c r="C608" s="31"/>
    </row>
    <row r="609" spans="1:3" ht="13.5" thickBot="1" x14ac:dyDescent="0.25">
      <c r="A609" s="6"/>
      <c r="B609" s="3"/>
      <c r="C609" s="31"/>
    </row>
    <row r="610" spans="1:3" ht="13.5" thickBot="1" x14ac:dyDescent="0.25">
      <c r="A610" s="6"/>
      <c r="B610" s="3"/>
      <c r="C610" s="31"/>
    </row>
    <row r="611" spans="1:3" ht="13.5" thickBot="1" x14ac:dyDescent="0.25">
      <c r="A611" s="6"/>
      <c r="B611" s="3"/>
      <c r="C611" s="31"/>
    </row>
    <row r="612" spans="1:3" ht="13.5" thickBot="1" x14ac:dyDescent="0.25">
      <c r="A612" s="6"/>
      <c r="B612" s="3"/>
      <c r="C612" s="31"/>
    </row>
    <row r="613" spans="1:3" ht="13.5" thickBot="1" x14ac:dyDescent="0.25">
      <c r="A613" s="6"/>
      <c r="B613" s="3"/>
      <c r="C613" s="31"/>
    </row>
    <row r="614" spans="1:3" ht="13.5" thickBot="1" x14ac:dyDescent="0.25">
      <c r="A614" s="6"/>
      <c r="B614" s="3"/>
      <c r="C614" s="31"/>
    </row>
    <row r="615" spans="1:3" ht="13.5" thickBot="1" x14ac:dyDescent="0.25">
      <c r="A615" s="6"/>
      <c r="B615" s="3"/>
      <c r="C615" s="31"/>
    </row>
    <row r="616" spans="1:3" ht="13.5" thickBot="1" x14ac:dyDescent="0.25">
      <c r="A616" s="6"/>
      <c r="B616" s="3"/>
      <c r="C616" s="31"/>
    </row>
    <row r="617" spans="1:3" ht="13.5" thickBot="1" x14ac:dyDescent="0.25">
      <c r="A617" s="6"/>
      <c r="B617" s="3"/>
      <c r="C617" s="31"/>
    </row>
    <row r="618" spans="1:3" ht="13.5" thickBot="1" x14ac:dyDescent="0.25">
      <c r="A618" s="6"/>
      <c r="B618" s="3"/>
      <c r="C618" s="31"/>
    </row>
    <row r="619" spans="1:3" ht="13.5" thickBot="1" x14ac:dyDescent="0.25">
      <c r="A619" s="6"/>
      <c r="B619" s="3"/>
      <c r="C619" s="31"/>
    </row>
    <row r="620" spans="1:3" ht="13.5" thickBot="1" x14ac:dyDescent="0.25">
      <c r="A620" s="6"/>
      <c r="B620" s="3"/>
      <c r="C620" s="31"/>
    </row>
    <row r="621" spans="1:3" ht="13.5" thickBot="1" x14ac:dyDescent="0.25">
      <c r="A621" s="6"/>
      <c r="B621" s="3"/>
      <c r="C621" s="31"/>
    </row>
    <row r="622" spans="1:3" ht="13.5" thickBot="1" x14ac:dyDescent="0.25">
      <c r="A622" s="6"/>
      <c r="B622" s="3"/>
      <c r="C622" s="31"/>
    </row>
    <row r="623" spans="1:3" ht="13.5" thickBot="1" x14ac:dyDescent="0.25">
      <c r="A623" s="6"/>
      <c r="B623" s="3"/>
      <c r="C623" s="31"/>
    </row>
    <row r="624" spans="1:3" ht="13.5" thickBot="1" x14ac:dyDescent="0.25">
      <c r="A624" s="6"/>
      <c r="B624" s="3"/>
      <c r="C624" s="31"/>
    </row>
    <row r="625" spans="1:3" ht="13.5" thickBot="1" x14ac:dyDescent="0.25">
      <c r="A625" s="6"/>
      <c r="B625" s="3"/>
      <c r="C625" s="31"/>
    </row>
    <row r="626" spans="1:3" ht="13.5" thickBot="1" x14ac:dyDescent="0.25">
      <c r="A626" s="6"/>
      <c r="B626" s="3"/>
      <c r="C626" s="31"/>
    </row>
    <row r="627" spans="1:3" ht="13.5" thickBot="1" x14ac:dyDescent="0.25">
      <c r="A627" s="6"/>
      <c r="B627" s="3"/>
      <c r="C627" s="31"/>
    </row>
    <row r="628" spans="1:3" ht="13.5" thickBot="1" x14ac:dyDescent="0.25">
      <c r="A628" s="6"/>
      <c r="B628" s="3"/>
      <c r="C628" s="31"/>
    </row>
    <row r="629" spans="1:3" ht="13.5" thickBot="1" x14ac:dyDescent="0.25">
      <c r="A629" s="6"/>
      <c r="B629" s="3"/>
      <c r="C629" s="31"/>
    </row>
    <row r="630" spans="1:3" ht="13.5" thickBot="1" x14ac:dyDescent="0.25">
      <c r="A630" s="6"/>
      <c r="B630" s="3"/>
      <c r="C630" s="31"/>
    </row>
    <row r="631" spans="1:3" ht="13.5" thickBot="1" x14ac:dyDescent="0.25">
      <c r="A631" s="6"/>
      <c r="B631" s="3"/>
      <c r="C631" s="31"/>
    </row>
    <row r="632" spans="1:3" ht="13.5" thickBot="1" x14ac:dyDescent="0.25">
      <c r="A632" s="6"/>
      <c r="B632" s="3"/>
      <c r="C632" s="31"/>
    </row>
    <row r="633" spans="1:3" ht="13.5" thickBot="1" x14ac:dyDescent="0.25">
      <c r="A633" s="6"/>
      <c r="B633" s="3"/>
      <c r="C633" s="31"/>
    </row>
    <row r="634" spans="1:3" ht="13.5" thickBot="1" x14ac:dyDescent="0.25">
      <c r="A634" s="6"/>
      <c r="B634" s="3"/>
      <c r="C634" s="31"/>
    </row>
    <row r="635" spans="1:3" ht="13.5" thickBot="1" x14ac:dyDescent="0.25">
      <c r="A635" s="6"/>
      <c r="B635" s="3"/>
      <c r="C635" s="31"/>
    </row>
    <row r="636" spans="1:3" ht="13.5" thickBot="1" x14ac:dyDescent="0.25">
      <c r="A636" s="6"/>
      <c r="B636" s="3"/>
      <c r="C636" s="31"/>
    </row>
    <row r="637" spans="1:3" ht="13.5" thickBot="1" x14ac:dyDescent="0.25">
      <c r="A637" s="6"/>
      <c r="B637" s="3"/>
      <c r="C637" s="31"/>
    </row>
    <row r="638" spans="1:3" ht="13.5" thickBot="1" x14ac:dyDescent="0.25">
      <c r="A638" s="6"/>
      <c r="B638" s="3"/>
      <c r="C638" s="31"/>
    </row>
    <row r="639" spans="1:3" ht="13.5" thickBot="1" x14ac:dyDescent="0.25">
      <c r="A639" s="6"/>
      <c r="B639" s="3"/>
      <c r="C639" s="31"/>
    </row>
    <row r="640" spans="1:3" ht="13.5" thickBot="1" x14ac:dyDescent="0.25">
      <c r="A640" s="6"/>
      <c r="B640" s="3"/>
      <c r="C640" s="31"/>
    </row>
    <row r="641" spans="1:3" ht="13.5" thickBot="1" x14ac:dyDescent="0.25">
      <c r="A641" s="6"/>
      <c r="B641" s="3"/>
      <c r="C641" s="31"/>
    </row>
    <row r="642" spans="1:3" ht="13.5" thickBot="1" x14ac:dyDescent="0.25">
      <c r="A642" s="6"/>
      <c r="B642" s="3"/>
      <c r="C642" s="31"/>
    </row>
    <row r="643" spans="1:3" ht="13.5" thickBot="1" x14ac:dyDescent="0.25">
      <c r="A643" s="6"/>
      <c r="B643" s="3"/>
      <c r="C643" s="31"/>
    </row>
    <row r="644" spans="1:3" ht="13.5" thickBot="1" x14ac:dyDescent="0.25">
      <c r="A644" s="6"/>
      <c r="B644" s="3"/>
      <c r="C644" s="31"/>
    </row>
    <row r="645" spans="1:3" ht="13.5" thickBot="1" x14ac:dyDescent="0.25">
      <c r="A645" s="6"/>
      <c r="B645" s="3"/>
      <c r="C645" s="31"/>
    </row>
    <row r="646" spans="1:3" ht="13.5" thickBot="1" x14ac:dyDescent="0.25">
      <c r="A646" s="6"/>
      <c r="B646" s="3"/>
      <c r="C646" s="31"/>
    </row>
    <row r="647" spans="1:3" ht="13.5" thickBot="1" x14ac:dyDescent="0.25">
      <c r="A647" s="6"/>
      <c r="B647" s="3"/>
      <c r="C647" s="31"/>
    </row>
    <row r="648" spans="1:3" ht="13.5" thickBot="1" x14ac:dyDescent="0.25">
      <c r="A648" s="6"/>
      <c r="B648" s="3"/>
      <c r="C648" s="31"/>
    </row>
    <row r="649" spans="1:3" ht="13.5" thickBot="1" x14ac:dyDescent="0.25">
      <c r="A649" s="6"/>
      <c r="B649" s="3"/>
      <c r="C649" s="31"/>
    </row>
    <row r="650" spans="1:3" ht="13.5" thickBot="1" x14ac:dyDescent="0.25">
      <c r="A650" s="6"/>
      <c r="B650" s="3"/>
      <c r="C650" s="31"/>
    </row>
    <row r="651" spans="1:3" ht="13.5" thickBot="1" x14ac:dyDescent="0.25">
      <c r="A651" s="6"/>
      <c r="B651" s="3"/>
      <c r="C651" s="31"/>
    </row>
    <row r="652" spans="1:3" ht="13.5" thickBot="1" x14ac:dyDescent="0.25">
      <c r="A652" s="6"/>
      <c r="B652" s="3"/>
      <c r="C652" s="31"/>
    </row>
    <row r="653" spans="1:3" ht="13.5" thickBot="1" x14ac:dyDescent="0.25">
      <c r="A653" s="6"/>
      <c r="B653" s="3"/>
      <c r="C653" s="31"/>
    </row>
    <row r="654" spans="1:3" ht="13.5" thickBot="1" x14ac:dyDescent="0.25">
      <c r="A654" s="6"/>
      <c r="B654" s="3"/>
      <c r="C654" s="31"/>
    </row>
    <row r="655" spans="1:3" ht="13.5" thickBot="1" x14ac:dyDescent="0.25">
      <c r="A655" s="6"/>
      <c r="B655" s="3"/>
      <c r="C655" s="31"/>
    </row>
    <row r="656" spans="1:3" ht="13.5" thickBot="1" x14ac:dyDescent="0.25">
      <c r="A656" s="6"/>
      <c r="B656" s="3"/>
      <c r="C656" s="31"/>
    </row>
    <row r="657" spans="1:3" ht="13.5" thickBot="1" x14ac:dyDescent="0.25">
      <c r="A657" s="6"/>
      <c r="B657" s="3"/>
      <c r="C657" s="31"/>
    </row>
    <row r="658" spans="1:3" ht="13.5" thickBot="1" x14ac:dyDescent="0.25">
      <c r="A658" s="6"/>
      <c r="B658" s="3"/>
      <c r="C658" s="31"/>
    </row>
    <row r="659" spans="1:3" ht="13.5" thickBot="1" x14ac:dyDescent="0.25">
      <c r="A659" s="6"/>
      <c r="B659" s="3"/>
      <c r="C659" s="31"/>
    </row>
    <row r="660" spans="1:3" ht="13.5" thickBot="1" x14ac:dyDescent="0.25">
      <c r="A660" s="6"/>
      <c r="B660" s="3"/>
      <c r="C660" s="31"/>
    </row>
    <row r="661" spans="1:3" ht="13.5" thickBot="1" x14ac:dyDescent="0.25">
      <c r="A661" s="6"/>
      <c r="B661" s="3"/>
      <c r="C661" s="31"/>
    </row>
    <row r="662" spans="1:3" ht="13.5" thickBot="1" x14ac:dyDescent="0.25">
      <c r="A662" s="6"/>
      <c r="B662" s="3"/>
      <c r="C662" s="31"/>
    </row>
    <row r="663" spans="1:3" ht="13.5" thickBot="1" x14ac:dyDescent="0.25">
      <c r="A663" s="6"/>
      <c r="B663" s="3"/>
      <c r="C663" s="31"/>
    </row>
    <row r="664" spans="1:3" ht="13.5" thickBot="1" x14ac:dyDescent="0.25">
      <c r="A664" s="6"/>
      <c r="B664" s="3"/>
      <c r="C664" s="31"/>
    </row>
    <row r="665" spans="1:3" ht="13.5" thickBot="1" x14ac:dyDescent="0.25">
      <c r="A665" s="6"/>
      <c r="B665" s="3"/>
      <c r="C665" s="31"/>
    </row>
    <row r="666" spans="1:3" ht="13.5" thickBot="1" x14ac:dyDescent="0.25">
      <c r="A666" s="6"/>
      <c r="B666" s="3"/>
      <c r="C666" s="31"/>
    </row>
    <row r="667" spans="1:3" ht="13.5" thickBot="1" x14ac:dyDescent="0.25">
      <c r="A667" s="6"/>
      <c r="B667" s="3"/>
      <c r="C667" s="31"/>
    </row>
    <row r="668" spans="1:3" ht="13.5" thickBot="1" x14ac:dyDescent="0.25">
      <c r="A668" s="6"/>
      <c r="B668" s="3"/>
      <c r="C668" s="31"/>
    </row>
    <row r="669" spans="1:3" ht="13.5" thickBot="1" x14ac:dyDescent="0.25">
      <c r="A669" s="6"/>
      <c r="B669" s="3"/>
      <c r="C669" s="31"/>
    </row>
    <row r="670" spans="1:3" ht="13.5" thickBot="1" x14ac:dyDescent="0.25">
      <c r="A670" s="6"/>
      <c r="B670" s="3"/>
      <c r="C670" s="31"/>
    </row>
    <row r="671" spans="1:3" ht="13.5" thickBot="1" x14ac:dyDescent="0.25">
      <c r="A671" s="6"/>
      <c r="B671" s="3"/>
      <c r="C671" s="31"/>
    </row>
    <row r="672" spans="1:3" ht="13.5" thickBot="1" x14ac:dyDescent="0.25">
      <c r="A672" s="6"/>
      <c r="B672" s="3"/>
      <c r="C672" s="31"/>
    </row>
    <row r="673" spans="1:3" ht="13.5" thickBot="1" x14ac:dyDescent="0.25">
      <c r="A673" s="6"/>
      <c r="B673" s="3"/>
      <c r="C673" s="31"/>
    </row>
    <row r="674" spans="1:3" ht="13.5" thickBot="1" x14ac:dyDescent="0.25">
      <c r="A674" s="6"/>
      <c r="B674" s="3"/>
      <c r="C674" s="31"/>
    </row>
    <row r="675" spans="1:3" ht="13.5" thickBot="1" x14ac:dyDescent="0.25">
      <c r="A675" s="6"/>
      <c r="B675" s="3"/>
      <c r="C675" s="31"/>
    </row>
    <row r="676" spans="1:3" ht="13.5" thickBot="1" x14ac:dyDescent="0.25">
      <c r="A676" s="6"/>
      <c r="B676" s="3"/>
      <c r="C676" s="31"/>
    </row>
    <row r="677" spans="1:3" ht="13.5" thickBot="1" x14ac:dyDescent="0.25">
      <c r="A677" s="6"/>
      <c r="B677" s="3"/>
      <c r="C677" s="31"/>
    </row>
    <row r="678" spans="1:3" ht="13.5" thickBot="1" x14ac:dyDescent="0.25">
      <c r="A678" s="6"/>
      <c r="B678" s="3"/>
      <c r="C678" s="31"/>
    </row>
    <row r="679" spans="1:3" ht="13.5" thickBot="1" x14ac:dyDescent="0.25">
      <c r="A679" s="6"/>
      <c r="B679" s="3"/>
      <c r="C679" s="31"/>
    </row>
    <row r="680" spans="1:3" ht="13.5" thickBot="1" x14ac:dyDescent="0.25">
      <c r="A680" s="6"/>
      <c r="B680" s="3"/>
      <c r="C680" s="31"/>
    </row>
    <row r="681" spans="1:3" ht="13.5" thickBot="1" x14ac:dyDescent="0.25">
      <c r="A681" s="6"/>
      <c r="B681" s="3"/>
      <c r="C681" s="31"/>
    </row>
    <row r="682" spans="1:3" ht="13.5" thickBot="1" x14ac:dyDescent="0.25">
      <c r="A682" s="6"/>
      <c r="B682" s="3"/>
      <c r="C682" s="31"/>
    </row>
    <row r="683" spans="1:3" ht="13.5" thickBot="1" x14ac:dyDescent="0.25">
      <c r="A683" s="6"/>
      <c r="B683" s="3"/>
      <c r="C683" s="31"/>
    </row>
    <row r="684" spans="1:3" ht="13.5" thickBot="1" x14ac:dyDescent="0.25">
      <c r="A684" s="6"/>
      <c r="B684" s="3"/>
      <c r="C684" s="31"/>
    </row>
    <row r="685" spans="1:3" ht="13.5" thickBot="1" x14ac:dyDescent="0.25">
      <c r="A685" s="6"/>
      <c r="B685" s="3"/>
      <c r="C685" s="31"/>
    </row>
    <row r="686" spans="1:3" ht="13.5" thickBot="1" x14ac:dyDescent="0.25">
      <c r="A686" s="6"/>
      <c r="B686" s="3"/>
      <c r="C686" s="31"/>
    </row>
    <row r="687" spans="1:3" ht="13.5" thickBot="1" x14ac:dyDescent="0.25">
      <c r="A687" s="6"/>
      <c r="B687" s="3"/>
      <c r="C687" s="31"/>
    </row>
    <row r="688" spans="1:3" ht="13.5" thickBot="1" x14ac:dyDescent="0.25">
      <c r="A688" s="6"/>
      <c r="B688" s="3"/>
      <c r="C688" s="31"/>
    </row>
    <row r="689" spans="1:3" ht="13.5" thickBot="1" x14ac:dyDescent="0.25">
      <c r="A689" s="6"/>
      <c r="B689" s="3"/>
      <c r="C689" s="31"/>
    </row>
    <row r="690" spans="1:3" ht="13.5" thickBot="1" x14ac:dyDescent="0.25">
      <c r="A690" s="6"/>
      <c r="B690" s="3"/>
      <c r="C690" s="31"/>
    </row>
    <row r="691" spans="1:3" ht="13.5" thickBot="1" x14ac:dyDescent="0.25">
      <c r="A691" s="6"/>
      <c r="B691" s="3"/>
      <c r="C691" s="31"/>
    </row>
    <row r="692" spans="1:3" ht="13.5" thickBot="1" x14ac:dyDescent="0.25">
      <c r="A692" s="6"/>
      <c r="B692" s="3"/>
      <c r="C692" s="31"/>
    </row>
    <row r="693" spans="1:3" ht="13.5" thickBot="1" x14ac:dyDescent="0.25">
      <c r="A693" s="6"/>
      <c r="B693" s="3"/>
      <c r="C693" s="31"/>
    </row>
    <row r="694" spans="1:3" ht="13.5" thickBot="1" x14ac:dyDescent="0.25">
      <c r="A694" s="6"/>
      <c r="B694" s="3"/>
      <c r="C694" s="31"/>
    </row>
    <row r="695" spans="1:3" ht="13.5" thickBot="1" x14ac:dyDescent="0.25">
      <c r="A695" s="6"/>
      <c r="B695" s="3"/>
      <c r="C695" s="31"/>
    </row>
    <row r="696" spans="1:3" ht="13.5" thickBot="1" x14ac:dyDescent="0.25">
      <c r="A696" s="6"/>
      <c r="B696" s="3"/>
      <c r="C696" s="31"/>
    </row>
    <row r="697" spans="1:3" ht="13.5" thickBot="1" x14ac:dyDescent="0.25">
      <c r="A697" s="6"/>
      <c r="B697" s="3"/>
      <c r="C697" s="31"/>
    </row>
    <row r="698" spans="1:3" ht="13.5" thickBot="1" x14ac:dyDescent="0.25">
      <c r="A698" s="6"/>
      <c r="B698" s="3"/>
      <c r="C698" s="31"/>
    </row>
    <row r="699" spans="1:3" ht="13.5" thickBot="1" x14ac:dyDescent="0.25">
      <c r="A699" s="6"/>
      <c r="B699" s="3"/>
      <c r="C699" s="31"/>
    </row>
    <row r="700" spans="1:3" ht="13.5" thickBot="1" x14ac:dyDescent="0.25">
      <c r="A700" s="6"/>
      <c r="B700" s="3"/>
      <c r="C700" s="31"/>
    </row>
    <row r="701" spans="1:3" ht="13.5" thickBot="1" x14ac:dyDescent="0.25">
      <c r="A701" s="6"/>
      <c r="B701" s="3"/>
      <c r="C701" s="31"/>
    </row>
    <row r="702" spans="1:3" ht="13.5" thickBot="1" x14ac:dyDescent="0.25">
      <c r="A702" s="6"/>
      <c r="B702" s="3"/>
      <c r="C702" s="31"/>
    </row>
    <row r="703" spans="1:3" ht="13.5" thickBot="1" x14ac:dyDescent="0.25">
      <c r="A703" s="6"/>
      <c r="B703" s="3"/>
      <c r="C703" s="31"/>
    </row>
    <row r="704" spans="1:3" ht="13.5" thickBot="1" x14ac:dyDescent="0.25">
      <c r="A704" s="6"/>
      <c r="B704" s="3"/>
      <c r="C704" s="31"/>
    </row>
    <row r="705" spans="1:3" ht="13.5" thickBot="1" x14ac:dyDescent="0.25">
      <c r="A705" s="6"/>
      <c r="B705" s="3"/>
      <c r="C705" s="31"/>
    </row>
    <row r="706" spans="1:3" ht="13.5" thickBot="1" x14ac:dyDescent="0.25">
      <c r="A706" s="6"/>
      <c r="B706" s="3"/>
      <c r="C706" s="31"/>
    </row>
    <row r="707" spans="1:3" ht="13.5" thickBot="1" x14ac:dyDescent="0.25">
      <c r="A707" s="6"/>
      <c r="B707" s="3"/>
      <c r="C707" s="31"/>
    </row>
    <row r="708" spans="1:3" ht="13.5" thickBot="1" x14ac:dyDescent="0.25">
      <c r="A708" s="6"/>
      <c r="B708" s="3"/>
      <c r="C708" s="31"/>
    </row>
    <row r="709" spans="1:3" ht="13.5" thickBot="1" x14ac:dyDescent="0.25">
      <c r="A709" s="6"/>
      <c r="B709" s="3"/>
      <c r="C709" s="31"/>
    </row>
    <row r="710" spans="1:3" ht="13.5" thickBot="1" x14ac:dyDescent="0.25">
      <c r="A710" s="6"/>
      <c r="B710" s="3"/>
      <c r="C710" s="31"/>
    </row>
    <row r="711" spans="1:3" ht="13.5" thickBot="1" x14ac:dyDescent="0.25">
      <c r="A711" s="6"/>
      <c r="B711" s="3"/>
      <c r="C711" s="31"/>
    </row>
    <row r="712" spans="1:3" ht="13.5" thickBot="1" x14ac:dyDescent="0.25">
      <c r="A712" s="6"/>
      <c r="B712" s="3"/>
      <c r="C712" s="31"/>
    </row>
    <row r="713" spans="1:3" ht="13.5" thickBot="1" x14ac:dyDescent="0.25">
      <c r="A713" s="6"/>
      <c r="B713" s="3"/>
      <c r="C713" s="31"/>
    </row>
    <row r="714" spans="1:3" ht="13.5" thickBot="1" x14ac:dyDescent="0.25">
      <c r="A714" s="6"/>
      <c r="B714" s="3"/>
      <c r="C714" s="31"/>
    </row>
    <row r="715" spans="1:3" ht="13.5" thickBot="1" x14ac:dyDescent="0.25">
      <c r="A715" s="6"/>
      <c r="B715" s="3"/>
      <c r="C715" s="31"/>
    </row>
    <row r="716" spans="1:3" ht="13.5" thickBot="1" x14ac:dyDescent="0.25">
      <c r="A716" s="6"/>
      <c r="B716" s="3"/>
      <c r="C716" s="31"/>
    </row>
    <row r="717" spans="1:3" ht="13.5" thickBot="1" x14ac:dyDescent="0.25">
      <c r="A717" s="6"/>
      <c r="B717" s="3"/>
      <c r="C717" s="31"/>
    </row>
    <row r="718" spans="1:3" ht="13.5" thickBot="1" x14ac:dyDescent="0.25">
      <c r="A718" s="6"/>
      <c r="B718" s="3"/>
      <c r="C718" s="31"/>
    </row>
    <row r="719" spans="1:3" ht="13.5" thickBot="1" x14ac:dyDescent="0.25">
      <c r="A719" s="6"/>
      <c r="B719" s="3"/>
      <c r="C719" s="31"/>
    </row>
    <row r="720" spans="1:3" ht="13.5" thickBot="1" x14ac:dyDescent="0.25">
      <c r="A720" s="6"/>
      <c r="B720" s="3"/>
      <c r="C720" s="31"/>
    </row>
    <row r="721" spans="1:3" ht="13.5" thickBot="1" x14ac:dyDescent="0.25">
      <c r="A721" s="6"/>
      <c r="B721" s="3"/>
      <c r="C721" s="31"/>
    </row>
    <row r="722" spans="1:3" ht="13.5" thickBot="1" x14ac:dyDescent="0.25">
      <c r="A722" s="6"/>
      <c r="B722" s="3"/>
      <c r="C722" s="31"/>
    </row>
    <row r="723" spans="1:3" ht="13.5" thickBot="1" x14ac:dyDescent="0.25">
      <c r="A723" s="6"/>
      <c r="B723" s="3"/>
      <c r="C723" s="31"/>
    </row>
    <row r="724" spans="1:3" ht="13.5" thickBot="1" x14ac:dyDescent="0.25">
      <c r="A724" s="6"/>
      <c r="B724" s="3"/>
      <c r="C724" s="31"/>
    </row>
    <row r="725" spans="1:3" ht="13.5" thickBot="1" x14ac:dyDescent="0.25">
      <c r="A725" s="6"/>
      <c r="B725" s="3"/>
      <c r="C725" s="31"/>
    </row>
    <row r="726" spans="1:3" ht="13.5" thickBot="1" x14ac:dyDescent="0.25">
      <c r="A726" s="6"/>
      <c r="B726" s="3"/>
      <c r="C726" s="31"/>
    </row>
    <row r="727" spans="1:3" ht="13.5" thickBot="1" x14ac:dyDescent="0.25">
      <c r="A727" s="6"/>
      <c r="B727" s="3"/>
      <c r="C727" s="31"/>
    </row>
    <row r="728" spans="1:3" ht="13.5" thickBot="1" x14ac:dyDescent="0.25">
      <c r="A728" s="6"/>
      <c r="B728" s="3"/>
      <c r="C728" s="31"/>
    </row>
    <row r="729" spans="1:3" ht="13.5" thickBot="1" x14ac:dyDescent="0.25">
      <c r="A729" s="6"/>
      <c r="B729" s="3"/>
      <c r="C729" s="31"/>
    </row>
    <row r="730" spans="1:3" ht="13.5" thickBot="1" x14ac:dyDescent="0.25">
      <c r="A730" s="6"/>
      <c r="B730" s="3"/>
      <c r="C730" s="31"/>
    </row>
    <row r="731" spans="1:3" ht="13.5" thickBot="1" x14ac:dyDescent="0.25">
      <c r="A731" s="6"/>
      <c r="B731" s="3"/>
      <c r="C731" s="31"/>
    </row>
    <row r="732" spans="1:3" ht="13.5" thickBot="1" x14ac:dyDescent="0.25">
      <c r="A732" s="6"/>
      <c r="B732" s="3"/>
      <c r="C732" s="31"/>
    </row>
    <row r="733" spans="1:3" ht="13.5" thickBot="1" x14ac:dyDescent="0.25">
      <c r="A733" s="6"/>
      <c r="B733" s="3"/>
      <c r="C733" s="31"/>
    </row>
    <row r="734" spans="1:3" ht="13.5" thickBot="1" x14ac:dyDescent="0.25">
      <c r="A734" s="6"/>
      <c r="B734" s="3"/>
      <c r="C734" s="31"/>
    </row>
    <row r="735" spans="1:3" ht="13.5" thickBot="1" x14ac:dyDescent="0.25">
      <c r="A735" s="6"/>
      <c r="B735" s="3"/>
      <c r="C735" s="31"/>
    </row>
    <row r="736" spans="1:3" ht="13.5" thickBot="1" x14ac:dyDescent="0.25">
      <c r="A736" s="6"/>
      <c r="B736" s="3"/>
      <c r="C736" s="31"/>
    </row>
    <row r="737" spans="1:3" ht="13.5" thickBot="1" x14ac:dyDescent="0.25">
      <c r="A737" s="6"/>
      <c r="B737" s="3"/>
      <c r="C737" s="31"/>
    </row>
    <row r="738" spans="1:3" ht="13.5" thickBot="1" x14ac:dyDescent="0.25">
      <c r="A738" s="6"/>
      <c r="B738" s="3"/>
      <c r="C738" s="31"/>
    </row>
    <row r="739" spans="1:3" ht="13.5" thickBot="1" x14ac:dyDescent="0.25">
      <c r="A739" s="6"/>
      <c r="B739" s="3"/>
      <c r="C739" s="31"/>
    </row>
    <row r="740" spans="1:3" ht="13.5" thickBot="1" x14ac:dyDescent="0.25">
      <c r="A740" s="6"/>
      <c r="B740" s="3"/>
      <c r="C740" s="31"/>
    </row>
    <row r="741" spans="1:3" ht="13.5" thickBot="1" x14ac:dyDescent="0.25">
      <c r="A741" s="6"/>
      <c r="B741" s="3"/>
      <c r="C741" s="31"/>
    </row>
    <row r="742" spans="1:3" ht="13.5" thickBot="1" x14ac:dyDescent="0.25">
      <c r="A742" s="6"/>
      <c r="B742" s="3"/>
      <c r="C742" s="31"/>
    </row>
    <row r="743" spans="1:3" ht="13.5" thickBot="1" x14ac:dyDescent="0.25">
      <c r="A743" s="6"/>
      <c r="B743" s="3"/>
      <c r="C743" s="31"/>
    </row>
    <row r="744" spans="1:3" ht="13.5" thickBot="1" x14ac:dyDescent="0.25">
      <c r="A744" s="6"/>
      <c r="B744" s="3"/>
      <c r="C744" s="31"/>
    </row>
    <row r="745" spans="1:3" ht="13.5" thickBot="1" x14ac:dyDescent="0.25">
      <c r="A745" s="6"/>
      <c r="B745" s="3"/>
      <c r="C745" s="31"/>
    </row>
    <row r="746" spans="1:3" ht="13.5" thickBot="1" x14ac:dyDescent="0.25">
      <c r="A746" s="6"/>
      <c r="B746" s="3"/>
      <c r="C746" s="31"/>
    </row>
    <row r="747" spans="1:3" ht="13.5" thickBot="1" x14ac:dyDescent="0.25">
      <c r="A747" s="6"/>
      <c r="B747" s="3"/>
      <c r="C747" s="31"/>
    </row>
    <row r="748" spans="1:3" ht="13.5" thickBot="1" x14ac:dyDescent="0.25">
      <c r="A748" s="6"/>
      <c r="B748" s="3"/>
      <c r="C748" s="31"/>
    </row>
    <row r="749" spans="1:3" ht="13.5" thickBot="1" x14ac:dyDescent="0.25">
      <c r="A749" s="6"/>
      <c r="B749" s="3"/>
      <c r="C749" s="31"/>
    </row>
    <row r="750" spans="1:3" ht="13.5" thickBot="1" x14ac:dyDescent="0.25">
      <c r="A750" s="6"/>
      <c r="B750" s="3"/>
      <c r="C750" s="31"/>
    </row>
    <row r="751" spans="1:3" ht="13.5" thickBot="1" x14ac:dyDescent="0.25">
      <c r="A751" s="6"/>
      <c r="B751" s="3"/>
      <c r="C751" s="31"/>
    </row>
    <row r="752" spans="1:3" ht="13.5" thickBot="1" x14ac:dyDescent="0.25">
      <c r="A752" s="6"/>
      <c r="B752" s="3"/>
      <c r="C752" s="31"/>
    </row>
    <row r="753" spans="1:3" ht="13.5" thickBot="1" x14ac:dyDescent="0.25">
      <c r="A753" s="6"/>
      <c r="B753" s="3"/>
      <c r="C753" s="31"/>
    </row>
    <row r="754" spans="1:3" ht="13.5" thickBot="1" x14ac:dyDescent="0.25">
      <c r="A754" s="6"/>
      <c r="B754" s="3"/>
      <c r="C754" s="31"/>
    </row>
    <row r="755" spans="1:3" ht="13.5" thickBot="1" x14ac:dyDescent="0.25">
      <c r="A755" s="6"/>
      <c r="B755" s="3"/>
      <c r="C755" s="31"/>
    </row>
    <row r="756" spans="1:3" ht="13.5" thickBot="1" x14ac:dyDescent="0.25">
      <c r="A756" s="6"/>
      <c r="B756" s="3"/>
      <c r="C756" s="31"/>
    </row>
    <row r="757" spans="1:3" ht="13.5" thickBot="1" x14ac:dyDescent="0.25">
      <c r="A757" s="6"/>
      <c r="B757" s="3"/>
      <c r="C757" s="31"/>
    </row>
    <row r="758" spans="1:3" ht="13.5" thickBot="1" x14ac:dyDescent="0.25">
      <c r="A758" s="6"/>
      <c r="B758" s="3"/>
      <c r="C758" s="31"/>
    </row>
    <row r="759" spans="1:3" ht="13.5" thickBot="1" x14ac:dyDescent="0.25">
      <c r="A759" s="6"/>
      <c r="B759" s="3"/>
      <c r="C759" s="31"/>
    </row>
    <row r="760" spans="1:3" ht="13.5" thickBot="1" x14ac:dyDescent="0.25">
      <c r="A760" s="6"/>
      <c r="B760" s="3"/>
      <c r="C760" s="31"/>
    </row>
    <row r="761" spans="1:3" ht="13.5" thickBot="1" x14ac:dyDescent="0.25">
      <c r="A761" s="6"/>
      <c r="B761" s="3"/>
      <c r="C761" s="31"/>
    </row>
    <row r="762" spans="1:3" ht="13.5" thickBot="1" x14ac:dyDescent="0.25">
      <c r="A762" s="6"/>
      <c r="B762" s="3"/>
      <c r="C762" s="31"/>
    </row>
    <row r="763" spans="1:3" ht="13.5" thickBot="1" x14ac:dyDescent="0.25">
      <c r="A763" s="6"/>
      <c r="B763" s="3"/>
      <c r="C763" s="31"/>
    </row>
    <row r="764" spans="1:3" ht="13.5" thickBot="1" x14ac:dyDescent="0.25">
      <c r="A764" s="6"/>
      <c r="B764" s="3"/>
      <c r="C764" s="31"/>
    </row>
    <row r="765" spans="1:3" ht="13.5" thickBot="1" x14ac:dyDescent="0.25">
      <c r="A765" s="6"/>
      <c r="B765" s="3"/>
      <c r="C765" s="31"/>
    </row>
    <row r="766" spans="1:3" ht="13.5" thickBot="1" x14ac:dyDescent="0.25">
      <c r="A766" s="6"/>
      <c r="B766" s="3"/>
      <c r="C766" s="31"/>
    </row>
    <row r="767" spans="1:3" ht="13.5" thickBot="1" x14ac:dyDescent="0.25">
      <c r="A767" s="6"/>
      <c r="B767" s="3"/>
      <c r="C767" s="31"/>
    </row>
    <row r="768" spans="1:3" ht="13.5" thickBot="1" x14ac:dyDescent="0.25">
      <c r="A768" s="6"/>
      <c r="B768" s="3"/>
      <c r="C768" s="31"/>
    </row>
    <row r="769" spans="1:3" ht="13.5" thickBot="1" x14ac:dyDescent="0.25">
      <c r="A769" s="6"/>
      <c r="B769" s="3"/>
      <c r="C769" s="31"/>
    </row>
    <row r="770" spans="1:3" ht="13.5" thickBot="1" x14ac:dyDescent="0.25">
      <c r="A770" s="6"/>
      <c r="B770" s="3"/>
      <c r="C770" s="31"/>
    </row>
    <row r="771" spans="1:3" ht="13.5" thickBot="1" x14ac:dyDescent="0.25">
      <c r="A771" s="6"/>
      <c r="B771" s="3"/>
      <c r="C771" s="31"/>
    </row>
    <row r="772" spans="1:3" ht="13.5" thickBot="1" x14ac:dyDescent="0.25">
      <c r="A772" s="6"/>
      <c r="B772" s="3"/>
      <c r="C772" s="31"/>
    </row>
    <row r="773" spans="1:3" ht="13.5" thickBot="1" x14ac:dyDescent="0.25">
      <c r="A773" s="6"/>
      <c r="B773" s="3"/>
      <c r="C773" s="31"/>
    </row>
    <row r="774" spans="1:3" ht="13.5" thickBot="1" x14ac:dyDescent="0.25">
      <c r="A774" s="6"/>
      <c r="B774" s="3"/>
      <c r="C774" s="31"/>
    </row>
    <row r="775" spans="1:3" ht="13.5" thickBot="1" x14ac:dyDescent="0.25">
      <c r="A775" s="6"/>
      <c r="B775" s="3"/>
      <c r="C775" s="31"/>
    </row>
    <row r="776" spans="1:3" ht="13.5" thickBot="1" x14ac:dyDescent="0.25">
      <c r="A776" s="6"/>
      <c r="B776" s="3"/>
      <c r="C776" s="31"/>
    </row>
    <row r="777" spans="1:3" ht="13.5" thickBot="1" x14ac:dyDescent="0.25">
      <c r="A777" s="6"/>
      <c r="B777" s="3"/>
      <c r="C777" s="31"/>
    </row>
    <row r="778" spans="1:3" ht="13.5" thickBot="1" x14ac:dyDescent="0.25">
      <c r="A778" s="6"/>
      <c r="B778" s="3"/>
      <c r="C778" s="31"/>
    </row>
    <row r="779" spans="1:3" ht="13.5" thickBot="1" x14ac:dyDescent="0.25">
      <c r="A779" s="6"/>
      <c r="B779" s="3"/>
      <c r="C779" s="31"/>
    </row>
    <row r="780" spans="1:3" ht="13.5" thickBot="1" x14ac:dyDescent="0.25">
      <c r="A780" s="6"/>
      <c r="B780" s="3"/>
      <c r="C780" s="31"/>
    </row>
    <row r="781" spans="1:3" ht="13.5" thickBot="1" x14ac:dyDescent="0.25">
      <c r="A781" s="6"/>
      <c r="B781" s="3"/>
      <c r="C781" s="31"/>
    </row>
    <row r="782" spans="1:3" ht="13.5" thickBot="1" x14ac:dyDescent="0.25">
      <c r="A782" s="6"/>
      <c r="B782" s="3"/>
      <c r="C782" s="31"/>
    </row>
    <row r="783" spans="1:3" ht="13.5" thickBot="1" x14ac:dyDescent="0.25">
      <c r="A783" s="6"/>
      <c r="B783" s="3"/>
      <c r="C783" s="31"/>
    </row>
    <row r="784" spans="1:3" ht="13.5" thickBot="1" x14ac:dyDescent="0.25">
      <c r="A784" s="6"/>
      <c r="B784" s="3"/>
      <c r="C784" s="31"/>
    </row>
    <row r="785" spans="1:3" ht="13.5" thickBot="1" x14ac:dyDescent="0.25">
      <c r="A785" s="6"/>
      <c r="B785" s="3"/>
      <c r="C785" s="31"/>
    </row>
    <row r="786" spans="1:3" ht="13.5" thickBot="1" x14ac:dyDescent="0.25">
      <c r="A786" s="6"/>
      <c r="B786" s="3"/>
      <c r="C786" s="31"/>
    </row>
    <row r="787" spans="1:3" ht="13.5" thickBot="1" x14ac:dyDescent="0.25">
      <c r="A787" s="6"/>
      <c r="B787" s="3"/>
      <c r="C787" s="31"/>
    </row>
    <row r="788" spans="1:3" ht="13.5" thickBot="1" x14ac:dyDescent="0.25">
      <c r="A788" s="6"/>
      <c r="B788" s="3"/>
      <c r="C788" s="31"/>
    </row>
    <row r="789" spans="1:3" ht="13.5" thickBot="1" x14ac:dyDescent="0.25">
      <c r="A789" s="6"/>
      <c r="B789" s="3"/>
      <c r="C789" s="31"/>
    </row>
    <row r="790" spans="1:3" ht="13.5" thickBot="1" x14ac:dyDescent="0.25">
      <c r="A790" s="6"/>
      <c r="B790" s="3"/>
      <c r="C790" s="31"/>
    </row>
    <row r="791" spans="1:3" ht="13.5" thickBot="1" x14ac:dyDescent="0.25">
      <c r="A791" s="6"/>
      <c r="B791" s="3"/>
      <c r="C791" s="31"/>
    </row>
    <row r="792" spans="1:3" ht="13.5" thickBot="1" x14ac:dyDescent="0.25">
      <c r="A792" s="6"/>
      <c r="B792" s="3"/>
      <c r="C792" s="31"/>
    </row>
    <row r="793" spans="1:3" ht="13.5" thickBot="1" x14ac:dyDescent="0.25">
      <c r="A793" s="6"/>
      <c r="B793" s="3"/>
      <c r="C793" s="31"/>
    </row>
    <row r="794" spans="1:3" ht="13.5" thickBot="1" x14ac:dyDescent="0.25">
      <c r="A794" s="6"/>
      <c r="B794" s="3"/>
      <c r="C794" s="31"/>
    </row>
    <row r="795" spans="1:3" ht="13.5" thickBot="1" x14ac:dyDescent="0.25">
      <c r="A795" s="6"/>
      <c r="B795" s="3"/>
      <c r="C795" s="31"/>
    </row>
    <row r="796" spans="1:3" ht="13.5" thickBot="1" x14ac:dyDescent="0.25">
      <c r="A796" s="6"/>
      <c r="B796" s="3"/>
      <c r="C796" s="31"/>
    </row>
    <row r="797" spans="1:3" ht="13.5" thickBot="1" x14ac:dyDescent="0.25">
      <c r="A797" s="6"/>
      <c r="B797" s="3"/>
      <c r="C797" s="31"/>
    </row>
    <row r="798" spans="1:3" ht="13.5" thickBot="1" x14ac:dyDescent="0.25">
      <c r="A798" s="6"/>
      <c r="B798" s="3"/>
      <c r="C798" s="31"/>
    </row>
    <row r="799" spans="1:3" ht="13.5" thickBot="1" x14ac:dyDescent="0.25">
      <c r="A799" s="6"/>
      <c r="B799" s="3"/>
      <c r="C799" s="31"/>
    </row>
    <row r="800" spans="1:3" ht="13.5" thickBot="1" x14ac:dyDescent="0.25">
      <c r="A800" s="6"/>
      <c r="B800" s="3"/>
      <c r="C800" s="31"/>
    </row>
    <row r="801" spans="1:3" ht="13.5" thickBot="1" x14ac:dyDescent="0.25">
      <c r="A801" s="6"/>
      <c r="B801" s="3"/>
      <c r="C801" s="31"/>
    </row>
    <row r="802" spans="1:3" ht="13.5" thickBot="1" x14ac:dyDescent="0.25">
      <c r="A802" s="6"/>
      <c r="B802" s="3"/>
      <c r="C802" s="31"/>
    </row>
    <row r="803" spans="1:3" ht="13.5" thickBot="1" x14ac:dyDescent="0.25">
      <c r="A803" s="6"/>
      <c r="B803" s="3"/>
      <c r="C803" s="31"/>
    </row>
    <row r="804" spans="1:3" ht="13.5" thickBot="1" x14ac:dyDescent="0.25">
      <c r="A804" s="6"/>
      <c r="B804" s="3"/>
      <c r="C804" s="31"/>
    </row>
    <row r="805" spans="1:3" ht="13.5" thickBot="1" x14ac:dyDescent="0.25">
      <c r="A805" s="6"/>
      <c r="B805" s="3"/>
      <c r="C805" s="31"/>
    </row>
    <row r="806" spans="1:3" ht="13.5" thickBot="1" x14ac:dyDescent="0.25">
      <c r="A806" s="6"/>
      <c r="B806" s="3"/>
      <c r="C806" s="31"/>
    </row>
    <row r="807" spans="1:3" ht="13.5" thickBot="1" x14ac:dyDescent="0.25">
      <c r="A807" s="6"/>
      <c r="B807" s="3"/>
      <c r="C807" s="31"/>
    </row>
    <row r="808" spans="1:3" ht="13.5" thickBot="1" x14ac:dyDescent="0.25">
      <c r="A808" s="6"/>
      <c r="B808" s="3"/>
      <c r="C808" s="31"/>
    </row>
    <row r="809" spans="1:3" ht="13.5" thickBot="1" x14ac:dyDescent="0.25">
      <c r="A809" s="6"/>
      <c r="B809" s="3"/>
      <c r="C809" s="31"/>
    </row>
    <row r="810" spans="1:3" ht="13.5" thickBot="1" x14ac:dyDescent="0.25">
      <c r="A810" s="6"/>
      <c r="B810" s="3"/>
      <c r="C810" s="31"/>
    </row>
    <row r="811" spans="1:3" ht="13.5" thickBot="1" x14ac:dyDescent="0.25">
      <c r="A811" s="6"/>
      <c r="B811" s="3"/>
      <c r="C811" s="31"/>
    </row>
    <row r="812" spans="1:3" ht="13.5" thickBot="1" x14ac:dyDescent="0.25">
      <c r="A812" s="6"/>
      <c r="B812" s="3"/>
      <c r="C812" s="31"/>
    </row>
    <row r="813" spans="1:3" ht="13.5" thickBot="1" x14ac:dyDescent="0.25">
      <c r="A813" s="6"/>
      <c r="B813" s="3"/>
      <c r="C813" s="31"/>
    </row>
    <row r="814" spans="1:3" ht="13.5" thickBot="1" x14ac:dyDescent="0.25">
      <c r="A814" s="6"/>
      <c r="B814" s="3"/>
      <c r="C814" s="31"/>
    </row>
    <row r="815" spans="1:3" ht="13.5" thickBot="1" x14ac:dyDescent="0.25">
      <c r="A815" s="6"/>
      <c r="B815" s="3"/>
      <c r="C815" s="31"/>
    </row>
    <row r="816" spans="1:3" ht="13.5" thickBot="1" x14ac:dyDescent="0.25">
      <c r="A816" s="6"/>
      <c r="B816" s="3"/>
      <c r="C816" s="31"/>
    </row>
    <row r="817" spans="1:3" ht="13.5" thickBot="1" x14ac:dyDescent="0.25">
      <c r="A817" s="6"/>
      <c r="B817" s="3"/>
      <c r="C817" s="31"/>
    </row>
    <row r="818" spans="1:3" ht="13.5" thickBot="1" x14ac:dyDescent="0.25">
      <c r="A818" s="6"/>
      <c r="B818" s="3"/>
      <c r="C818" s="31"/>
    </row>
    <row r="819" spans="1:3" ht="13.5" thickBot="1" x14ac:dyDescent="0.25">
      <c r="A819" s="6"/>
      <c r="B819" s="3"/>
      <c r="C819" s="31"/>
    </row>
    <row r="820" spans="1:3" ht="13.5" thickBot="1" x14ac:dyDescent="0.25">
      <c r="A820" s="6"/>
      <c r="B820" s="3"/>
      <c r="C820" s="31"/>
    </row>
    <row r="821" spans="1:3" ht="13.5" thickBot="1" x14ac:dyDescent="0.25">
      <c r="A821" s="6"/>
      <c r="B821" s="3"/>
      <c r="C821" s="31"/>
    </row>
    <row r="822" spans="1:3" ht="13.5" thickBot="1" x14ac:dyDescent="0.25">
      <c r="A822" s="6"/>
      <c r="B822" s="3"/>
      <c r="C822" s="31"/>
    </row>
    <row r="823" spans="1:3" ht="13.5" thickBot="1" x14ac:dyDescent="0.25">
      <c r="A823" s="6"/>
      <c r="B823" s="3"/>
      <c r="C823" s="31"/>
    </row>
    <row r="824" spans="1:3" ht="13.5" thickBot="1" x14ac:dyDescent="0.25">
      <c r="A824" s="6"/>
      <c r="B824" s="3"/>
      <c r="C824" s="31"/>
    </row>
    <row r="825" spans="1:3" ht="13.5" thickBot="1" x14ac:dyDescent="0.25">
      <c r="A825" s="6"/>
      <c r="B825" s="3"/>
      <c r="C825" s="31"/>
    </row>
    <row r="826" spans="1:3" ht="13.5" thickBot="1" x14ac:dyDescent="0.25">
      <c r="A826" s="6"/>
      <c r="B826" s="3"/>
      <c r="C826" s="31"/>
    </row>
    <row r="827" spans="1:3" ht="13.5" thickBot="1" x14ac:dyDescent="0.25">
      <c r="A827" s="6"/>
      <c r="B827" s="3"/>
      <c r="C827" s="31"/>
    </row>
    <row r="828" spans="1:3" ht="13.5" thickBot="1" x14ac:dyDescent="0.25">
      <c r="A828" s="6"/>
      <c r="B828" s="3"/>
      <c r="C828" s="31"/>
    </row>
    <row r="829" spans="1:3" ht="13.5" thickBot="1" x14ac:dyDescent="0.25">
      <c r="A829" s="6"/>
      <c r="B829" s="3"/>
      <c r="C829" s="31"/>
    </row>
    <row r="830" spans="1:3" ht="13.5" thickBot="1" x14ac:dyDescent="0.25">
      <c r="A830" s="6"/>
      <c r="B830" s="3"/>
      <c r="C830" s="31"/>
    </row>
    <row r="831" spans="1:3" ht="13.5" thickBot="1" x14ac:dyDescent="0.25">
      <c r="A831" s="6"/>
      <c r="B831" s="3"/>
      <c r="C831" s="31"/>
    </row>
    <row r="832" spans="1:3" ht="13.5" thickBot="1" x14ac:dyDescent="0.25">
      <c r="A832" s="6"/>
      <c r="B832" s="3"/>
      <c r="C832" s="31"/>
    </row>
    <row r="833" spans="1:3" ht="13.5" thickBot="1" x14ac:dyDescent="0.25">
      <c r="A833" s="6"/>
      <c r="B833" s="3"/>
      <c r="C833" s="31"/>
    </row>
    <row r="834" spans="1:3" ht="13.5" thickBot="1" x14ac:dyDescent="0.25">
      <c r="A834" s="6"/>
      <c r="B834" s="3"/>
      <c r="C834" s="31"/>
    </row>
    <row r="835" spans="1:3" ht="13.5" thickBot="1" x14ac:dyDescent="0.25">
      <c r="A835" s="6"/>
      <c r="B835" s="3"/>
      <c r="C835" s="31"/>
    </row>
    <row r="836" spans="1:3" ht="13.5" thickBot="1" x14ac:dyDescent="0.25">
      <c r="A836" s="6"/>
      <c r="B836" s="3"/>
      <c r="C836" s="31"/>
    </row>
    <row r="837" spans="1:3" ht="13.5" thickBot="1" x14ac:dyDescent="0.25">
      <c r="A837" s="6"/>
      <c r="B837" s="3"/>
      <c r="C837" s="31"/>
    </row>
    <row r="838" spans="1:3" ht="13.5" thickBot="1" x14ac:dyDescent="0.25">
      <c r="A838" s="6"/>
      <c r="B838" s="3"/>
      <c r="C838" s="31"/>
    </row>
    <row r="839" spans="1:3" ht="13.5" thickBot="1" x14ac:dyDescent="0.25">
      <c r="A839" s="6"/>
      <c r="B839" s="3"/>
      <c r="C839" s="31"/>
    </row>
    <row r="840" spans="1:3" ht="13.5" thickBot="1" x14ac:dyDescent="0.25">
      <c r="A840" s="6"/>
      <c r="B840" s="3"/>
      <c r="C840" s="31"/>
    </row>
    <row r="841" spans="1:3" ht="13.5" thickBot="1" x14ac:dyDescent="0.25">
      <c r="A841" s="6"/>
      <c r="B841" s="3"/>
      <c r="C841" s="31"/>
    </row>
    <row r="842" spans="1:3" ht="13.5" thickBot="1" x14ac:dyDescent="0.25">
      <c r="A842" s="6"/>
      <c r="B842" s="3"/>
      <c r="C842" s="31"/>
    </row>
    <row r="843" spans="1:3" ht="13.5" thickBot="1" x14ac:dyDescent="0.25">
      <c r="A843" s="6"/>
      <c r="B843" s="3"/>
      <c r="C843" s="31"/>
    </row>
    <row r="844" spans="1:3" ht="13.5" thickBot="1" x14ac:dyDescent="0.25">
      <c r="A844" s="6"/>
      <c r="B844" s="3"/>
      <c r="C844" s="31"/>
    </row>
    <row r="845" spans="1:3" ht="13.5" thickBot="1" x14ac:dyDescent="0.25">
      <c r="A845" s="6"/>
      <c r="B845" s="3"/>
      <c r="C845" s="31"/>
    </row>
    <row r="846" spans="1:3" ht="13.5" thickBot="1" x14ac:dyDescent="0.25">
      <c r="A846" s="6"/>
      <c r="B846" s="3"/>
      <c r="C846" s="31"/>
    </row>
    <row r="847" spans="1:3" ht="13.5" thickBot="1" x14ac:dyDescent="0.25">
      <c r="A847" s="6"/>
      <c r="B847" s="3"/>
      <c r="C847" s="31"/>
    </row>
    <row r="848" spans="1:3" ht="13.5" thickBot="1" x14ac:dyDescent="0.25">
      <c r="A848" s="6"/>
      <c r="B848" s="3"/>
      <c r="C848" s="31"/>
    </row>
    <row r="849" spans="1:3" ht="13.5" thickBot="1" x14ac:dyDescent="0.25">
      <c r="A849" s="6"/>
      <c r="B849" s="3"/>
      <c r="C849" s="31"/>
    </row>
    <row r="850" spans="1:3" ht="13.5" thickBot="1" x14ac:dyDescent="0.25">
      <c r="A850" s="6"/>
      <c r="B850" s="3"/>
      <c r="C850" s="31"/>
    </row>
    <row r="851" spans="1:3" ht="13.5" thickBot="1" x14ac:dyDescent="0.25">
      <c r="A851" s="6"/>
      <c r="B851" s="3"/>
      <c r="C851" s="31"/>
    </row>
    <row r="852" spans="1:3" ht="13.5" thickBot="1" x14ac:dyDescent="0.25">
      <c r="A852" s="6"/>
      <c r="B852" s="3"/>
      <c r="C852" s="31"/>
    </row>
    <row r="853" spans="1:3" ht="13.5" thickBot="1" x14ac:dyDescent="0.25">
      <c r="A853" s="6"/>
      <c r="B853" s="3"/>
      <c r="C853" s="31"/>
    </row>
    <row r="854" spans="1:3" ht="13.5" thickBot="1" x14ac:dyDescent="0.25">
      <c r="A854" s="6"/>
      <c r="B854" s="3"/>
      <c r="C854" s="31"/>
    </row>
    <row r="855" spans="1:3" ht="13.5" thickBot="1" x14ac:dyDescent="0.25">
      <c r="A855" s="6"/>
      <c r="B855" s="3"/>
      <c r="C855" s="31"/>
    </row>
    <row r="856" spans="1:3" ht="13.5" thickBot="1" x14ac:dyDescent="0.25">
      <c r="A856" s="6"/>
      <c r="B856" s="3"/>
      <c r="C856" s="31"/>
    </row>
    <row r="857" spans="1:3" ht="13.5" thickBot="1" x14ac:dyDescent="0.25">
      <c r="A857" s="6"/>
      <c r="B857" s="3"/>
      <c r="C857" s="31"/>
    </row>
    <row r="858" spans="1:3" ht="13.5" thickBot="1" x14ac:dyDescent="0.25">
      <c r="A858" s="6"/>
      <c r="B858" s="3"/>
      <c r="C858" s="31"/>
    </row>
    <row r="859" spans="1:3" ht="13.5" thickBot="1" x14ac:dyDescent="0.25">
      <c r="A859" s="6"/>
      <c r="B859" s="3"/>
      <c r="C859" s="31"/>
    </row>
    <row r="860" spans="1:3" ht="13.5" thickBot="1" x14ac:dyDescent="0.25">
      <c r="A860" s="6"/>
      <c r="B860" s="3"/>
      <c r="C860" s="31"/>
    </row>
    <row r="861" spans="1:3" ht="13.5" thickBot="1" x14ac:dyDescent="0.25">
      <c r="A861" s="6"/>
      <c r="B861" s="3"/>
      <c r="C861" s="31"/>
    </row>
    <row r="862" spans="1:3" ht="13.5" thickBot="1" x14ac:dyDescent="0.25">
      <c r="A862" s="6"/>
      <c r="B862" s="3"/>
      <c r="C862" s="31"/>
    </row>
    <row r="863" spans="1:3" ht="13.5" thickBot="1" x14ac:dyDescent="0.25">
      <c r="A863" s="6"/>
      <c r="B863" s="3"/>
      <c r="C863" s="31"/>
    </row>
    <row r="864" spans="1:3" ht="13.5" thickBot="1" x14ac:dyDescent="0.25">
      <c r="A864" s="6"/>
      <c r="B864" s="3"/>
      <c r="C864" s="31"/>
    </row>
    <row r="865" spans="1:3" ht="13.5" thickBot="1" x14ac:dyDescent="0.25">
      <c r="A865" s="6"/>
      <c r="B865" s="3"/>
      <c r="C865" s="31"/>
    </row>
    <row r="866" spans="1:3" ht="13.5" thickBot="1" x14ac:dyDescent="0.25">
      <c r="A866" s="6"/>
      <c r="B866" s="3"/>
      <c r="C866" s="31"/>
    </row>
    <row r="867" spans="1:3" ht="13.5" thickBot="1" x14ac:dyDescent="0.25">
      <c r="A867" s="6"/>
      <c r="B867" s="3"/>
      <c r="C867" s="31"/>
    </row>
    <row r="868" spans="1:3" ht="13.5" thickBot="1" x14ac:dyDescent="0.25">
      <c r="A868" s="6"/>
      <c r="B868" s="3"/>
      <c r="C868" s="31"/>
    </row>
    <row r="869" spans="1:3" ht="13.5" thickBot="1" x14ac:dyDescent="0.25">
      <c r="A869" s="6"/>
      <c r="B869" s="3"/>
      <c r="C869" s="31"/>
    </row>
    <row r="870" spans="1:3" ht="13.5" thickBot="1" x14ac:dyDescent="0.25">
      <c r="A870" s="6"/>
      <c r="B870" s="3"/>
      <c r="C870" s="31"/>
    </row>
    <row r="871" spans="1:3" ht="13.5" thickBot="1" x14ac:dyDescent="0.25">
      <c r="A871" s="6"/>
      <c r="B871" s="3"/>
      <c r="C871" s="31"/>
    </row>
    <row r="872" spans="1:3" ht="13.5" thickBot="1" x14ac:dyDescent="0.25">
      <c r="A872" s="6"/>
      <c r="B872" s="3"/>
      <c r="C872" s="31"/>
    </row>
    <row r="873" spans="1:3" ht="13.5" thickBot="1" x14ac:dyDescent="0.25">
      <c r="A873" s="6"/>
      <c r="B873" s="3"/>
      <c r="C873" s="31"/>
    </row>
    <row r="874" spans="1:3" ht="13.5" thickBot="1" x14ac:dyDescent="0.25">
      <c r="A874" s="6"/>
      <c r="B874" s="3"/>
      <c r="C874" s="31"/>
    </row>
    <row r="875" spans="1:3" ht="13.5" thickBot="1" x14ac:dyDescent="0.25">
      <c r="A875" s="6"/>
      <c r="B875" s="3"/>
      <c r="C875" s="31"/>
    </row>
    <row r="876" spans="1:3" ht="13.5" thickBot="1" x14ac:dyDescent="0.25">
      <c r="A876" s="6"/>
      <c r="B876" s="3"/>
      <c r="C876" s="31"/>
    </row>
    <row r="877" spans="1:3" ht="13.5" thickBot="1" x14ac:dyDescent="0.25">
      <c r="A877" s="6"/>
      <c r="B877" s="3"/>
      <c r="C877" s="31"/>
    </row>
    <row r="878" spans="1:3" ht="13.5" thickBot="1" x14ac:dyDescent="0.25">
      <c r="A878" s="6"/>
      <c r="B878" s="3"/>
      <c r="C878" s="31"/>
    </row>
    <row r="879" spans="1:3" ht="13.5" thickBot="1" x14ac:dyDescent="0.25">
      <c r="A879" s="6"/>
      <c r="B879" s="3"/>
      <c r="C879" s="31"/>
    </row>
    <row r="880" spans="1:3" ht="13.5" thickBot="1" x14ac:dyDescent="0.25">
      <c r="A880" s="6"/>
      <c r="B880" s="3"/>
      <c r="C880" s="31"/>
    </row>
    <row r="881" spans="1:3" ht="13.5" thickBot="1" x14ac:dyDescent="0.25">
      <c r="A881" s="6"/>
      <c r="B881" s="3"/>
      <c r="C881" s="31"/>
    </row>
    <row r="882" spans="1:3" ht="13.5" thickBot="1" x14ac:dyDescent="0.25">
      <c r="A882" s="6"/>
      <c r="B882" s="3"/>
      <c r="C882" s="31"/>
    </row>
    <row r="883" spans="1:3" ht="13.5" thickBot="1" x14ac:dyDescent="0.25">
      <c r="A883" s="6"/>
      <c r="B883" s="3"/>
      <c r="C883" s="31"/>
    </row>
    <row r="884" spans="1:3" ht="13.5" thickBot="1" x14ac:dyDescent="0.25">
      <c r="A884" s="6"/>
      <c r="B884" s="3"/>
      <c r="C884" s="31"/>
    </row>
    <row r="885" spans="1:3" ht="13.5" thickBot="1" x14ac:dyDescent="0.25">
      <c r="A885" s="6"/>
      <c r="B885" s="3"/>
      <c r="C885" s="31"/>
    </row>
    <row r="886" spans="1:3" ht="13.5" thickBot="1" x14ac:dyDescent="0.25">
      <c r="A886" s="6"/>
      <c r="B886" s="3"/>
      <c r="C886" s="31"/>
    </row>
    <row r="887" spans="1:3" ht="13.5" thickBot="1" x14ac:dyDescent="0.25">
      <c r="A887" s="6"/>
      <c r="B887" s="3"/>
      <c r="C887" s="31"/>
    </row>
    <row r="888" spans="1:3" ht="13.5" thickBot="1" x14ac:dyDescent="0.25">
      <c r="A888" s="6"/>
      <c r="B888" s="3"/>
      <c r="C888" s="31"/>
    </row>
    <row r="889" spans="1:3" ht="13.5" thickBot="1" x14ac:dyDescent="0.25">
      <c r="A889" s="6"/>
      <c r="B889" s="3"/>
      <c r="C889" s="31"/>
    </row>
    <row r="890" spans="1:3" ht="13.5" thickBot="1" x14ac:dyDescent="0.25">
      <c r="A890" s="6"/>
      <c r="B890" s="3"/>
      <c r="C890" s="31"/>
    </row>
    <row r="891" spans="1:3" ht="13.5" thickBot="1" x14ac:dyDescent="0.25">
      <c r="A891" s="6"/>
      <c r="B891" s="3"/>
      <c r="C891" s="31"/>
    </row>
    <row r="892" spans="1:3" ht="13.5" thickBot="1" x14ac:dyDescent="0.25">
      <c r="A892" s="6"/>
      <c r="B892" s="3"/>
      <c r="C892" s="31"/>
    </row>
    <row r="893" spans="1:3" ht="13.5" thickBot="1" x14ac:dyDescent="0.25">
      <c r="A893" s="6"/>
      <c r="B893" s="3"/>
      <c r="C893" s="31"/>
    </row>
    <row r="894" spans="1:3" ht="13.5" thickBot="1" x14ac:dyDescent="0.25">
      <c r="A894" s="6"/>
      <c r="B894" s="3"/>
      <c r="C894" s="31"/>
    </row>
    <row r="895" spans="1:3" ht="13.5" thickBot="1" x14ac:dyDescent="0.25">
      <c r="A895" s="6"/>
      <c r="B895" s="3"/>
      <c r="C895" s="31"/>
    </row>
    <row r="896" spans="1:3" ht="13.5" thickBot="1" x14ac:dyDescent="0.25">
      <c r="A896" s="6"/>
      <c r="B896" s="3"/>
      <c r="C896" s="31"/>
    </row>
    <row r="897" spans="1:3" ht="13.5" thickBot="1" x14ac:dyDescent="0.25">
      <c r="A897" s="6"/>
      <c r="B897" s="3"/>
      <c r="C897" s="31"/>
    </row>
    <row r="898" spans="1:3" ht="13.5" thickBot="1" x14ac:dyDescent="0.25">
      <c r="A898" s="6"/>
      <c r="B898" s="3"/>
      <c r="C898" s="31"/>
    </row>
    <row r="899" spans="1:3" ht="13.5" thickBot="1" x14ac:dyDescent="0.25">
      <c r="A899" s="6"/>
      <c r="B899" s="3"/>
      <c r="C899" s="31"/>
    </row>
    <row r="900" spans="1:3" ht="13.5" thickBot="1" x14ac:dyDescent="0.25">
      <c r="A900" s="6"/>
      <c r="B900" s="3"/>
      <c r="C900" s="31"/>
    </row>
    <row r="901" spans="1:3" ht="13.5" thickBot="1" x14ac:dyDescent="0.25">
      <c r="A901" s="6"/>
      <c r="B901" s="3"/>
      <c r="C901" s="31"/>
    </row>
    <row r="902" spans="1:3" ht="13.5" thickBot="1" x14ac:dyDescent="0.25">
      <c r="A902" s="6"/>
      <c r="B902" s="3"/>
      <c r="C902" s="31"/>
    </row>
    <row r="903" spans="1:3" ht="13.5" thickBot="1" x14ac:dyDescent="0.25">
      <c r="A903" s="6"/>
      <c r="B903" s="3"/>
      <c r="C903" s="31"/>
    </row>
    <row r="904" spans="1:3" ht="13.5" thickBot="1" x14ac:dyDescent="0.25">
      <c r="A904" s="6"/>
      <c r="B904" s="3"/>
      <c r="C904" s="31"/>
    </row>
    <row r="905" spans="1:3" ht="13.5" thickBot="1" x14ac:dyDescent="0.25">
      <c r="A905" s="6"/>
      <c r="B905" s="3"/>
      <c r="C905" s="31"/>
    </row>
    <row r="906" spans="1:3" ht="13.5" thickBot="1" x14ac:dyDescent="0.25">
      <c r="A906" s="6"/>
      <c r="B906" s="3"/>
      <c r="C906" s="31"/>
    </row>
    <row r="907" spans="1:3" ht="13.5" thickBot="1" x14ac:dyDescent="0.25">
      <c r="A907" s="6"/>
      <c r="B907" s="3"/>
      <c r="C907" s="31"/>
    </row>
    <row r="908" spans="1:3" ht="13.5" thickBot="1" x14ac:dyDescent="0.25">
      <c r="A908" s="6"/>
      <c r="B908" s="3"/>
      <c r="C908" s="31"/>
    </row>
    <row r="909" spans="1:3" ht="13.5" thickBot="1" x14ac:dyDescent="0.25">
      <c r="A909" s="6"/>
      <c r="B909" s="3"/>
      <c r="C909" s="31"/>
    </row>
    <row r="910" spans="1:3" ht="13.5" thickBot="1" x14ac:dyDescent="0.25">
      <c r="A910" s="6"/>
      <c r="B910" s="3"/>
      <c r="C910" s="31"/>
    </row>
    <row r="911" spans="1:3" ht="13.5" thickBot="1" x14ac:dyDescent="0.25">
      <c r="A911" s="6"/>
      <c r="B911" s="3"/>
      <c r="C911" s="31"/>
    </row>
    <row r="912" spans="1:3" ht="13.5" thickBot="1" x14ac:dyDescent="0.25">
      <c r="A912" s="6"/>
      <c r="B912" s="3"/>
      <c r="C912" s="31"/>
    </row>
    <row r="913" spans="1:3" ht="13.5" thickBot="1" x14ac:dyDescent="0.25">
      <c r="A913" s="6"/>
      <c r="B913" s="3"/>
      <c r="C913" s="31"/>
    </row>
    <row r="914" spans="1:3" ht="13.5" thickBot="1" x14ac:dyDescent="0.25">
      <c r="A914" s="6"/>
      <c r="B914" s="3"/>
      <c r="C914" s="31"/>
    </row>
    <row r="915" spans="1:3" ht="13.5" thickBot="1" x14ac:dyDescent="0.25">
      <c r="A915" s="6"/>
      <c r="B915" s="3"/>
      <c r="C915" s="31"/>
    </row>
    <row r="916" spans="1:3" ht="13.5" thickBot="1" x14ac:dyDescent="0.25">
      <c r="A916" s="6"/>
      <c r="B916" s="3"/>
      <c r="C916" s="31"/>
    </row>
    <row r="917" spans="1:3" ht="13.5" thickBot="1" x14ac:dyDescent="0.25">
      <c r="A917" s="6"/>
      <c r="B917" s="3"/>
      <c r="C917" s="31"/>
    </row>
    <row r="918" spans="1:3" ht="13.5" thickBot="1" x14ac:dyDescent="0.25">
      <c r="A918" s="6"/>
      <c r="B918" s="3"/>
      <c r="C918" s="31"/>
    </row>
    <row r="919" spans="1:3" ht="13.5" thickBot="1" x14ac:dyDescent="0.25">
      <c r="A919" s="6"/>
      <c r="B919" s="3"/>
      <c r="C919" s="31"/>
    </row>
    <row r="920" spans="1:3" ht="13.5" thickBot="1" x14ac:dyDescent="0.25">
      <c r="A920" s="6"/>
      <c r="B920" s="3"/>
      <c r="C920" s="31"/>
    </row>
    <row r="921" spans="1:3" ht="13.5" thickBot="1" x14ac:dyDescent="0.25">
      <c r="A921" s="6"/>
      <c r="B921" s="3"/>
      <c r="C921" s="31"/>
    </row>
    <row r="922" spans="1:3" ht="13.5" thickBot="1" x14ac:dyDescent="0.25">
      <c r="A922" s="6"/>
      <c r="B922" s="3"/>
      <c r="C922" s="31"/>
    </row>
    <row r="923" spans="1:3" ht="13.5" thickBot="1" x14ac:dyDescent="0.25">
      <c r="A923" s="6"/>
      <c r="B923" s="3"/>
      <c r="C923" s="31"/>
    </row>
    <row r="924" spans="1:3" ht="13.5" thickBot="1" x14ac:dyDescent="0.25">
      <c r="A924" s="6"/>
      <c r="B924" s="3"/>
      <c r="C924" s="31"/>
    </row>
    <row r="925" spans="1:3" ht="13.5" thickBot="1" x14ac:dyDescent="0.25">
      <c r="A925" s="6"/>
      <c r="B925" s="3"/>
      <c r="C925" s="31"/>
    </row>
    <row r="926" spans="1:3" ht="13.5" thickBot="1" x14ac:dyDescent="0.25">
      <c r="A926" s="6"/>
      <c r="B926" s="3"/>
      <c r="C926" s="31"/>
    </row>
    <row r="927" spans="1:3" ht="13.5" thickBot="1" x14ac:dyDescent="0.25">
      <c r="A927" s="6"/>
      <c r="B927" s="3"/>
      <c r="C927" s="31"/>
    </row>
    <row r="928" spans="1:3" ht="13.5" thickBot="1" x14ac:dyDescent="0.25">
      <c r="A928" s="6"/>
      <c r="B928" s="3"/>
      <c r="C928" s="31"/>
    </row>
    <row r="929" spans="1:3" ht="13.5" thickBot="1" x14ac:dyDescent="0.25">
      <c r="A929" s="6"/>
      <c r="B929" s="3"/>
      <c r="C929" s="31"/>
    </row>
    <row r="930" spans="1:3" ht="13.5" thickBot="1" x14ac:dyDescent="0.25">
      <c r="A930" s="6"/>
      <c r="B930" s="3"/>
      <c r="C930" s="31"/>
    </row>
    <row r="931" spans="1:3" ht="13.5" thickBot="1" x14ac:dyDescent="0.25">
      <c r="A931" s="6"/>
      <c r="B931" s="3"/>
      <c r="C931" s="31"/>
    </row>
    <row r="932" spans="1:3" ht="13.5" thickBot="1" x14ac:dyDescent="0.25">
      <c r="A932" s="6"/>
      <c r="B932" s="3"/>
      <c r="C932" s="31"/>
    </row>
    <row r="933" spans="1:3" ht="13.5" thickBot="1" x14ac:dyDescent="0.25">
      <c r="A933" s="6"/>
      <c r="B933" s="3"/>
      <c r="C933" s="31"/>
    </row>
    <row r="934" spans="1:3" ht="13.5" thickBot="1" x14ac:dyDescent="0.25">
      <c r="A934" s="6"/>
      <c r="B934" s="3"/>
      <c r="C934" s="31"/>
    </row>
    <row r="935" spans="1:3" ht="13.5" thickBot="1" x14ac:dyDescent="0.25">
      <c r="A935" s="6"/>
      <c r="B935" s="3"/>
      <c r="C935" s="31"/>
    </row>
    <row r="936" spans="1:3" ht="13.5" thickBot="1" x14ac:dyDescent="0.25">
      <c r="A936" s="6"/>
      <c r="B936" s="3"/>
      <c r="C936" s="31"/>
    </row>
    <row r="937" spans="1:3" ht="13.5" thickBot="1" x14ac:dyDescent="0.25">
      <c r="A937" s="6"/>
      <c r="B937" s="3"/>
      <c r="C937" s="31"/>
    </row>
    <row r="938" spans="1:3" ht="13.5" thickBot="1" x14ac:dyDescent="0.25">
      <c r="A938" s="6"/>
      <c r="B938" s="3"/>
      <c r="C938" s="31"/>
    </row>
    <row r="939" spans="1:3" ht="13.5" thickBot="1" x14ac:dyDescent="0.25">
      <c r="A939" s="6"/>
      <c r="B939" s="3"/>
      <c r="C939" s="31"/>
    </row>
    <row r="940" spans="1:3" ht="13.5" thickBot="1" x14ac:dyDescent="0.25">
      <c r="A940" s="6"/>
      <c r="B940" s="3"/>
      <c r="C940" s="31"/>
    </row>
    <row r="941" spans="1:3" ht="13.5" thickBot="1" x14ac:dyDescent="0.25">
      <c r="A941" s="6"/>
      <c r="B941" s="3"/>
      <c r="C941" s="31"/>
    </row>
    <row r="942" spans="1:3" ht="13.5" thickBot="1" x14ac:dyDescent="0.25">
      <c r="A942" s="6"/>
      <c r="B942" s="3"/>
      <c r="C942" s="31"/>
    </row>
    <row r="943" spans="1:3" ht="13.5" thickBot="1" x14ac:dyDescent="0.25">
      <c r="A943" s="6"/>
      <c r="B943" s="3"/>
      <c r="C943" s="31"/>
    </row>
    <row r="944" spans="1:3" ht="13.5" thickBot="1" x14ac:dyDescent="0.25">
      <c r="A944" s="6"/>
      <c r="B944" s="3"/>
      <c r="C944" s="31"/>
    </row>
    <row r="945" spans="1:3" ht="13.5" thickBot="1" x14ac:dyDescent="0.25">
      <c r="A945" s="6"/>
      <c r="B945" s="3"/>
      <c r="C945" s="31"/>
    </row>
    <row r="946" spans="1:3" ht="13.5" thickBot="1" x14ac:dyDescent="0.25">
      <c r="A946" s="6"/>
      <c r="B946" s="3"/>
      <c r="C946" s="31"/>
    </row>
    <row r="947" spans="1:3" ht="13.5" thickBot="1" x14ac:dyDescent="0.25">
      <c r="A947" s="6"/>
      <c r="B947" s="3"/>
      <c r="C947" s="31"/>
    </row>
    <row r="948" spans="1:3" ht="13.5" thickBot="1" x14ac:dyDescent="0.25">
      <c r="A948" s="6"/>
      <c r="B948" s="3"/>
      <c r="C948" s="31"/>
    </row>
    <row r="949" spans="1:3" ht="13.5" thickBot="1" x14ac:dyDescent="0.25">
      <c r="A949" s="6"/>
      <c r="B949" s="3"/>
      <c r="C949" s="31"/>
    </row>
    <row r="950" spans="1:3" ht="13.5" thickBot="1" x14ac:dyDescent="0.25">
      <c r="A950" s="6"/>
      <c r="B950" s="3"/>
      <c r="C950" s="31"/>
    </row>
    <row r="951" spans="1:3" ht="13.5" thickBot="1" x14ac:dyDescent="0.25">
      <c r="A951" s="6"/>
      <c r="B951" s="3"/>
      <c r="C951" s="31"/>
    </row>
    <row r="952" spans="1:3" ht="13.5" thickBot="1" x14ac:dyDescent="0.25">
      <c r="A952" s="6"/>
      <c r="B952" s="3"/>
      <c r="C952" s="31"/>
    </row>
    <row r="953" spans="1:3" ht="13.5" thickBot="1" x14ac:dyDescent="0.25">
      <c r="A953" s="6"/>
      <c r="B953" s="3"/>
      <c r="C953" s="31"/>
    </row>
    <row r="954" spans="1:3" ht="13.5" thickBot="1" x14ac:dyDescent="0.25">
      <c r="A954" s="6"/>
      <c r="B954" s="3"/>
      <c r="C954" s="31"/>
    </row>
    <row r="955" spans="1:3" ht="13.5" thickBot="1" x14ac:dyDescent="0.25">
      <c r="A955" s="6"/>
      <c r="B955" s="3"/>
      <c r="C955" s="31"/>
    </row>
    <row r="956" spans="1:3" ht="13.5" thickBot="1" x14ac:dyDescent="0.25">
      <c r="A956" s="6"/>
      <c r="B956" s="3"/>
      <c r="C956" s="31"/>
    </row>
    <row r="957" spans="1:3" ht="13.5" thickBot="1" x14ac:dyDescent="0.25">
      <c r="A957" s="6"/>
      <c r="B957" s="3"/>
      <c r="C957" s="31"/>
    </row>
    <row r="958" spans="1:3" ht="13.5" thickBot="1" x14ac:dyDescent="0.25">
      <c r="A958" s="6"/>
      <c r="B958" s="3"/>
      <c r="C958" s="31"/>
    </row>
    <row r="959" spans="1:3" ht="13.5" thickBot="1" x14ac:dyDescent="0.25">
      <c r="A959" s="6"/>
      <c r="B959" s="3"/>
      <c r="C959" s="31"/>
    </row>
    <row r="960" spans="1:3" ht="13.5" thickBot="1" x14ac:dyDescent="0.25">
      <c r="A960" s="6"/>
      <c r="B960" s="3"/>
      <c r="C960" s="31"/>
    </row>
    <row r="961" spans="1:3" ht="13.5" thickBot="1" x14ac:dyDescent="0.25">
      <c r="A961" s="6"/>
      <c r="B961" s="3"/>
      <c r="C961" s="31"/>
    </row>
    <row r="962" spans="1:3" ht="13.5" thickBot="1" x14ac:dyDescent="0.25">
      <c r="A962" s="6"/>
      <c r="B962" s="3"/>
      <c r="C962" s="31"/>
    </row>
    <row r="963" spans="1:3" ht="13.5" thickBot="1" x14ac:dyDescent="0.25">
      <c r="A963" s="6"/>
      <c r="B963" s="3"/>
      <c r="C963" s="31"/>
    </row>
    <row r="964" spans="1:3" ht="13.5" thickBot="1" x14ac:dyDescent="0.25">
      <c r="A964" s="6"/>
      <c r="B964" s="3"/>
      <c r="C964" s="31"/>
    </row>
    <row r="965" spans="1:3" ht="13.5" thickBot="1" x14ac:dyDescent="0.25">
      <c r="A965" s="6"/>
      <c r="B965" s="3"/>
      <c r="C965" s="31"/>
    </row>
    <row r="966" spans="1:3" ht="13.5" thickBot="1" x14ac:dyDescent="0.25">
      <c r="A966" s="6"/>
      <c r="B966" s="3"/>
      <c r="C966" s="31"/>
    </row>
    <row r="967" spans="1:3" ht="13.5" thickBot="1" x14ac:dyDescent="0.25">
      <c r="A967" s="6"/>
      <c r="B967" s="3"/>
      <c r="C967" s="31"/>
    </row>
    <row r="968" spans="1:3" ht="13.5" thickBot="1" x14ac:dyDescent="0.25">
      <c r="A968" s="6"/>
      <c r="B968" s="3"/>
      <c r="C968" s="31"/>
    </row>
    <row r="969" spans="1:3" ht="13.5" thickBot="1" x14ac:dyDescent="0.25">
      <c r="A969" s="6"/>
      <c r="B969" s="3"/>
      <c r="C969" s="31"/>
    </row>
    <row r="970" spans="1:3" ht="13.5" thickBot="1" x14ac:dyDescent="0.25">
      <c r="A970" s="6"/>
      <c r="B970" s="3"/>
      <c r="C970" s="31"/>
    </row>
    <row r="971" spans="1:3" ht="13.5" thickBot="1" x14ac:dyDescent="0.25">
      <c r="A971" s="6"/>
      <c r="B971" s="3"/>
      <c r="C971" s="31"/>
    </row>
    <row r="972" spans="1:3" ht="13.5" thickBot="1" x14ac:dyDescent="0.25">
      <c r="A972" s="6"/>
      <c r="B972" s="3"/>
      <c r="C972" s="31"/>
    </row>
    <row r="973" spans="1:3" ht="13.5" thickBot="1" x14ac:dyDescent="0.25">
      <c r="A973" s="6"/>
      <c r="B973" s="3"/>
      <c r="C973" s="31"/>
    </row>
    <row r="974" spans="1:3" ht="13.5" thickBot="1" x14ac:dyDescent="0.25">
      <c r="A974" s="6"/>
      <c r="B974" s="3"/>
      <c r="C974" s="31"/>
    </row>
    <row r="975" spans="1:3" ht="13.5" thickBot="1" x14ac:dyDescent="0.25">
      <c r="A975" s="6"/>
      <c r="B975" s="3"/>
      <c r="C975" s="31"/>
    </row>
    <row r="976" spans="1:3" ht="13.5" thickBot="1" x14ac:dyDescent="0.25">
      <c r="A976" s="6"/>
      <c r="B976" s="3"/>
      <c r="C976" s="31"/>
    </row>
    <row r="977" spans="1:3" ht="13.5" thickBot="1" x14ac:dyDescent="0.25">
      <c r="A977" s="6"/>
      <c r="B977" s="3"/>
      <c r="C977" s="31"/>
    </row>
    <row r="978" spans="1:3" ht="13.5" thickBot="1" x14ac:dyDescent="0.25">
      <c r="A978" s="6"/>
      <c r="B978" s="3"/>
      <c r="C978" s="31"/>
    </row>
    <row r="979" spans="1:3" ht="13.5" thickBot="1" x14ac:dyDescent="0.25">
      <c r="A979" s="6"/>
      <c r="B979" s="3"/>
      <c r="C979" s="31"/>
    </row>
    <row r="980" spans="1:3" ht="13.5" thickBot="1" x14ac:dyDescent="0.25">
      <c r="A980" s="6"/>
      <c r="B980" s="3"/>
      <c r="C980" s="31"/>
    </row>
    <row r="981" spans="1:3" ht="13.5" thickBot="1" x14ac:dyDescent="0.25">
      <c r="A981" s="6"/>
      <c r="B981" s="3"/>
      <c r="C981" s="31"/>
    </row>
    <row r="982" spans="1:3" ht="13.5" thickBot="1" x14ac:dyDescent="0.25">
      <c r="A982" s="6"/>
      <c r="B982" s="3"/>
      <c r="C982" s="31"/>
    </row>
    <row r="983" spans="1:3" ht="13.5" thickBot="1" x14ac:dyDescent="0.25">
      <c r="A983" s="6"/>
      <c r="B983" s="3"/>
      <c r="C983" s="31"/>
    </row>
    <row r="984" spans="1:3" ht="13.5" thickBot="1" x14ac:dyDescent="0.25">
      <c r="A984" s="6"/>
      <c r="B984" s="3"/>
      <c r="C984" s="31"/>
    </row>
    <row r="985" spans="1:3" ht="13.5" thickBot="1" x14ac:dyDescent="0.25">
      <c r="A985" s="6"/>
      <c r="B985" s="3"/>
      <c r="C985" s="31"/>
    </row>
    <row r="986" spans="1:3" ht="13.5" thickBot="1" x14ac:dyDescent="0.25">
      <c r="A986" s="6"/>
      <c r="B986" s="3"/>
      <c r="C986" s="31"/>
    </row>
    <row r="987" spans="1:3" ht="13.5" thickBot="1" x14ac:dyDescent="0.25">
      <c r="A987" s="6"/>
      <c r="B987" s="3"/>
      <c r="C987" s="31"/>
    </row>
    <row r="988" spans="1:3" ht="13.5" thickBot="1" x14ac:dyDescent="0.25">
      <c r="A988" s="6"/>
      <c r="B988" s="3"/>
      <c r="C988" s="31"/>
    </row>
    <row r="989" spans="1:3" ht="13.5" thickBot="1" x14ac:dyDescent="0.25">
      <c r="A989" s="6"/>
      <c r="B989" s="3"/>
      <c r="C989" s="31"/>
    </row>
    <row r="990" spans="1:3" ht="13.5" thickBot="1" x14ac:dyDescent="0.25">
      <c r="A990" s="6"/>
      <c r="B990" s="3"/>
      <c r="C990" s="31"/>
    </row>
    <row r="991" spans="1:3" ht="13.5" thickBot="1" x14ac:dyDescent="0.25">
      <c r="A991" s="6"/>
      <c r="B991" s="3"/>
      <c r="C991" s="31"/>
    </row>
    <row r="992" spans="1:3" ht="13.5" thickBot="1" x14ac:dyDescent="0.25">
      <c r="A992" s="6"/>
      <c r="B992" s="3"/>
      <c r="C992" s="31"/>
    </row>
    <row r="993" spans="1:3" ht="13.5" thickBot="1" x14ac:dyDescent="0.25">
      <c r="A993" s="6"/>
      <c r="B993" s="3"/>
      <c r="C993" s="31"/>
    </row>
    <row r="994" spans="1:3" ht="13.5" thickBot="1" x14ac:dyDescent="0.25">
      <c r="A994" s="6"/>
      <c r="B994" s="3"/>
      <c r="C994" s="31"/>
    </row>
    <row r="995" spans="1:3" ht="13.5" thickBot="1" x14ac:dyDescent="0.25">
      <c r="A995" s="6"/>
      <c r="B995" s="3"/>
      <c r="C995" s="31"/>
    </row>
    <row r="996" spans="1:3" ht="13.5" thickBot="1" x14ac:dyDescent="0.25">
      <c r="A996" s="6"/>
      <c r="B996" s="3"/>
      <c r="C996" s="31"/>
    </row>
    <row r="997" spans="1:3" ht="13.5" thickBot="1" x14ac:dyDescent="0.25">
      <c r="A997" s="6"/>
      <c r="B997" s="3"/>
      <c r="C997" s="31"/>
    </row>
    <row r="998" spans="1:3" ht="13.5" thickBot="1" x14ac:dyDescent="0.25">
      <c r="A998" s="6"/>
      <c r="B998" s="3"/>
      <c r="C998" s="31"/>
    </row>
    <row r="999" spans="1:3" ht="13.5" thickBot="1" x14ac:dyDescent="0.25">
      <c r="A999" s="6"/>
      <c r="B999" s="3"/>
      <c r="C999" s="31"/>
    </row>
    <row r="1000" spans="1:3" ht="13.5" thickBot="1" x14ac:dyDescent="0.25">
      <c r="A1000" s="6"/>
      <c r="B1000" s="3"/>
      <c r="C1000" s="3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>
      <selection activeCell="D2" sqref="D2"/>
    </sheetView>
  </sheetViews>
  <sheetFormatPr defaultColWidth="12.5703125" defaultRowHeight="15.75" customHeight="1" x14ac:dyDescent="0.2"/>
  <sheetData>
    <row r="1" spans="1:26" x14ac:dyDescent="0.2">
      <c r="A1" s="8" t="s">
        <v>16</v>
      </c>
      <c r="B1" s="14" t="s">
        <v>17</v>
      </c>
      <c r="C1" s="15" t="s">
        <v>18</v>
      </c>
      <c r="D1" s="15" t="s">
        <v>19</v>
      </c>
      <c r="E1" s="15" t="s">
        <v>20</v>
      </c>
      <c r="F1" s="16" t="s">
        <v>21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11">
        <v>45292</v>
      </c>
      <c r="B2" s="17">
        <f ca="1">IFERROR(__xludf.DUMMYFUNCTION("COUNTUNIQUEIFS(purchases!$A$2:$A$2001,purchases!$F$2:$F$2001,A2)"),295)</f>
        <v>295</v>
      </c>
      <c r="C2" s="18">
        <f ca="1">AVERAGEIFS(dau!$B$2:$B$190,dau!$C$2:$C$190,A2)</f>
        <v>9.8333333333333339</v>
      </c>
      <c r="D2" s="18">
        <f ca="1">AVERAGEIFS(wau!$B$2:$B$29,wau!$C$2:$C$29,A2)</f>
        <v>68.400000000000006</v>
      </c>
      <c r="E2" s="18">
        <f t="shared" ref="E2:E8" ca="1" si="0">C2/B2</f>
        <v>3.3333333333333333E-2</v>
      </c>
      <c r="F2" s="19">
        <f t="shared" ref="F2:F8" ca="1" si="1">D2/B2</f>
        <v>0.23186440677966103</v>
      </c>
    </row>
    <row r="3" spans="1:26" x14ac:dyDescent="0.2">
      <c r="A3" s="11">
        <v>45323</v>
      </c>
      <c r="B3" s="17">
        <f ca="1">IFERROR(__xludf.DUMMYFUNCTION("COUNTUNIQUEIFS(purchases!$A$2:$A$2001,purchases!$F$2:$F$2001,A3)"),319)</f>
        <v>319</v>
      </c>
      <c r="C3" s="18">
        <f ca="1">AVERAGEIFS(dau!$B$2:$B$190,dau!$C$2:$C$190,A3)</f>
        <v>11</v>
      </c>
      <c r="D3" s="18">
        <f ca="1">AVERAGEIFS(wau!$B$2:$B$29,wau!$C$2:$C$29,A3)</f>
        <v>75.75</v>
      </c>
      <c r="E3" s="18">
        <f t="shared" ca="1" si="0"/>
        <v>3.4482758620689655E-2</v>
      </c>
      <c r="F3" s="19">
        <f t="shared" ca="1" si="1"/>
        <v>0.23746081504702193</v>
      </c>
    </row>
    <row r="4" spans="1:26" x14ac:dyDescent="0.2">
      <c r="A4" s="11">
        <v>45352</v>
      </c>
      <c r="B4" s="17">
        <f ca="1">IFERROR(__xludf.DUMMYFUNCTION("COUNTUNIQUEIFS(purchases!$A$2:$A$2001,purchases!$F$2:$F$2001,A4)"),377)</f>
        <v>377</v>
      </c>
      <c r="C4" s="18">
        <f ca="1">AVERAGEIFS(dau!$B$2:$B$190,dau!$C$2:$C$190,A4)</f>
        <v>12.161290322580646</v>
      </c>
      <c r="D4" s="18">
        <f ca="1">AVERAGEIFS(wau!$B$2:$B$29,wau!$C$2:$C$29,A4)</f>
        <v>86.5</v>
      </c>
      <c r="E4" s="18">
        <f t="shared" ca="1" si="0"/>
        <v>3.2258064516129031E-2</v>
      </c>
      <c r="F4" s="19">
        <f t="shared" ca="1" si="1"/>
        <v>0.22944297082228116</v>
      </c>
    </row>
    <row r="5" spans="1:26" x14ac:dyDescent="0.2">
      <c r="A5" s="11">
        <v>45383</v>
      </c>
      <c r="B5" s="17">
        <f ca="1">IFERROR(__xludf.DUMMYFUNCTION("COUNTUNIQUEIFS(purchases!$A$2:$A$2001,purchases!$F$2:$F$2001,A5)"),318)</f>
        <v>318</v>
      </c>
      <c r="C5" s="18">
        <f ca="1">AVERAGEIFS(dau!$B$2:$B$190,dau!$C$2:$C$190,A5)</f>
        <v>10.6</v>
      </c>
      <c r="D5" s="18">
        <f ca="1">AVERAGEIFS(wau!$B$2:$B$29,wau!$C$2:$C$29,A5)</f>
        <v>73.2</v>
      </c>
      <c r="E5" s="18">
        <f t="shared" ca="1" si="0"/>
        <v>3.3333333333333333E-2</v>
      </c>
      <c r="F5" s="19">
        <f t="shared" ca="1" si="1"/>
        <v>0.23018867924528302</v>
      </c>
    </row>
    <row r="6" spans="1:26" x14ac:dyDescent="0.2">
      <c r="A6" s="11">
        <v>45413</v>
      </c>
      <c r="B6" s="17">
        <f ca="1">IFERROR(__xludf.DUMMYFUNCTION("COUNTUNIQUEIFS(purchases!$A$2:$A$2001,purchases!$F$2:$F$2001,A6)"),316)</f>
        <v>316</v>
      </c>
      <c r="C6" s="18">
        <f ca="1">AVERAGEIFS(dau!$B$2:$B$190,dau!$C$2:$C$190,A6)</f>
        <v>10.193548387096774</v>
      </c>
      <c r="D6" s="18">
        <f ca="1">AVERAGEIFS(wau!$B$2:$B$29,wau!$C$2:$C$29,A6)</f>
        <v>72.25</v>
      </c>
      <c r="E6" s="18">
        <f t="shared" ca="1" si="0"/>
        <v>3.2258064516129031E-2</v>
      </c>
      <c r="F6" s="19">
        <f t="shared" ca="1" si="1"/>
        <v>0.22863924050632911</v>
      </c>
    </row>
    <row r="7" spans="1:26" x14ac:dyDescent="0.2">
      <c r="A7" s="11">
        <v>45444</v>
      </c>
      <c r="B7" s="17">
        <f ca="1">IFERROR(__xludf.DUMMYFUNCTION("COUNTUNIQUEIFS(purchases!$A$2:$A$2001,purchases!$F$2:$F$2001,A7)"),305)</f>
        <v>305</v>
      </c>
      <c r="C7" s="18">
        <f ca="1">AVERAGEIFS(dau!$B$2:$B$190,dau!$C$2:$C$190,A7)</f>
        <v>10.166666666666666</v>
      </c>
      <c r="D7" s="18">
        <f ca="1">AVERAGEIFS(wau!$B$2:$B$29,wau!$C$2:$C$29,A7)</f>
        <v>71</v>
      </c>
      <c r="E7" s="18">
        <f t="shared" ca="1" si="0"/>
        <v>3.3333333333333333E-2</v>
      </c>
      <c r="F7" s="19">
        <f t="shared" ca="1" si="1"/>
        <v>0.23278688524590163</v>
      </c>
    </row>
    <row r="8" spans="1:26" x14ac:dyDescent="0.2">
      <c r="A8" s="11">
        <v>45474</v>
      </c>
      <c r="B8" s="17">
        <f ca="1">IFERROR(__xludf.DUMMYFUNCTION("COUNTUNIQUEIFS(purchases!$A$2:$A$2001,purchases!$F$2:$F$2001,A8)"),70)</f>
        <v>70</v>
      </c>
      <c r="C8" s="18">
        <f ca="1">AVERAGEIFS(dau!$B$2:$B$190,dau!$C$2:$C$190,A8)</f>
        <v>8.75</v>
      </c>
      <c r="D8" s="18">
        <f ca="1">AVERAGEIFS(wau!$B$2:$B$29,wau!$C$2:$C$29,A8)</f>
        <v>35</v>
      </c>
      <c r="E8" s="18">
        <f t="shared" ca="1" si="0"/>
        <v>0.125</v>
      </c>
      <c r="F8" s="19">
        <f t="shared" ca="1" si="1"/>
        <v>0.5</v>
      </c>
    </row>
    <row r="9" spans="1:26" x14ac:dyDescent="0.2">
      <c r="A9" s="7"/>
      <c r="B9" s="20"/>
      <c r="C9" s="23" t="s">
        <v>22</v>
      </c>
      <c r="D9" s="24"/>
      <c r="E9" s="24"/>
      <c r="F9" s="25"/>
    </row>
    <row r="10" spans="1:26" x14ac:dyDescent="0.2">
      <c r="A10" s="7"/>
      <c r="B10" s="20"/>
      <c r="C10" s="21"/>
      <c r="D10" s="21"/>
      <c r="E10" s="21"/>
      <c r="F10" s="21"/>
    </row>
    <row r="11" spans="1:26" x14ac:dyDescent="0.2">
      <c r="A11" s="7"/>
      <c r="B11" s="20"/>
      <c r="C11" s="21"/>
      <c r="D11" s="21"/>
      <c r="E11" s="21"/>
      <c r="F11" s="21"/>
    </row>
    <row r="12" spans="1:26" x14ac:dyDescent="0.2">
      <c r="A12" s="7"/>
      <c r="B12" s="20"/>
      <c r="C12" s="21"/>
      <c r="D12" s="21"/>
      <c r="E12" s="21"/>
      <c r="F12" s="21"/>
    </row>
    <row r="13" spans="1:26" x14ac:dyDescent="0.2">
      <c r="A13" s="7"/>
      <c r="B13" s="20"/>
      <c r="C13" s="21"/>
      <c r="D13" s="21"/>
      <c r="E13" s="21"/>
      <c r="F13" s="21"/>
    </row>
    <row r="14" spans="1:26" x14ac:dyDescent="0.2">
      <c r="A14" s="7"/>
      <c r="B14" s="20"/>
      <c r="C14" s="21"/>
      <c r="D14" s="21"/>
      <c r="E14" s="21"/>
      <c r="F14" s="21"/>
    </row>
    <row r="15" spans="1:26" x14ac:dyDescent="0.2">
      <c r="A15" s="7"/>
      <c r="B15" s="20"/>
      <c r="C15" s="21"/>
      <c r="D15" s="21"/>
      <c r="E15" s="21"/>
      <c r="F15" s="21"/>
    </row>
    <row r="16" spans="1:26" x14ac:dyDescent="0.2">
      <c r="A16" s="7"/>
      <c r="B16" s="20"/>
      <c r="C16" s="21"/>
      <c r="D16" s="21"/>
      <c r="E16" s="21"/>
      <c r="F16" s="21"/>
    </row>
    <row r="17" spans="1:6" x14ac:dyDescent="0.2">
      <c r="A17" s="7"/>
      <c r="B17" s="20"/>
      <c r="C17" s="21"/>
      <c r="D17" s="21"/>
      <c r="E17" s="21"/>
      <c r="F17" s="21"/>
    </row>
    <row r="18" spans="1:6" x14ac:dyDescent="0.2">
      <c r="A18" s="7"/>
      <c r="B18" s="20"/>
      <c r="C18" s="21"/>
      <c r="D18" s="21"/>
      <c r="E18" s="21"/>
      <c r="F18" s="21"/>
    </row>
    <row r="19" spans="1:6" x14ac:dyDescent="0.2">
      <c r="A19" s="7"/>
      <c r="B19" s="20"/>
      <c r="C19" s="21"/>
      <c r="D19" s="21"/>
      <c r="E19" s="21"/>
      <c r="F19" s="21"/>
    </row>
    <row r="20" spans="1:6" x14ac:dyDescent="0.2">
      <c r="A20" s="7"/>
      <c r="B20" s="20"/>
      <c r="C20" s="21"/>
      <c r="D20" s="21"/>
      <c r="E20" s="21"/>
      <c r="F20" s="21"/>
    </row>
    <row r="21" spans="1:6" x14ac:dyDescent="0.2">
      <c r="A21" s="7"/>
      <c r="B21" s="20"/>
      <c r="C21" s="21"/>
      <c r="D21" s="21"/>
      <c r="E21" s="21"/>
      <c r="F21" s="21"/>
    </row>
    <row r="22" spans="1:6" x14ac:dyDescent="0.2">
      <c r="A22" s="7"/>
      <c r="B22" s="20"/>
      <c r="C22" s="21"/>
      <c r="D22" s="21"/>
      <c r="E22" s="21"/>
      <c r="F22" s="21"/>
    </row>
    <row r="23" spans="1:6" x14ac:dyDescent="0.2">
      <c r="A23" s="7"/>
      <c r="B23" s="20"/>
      <c r="C23" s="21"/>
      <c r="D23" s="21"/>
      <c r="E23" s="21"/>
      <c r="F23" s="21"/>
    </row>
    <row r="24" spans="1:6" x14ac:dyDescent="0.2">
      <c r="A24" s="7"/>
      <c r="B24" s="20"/>
      <c r="C24" s="21"/>
      <c r="D24" s="21"/>
      <c r="E24" s="21"/>
      <c r="F24" s="21"/>
    </row>
    <row r="25" spans="1:6" x14ac:dyDescent="0.2">
      <c r="A25" s="7"/>
      <c r="B25" s="20"/>
      <c r="C25" s="21"/>
      <c r="D25" s="21"/>
      <c r="E25" s="21"/>
      <c r="F25" s="21"/>
    </row>
    <row r="26" spans="1:6" x14ac:dyDescent="0.2">
      <c r="A26" s="7"/>
      <c r="B26" s="20"/>
      <c r="C26" s="21"/>
      <c r="D26" s="21"/>
      <c r="E26" s="21"/>
      <c r="F26" s="21"/>
    </row>
    <row r="27" spans="1:6" x14ac:dyDescent="0.2">
      <c r="A27" s="7"/>
      <c r="B27" s="20"/>
      <c r="C27" s="21"/>
      <c r="D27" s="21"/>
      <c r="E27" s="21"/>
      <c r="F27" s="21"/>
    </row>
    <row r="28" spans="1:6" x14ac:dyDescent="0.2">
      <c r="A28" s="7"/>
      <c r="B28" s="20"/>
      <c r="C28" s="21"/>
      <c r="D28" s="21"/>
      <c r="E28" s="21"/>
      <c r="F28" s="21"/>
    </row>
    <row r="29" spans="1:6" x14ac:dyDescent="0.2">
      <c r="A29" s="7"/>
      <c r="B29" s="20"/>
      <c r="C29" s="21"/>
      <c r="D29" s="21"/>
      <c r="E29" s="21"/>
      <c r="F29" s="21"/>
    </row>
    <row r="30" spans="1:6" x14ac:dyDescent="0.2">
      <c r="A30" s="7"/>
      <c r="B30" s="20"/>
      <c r="C30" s="21"/>
      <c r="D30" s="21"/>
      <c r="E30" s="21"/>
      <c r="F30" s="21"/>
    </row>
    <row r="31" spans="1:6" x14ac:dyDescent="0.2">
      <c r="A31" s="7"/>
      <c r="B31" s="20"/>
      <c r="C31" s="21"/>
      <c r="D31" s="21"/>
      <c r="E31" s="21"/>
      <c r="F31" s="21"/>
    </row>
    <row r="32" spans="1:6" x14ac:dyDescent="0.2">
      <c r="A32" s="7"/>
      <c r="B32" s="20"/>
      <c r="C32" s="21"/>
      <c r="D32" s="21"/>
      <c r="E32" s="21"/>
      <c r="F32" s="21"/>
    </row>
    <row r="33" spans="1:6" x14ac:dyDescent="0.2">
      <c r="A33" s="7"/>
      <c r="B33" s="20"/>
      <c r="C33" s="21"/>
      <c r="D33" s="21"/>
      <c r="E33" s="21"/>
      <c r="F33" s="21"/>
    </row>
    <row r="34" spans="1:6" x14ac:dyDescent="0.2">
      <c r="A34" s="7"/>
      <c r="B34" s="20"/>
      <c r="C34" s="21"/>
      <c r="D34" s="21"/>
      <c r="E34" s="21"/>
      <c r="F34" s="21"/>
    </row>
    <row r="35" spans="1:6" x14ac:dyDescent="0.2">
      <c r="A35" s="7"/>
      <c r="B35" s="20"/>
      <c r="C35" s="21"/>
      <c r="D35" s="21"/>
      <c r="E35" s="21"/>
      <c r="F35" s="21"/>
    </row>
    <row r="36" spans="1:6" x14ac:dyDescent="0.2">
      <c r="A36" s="7"/>
      <c r="B36" s="20"/>
      <c r="C36" s="21"/>
      <c r="D36" s="21"/>
      <c r="E36" s="21"/>
      <c r="F36" s="21"/>
    </row>
    <row r="37" spans="1:6" x14ac:dyDescent="0.2">
      <c r="A37" s="7"/>
      <c r="B37" s="20"/>
      <c r="C37" s="21"/>
      <c r="D37" s="21"/>
      <c r="E37" s="21"/>
      <c r="F37" s="21"/>
    </row>
    <row r="38" spans="1:6" x14ac:dyDescent="0.2">
      <c r="A38" s="7"/>
      <c r="B38" s="20"/>
      <c r="C38" s="21"/>
      <c r="D38" s="21"/>
      <c r="E38" s="21"/>
      <c r="F38" s="21"/>
    </row>
    <row r="39" spans="1:6" x14ac:dyDescent="0.2">
      <c r="A39" s="7"/>
      <c r="B39" s="20"/>
      <c r="C39" s="21"/>
      <c r="D39" s="21"/>
      <c r="E39" s="21"/>
      <c r="F39" s="21"/>
    </row>
    <row r="40" spans="1:6" x14ac:dyDescent="0.2">
      <c r="A40" s="7"/>
      <c r="B40" s="20"/>
      <c r="C40" s="21"/>
      <c r="D40" s="21"/>
      <c r="E40" s="21"/>
      <c r="F40" s="21"/>
    </row>
    <row r="41" spans="1:6" x14ac:dyDescent="0.2">
      <c r="A41" s="7"/>
      <c r="B41" s="20"/>
      <c r="C41" s="21"/>
      <c r="D41" s="21"/>
      <c r="E41" s="21"/>
      <c r="F41" s="21"/>
    </row>
    <row r="42" spans="1:6" x14ac:dyDescent="0.2">
      <c r="A42" s="7"/>
      <c r="B42" s="20"/>
      <c r="C42" s="21"/>
      <c r="D42" s="21"/>
      <c r="E42" s="21"/>
      <c r="F42" s="21"/>
    </row>
    <row r="43" spans="1:6" x14ac:dyDescent="0.2">
      <c r="A43" s="7"/>
      <c r="B43" s="20"/>
      <c r="C43" s="21"/>
      <c r="D43" s="21"/>
      <c r="E43" s="21"/>
      <c r="F43" s="21"/>
    </row>
    <row r="44" spans="1:6" x14ac:dyDescent="0.2">
      <c r="A44" s="7"/>
      <c r="B44" s="20"/>
      <c r="C44" s="21"/>
      <c r="D44" s="21"/>
      <c r="E44" s="21"/>
      <c r="F44" s="21"/>
    </row>
    <row r="45" spans="1:6" x14ac:dyDescent="0.2">
      <c r="A45" s="7"/>
      <c r="B45" s="20"/>
      <c r="C45" s="21"/>
      <c r="D45" s="21"/>
      <c r="E45" s="21"/>
      <c r="F45" s="21"/>
    </row>
    <row r="46" spans="1:6" x14ac:dyDescent="0.2">
      <c r="A46" s="7"/>
      <c r="B46" s="20"/>
      <c r="C46" s="21"/>
      <c r="D46" s="21"/>
      <c r="E46" s="21"/>
      <c r="F46" s="21"/>
    </row>
    <row r="47" spans="1:6" x14ac:dyDescent="0.2">
      <c r="A47" s="7"/>
      <c r="B47" s="20"/>
      <c r="C47" s="21"/>
      <c r="D47" s="21"/>
      <c r="E47" s="21"/>
      <c r="F47" s="21"/>
    </row>
    <row r="48" spans="1:6" x14ac:dyDescent="0.2">
      <c r="A48" s="7"/>
      <c r="B48" s="20"/>
      <c r="C48" s="21"/>
      <c r="D48" s="21"/>
      <c r="E48" s="21"/>
      <c r="F48" s="21"/>
    </row>
    <row r="49" spans="1:6" x14ac:dyDescent="0.2">
      <c r="A49" s="7"/>
      <c r="B49" s="20"/>
      <c r="C49" s="21"/>
      <c r="D49" s="21"/>
      <c r="E49" s="21"/>
      <c r="F49" s="21"/>
    </row>
    <row r="50" spans="1:6" x14ac:dyDescent="0.2">
      <c r="A50" s="7"/>
      <c r="B50" s="20"/>
      <c r="C50" s="21"/>
      <c r="D50" s="21"/>
      <c r="E50" s="21"/>
      <c r="F50" s="21"/>
    </row>
    <row r="51" spans="1:6" x14ac:dyDescent="0.2">
      <c r="A51" s="7"/>
      <c r="B51" s="20"/>
      <c r="C51" s="21"/>
      <c r="D51" s="21"/>
      <c r="E51" s="21"/>
      <c r="F51" s="21"/>
    </row>
    <row r="52" spans="1:6" x14ac:dyDescent="0.2">
      <c r="A52" s="7"/>
      <c r="B52" s="20"/>
      <c r="C52" s="21"/>
      <c r="D52" s="21"/>
      <c r="E52" s="21"/>
      <c r="F52" s="21"/>
    </row>
    <row r="53" spans="1:6" x14ac:dyDescent="0.2">
      <c r="A53" s="7"/>
      <c r="B53" s="20"/>
      <c r="C53" s="21"/>
      <c r="D53" s="21"/>
      <c r="E53" s="21"/>
      <c r="F53" s="21"/>
    </row>
    <row r="54" spans="1:6" x14ac:dyDescent="0.2">
      <c r="A54" s="7"/>
      <c r="B54" s="20"/>
      <c r="C54" s="21"/>
      <c r="D54" s="21"/>
      <c r="E54" s="21"/>
      <c r="F54" s="21"/>
    </row>
    <row r="55" spans="1:6" x14ac:dyDescent="0.2">
      <c r="A55" s="7"/>
      <c r="B55" s="20"/>
      <c r="C55" s="21"/>
      <c r="D55" s="21"/>
      <c r="E55" s="21"/>
      <c r="F55" s="21"/>
    </row>
    <row r="56" spans="1:6" x14ac:dyDescent="0.2">
      <c r="A56" s="7"/>
      <c r="B56" s="20"/>
      <c r="C56" s="21"/>
      <c r="D56" s="21"/>
      <c r="E56" s="21"/>
      <c r="F56" s="21"/>
    </row>
    <row r="57" spans="1:6" x14ac:dyDescent="0.2">
      <c r="A57" s="7"/>
      <c r="B57" s="20"/>
      <c r="C57" s="21"/>
      <c r="D57" s="21"/>
      <c r="E57" s="21"/>
      <c r="F57" s="21"/>
    </row>
    <row r="58" spans="1:6" x14ac:dyDescent="0.2">
      <c r="A58" s="7"/>
      <c r="B58" s="20"/>
      <c r="C58" s="21"/>
      <c r="D58" s="21"/>
      <c r="E58" s="21"/>
      <c r="F58" s="21"/>
    </row>
    <row r="59" spans="1:6" x14ac:dyDescent="0.2">
      <c r="A59" s="7"/>
      <c r="B59" s="20"/>
      <c r="C59" s="21"/>
      <c r="D59" s="21"/>
      <c r="E59" s="21"/>
      <c r="F59" s="21"/>
    </row>
    <row r="60" spans="1:6" x14ac:dyDescent="0.2">
      <c r="A60" s="7"/>
      <c r="B60" s="20"/>
      <c r="C60" s="21"/>
      <c r="D60" s="21"/>
      <c r="E60" s="21"/>
      <c r="F60" s="21"/>
    </row>
    <row r="61" spans="1:6" x14ac:dyDescent="0.2">
      <c r="A61" s="7"/>
      <c r="B61" s="20"/>
      <c r="C61" s="21"/>
      <c r="D61" s="21"/>
      <c r="E61" s="21"/>
      <c r="F61" s="21"/>
    </row>
    <row r="62" spans="1:6" x14ac:dyDescent="0.2">
      <c r="A62" s="7"/>
      <c r="B62" s="20"/>
      <c r="C62" s="21"/>
      <c r="D62" s="21"/>
      <c r="E62" s="21"/>
      <c r="F62" s="21"/>
    </row>
    <row r="63" spans="1:6" x14ac:dyDescent="0.2">
      <c r="A63" s="7"/>
      <c r="B63" s="20"/>
      <c r="C63" s="21"/>
      <c r="D63" s="21"/>
      <c r="E63" s="21"/>
      <c r="F63" s="21"/>
    </row>
    <row r="64" spans="1:6" x14ac:dyDescent="0.2">
      <c r="A64" s="7"/>
      <c r="B64" s="20"/>
      <c r="C64" s="21"/>
      <c r="D64" s="21"/>
      <c r="E64" s="21"/>
      <c r="F64" s="21"/>
    </row>
    <row r="65" spans="1:6" x14ac:dyDescent="0.2">
      <c r="A65" s="7"/>
      <c r="B65" s="20"/>
      <c r="C65" s="21"/>
      <c r="D65" s="21"/>
      <c r="E65" s="21"/>
      <c r="F65" s="21"/>
    </row>
    <row r="66" spans="1:6" x14ac:dyDescent="0.2">
      <c r="A66" s="7"/>
      <c r="B66" s="20"/>
      <c r="C66" s="21"/>
      <c r="D66" s="21"/>
      <c r="E66" s="21"/>
      <c r="F66" s="21"/>
    </row>
    <row r="67" spans="1:6" x14ac:dyDescent="0.2">
      <c r="A67" s="7"/>
      <c r="B67" s="20"/>
      <c r="C67" s="21"/>
      <c r="D67" s="21"/>
      <c r="E67" s="21"/>
      <c r="F67" s="21"/>
    </row>
    <row r="68" spans="1:6" x14ac:dyDescent="0.2">
      <c r="A68" s="7"/>
      <c r="B68" s="20"/>
      <c r="C68" s="21"/>
      <c r="D68" s="21"/>
      <c r="E68" s="21"/>
      <c r="F68" s="21"/>
    </row>
    <row r="69" spans="1:6" x14ac:dyDescent="0.2">
      <c r="A69" s="7"/>
      <c r="B69" s="20"/>
      <c r="C69" s="21"/>
      <c r="D69" s="21"/>
      <c r="E69" s="21"/>
      <c r="F69" s="21"/>
    </row>
    <row r="70" spans="1:6" x14ac:dyDescent="0.2">
      <c r="A70" s="7"/>
      <c r="B70" s="20"/>
      <c r="C70" s="21"/>
      <c r="D70" s="21"/>
      <c r="E70" s="21"/>
      <c r="F70" s="21"/>
    </row>
    <row r="71" spans="1:6" x14ac:dyDescent="0.2">
      <c r="A71" s="7"/>
      <c r="B71" s="20"/>
      <c r="C71" s="21"/>
      <c r="D71" s="21"/>
      <c r="E71" s="21"/>
      <c r="F71" s="21"/>
    </row>
    <row r="72" spans="1:6" x14ac:dyDescent="0.2">
      <c r="A72" s="7"/>
      <c r="B72" s="20"/>
      <c r="C72" s="21"/>
      <c r="D72" s="21"/>
      <c r="E72" s="21"/>
      <c r="F72" s="21"/>
    </row>
    <row r="73" spans="1:6" x14ac:dyDescent="0.2">
      <c r="A73" s="7"/>
      <c r="B73" s="20"/>
      <c r="C73" s="21"/>
      <c r="D73" s="21"/>
      <c r="E73" s="21"/>
      <c r="F73" s="21"/>
    </row>
    <row r="74" spans="1:6" x14ac:dyDescent="0.2">
      <c r="A74" s="7"/>
      <c r="B74" s="20"/>
      <c r="C74" s="21"/>
      <c r="D74" s="21"/>
      <c r="E74" s="21"/>
      <c r="F74" s="21"/>
    </row>
    <row r="75" spans="1:6" x14ac:dyDescent="0.2">
      <c r="A75" s="7"/>
      <c r="B75" s="20"/>
      <c r="C75" s="21"/>
      <c r="D75" s="21"/>
      <c r="E75" s="21"/>
      <c r="F75" s="21"/>
    </row>
    <row r="76" spans="1:6" x14ac:dyDescent="0.2">
      <c r="A76" s="7"/>
      <c r="B76" s="20"/>
      <c r="C76" s="21"/>
      <c r="D76" s="21"/>
      <c r="E76" s="21"/>
      <c r="F76" s="21"/>
    </row>
    <row r="77" spans="1:6" x14ac:dyDescent="0.2">
      <c r="A77" s="7"/>
      <c r="B77" s="20"/>
      <c r="C77" s="21"/>
      <c r="D77" s="21"/>
      <c r="E77" s="21"/>
      <c r="F77" s="21"/>
    </row>
    <row r="78" spans="1:6" x14ac:dyDescent="0.2">
      <c r="A78" s="7"/>
      <c r="B78" s="20"/>
      <c r="C78" s="21"/>
      <c r="D78" s="21"/>
      <c r="E78" s="21"/>
      <c r="F78" s="21"/>
    </row>
    <row r="79" spans="1:6" x14ac:dyDescent="0.2">
      <c r="A79" s="7"/>
      <c r="B79" s="20"/>
      <c r="C79" s="21"/>
      <c r="D79" s="21"/>
      <c r="E79" s="21"/>
      <c r="F79" s="21"/>
    </row>
    <row r="80" spans="1:6" x14ac:dyDescent="0.2">
      <c r="A80" s="7"/>
      <c r="B80" s="20"/>
      <c r="C80" s="21"/>
      <c r="D80" s="21"/>
      <c r="E80" s="21"/>
      <c r="F80" s="21"/>
    </row>
    <row r="81" spans="1:6" x14ac:dyDescent="0.2">
      <c r="A81" s="7"/>
      <c r="B81" s="20"/>
      <c r="C81" s="21"/>
      <c r="D81" s="21"/>
      <c r="E81" s="21"/>
      <c r="F81" s="21"/>
    </row>
    <row r="82" spans="1:6" x14ac:dyDescent="0.2">
      <c r="A82" s="7"/>
      <c r="B82" s="20"/>
      <c r="C82" s="21"/>
      <c r="D82" s="21"/>
      <c r="E82" s="21"/>
      <c r="F82" s="21"/>
    </row>
    <row r="83" spans="1:6" x14ac:dyDescent="0.2">
      <c r="A83" s="7"/>
      <c r="B83" s="20"/>
      <c r="C83" s="21"/>
      <c r="D83" s="21"/>
      <c r="E83" s="21"/>
      <c r="F83" s="21"/>
    </row>
    <row r="84" spans="1:6" x14ac:dyDescent="0.2">
      <c r="A84" s="7"/>
      <c r="B84" s="20"/>
      <c r="C84" s="21"/>
      <c r="D84" s="21"/>
      <c r="E84" s="21"/>
      <c r="F84" s="21"/>
    </row>
    <row r="85" spans="1:6" x14ac:dyDescent="0.2">
      <c r="A85" s="7"/>
      <c r="B85" s="20"/>
      <c r="C85" s="21"/>
      <c r="D85" s="21"/>
      <c r="E85" s="21"/>
      <c r="F85" s="21"/>
    </row>
    <row r="86" spans="1:6" x14ac:dyDescent="0.2">
      <c r="A86" s="7"/>
      <c r="B86" s="20"/>
      <c r="C86" s="21"/>
      <c r="D86" s="21"/>
      <c r="E86" s="21"/>
      <c r="F86" s="21"/>
    </row>
    <row r="87" spans="1:6" x14ac:dyDescent="0.2">
      <c r="A87" s="7"/>
      <c r="B87" s="20"/>
      <c r="C87" s="21"/>
      <c r="D87" s="21"/>
      <c r="E87" s="21"/>
      <c r="F87" s="21"/>
    </row>
    <row r="88" spans="1:6" x14ac:dyDescent="0.2">
      <c r="A88" s="7"/>
      <c r="B88" s="20"/>
      <c r="C88" s="21"/>
      <c r="D88" s="21"/>
      <c r="E88" s="21"/>
      <c r="F88" s="21"/>
    </row>
    <row r="89" spans="1:6" x14ac:dyDescent="0.2">
      <c r="A89" s="7"/>
      <c r="B89" s="20"/>
      <c r="C89" s="21"/>
      <c r="D89" s="21"/>
      <c r="E89" s="21"/>
      <c r="F89" s="21"/>
    </row>
    <row r="90" spans="1:6" x14ac:dyDescent="0.2">
      <c r="A90" s="7"/>
      <c r="B90" s="20"/>
      <c r="C90" s="21"/>
      <c r="D90" s="21"/>
      <c r="E90" s="21"/>
      <c r="F90" s="21"/>
    </row>
    <row r="91" spans="1:6" x14ac:dyDescent="0.2">
      <c r="A91" s="7"/>
      <c r="B91" s="20"/>
      <c r="C91" s="21"/>
      <c r="D91" s="21"/>
      <c r="E91" s="21"/>
      <c r="F91" s="21"/>
    </row>
    <row r="92" spans="1:6" x14ac:dyDescent="0.2">
      <c r="A92" s="7"/>
      <c r="B92" s="20"/>
      <c r="C92" s="21"/>
      <c r="D92" s="21"/>
      <c r="E92" s="21"/>
      <c r="F92" s="21"/>
    </row>
    <row r="93" spans="1:6" x14ac:dyDescent="0.2">
      <c r="A93" s="7"/>
      <c r="B93" s="20"/>
      <c r="C93" s="21"/>
      <c r="D93" s="21"/>
      <c r="E93" s="21"/>
      <c r="F93" s="21"/>
    </row>
    <row r="94" spans="1:6" x14ac:dyDescent="0.2">
      <c r="A94" s="7"/>
      <c r="B94" s="20"/>
      <c r="C94" s="21"/>
      <c r="D94" s="21"/>
      <c r="E94" s="21"/>
      <c r="F94" s="21"/>
    </row>
    <row r="95" spans="1:6" x14ac:dyDescent="0.2">
      <c r="A95" s="7"/>
      <c r="B95" s="20"/>
      <c r="C95" s="21"/>
      <c r="D95" s="21"/>
      <c r="E95" s="21"/>
      <c r="F95" s="21"/>
    </row>
    <row r="96" spans="1:6" x14ac:dyDescent="0.2">
      <c r="A96" s="7"/>
      <c r="B96" s="20"/>
      <c r="C96" s="21"/>
      <c r="D96" s="21"/>
      <c r="E96" s="21"/>
      <c r="F96" s="21"/>
    </row>
    <row r="97" spans="1:6" x14ac:dyDescent="0.2">
      <c r="A97" s="7"/>
      <c r="B97" s="20"/>
      <c r="C97" s="21"/>
      <c r="D97" s="21"/>
      <c r="E97" s="21"/>
      <c r="F97" s="21"/>
    </row>
    <row r="98" spans="1:6" x14ac:dyDescent="0.2">
      <c r="A98" s="7"/>
      <c r="B98" s="20"/>
      <c r="C98" s="21"/>
      <c r="D98" s="21"/>
      <c r="E98" s="21"/>
      <c r="F98" s="21"/>
    </row>
    <row r="99" spans="1:6" x14ac:dyDescent="0.2">
      <c r="A99" s="7"/>
      <c r="B99" s="20"/>
      <c r="C99" s="21"/>
      <c r="D99" s="21"/>
      <c r="E99" s="21"/>
      <c r="F99" s="21"/>
    </row>
    <row r="100" spans="1:6" x14ac:dyDescent="0.2">
      <c r="A100" s="7"/>
      <c r="B100" s="20"/>
      <c r="C100" s="21"/>
      <c r="D100" s="21"/>
      <c r="E100" s="21"/>
      <c r="F100" s="21"/>
    </row>
    <row r="101" spans="1:6" x14ac:dyDescent="0.2">
      <c r="A101" s="7"/>
      <c r="B101" s="20"/>
      <c r="C101" s="21"/>
      <c r="D101" s="21"/>
      <c r="E101" s="21"/>
      <c r="F101" s="21"/>
    </row>
    <row r="102" spans="1:6" x14ac:dyDescent="0.2">
      <c r="A102" s="7"/>
      <c r="B102" s="20"/>
      <c r="C102" s="21"/>
      <c r="D102" s="21"/>
      <c r="E102" s="21"/>
      <c r="F102" s="21"/>
    </row>
    <row r="103" spans="1:6" x14ac:dyDescent="0.2">
      <c r="A103" s="7"/>
      <c r="B103" s="20"/>
      <c r="C103" s="21"/>
      <c r="D103" s="21"/>
      <c r="E103" s="21"/>
      <c r="F103" s="21"/>
    </row>
    <row r="104" spans="1:6" x14ac:dyDescent="0.2">
      <c r="A104" s="7"/>
      <c r="B104" s="20"/>
      <c r="C104" s="21"/>
      <c r="D104" s="21"/>
      <c r="E104" s="21"/>
      <c r="F104" s="21"/>
    </row>
    <row r="105" spans="1:6" x14ac:dyDescent="0.2">
      <c r="A105" s="7"/>
      <c r="B105" s="20"/>
      <c r="C105" s="21"/>
      <c r="D105" s="21"/>
      <c r="E105" s="21"/>
      <c r="F105" s="21"/>
    </row>
    <row r="106" spans="1:6" x14ac:dyDescent="0.2">
      <c r="A106" s="7"/>
      <c r="B106" s="20"/>
      <c r="C106" s="21"/>
      <c r="D106" s="21"/>
      <c r="E106" s="21"/>
      <c r="F106" s="21"/>
    </row>
    <row r="107" spans="1:6" x14ac:dyDescent="0.2">
      <c r="A107" s="7"/>
      <c r="B107" s="20"/>
      <c r="C107" s="21"/>
      <c r="D107" s="21"/>
      <c r="E107" s="21"/>
      <c r="F107" s="21"/>
    </row>
    <row r="108" spans="1:6" x14ac:dyDescent="0.2">
      <c r="A108" s="7"/>
      <c r="B108" s="20"/>
      <c r="C108" s="21"/>
      <c r="D108" s="21"/>
      <c r="E108" s="21"/>
      <c r="F108" s="21"/>
    </row>
    <row r="109" spans="1:6" x14ac:dyDescent="0.2">
      <c r="A109" s="7"/>
      <c r="B109" s="20"/>
      <c r="C109" s="21"/>
      <c r="D109" s="21"/>
      <c r="E109" s="21"/>
      <c r="F109" s="21"/>
    </row>
    <row r="110" spans="1:6" x14ac:dyDescent="0.2">
      <c r="A110" s="7"/>
      <c r="B110" s="20"/>
      <c r="C110" s="21"/>
      <c r="D110" s="21"/>
      <c r="E110" s="21"/>
      <c r="F110" s="21"/>
    </row>
    <row r="111" spans="1:6" x14ac:dyDescent="0.2">
      <c r="A111" s="7"/>
      <c r="B111" s="20"/>
      <c r="C111" s="21"/>
      <c r="D111" s="21"/>
      <c r="E111" s="21"/>
      <c r="F111" s="21"/>
    </row>
    <row r="112" spans="1:6" x14ac:dyDescent="0.2">
      <c r="A112" s="7"/>
      <c r="B112" s="20"/>
      <c r="C112" s="21"/>
      <c r="D112" s="21"/>
      <c r="E112" s="21"/>
      <c r="F112" s="21"/>
    </row>
    <row r="113" spans="1:6" x14ac:dyDescent="0.2">
      <c r="A113" s="7"/>
      <c r="B113" s="20"/>
      <c r="C113" s="21"/>
      <c r="D113" s="21"/>
      <c r="E113" s="21"/>
      <c r="F113" s="21"/>
    </row>
    <row r="114" spans="1:6" x14ac:dyDescent="0.2">
      <c r="A114" s="7"/>
      <c r="B114" s="20"/>
      <c r="C114" s="21"/>
      <c r="D114" s="21"/>
      <c r="E114" s="21"/>
      <c r="F114" s="21"/>
    </row>
    <row r="115" spans="1:6" x14ac:dyDescent="0.2">
      <c r="A115" s="7"/>
      <c r="B115" s="20"/>
      <c r="C115" s="21"/>
      <c r="D115" s="21"/>
      <c r="E115" s="21"/>
      <c r="F115" s="21"/>
    </row>
    <row r="116" spans="1:6" x14ac:dyDescent="0.2">
      <c r="A116" s="7"/>
      <c r="B116" s="20"/>
      <c r="C116" s="21"/>
      <c r="D116" s="21"/>
      <c r="E116" s="21"/>
      <c r="F116" s="21"/>
    </row>
    <row r="117" spans="1:6" x14ac:dyDescent="0.2">
      <c r="A117" s="7"/>
      <c r="B117" s="20"/>
      <c r="C117" s="21"/>
      <c r="D117" s="21"/>
      <c r="E117" s="21"/>
      <c r="F117" s="21"/>
    </row>
    <row r="118" spans="1:6" x14ac:dyDescent="0.2">
      <c r="A118" s="7"/>
      <c r="B118" s="20"/>
      <c r="C118" s="21"/>
      <c r="D118" s="21"/>
      <c r="E118" s="21"/>
      <c r="F118" s="21"/>
    </row>
    <row r="119" spans="1:6" x14ac:dyDescent="0.2">
      <c r="A119" s="7"/>
      <c r="B119" s="20"/>
      <c r="C119" s="21"/>
      <c r="D119" s="21"/>
      <c r="E119" s="21"/>
      <c r="F119" s="21"/>
    </row>
    <row r="120" spans="1:6" x14ac:dyDescent="0.2">
      <c r="A120" s="7"/>
      <c r="B120" s="20"/>
      <c r="C120" s="21"/>
      <c r="D120" s="21"/>
      <c r="E120" s="21"/>
      <c r="F120" s="21"/>
    </row>
    <row r="121" spans="1:6" x14ac:dyDescent="0.2">
      <c r="A121" s="7"/>
      <c r="B121" s="20"/>
      <c r="C121" s="21"/>
      <c r="D121" s="21"/>
      <c r="E121" s="21"/>
      <c r="F121" s="21"/>
    </row>
    <row r="122" spans="1:6" x14ac:dyDescent="0.2">
      <c r="A122" s="7"/>
      <c r="B122" s="20"/>
      <c r="C122" s="21"/>
      <c r="D122" s="21"/>
      <c r="E122" s="21"/>
      <c r="F122" s="21"/>
    </row>
    <row r="123" spans="1:6" x14ac:dyDescent="0.2">
      <c r="A123" s="7"/>
      <c r="B123" s="20"/>
      <c r="C123" s="21"/>
      <c r="D123" s="21"/>
      <c r="E123" s="21"/>
      <c r="F123" s="21"/>
    </row>
    <row r="124" spans="1:6" x14ac:dyDescent="0.2">
      <c r="A124" s="7"/>
      <c r="B124" s="20"/>
      <c r="C124" s="21"/>
      <c r="D124" s="21"/>
      <c r="E124" s="21"/>
      <c r="F124" s="21"/>
    </row>
    <row r="125" spans="1:6" x14ac:dyDescent="0.2">
      <c r="A125" s="7"/>
      <c r="B125" s="20"/>
      <c r="C125" s="21"/>
      <c r="D125" s="21"/>
      <c r="E125" s="21"/>
      <c r="F125" s="21"/>
    </row>
    <row r="126" spans="1:6" x14ac:dyDescent="0.2">
      <c r="A126" s="7"/>
      <c r="B126" s="20"/>
      <c r="C126" s="21"/>
      <c r="D126" s="21"/>
      <c r="E126" s="21"/>
      <c r="F126" s="21"/>
    </row>
    <row r="127" spans="1:6" x14ac:dyDescent="0.2">
      <c r="A127" s="7"/>
      <c r="B127" s="20"/>
      <c r="C127" s="21"/>
      <c r="D127" s="21"/>
      <c r="E127" s="21"/>
      <c r="F127" s="21"/>
    </row>
    <row r="128" spans="1:6" x14ac:dyDescent="0.2">
      <c r="A128" s="7"/>
      <c r="B128" s="20"/>
      <c r="C128" s="21"/>
      <c r="D128" s="21"/>
      <c r="E128" s="21"/>
      <c r="F128" s="21"/>
    </row>
    <row r="129" spans="1:6" x14ac:dyDescent="0.2">
      <c r="A129" s="7"/>
      <c r="B129" s="20"/>
      <c r="C129" s="21"/>
      <c r="D129" s="21"/>
      <c r="E129" s="21"/>
      <c r="F129" s="21"/>
    </row>
    <row r="130" spans="1:6" x14ac:dyDescent="0.2">
      <c r="A130" s="7"/>
      <c r="B130" s="20"/>
      <c r="C130" s="21"/>
      <c r="D130" s="21"/>
      <c r="E130" s="21"/>
      <c r="F130" s="21"/>
    </row>
    <row r="131" spans="1:6" x14ac:dyDescent="0.2">
      <c r="A131" s="7"/>
      <c r="B131" s="20"/>
      <c r="C131" s="21"/>
      <c r="D131" s="21"/>
      <c r="E131" s="21"/>
      <c r="F131" s="21"/>
    </row>
    <row r="132" spans="1:6" x14ac:dyDescent="0.2">
      <c r="A132" s="7"/>
      <c r="B132" s="20"/>
      <c r="C132" s="21"/>
      <c r="D132" s="21"/>
      <c r="E132" s="21"/>
      <c r="F132" s="21"/>
    </row>
    <row r="133" spans="1:6" x14ac:dyDescent="0.2">
      <c r="A133" s="7"/>
      <c r="B133" s="20"/>
      <c r="C133" s="21"/>
      <c r="D133" s="21"/>
      <c r="E133" s="21"/>
      <c r="F133" s="21"/>
    </row>
    <row r="134" spans="1:6" x14ac:dyDescent="0.2">
      <c r="A134" s="7"/>
      <c r="B134" s="20"/>
      <c r="C134" s="21"/>
      <c r="D134" s="21"/>
      <c r="E134" s="21"/>
      <c r="F134" s="21"/>
    </row>
    <row r="135" spans="1:6" x14ac:dyDescent="0.2">
      <c r="A135" s="7"/>
      <c r="B135" s="20"/>
      <c r="C135" s="21"/>
      <c r="D135" s="21"/>
      <c r="E135" s="21"/>
      <c r="F135" s="21"/>
    </row>
    <row r="136" spans="1:6" x14ac:dyDescent="0.2">
      <c r="A136" s="7"/>
      <c r="B136" s="20"/>
      <c r="C136" s="21"/>
      <c r="D136" s="21"/>
      <c r="E136" s="21"/>
      <c r="F136" s="21"/>
    </row>
    <row r="137" spans="1:6" x14ac:dyDescent="0.2">
      <c r="A137" s="7"/>
      <c r="B137" s="20"/>
      <c r="C137" s="21"/>
      <c r="D137" s="21"/>
      <c r="E137" s="21"/>
      <c r="F137" s="21"/>
    </row>
    <row r="138" spans="1:6" x14ac:dyDescent="0.2">
      <c r="A138" s="7"/>
      <c r="B138" s="20"/>
      <c r="C138" s="21"/>
      <c r="D138" s="21"/>
      <c r="E138" s="21"/>
      <c r="F138" s="21"/>
    </row>
    <row r="139" spans="1:6" x14ac:dyDescent="0.2">
      <c r="A139" s="7"/>
      <c r="B139" s="20"/>
      <c r="C139" s="21"/>
      <c r="D139" s="21"/>
      <c r="E139" s="21"/>
      <c r="F139" s="21"/>
    </row>
    <row r="140" spans="1:6" x14ac:dyDescent="0.2">
      <c r="A140" s="7"/>
      <c r="B140" s="20"/>
      <c r="C140" s="21"/>
      <c r="D140" s="21"/>
      <c r="E140" s="21"/>
      <c r="F140" s="21"/>
    </row>
    <row r="141" spans="1:6" x14ac:dyDescent="0.2">
      <c r="A141" s="7"/>
      <c r="B141" s="20"/>
      <c r="C141" s="21"/>
      <c r="D141" s="21"/>
      <c r="E141" s="21"/>
      <c r="F141" s="21"/>
    </row>
    <row r="142" spans="1:6" x14ac:dyDescent="0.2">
      <c r="A142" s="7"/>
      <c r="B142" s="20"/>
      <c r="C142" s="21"/>
      <c r="D142" s="21"/>
      <c r="E142" s="21"/>
      <c r="F142" s="21"/>
    </row>
    <row r="143" spans="1:6" x14ac:dyDescent="0.2">
      <c r="A143" s="7"/>
      <c r="B143" s="20"/>
      <c r="C143" s="21"/>
      <c r="D143" s="21"/>
      <c r="E143" s="21"/>
      <c r="F143" s="21"/>
    </row>
    <row r="144" spans="1:6" x14ac:dyDescent="0.2">
      <c r="A144" s="7"/>
      <c r="B144" s="20"/>
      <c r="C144" s="21"/>
      <c r="D144" s="21"/>
      <c r="E144" s="21"/>
      <c r="F144" s="21"/>
    </row>
    <row r="145" spans="1:6" x14ac:dyDescent="0.2">
      <c r="A145" s="7"/>
      <c r="B145" s="20"/>
      <c r="C145" s="21"/>
      <c r="D145" s="21"/>
      <c r="E145" s="21"/>
      <c r="F145" s="21"/>
    </row>
    <row r="146" spans="1:6" x14ac:dyDescent="0.2">
      <c r="A146" s="7"/>
      <c r="B146" s="20"/>
      <c r="C146" s="21"/>
      <c r="D146" s="21"/>
      <c r="E146" s="21"/>
      <c r="F146" s="21"/>
    </row>
    <row r="147" spans="1:6" x14ac:dyDescent="0.2">
      <c r="A147" s="7"/>
      <c r="B147" s="20"/>
      <c r="C147" s="21"/>
      <c r="D147" s="21"/>
      <c r="E147" s="21"/>
      <c r="F147" s="21"/>
    </row>
    <row r="148" spans="1:6" x14ac:dyDescent="0.2">
      <c r="A148" s="7"/>
      <c r="B148" s="20"/>
      <c r="C148" s="21"/>
      <c r="D148" s="21"/>
      <c r="E148" s="21"/>
      <c r="F148" s="21"/>
    </row>
    <row r="149" spans="1:6" x14ac:dyDescent="0.2">
      <c r="A149" s="7"/>
      <c r="B149" s="20"/>
      <c r="C149" s="21"/>
      <c r="D149" s="21"/>
      <c r="E149" s="21"/>
      <c r="F149" s="21"/>
    </row>
    <row r="150" spans="1:6" x14ac:dyDescent="0.2">
      <c r="A150" s="7"/>
      <c r="B150" s="20"/>
      <c r="C150" s="21"/>
      <c r="D150" s="21"/>
      <c r="E150" s="21"/>
      <c r="F150" s="21"/>
    </row>
    <row r="151" spans="1:6" x14ac:dyDescent="0.2">
      <c r="A151" s="7"/>
      <c r="B151" s="20"/>
      <c r="C151" s="21"/>
      <c r="D151" s="21"/>
      <c r="E151" s="21"/>
      <c r="F151" s="21"/>
    </row>
    <row r="152" spans="1:6" x14ac:dyDescent="0.2">
      <c r="A152" s="7"/>
      <c r="B152" s="20"/>
      <c r="C152" s="21"/>
      <c r="D152" s="21"/>
      <c r="E152" s="21"/>
      <c r="F152" s="21"/>
    </row>
    <row r="153" spans="1:6" x14ac:dyDescent="0.2">
      <c r="A153" s="7"/>
      <c r="B153" s="20"/>
      <c r="C153" s="21"/>
      <c r="D153" s="21"/>
      <c r="E153" s="21"/>
      <c r="F153" s="21"/>
    </row>
    <row r="154" spans="1:6" x14ac:dyDescent="0.2">
      <c r="A154" s="7"/>
      <c r="B154" s="20"/>
      <c r="C154" s="21"/>
      <c r="D154" s="21"/>
      <c r="E154" s="21"/>
      <c r="F154" s="21"/>
    </row>
    <row r="155" spans="1:6" x14ac:dyDescent="0.2">
      <c r="A155" s="7"/>
      <c r="B155" s="20"/>
      <c r="C155" s="21"/>
      <c r="D155" s="21"/>
      <c r="E155" s="21"/>
      <c r="F155" s="21"/>
    </row>
    <row r="156" spans="1:6" x14ac:dyDescent="0.2">
      <c r="A156" s="7"/>
      <c r="B156" s="20"/>
      <c r="C156" s="21"/>
      <c r="D156" s="21"/>
      <c r="E156" s="21"/>
      <c r="F156" s="21"/>
    </row>
    <row r="157" spans="1:6" x14ac:dyDescent="0.2">
      <c r="A157" s="7"/>
      <c r="B157" s="20"/>
      <c r="C157" s="21"/>
      <c r="D157" s="21"/>
      <c r="E157" s="21"/>
      <c r="F157" s="21"/>
    </row>
    <row r="158" spans="1:6" x14ac:dyDescent="0.2">
      <c r="A158" s="7"/>
      <c r="B158" s="20"/>
      <c r="C158" s="21"/>
      <c r="D158" s="21"/>
      <c r="E158" s="21"/>
      <c r="F158" s="21"/>
    </row>
    <row r="159" spans="1:6" x14ac:dyDescent="0.2">
      <c r="A159" s="7"/>
      <c r="B159" s="20"/>
      <c r="C159" s="21"/>
      <c r="D159" s="21"/>
      <c r="E159" s="21"/>
      <c r="F159" s="21"/>
    </row>
    <row r="160" spans="1:6" x14ac:dyDescent="0.2">
      <c r="A160" s="7"/>
      <c r="B160" s="20"/>
      <c r="C160" s="21"/>
      <c r="D160" s="21"/>
      <c r="E160" s="21"/>
      <c r="F160" s="21"/>
    </row>
    <row r="161" spans="1:6" x14ac:dyDescent="0.2">
      <c r="A161" s="7"/>
      <c r="B161" s="20"/>
      <c r="C161" s="21"/>
      <c r="D161" s="21"/>
      <c r="E161" s="21"/>
      <c r="F161" s="21"/>
    </row>
    <row r="162" spans="1:6" x14ac:dyDescent="0.2">
      <c r="A162" s="7"/>
      <c r="B162" s="20"/>
      <c r="C162" s="21"/>
      <c r="D162" s="21"/>
      <c r="E162" s="21"/>
      <c r="F162" s="21"/>
    </row>
    <row r="163" spans="1:6" x14ac:dyDescent="0.2">
      <c r="A163" s="7"/>
      <c r="B163" s="20"/>
      <c r="C163" s="21"/>
      <c r="D163" s="21"/>
      <c r="E163" s="21"/>
      <c r="F163" s="21"/>
    </row>
    <row r="164" spans="1:6" x14ac:dyDescent="0.2">
      <c r="A164" s="7"/>
      <c r="B164" s="20"/>
      <c r="C164" s="21"/>
      <c r="D164" s="21"/>
      <c r="E164" s="21"/>
      <c r="F164" s="21"/>
    </row>
    <row r="165" spans="1:6" x14ac:dyDescent="0.2">
      <c r="A165" s="7"/>
      <c r="B165" s="20"/>
      <c r="C165" s="21"/>
      <c r="D165" s="21"/>
      <c r="E165" s="21"/>
      <c r="F165" s="21"/>
    </row>
    <row r="166" spans="1:6" x14ac:dyDescent="0.2">
      <c r="A166" s="7"/>
      <c r="B166" s="20"/>
      <c r="C166" s="21"/>
      <c r="D166" s="21"/>
      <c r="E166" s="21"/>
      <c r="F166" s="21"/>
    </row>
    <row r="167" spans="1:6" x14ac:dyDescent="0.2">
      <c r="A167" s="7"/>
      <c r="B167" s="20"/>
      <c r="C167" s="21"/>
      <c r="D167" s="21"/>
      <c r="E167" s="21"/>
      <c r="F167" s="21"/>
    </row>
    <row r="168" spans="1:6" x14ac:dyDescent="0.2">
      <c r="A168" s="7"/>
      <c r="B168" s="20"/>
      <c r="C168" s="21"/>
      <c r="D168" s="21"/>
      <c r="E168" s="21"/>
      <c r="F168" s="21"/>
    </row>
    <row r="169" spans="1:6" x14ac:dyDescent="0.2">
      <c r="A169" s="7"/>
      <c r="B169" s="20"/>
      <c r="C169" s="21"/>
      <c r="D169" s="21"/>
      <c r="E169" s="21"/>
      <c r="F169" s="21"/>
    </row>
    <row r="170" spans="1:6" x14ac:dyDescent="0.2">
      <c r="A170" s="7"/>
      <c r="B170" s="20"/>
      <c r="C170" s="21"/>
      <c r="D170" s="21"/>
      <c r="E170" s="21"/>
      <c r="F170" s="21"/>
    </row>
    <row r="171" spans="1:6" x14ac:dyDescent="0.2">
      <c r="A171" s="7"/>
      <c r="B171" s="20"/>
      <c r="C171" s="21"/>
      <c r="D171" s="21"/>
      <c r="E171" s="21"/>
      <c r="F171" s="21"/>
    </row>
    <row r="172" spans="1:6" x14ac:dyDescent="0.2">
      <c r="A172" s="7"/>
      <c r="B172" s="20"/>
      <c r="C172" s="21"/>
      <c r="D172" s="21"/>
      <c r="E172" s="21"/>
      <c r="F172" s="21"/>
    </row>
    <row r="173" spans="1:6" x14ac:dyDescent="0.2">
      <c r="A173" s="7"/>
      <c r="B173" s="20"/>
      <c r="C173" s="21"/>
      <c r="D173" s="21"/>
      <c r="E173" s="21"/>
      <c r="F173" s="21"/>
    </row>
    <row r="174" spans="1:6" x14ac:dyDescent="0.2">
      <c r="A174" s="7"/>
      <c r="B174" s="20"/>
      <c r="C174" s="21"/>
      <c r="D174" s="21"/>
      <c r="E174" s="21"/>
      <c r="F174" s="21"/>
    </row>
    <row r="175" spans="1:6" x14ac:dyDescent="0.2">
      <c r="A175" s="7"/>
      <c r="B175" s="20"/>
      <c r="C175" s="21"/>
      <c r="D175" s="21"/>
      <c r="E175" s="21"/>
      <c r="F175" s="21"/>
    </row>
    <row r="176" spans="1:6" x14ac:dyDescent="0.2">
      <c r="A176" s="7"/>
      <c r="B176" s="20"/>
      <c r="C176" s="21"/>
      <c r="D176" s="21"/>
      <c r="E176" s="21"/>
      <c r="F176" s="21"/>
    </row>
    <row r="177" spans="1:6" x14ac:dyDescent="0.2">
      <c r="A177" s="7"/>
      <c r="B177" s="20"/>
      <c r="C177" s="21"/>
      <c r="D177" s="21"/>
      <c r="E177" s="21"/>
      <c r="F177" s="21"/>
    </row>
    <row r="178" spans="1:6" x14ac:dyDescent="0.2">
      <c r="A178" s="7"/>
      <c r="B178" s="20"/>
      <c r="C178" s="21"/>
      <c r="D178" s="21"/>
      <c r="E178" s="21"/>
      <c r="F178" s="21"/>
    </row>
    <row r="179" spans="1:6" x14ac:dyDescent="0.2">
      <c r="A179" s="7"/>
      <c r="B179" s="20"/>
      <c r="C179" s="21"/>
      <c r="D179" s="21"/>
      <c r="E179" s="21"/>
      <c r="F179" s="21"/>
    </row>
    <row r="180" spans="1:6" x14ac:dyDescent="0.2">
      <c r="A180" s="7"/>
      <c r="B180" s="20"/>
      <c r="C180" s="21"/>
      <c r="D180" s="21"/>
      <c r="E180" s="21"/>
      <c r="F180" s="21"/>
    </row>
    <row r="181" spans="1:6" x14ac:dyDescent="0.2">
      <c r="A181" s="7"/>
      <c r="B181" s="20"/>
      <c r="C181" s="21"/>
      <c r="D181" s="21"/>
      <c r="E181" s="21"/>
      <c r="F181" s="21"/>
    </row>
    <row r="182" spans="1:6" x14ac:dyDescent="0.2">
      <c r="A182" s="7"/>
      <c r="B182" s="20"/>
      <c r="C182" s="21"/>
      <c r="D182" s="21"/>
      <c r="E182" s="21"/>
      <c r="F182" s="21"/>
    </row>
    <row r="183" spans="1:6" x14ac:dyDescent="0.2">
      <c r="A183" s="7"/>
      <c r="B183" s="20"/>
      <c r="C183" s="21"/>
      <c r="D183" s="21"/>
      <c r="E183" s="21"/>
      <c r="F183" s="21"/>
    </row>
    <row r="184" spans="1:6" x14ac:dyDescent="0.2">
      <c r="A184" s="7"/>
      <c r="B184" s="20"/>
      <c r="C184" s="21"/>
      <c r="D184" s="21"/>
      <c r="E184" s="21"/>
      <c r="F184" s="21"/>
    </row>
    <row r="185" spans="1:6" x14ac:dyDescent="0.2">
      <c r="A185" s="7"/>
      <c r="B185" s="20"/>
      <c r="C185" s="21"/>
      <c r="D185" s="21"/>
      <c r="E185" s="21"/>
      <c r="F185" s="21"/>
    </row>
    <row r="186" spans="1:6" x14ac:dyDescent="0.2">
      <c r="A186" s="7"/>
      <c r="B186" s="20"/>
      <c r="C186" s="21"/>
      <c r="D186" s="21"/>
      <c r="E186" s="21"/>
      <c r="F186" s="21"/>
    </row>
    <row r="187" spans="1:6" x14ac:dyDescent="0.2">
      <c r="A187" s="7"/>
      <c r="B187" s="20"/>
      <c r="C187" s="21"/>
      <c r="D187" s="21"/>
      <c r="E187" s="21"/>
      <c r="F187" s="21"/>
    </row>
    <row r="188" spans="1:6" x14ac:dyDescent="0.2">
      <c r="A188" s="7"/>
      <c r="B188" s="20"/>
      <c r="C188" s="21"/>
      <c r="D188" s="21"/>
      <c r="E188" s="21"/>
      <c r="F188" s="21"/>
    </row>
    <row r="189" spans="1:6" x14ac:dyDescent="0.2">
      <c r="A189" s="7"/>
      <c r="B189" s="20"/>
      <c r="C189" s="21"/>
      <c r="D189" s="21"/>
      <c r="E189" s="21"/>
      <c r="F189" s="21"/>
    </row>
    <row r="190" spans="1:6" x14ac:dyDescent="0.2">
      <c r="A190" s="7"/>
      <c r="B190" s="20"/>
      <c r="C190" s="21"/>
      <c r="D190" s="21"/>
      <c r="E190" s="21"/>
      <c r="F190" s="21"/>
    </row>
    <row r="191" spans="1:6" x14ac:dyDescent="0.2">
      <c r="A191" s="7"/>
      <c r="B191" s="20"/>
      <c r="C191" s="21"/>
      <c r="D191" s="21"/>
      <c r="E191" s="21"/>
      <c r="F191" s="21"/>
    </row>
    <row r="192" spans="1:6" x14ac:dyDescent="0.2">
      <c r="A192" s="7"/>
      <c r="B192" s="20"/>
      <c r="C192" s="21"/>
      <c r="D192" s="21"/>
      <c r="E192" s="21"/>
      <c r="F192" s="21"/>
    </row>
    <row r="193" spans="1:6" x14ac:dyDescent="0.2">
      <c r="A193" s="7"/>
      <c r="B193" s="20"/>
      <c r="C193" s="21"/>
      <c r="D193" s="21"/>
      <c r="E193" s="21"/>
      <c r="F193" s="21"/>
    </row>
    <row r="194" spans="1:6" x14ac:dyDescent="0.2">
      <c r="A194" s="7"/>
      <c r="B194" s="20"/>
      <c r="C194" s="21"/>
      <c r="D194" s="21"/>
      <c r="E194" s="21"/>
      <c r="F194" s="21"/>
    </row>
    <row r="195" spans="1:6" x14ac:dyDescent="0.2">
      <c r="A195" s="7"/>
      <c r="B195" s="20"/>
      <c r="C195" s="21"/>
      <c r="D195" s="21"/>
      <c r="E195" s="21"/>
      <c r="F195" s="21"/>
    </row>
    <row r="196" spans="1:6" x14ac:dyDescent="0.2">
      <c r="A196" s="7"/>
      <c r="B196" s="20"/>
      <c r="C196" s="21"/>
      <c r="D196" s="21"/>
      <c r="E196" s="21"/>
      <c r="F196" s="21"/>
    </row>
    <row r="197" spans="1:6" x14ac:dyDescent="0.2">
      <c r="A197" s="7"/>
      <c r="B197" s="20"/>
      <c r="C197" s="21"/>
      <c r="D197" s="21"/>
      <c r="E197" s="21"/>
      <c r="F197" s="21"/>
    </row>
    <row r="198" spans="1:6" x14ac:dyDescent="0.2">
      <c r="A198" s="7"/>
      <c r="B198" s="20"/>
      <c r="C198" s="21"/>
      <c r="D198" s="21"/>
      <c r="E198" s="21"/>
      <c r="F198" s="21"/>
    </row>
    <row r="199" spans="1:6" x14ac:dyDescent="0.2">
      <c r="A199" s="7"/>
      <c r="B199" s="20"/>
      <c r="C199" s="21"/>
      <c r="D199" s="21"/>
      <c r="E199" s="21"/>
      <c r="F199" s="21"/>
    </row>
    <row r="200" spans="1:6" x14ac:dyDescent="0.2">
      <c r="A200" s="7"/>
      <c r="B200" s="20"/>
      <c r="C200" s="21"/>
      <c r="D200" s="21"/>
      <c r="E200" s="21"/>
      <c r="F200" s="21"/>
    </row>
    <row r="201" spans="1:6" x14ac:dyDescent="0.2">
      <c r="A201" s="7"/>
      <c r="B201" s="20"/>
      <c r="C201" s="21"/>
      <c r="D201" s="21"/>
      <c r="E201" s="21"/>
      <c r="F201" s="21"/>
    </row>
    <row r="202" spans="1:6" x14ac:dyDescent="0.2">
      <c r="A202" s="7"/>
      <c r="B202" s="20"/>
      <c r="C202" s="21"/>
      <c r="D202" s="21"/>
      <c r="E202" s="21"/>
      <c r="F202" s="21"/>
    </row>
    <row r="203" spans="1:6" x14ac:dyDescent="0.2">
      <c r="A203" s="7"/>
      <c r="B203" s="20"/>
      <c r="C203" s="21"/>
      <c r="D203" s="21"/>
      <c r="E203" s="21"/>
      <c r="F203" s="21"/>
    </row>
    <row r="204" spans="1:6" x14ac:dyDescent="0.2">
      <c r="A204" s="7"/>
      <c r="B204" s="20"/>
      <c r="C204" s="21"/>
      <c r="D204" s="21"/>
      <c r="E204" s="21"/>
      <c r="F204" s="21"/>
    </row>
    <row r="205" spans="1:6" x14ac:dyDescent="0.2">
      <c r="A205" s="7"/>
      <c r="B205" s="20"/>
      <c r="C205" s="21"/>
      <c r="D205" s="21"/>
      <c r="E205" s="21"/>
      <c r="F205" s="21"/>
    </row>
    <row r="206" spans="1:6" x14ac:dyDescent="0.2">
      <c r="A206" s="7"/>
      <c r="B206" s="20"/>
      <c r="C206" s="21"/>
      <c r="D206" s="21"/>
      <c r="E206" s="21"/>
      <c r="F206" s="21"/>
    </row>
    <row r="207" spans="1:6" x14ac:dyDescent="0.2">
      <c r="A207" s="7"/>
      <c r="B207" s="20"/>
      <c r="C207" s="21"/>
      <c r="D207" s="21"/>
      <c r="E207" s="21"/>
      <c r="F207" s="21"/>
    </row>
    <row r="208" spans="1:6" x14ac:dyDescent="0.2">
      <c r="A208" s="7"/>
      <c r="B208" s="20"/>
      <c r="C208" s="21"/>
      <c r="D208" s="21"/>
      <c r="E208" s="21"/>
      <c r="F208" s="21"/>
    </row>
    <row r="209" spans="1:6" x14ac:dyDescent="0.2">
      <c r="A209" s="7"/>
      <c r="B209" s="20"/>
      <c r="C209" s="21"/>
      <c r="D209" s="21"/>
      <c r="E209" s="21"/>
      <c r="F209" s="21"/>
    </row>
    <row r="210" spans="1:6" x14ac:dyDescent="0.2">
      <c r="A210" s="7"/>
      <c r="B210" s="20"/>
      <c r="C210" s="21"/>
      <c r="D210" s="21"/>
      <c r="E210" s="21"/>
      <c r="F210" s="21"/>
    </row>
    <row r="211" spans="1:6" x14ac:dyDescent="0.2">
      <c r="A211" s="7"/>
      <c r="B211" s="20"/>
      <c r="C211" s="21"/>
      <c r="D211" s="21"/>
      <c r="E211" s="21"/>
      <c r="F211" s="21"/>
    </row>
    <row r="212" spans="1:6" x14ac:dyDescent="0.2">
      <c r="A212" s="7"/>
      <c r="B212" s="20"/>
      <c r="C212" s="21"/>
      <c r="D212" s="21"/>
      <c r="E212" s="21"/>
      <c r="F212" s="21"/>
    </row>
    <row r="213" spans="1:6" x14ac:dyDescent="0.2">
      <c r="A213" s="7"/>
      <c r="B213" s="20"/>
      <c r="C213" s="21"/>
      <c r="D213" s="21"/>
      <c r="E213" s="21"/>
      <c r="F213" s="21"/>
    </row>
    <row r="214" spans="1:6" x14ac:dyDescent="0.2">
      <c r="A214" s="7"/>
      <c r="B214" s="20"/>
      <c r="C214" s="21"/>
      <c r="D214" s="21"/>
      <c r="E214" s="21"/>
      <c r="F214" s="21"/>
    </row>
    <row r="215" spans="1:6" x14ac:dyDescent="0.2">
      <c r="A215" s="7"/>
      <c r="B215" s="20"/>
      <c r="C215" s="21"/>
      <c r="D215" s="21"/>
      <c r="E215" s="21"/>
      <c r="F215" s="21"/>
    </row>
    <row r="216" spans="1:6" x14ac:dyDescent="0.2">
      <c r="A216" s="7"/>
      <c r="B216" s="20"/>
      <c r="C216" s="21"/>
      <c r="D216" s="21"/>
      <c r="E216" s="21"/>
      <c r="F216" s="21"/>
    </row>
    <row r="217" spans="1:6" x14ac:dyDescent="0.2">
      <c r="A217" s="7"/>
      <c r="B217" s="20"/>
      <c r="C217" s="21"/>
      <c r="D217" s="21"/>
      <c r="E217" s="21"/>
      <c r="F217" s="21"/>
    </row>
    <row r="218" spans="1:6" x14ac:dyDescent="0.2">
      <c r="A218" s="7"/>
      <c r="B218" s="20"/>
      <c r="C218" s="21"/>
      <c r="D218" s="21"/>
      <c r="E218" s="21"/>
      <c r="F218" s="21"/>
    </row>
    <row r="219" spans="1:6" x14ac:dyDescent="0.2">
      <c r="A219" s="7"/>
      <c r="B219" s="20"/>
      <c r="C219" s="21"/>
      <c r="D219" s="21"/>
      <c r="E219" s="21"/>
      <c r="F219" s="21"/>
    </row>
    <row r="220" spans="1:6" x14ac:dyDescent="0.2">
      <c r="A220" s="7"/>
      <c r="B220" s="20"/>
      <c r="C220" s="21"/>
      <c r="D220" s="21"/>
      <c r="E220" s="21"/>
      <c r="F220" s="21"/>
    </row>
    <row r="221" spans="1:6" x14ac:dyDescent="0.2">
      <c r="A221" s="7"/>
      <c r="B221" s="20"/>
      <c r="C221" s="21"/>
      <c r="D221" s="21"/>
      <c r="E221" s="21"/>
      <c r="F221" s="21"/>
    </row>
    <row r="222" spans="1:6" x14ac:dyDescent="0.2">
      <c r="A222" s="7"/>
      <c r="B222" s="20"/>
      <c r="C222" s="21"/>
      <c r="D222" s="21"/>
      <c r="E222" s="21"/>
      <c r="F222" s="21"/>
    </row>
    <row r="223" spans="1:6" x14ac:dyDescent="0.2">
      <c r="A223" s="7"/>
      <c r="B223" s="20"/>
      <c r="C223" s="21"/>
      <c r="D223" s="21"/>
      <c r="E223" s="21"/>
      <c r="F223" s="21"/>
    </row>
    <row r="224" spans="1:6" x14ac:dyDescent="0.2">
      <c r="A224" s="7"/>
      <c r="B224" s="20"/>
      <c r="C224" s="21"/>
      <c r="D224" s="21"/>
      <c r="E224" s="21"/>
      <c r="F224" s="21"/>
    </row>
    <row r="225" spans="1:6" x14ac:dyDescent="0.2">
      <c r="A225" s="7"/>
      <c r="B225" s="20"/>
      <c r="C225" s="21"/>
      <c r="D225" s="21"/>
      <c r="E225" s="21"/>
      <c r="F225" s="21"/>
    </row>
    <row r="226" spans="1:6" x14ac:dyDescent="0.2">
      <c r="A226" s="7"/>
      <c r="B226" s="20"/>
      <c r="C226" s="21"/>
      <c r="D226" s="21"/>
      <c r="E226" s="21"/>
      <c r="F226" s="21"/>
    </row>
    <row r="227" spans="1:6" x14ac:dyDescent="0.2">
      <c r="A227" s="7"/>
      <c r="B227" s="20"/>
      <c r="C227" s="21"/>
      <c r="D227" s="21"/>
      <c r="E227" s="21"/>
      <c r="F227" s="21"/>
    </row>
    <row r="228" spans="1:6" x14ac:dyDescent="0.2">
      <c r="A228" s="7"/>
      <c r="B228" s="20"/>
      <c r="C228" s="21"/>
      <c r="D228" s="21"/>
      <c r="E228" s="21"/>
      <c r="F228" s="21"/>
    </row>
    <row r="229" spans="1:6" x14ac:dyDescent="0.2">
      <c r="A229" s="7"/>
      <c r="B229" s="20"/>
      <c r="C229" s="21"/>
      <c r="D229" s="21"/>
      <c r="E229" s="21"/>
      <c r="F229" s="21"/>
    </row>
    <row r="230" spans="1:6" x14ac:dyDescent="0.2">
      <c r="A230" s="7"/>
      <c r="B230" s="20"/>
      <c r="C230" s="21"/>
      <c r="D230" s="21"/>
      <c r="E230" s="21"/>
      <c r="F230" s="21"/>
    </row>
    <row r="231" spans="1:6" x14ac:dyDescent="0.2">
      <c r="A231" s="7"/>
      <c r="B231" s="20"/>
      <c r="C231" s="21"/>
      <c r="D231" s="21"/>
      <c r="E231" s="21"/>
      <c r="F231" s="21"/>
    </row>
    <row r="232" spans="1:6" x14ac:dyDescent="0.2">
      <c r="A232" s="7"/>
      <c r="B232" s="20"/>
      <c r="C232" s="21"/>
      <c r="D232" s="21"/>
      <c r="E232" s="21"/>
      <c r="F232" s="21"/>
    </row>
    <row r="233" spans="1:6" x14ac:dyDescent="0.2">
      <c r="A233" s="7"/>
      <c r="B233" s="20"/>
      <c r="C233" s="21"/>
      <c r="D233" s="21"/>
      <c r="E233" s="21"/>
      <c r="F233" s="21"/>
    </row>
    <row r="234" spans="1:6" x14ac:dyDescent="0.2">
      <c r="A234" s="7"/>
      <c r="B234" s="20"/>
      <c r="C234" s="21"/>
      <c r="D234" s="21"/>
      <c r="E234" s="21"/>
      <c r="F234" s="21"/>
    </row>
    <row r="235" spans="1:6" x14ac:dyDescent="0.2">
      <c r="A235" s="7"/>
      <c r="B235" s="20"/>
      <c r="C235" s="21"/>
      <c r="D235" s="21"/>
      <c r="E235" s="21"/>
      <c r="F235" s="21"/>
    </row>
    <row r="236" spans="1:6" x14ac:dyDescent="0.2">
      <c r="A236" s="7"/>
      <c r="B236" s="20"/>
      <c r="C236" s="21"/>
      <c r="D236" s="21"/>
      <c r="E236" s="21"/>
      <c r="F236" s="21"/>
    </row>
    <row r="237" spans="1:6" x14ac:dyDescent="0.2">
      <c r="A237" s="7"/>
      <c r="B237" s="20"/>
      <c r="C237" s="21"/>
      <c r="D237" s="21"/>
      <c r="E237" s="21"/>
      <c r="F237" s="21"/>
    </row>
    <row r="238" spans="1:6" x14ac:dyDescent="0.2">
      <c r="A238" s="7"/>
      <c r="B238" s="20"/>
      <c r="C238" s="21"/>
      <c r="D238" s="21"/>
      <c r="E238" s="21"/>
      <c r="F238" s="21"/>
    </row>
    <row r="239" spans="1:6" x14ac:dyDescent="0.2">
      <c r="A239" s="7"/>
      <c r="B239" s="20"/>
      <c r="C239" s="21"/>
      <c r="D239" s="21"/>
      <c r="E239" s="21"/>
      <c r="F239" s="21"/>
    </row>
    <row r="240" spans="1:6" x14ac:dyDescent="0.2">
      <c r="A240" s="7"/>
      <c r="B240" s="20"/>
      <c r="C240" s="21"/>
      <c r="D240" s="21"/>
      <c r="E240" s="21"/>
      <c r="F240" s="21"/>
    </row>
    <row r="241" spans="1:6" x14ac:dyDescent="0.2">
      <c r="A241" s="7"/>
      <c r="B241" s="20"/>
      <c r="C241" s="21"/>
      <c r="D241" s="21"/>
      <c r="E241" s="21"/>
      <c r="F241" s="21"/>
    </row>
    <row r="242" spans="1:6" x14ac:dyDescent="0.2">
      <c r="A242" s="7"/>
      <c r="B242" s="20"/>
      <c r="C242" s="21"/>
      <c r="D242" s="21"/>
      <c r="E242" s="21"/>
      <c r="F242" s="21"/>
    </row>
    <row r="243" spans="1:6" x14ac:dyDescent="0.2">
      <c r="A243" s="7"/>
      <c r="B243" s="20"/>
      <c r="C243" s="21"/>
      <c r="D243" s="21"/>
      <c r="E243" s="21"/>
      <c r="F243" s="21"/>
    </row>
    <row r="244" spans="1:6" x14ac:dyDescent="0.2">
      <c r="A244" s="7"/>
      <c r="B244" s="20"/>
      <c r="C244" s="21"/>
      <c r="D244" s="21"/>
      <c r="E244" s="21"/>
      <c r="F244" s="21"/>
    </row>
    <row r="245" spans="1:6" x14ac:dyDescent="0.2">
      <c r="A245" s="7"/>
      <c r="B245" s="20"/>
      <c r="C245" s="21"/>
      <c r="D245" s="21"/>
      <c r="E245" s="21"/>
      <c r="F245" s="21"/>
    </row>
    <row r="246" spans="1:6" x14ac:dyDescent="0.2">
      <c r="A246" s="7"/>
      <c r="B246" s="20"/>
      <c r="C246" s="21"/>
      <c r="D246" s="21"/>
      <c r="E246" s="21"/>
      <c r="F246" s="21"/>
    </row>
    <row r="247" spans="1:6" x14ac:dyDescent="0.2">
      <c r="A247" s="7"/>
      <c r="B247" s="20"/>
      <c r="C247" s="21"/>
      <c r="D247" s="21"/>
      <c r="E247" s="21"/>
      <c r="F247" s="21"/>
    </row>
    <row r="248" spans="1:6" x14ac:dyDescent="0.2">
      <c r="A248" s="7"/>
      <c r="B248" s="20"/>
      <c r="C248" s="21"/>
      <c r="D248" s="21"/>
      <c r="E248" s="21"/>
      <c r="F248" s="21"/>
    </row>
    <row r="249" spans="1:6" x14ac:dyDescent="0.2">
      <c r="A249" s="7"/>
      <c r="B249" s="20"/>
      <c r="C249" s="21"/>
      <c r="D249" s="21"/>
      <c r="E249" s="21"/>
      <c r="F249" s="21"/>
    </row>
    <row r="250" spans="1:6" x14ac:dyDescent="0.2">
      <c r="A250" s="7"/>
      <c r="B250" s="20"/>
      <c r="C250" s="21"/>
      <c r="D250" s="21"/>
      <c r="E250" s="21"/>
      <c r="F250" s="21"/>
    </row>
    <row r="251" spans="1:6" x14ac:dyDescent="0.2">
      <c r="A251" s="7"/>
      <c r="B251" s="20"/>
      <c r="C251" s="21"/>
      <c r="D251" s="21"/>
      <c r="E251" s="21"/>
      <c r="F251" s="21"/>
    </row>
    <row r="252" spans="1:6" x14ac:dyDescent="0.2">
      <c r="A252" s="7"/>
      <c r="B252" s="20"/>
      <c r="C252" s="21"/>
      <c r="D252" s="21"/>
      <c r="E252" s="21"/>
      <c r="F252" s="21"/>
    </row>
    <row r="253" spans="1:6" x14ac:dyDescent="0.2">
      <c r="A253" s="7"/>
      <c r="B253" s="20"/>
      <c r="C253" s="21"/>
      <c r="D253" s="21"/>
      <c r="E253" s="21"/>
      <c r="F253" s="21"/>
    </row>
    <row r="254" spans="1:6" x14ac:dyDescent="0.2">
      <c r="A254" s="7"/>
      <c r="B254" s="20"/>
      <c r="C254" s="21"/>
      <c r="D254" s="21"/>
      <c r="E254" s="21"/>
      <c r="F254" s="21"/>
    </row>
    <row r="255" spans="1:6" x14ac:dyDescent="0.2">
      <c r="A255" s="7"/>
      <c r="B255" s="20"/>
      <c r="C255" s="21"/>
      <c r="D255" s="21"/>
      <c r="E255" s="21"/>
      <c r="F255" s="21"/>
    </row>
    <row r="256" spans="1:6" x14ac:dyDescent="0.2">
      <c r="A256" s="7"/>
      <c r="B256" s="20"/>
      <c r="C256" s="21"/>
      <c r="D256" s="21"/>
      <c r="E256" s="21"/>
      <c r="F256" s="21"/>
    </row>
    <row r="257" spans="1:6" x14ac:dyDescent="0.2">
      <c r="A257" s="7"/>
      <c r="B257" s="20"/>
      <c r="C257" s="21"/>
      <c r="D257" s="21"/>
      <c r="E257" s="21"/>
      <c r="F257" s="21"/>
    </row>
    <row r="258" spans="1:6" x14ac:dyDescent="0.2">
      <c r="A258" s="7"/>
      <c r="B258" s="20"/>
      <c r="C258" s="21"/>
      <c r="D258" s="21"/>
      <c r="E258" s="21"/>
      <c r="F258" s="21"/>
    </row>
    <row r="259" spans="1:6" x14ac:dyDescent="0.2">
      <c r="A259" s="7"/>
      <c r="B259" s="20"/>
      <c r="C259" s="21"/>
      <c r="D259" s="21"/>
      <c r="E259" s="21"/>
      <c r="F259" s="21"/>
    </row>
    <row r="260" spans="1:6" x14ac:dyDescent="0.2">
      <c r="A260" s="7"/>
      <c r="B260" s="20"/>
      <c r="C260" s="21"/>
      <c r="D260" s="21"/>
      <c r="E260" s="21"/>
      <c r="F260" s="21"/>
    </row>
    <row r="261" spans="1:6" x14ac:dyDescent="0.2">
      <c r="A261" s="7"/>
      <c r="B261" s="20"/>
      <c r="C261" s="21"/>
      <c r="D261" s="21"/>
      <c r="E261" s="21"/>
      <c r="F261" s="21"/>
    </row>
    <row r="262" spans="1:6" x14ac:dyDescent="0.2">
      <c r="A262" s="7"/>
      <c r="B262" s="20"/>
      <c r="C262" s="21"/>
      <c r="D262" s="21"/>
      <c r="E262" s="21"/>
      <c r="F262" s="21"/>
    </row>
    <row r="263" spans="1:6" x14ac:dyDescent="0.2">
      <c r="A263" s="7"/>
      <c r="B263" s="20"/>
      <c r="C263" s="21"/>
      <c r="D263" s="21"/>
      <c r="E263" s="21"/>
      <c r="F263" s="21"/>
    </row>
    <row r="264" spans="1:6" x14ac:dyDescent="0.2">
      <c r="A264" s="7"/>
      <c r="B264" s="20"/>
      <c r="C264" s="21"/>
      <c r="D264" s="21"/>
      <c r="E264" s="21"/>
      <c r="F264" s="21"/>
    </row>
    <row r="265" spans="1:6" x14ac:dyDescent="0.2">
      <c r="A265" s="7"/>
      <c r="B265" s="20"/>
      <c r="C265" s="21"/>
      <c r="D265" s="21"/>
      <c r="E265" s="21"/>
      <c r="F265" s="21"/>
    </row>
    <row r="266" spans="1:6" x14ac:dyDescent="0.2">
      <c r="A266" s="7"/>
      <c r="B266" s="20"/>
      <c r="C266" s="21"/>
      <c r="D266" s="21"/>
      <c r="E266" s="21"/>
      <c r="F266" s="21"/>
    </row>
    <row r="267" spans="1:6" x14ac:dyDescent="0.2">
      <c r="A267" s="7"/>
      <c r="B267" s="20"/>
      <c r="C267" s="21"/>
      <c r="D267" s="21"/>
      <c r="E267" s="21"/>
      <c r="F267" s="21"/>
    </row>
    <row r="268" spans="1:6" x14ac:dyDescent="0.2">
      <c r="A268" s="7"/>
      <c r="B268" s="20"/>
      <c r="C268" s="21"/>
      <c r="D268" s="21"/>
      <c r="E268" s="21"/>
      <c r="F268" s="21"/>
    </row>
    <row r="269" spans="1:6" x14ac:dyDescent="0.2">
      <c r="A269" s="7"/>
      <c r="B269" s="20"/>
      <c r="C269" s="21"/>
      <c r="D269" s="21"/>
      <c r="E269" s="21"/>
      <c r="F269" s="21"/>
    </row>
    <row r="270" spans="1:6" x14ac:dyDescent="0.2">
      <c r="A270" s="7"/>
      <c r="B270" s="20"/>
      <c r="C270" s="21"/>
      <c r="D270" s="21"/>
      <c r="E270" s="21"/>
      <c r="F270" s="21"/>
    </row>
    <row r="271" spans="1:6" x14ac:dyDescent="0.2">
      <c r="A271" s="7"/>
      <c r="B271" s="20"/>
      <c r="C271" s="21"/>
      <c r="D271" s="21"/>
      <c r="E271" s="21"/>
      <c r="F271" s="21"/>
    </row>
    <row r="272" spans="1:6" x14ac:dyDescent="0.2">
      <c r="A272" s="7"/>
      <c r="B272" s="20"/>
      <c r="C272" s="21"/>
      <c r="D272" s="21"/>
      <c r="E272" s="21"/>
      <c r="F272" s="21"/>
    </row>
    <row r="273" spans="1:6" x14ac:dyDescent="0.2">
      <c r="A273" s="7"/>
      <c r="B273" s="20"/>
      <c r="C273" s="21"/>
      <c r="D273" s="21"/>
      <c r="E273" s="21"/>
      <c r="F273" s="21"/>
    </row>
    <row r="274" spans="1:6" x14ac:dyDescent="0.2">
      <c r="A274" s="7"/>
      <c r="B274" s="20"/>
      <c r="C274" s="21"/>
      <c r="D274" s="21"/>
      <c r="E274" s="21"/>
      <c r="F274" s="21"/>
    </row>
    <row r="275" spans="1:6" x14ac:dyDescent="0.2">
      <c r="A275" s="7"/>
      <c r="B275" s="20"/>
      <c r="C275" s="21"/>
      <c r="D275" s="21"/>
      <c r="E275" s="21"/>
      <c r="F275" s="21"/>
    </row>
    <row r="276" spans="1:6" x14ac:dyDescent="0.2">
      <c r="A276" s="7"/>
      <c r="B276" s="20"/>
      <c r="C276" s="21"/>
      <c r="D276" s="21"/>
      <c r="E276" s="21"/>
      <c r="F276" s="21"/>
    </row>
    <row r="277" spans="1:6" x14ac:dyDescent="0.2">
      <c r="A277" s="7"/>
      <c r="B277" s="20"/>
      <c r="C277" s="21"/>
      <c r="D277" s="21"/>
      <c r="E277" s="21"/>
      <c r="F277" s="21"/>
    </row>
    <row r="278" spans="1:6" x14ac:dyDescent="0.2">
      <c r="A278" s="7"/>
      <c r="B278" s="20"/>
      <c r="C278" s="21"/>
      <c r="D278" s="21"/>
      <c r="E278" s="21"/>
      <c r="F278" s="21"/>
    </row>
    <row r="279" spans="1:6" x14ac:dyDescent="0.2">
      <c r="A279" s="7"/>
      <c r="B279" s="20"/>
      <c r="C279" s="21"/>
      <c r="D279" s="21"/>
      <c r="E279" s="21"/>
      <c r="F279" s="21"/>
    </row>
    <row r="280" spans="1:6" x14ac:dyDescent="0.2">
      <c r="A280" s="7"/>
      <c r="B280" s="20"/>
      <c r="C280" s="21"/>
      <c r="D280" s="21"/>
      <c r="E280" s="21"/>
      <c r="F280" s="21"/>
    </row>
    <row r="281" spans="1:6" x14ac:dyDescent="0.2">
      <c r="A281" s="7"/>
      <c r="B281" s="20"/>
      <c r="C281" s="21"/>
      <c r="D281" s="21"/>
      <c r="E281" s="21"/>
      <c r="F281" s="21"/>
    </row>
    <row r="282" spans="1:6" x14ac:dyDescent="0.2">
      <c r="A282" s="7"/>
      <c r="B282" s="20"/>
      <c r="C282" s="21"/>
      <c r="D282" s="21"/>
      <c r="E282" s="21"/>
      <c r="F282" s="21"/>
    </row>
    <row r="283" spans="1:6" x14ac:dyDescent="0.2">
      <c r="A283" s="7"/>
      <c r="B283" s="20"/>
      <c r="C283" s="21"/>
      <c r="D283" s="21"/>
      <c r="E283" s="21"/>
      <c r="F283" s="21"/>
    </row>
    <row r="284" spans="1:6" x14ac:dyDescent="0.2">
      <c r="A284" s="7"/>
      <c r="B284" s="20"/>
      <c r="C284" s="21"/>
      <c r="D284" s="21"/>
      <c r="E284" s="21"/>
      <c r="F284" s="21"/>
    </row>
    <row r="285" spans="1:6" x14ac:dyDescent="0.2">
      <c r="A285" s="7"/>
      <c r="B285" s="20"/>
      <c r="C285" s="21"/>
      <c r="D285" s="21"/>
      <c r="E285" s="21"/>
      <c r="F285" s="21"/>
    </row>
    <row r="286" spans="1:6" x14ac:dyDescent="0.2">
      <c r="A286" s="7"/>
      <c r="B286" s="20"/>
      <c r="C286" s="21"/>
      <c r="D286" s="21"/>
      <c r="E286" s="21"/>
      <c r="F286" s="21"/>
    </row>
    <row r="287" spans="1:6" x14ac:dyDescent="0.2">
      <c r="A287" s="7"/>
      <c r="B287" s="20"/>
      <c r="C287" s="21"/>
      <c r="D287" s="21"/>
      <c r="E287" s="21"/>
      <c r="F287" s="21"/>
    </row>
    <row r="288" spans="1:6" x14ac:dyDescent="0.2">
      <c r="A288" s="7"/>
      <c r="B288" s="20"/>
      <c r="C288" s="21"/>
      <c r="D288" s="21"/>
      <c r="E288" s="21"/>
      <c r="F288" s="21"/>
    </row>
    <row r="289" spans="1:6" x14ac:dyDescent="0.2">
      <c r="A289" s="7"/>
      <c r="B289" s="20"/>
      <c r="C289" s="21"/>
      <c r="D289" s="21"/>
      <c r="E289" s="21"/>
      <c r="F289" s="21"/>
    </row>
    <row r="290" spans="1:6" x14ac:dyDescent="0.2">
      <c r="A290" s="7"/>
      <c r="B290" s="20"/>
      <c r="C290" s="21"/>
      <c r="D290" s="21"/>
      <c r="E290" s="21"/>
      <c r="F290" s="21"/>
    </row>
    <row r="291" spans="1:6" x14ac:dyDescent="0.2">
      <c r="A291" s="7"/>
      <c r="B291" s="20"/>
      <c r="C291" s="21"/>
      <c r="D291" s="21"/>
      <c r="E291" s="21"/>
      <c r="F291" s="21"/>
    </row>
    <row r="292" spans="1:6" x14ac:dyDescent="0.2">
      <c r="A292" s="7"/>
      <c r="B292" s="20"/>
      <c r="C292" s="21"/>
      <c r="D292" s="21"/>
      <c r="E292" s="21"/>
      <c r="F292" s="21"/>
    </row>
    <row r="293" spans="1:6" x14ac:dyDescent="0.2">
      <c r="A293" s="7"/>
      <c r="B293" s="20"/>
      <c r="C293" s="21"/>
      <c r="D293" s="21"/>
      <c r="E293" s="21"/>
      <c r="F293" s="21"/>
    </row>
    <row r="294" spans="1:6" x14ac:dyDescent="0.2">
      <c r="A294" s="7"/>
      <c r="B294" s="20"/>
      <c r="C294" s="21"/>
      <c r="D294" s="21"/>
      <c r="E294" s="21"/>
      <c r="F294" s="21"/>
    </row>
    <row r="295" spans="1:6" x14ac:dyDescent="0.2">
      <c r="A295" s="7"/>
      <c r="B295" s="20"/>
      <c r="C295" s="21"/>
      <c r="D295" s="21"/>
      <c r="E295" s="21"/>
      <c r="F295" s="21"/>
    </row>
    <row r="296" spans="1:6" x14ac:dyDescent="0.2">
      <c r="A296" s="7"/>
      <c r="B296" s="20"/>
      <c r="C296" s="21"/>
      <c r="D296" s="21"/>
      <c r="E296" s="21"/>
      <c r="F296" s="21"/>
    </row>
    <row r="297" spans="1:6" x14ac:dyDescent="0.2">
      <c r="A297" s="7"/>
      <c r="B297" s="20"/>
      <c r="C297" s="21"/>
      <c r="D297" s="21"/>
      <c r="E297" s="21"/>
      <c r="F297" s="21"/>
    </row>
    <row r="298" spans="1:6" x14ac:dyDescent="0.2">
      <c r="A298" s="7"/>
      <c r="B298" s="20"/>
      <c r="C298" s="21"/>
      <c r="D298" s="21"/>
      <c r="E298" s="21"/>
      <c r="F298" s="21"/>
    </row>
    <row r="299" spans="1:6" x14ac:dyDescent="0.2">
      <c r="A299" s="7"/>
      <c r="B299" s="20"/>
      <c r="C299" s="21"/>
      <c r="D299" s="21"/>
      <c r="E299" s="21"/>
      <c r="F299" s="21"/>
    </row>
    <row r="300" spans="1:6" x14ac:dyDescent="0.2">
      <c r="A300" s="7"/>
      <c r="B300" s="20"/>
      <c r="C300" s="21"/>
      <c r="D300" s="21"/>
      <c r="E300" s="21"/>
      <c r="F300" s="21"/>
    </row>
    <row r="301" spans="1:6" x14ac:dyDescent="0.2">
      <c r="A301" s="7"/>
      <c r="B301" s="20"/>
      <c r="C301" s="21"/>
      <c r="D301" s="21"/>
      <c r="E301" s="21"/>
      <c r="F301" s="21"/>
    </row>
    <row r="302" spans="1:6" x14ac:dyDescent="0.2">
      <c r="A302" s="7"/>
      <c r="B302" s="20"/>
      <c r="C302" s="21"/>
      <c r="D302" s="21"/>
      <c r="E302" s="21"/>
      <c r="F302" s="21"/>
    </row>
    <row r="303" spans="1:6" x14ac:dyDescent="0.2">
      <c r="A303" s="7"/>
      <c r="B303" s="20"/>
      <c r="C303" s="21"/>
      <c r="D303" s="21"/>
      <c r="E303" s="21"/>
      <c r="F303" s="21"/>
    </row>
    <row r="304" spans="1:6" x14ac:dyDescent="0.2">
      <c r="A304" s="7"/>
      <c r="B304" s="20"/>
      <c r="C304" s="21"/>
      <c r="D304" s="21"/>
      <c r="E304" s="21"/>
      <c r="F304" s="21"/>
    </row>
    <row r="305" spans="1:6" x14ac:dyDescent="0.2">
      <c r="A305" s="7"/>
      <c r="B305" s="20"/>
      <c r="C305" s="21"/>
      <c r="D305" s="21"/>
      <c r="E305" s="21"/>
      <c r="F305" s="21"/>
    </row>
    <row r="306" spans="1:6" x14ac:dyDescent="0.2">
      <c r="A306" s="7"/>
      <c r="B306" s="20"/>
      <c r="C306" s="21"/>
      <c r="D306" s="21"/>
      <c r="E306" s="21"/>
      <c r="F306" s="21"/>
    </row>
    <row r="307" spans="1:6" x14ac:dyDescent="0.2">
      <c r="A307" s="7"/>
      <c r="B307" s="20"/>
      <c r="C307" s="21"/>
      <c r="D307" s="21"/>
      <c r="E307" s="21"/>
      <c r="F307" s="21"/>
    </row>
    <row r="308" spans="1:6" x14ac:dyDescent="0.2">
      <c r="A308" s="7"/>
      <c r="B308" s="20"/>
      <c r="C308" s="21"/>
      <c r="D308" s="21"/>
      <c r="E308" s="21"/>
      <c r="F308" s="21"/>
    </row>
    <row r="309" spans="1:6" x14ac:dyDescent="0.2">
      <c r="A309" s="7"/>
      <c r="B309" s="20"/>
      <c r="C309" s="21"/>
      <c r="D309" s="21"/>
      <c r="E309" s="21"/>
      <c r="F309" s="21"/>
    </row>
    <row r="310" spans="1:6" x14ac:dyDescent="0.2">
      <c r="A310" s="7"/>
      <c r="B310" s="20"/>
      <c r="C310" s="21"/>
      <c r="D310" s="21"/>
      <c r="E310" s="21"/>
      <c r="F310" s="21"/>
    </row>
    <row r="311" spans="1:6" x14ac:dyDescent="0.2">
      <c r="A311" s="7"/>
      <c r="B311" s="20"/>
      <c r="C311" s="21"/>
      <c r="D311" s="21"/>
      <c r="E311" s="21"/>
      <c r="F311" s="21"/>
    </row>
    <row r="312" spans="1:6" x14ac:dyDescent="0.2">
      <c r="A312" s="7"/>
      <c r="B312" s="20"/>
      <c r="C312" s="21"/>
      <c r="D312" s="21"/>
      <c r="E312" s="21"/>
      <c r="F312" s="21"/>
    </row>
    <row r="313" spans="1:6" x14ac:dyDescent="0.2">
      <c r="A313" s="7"/>
      <c r="B313" s="20"/>
      <c r="C313" s="21"/>
      <c r="D313" s="21"/>
      <c r="E313" s="21"/>
      <c r="F313" s="21"/>
    </row>
    <row r="314" spans="1:6" x14ac:dyDescent="0.2">
      <c r="A314" s="7"/>
      <c r="B314" s="20"/>
      <c r="C314" s="21"/>
      <c r="D314" s="21"/>
      <c r="E314" s="21"/>
      <c r="F314" s="21"/>
    </row>
    <row r="315" spans="1:6" x14ac:dyDescent="0.2">
      <c r="A315" s="7"/>
      <c r="B315" s="20"/>
      <c r="C315" s="21"/>
      <c r="D315" s="21"/>
      <c r="E315" s="21"/>
      <c r="F315" s="21"/>
    </row>
    <row r="316" spans="1:6" x14ac:dyDescent="0.2">
      <c r="A316" s="7"/>
      <c r="B316" s="20"/>
      <c r="C316" s="21"/>
      <c r="D316" s="21"/>
      <c r="E316" s="21"/>
      <c r="F316" s="21"/>
    </row>
    <row r="317" spans="1:6" x14ac:dyDescent="0.2">
      <c r="A317" s="7"/>
      <c r="B317" s="20"/>
      <c r="C317" s="21"/>
      <c r="D317" s="21"/>
      <c r="E317" s="21"/>
      <c r="F317" s="21"/>
    </row>
    <row r="318" spans="1:6" x14ac:dyDescent="0.2">
      <c r="A318" s="7"/>
      <c r="B318" s="20"/>
      <c r="C318" s="21"/>
      <c r="D318" s="21"/>
      <c r="E318" s="21"/>
      <c r="F318" s="21"/>
    </row>
    <row r="319" spans="1:6" x14ac:dyDescent="0.2">
      <c r="A319" s="7"/>
      <c r="B319" s="20"/>
      <c r="C319" s="21"/>
      <c r="D319" s="21"/>
      <c r="E319" s="21"/>
      <c r="F319" s="21"/>
    </row>
    <row r="320" spans="1:6" x14ac:dyDescent="0.2">
      <c r="A320" s="7"/>
      <c r="B320" s="20"/>
      <c r="C320" s="21"/>
      <c r="D320" s="21"/>
      <c r="E320" s="21"/>
      <c r="F320" s="21"/>
    </row>
    <row r="321" spans="1:6" x14ac:dyDescent="0.2">
      <c r="A321" s="7"/>
      <c r="B321" s="20"/>
      <c r="C321" s="21"/>
      <c r="D321" s="21"/>
      <c r="E321" s="21"/>
      <c r="F321" s="21"/>
    </row>
    <row r="322" spans="1:6" x14ac:dyDescent="0.2">
      <c r="A322" s="7"/>
      <c r="B322" s="20"/>
      <c r="C322" s="21"/>
      <c r="D322" s="21"/>
      <c r="E322" s="21"/>
      <c r="F322" s="21"/>
    </row>
    <row r="323" spans="1:6" x14ac:dyDescent="0.2">
      <c r="A323" s="7"/>
      <c r="B323" s="20"/>
      <c r="C323" s="21"/>
      <c r="D323" s="21"/>
      <c r="E323" s="21"/>
      <c r="F323" s="21"/>
    </row>
    <row r="324" spans="1:6" x14ac:dyDescent="0.2">
      <c r="A324" s="7"/>
      <c r="B324" s="20"/>
      <c r="C324" s="21"/>
      <c r="D324" s="21"/>
      <c r="E324" s="21"/>
      <c r="F324" s="21"/>
    </row>
    <row r="325" spans="1:6" x14ac:dyDescent="0.2">
      <c r="A325" s="7"/>
      <c r="B325" s="20"/>
      <c r="C325" s="21"/>
      <c r="D325" s="21"/>
      <c r="E325" s="21"/>
      <c r="F325" s="21"/>
    </row>
    <row r="326" spans="1:6" x14ac:dyDescent="0.2">
      <c r="A326" s="7"/>
      <c r="B326" s="20"/>
      <c r="C326" s="21"/>
      <c r="D326" s="21"/>
      <c r="E326" s="21"/>
      <c r="F326" s="21"/>
    </row>
    <row r="327" spans="1:6" x14ac:dyDescent="0.2">
      <c r="A327" s="7"/>
      <c r="B327" s="20"/>
      <c r="C327" s="21"/>
      <c r="D327" s="21"/>
      <c r="E327" s="21"/>
      <c r="F327" s="21"/>
    </row>
    <row r="328" spans="1:6" x14ac:dyDescent="0.2">
      <c r="A328" s="7"/>
      <c r="B328" s="20"/>
      <c r="C328" s="21"/>
      <c r="D328" s="21"/>
      <c r="E328" s="21"/>
      <c r="F328" s="21"/>
    </row>
    <row r="329" spans="1:6" x14ac:dyDescent="0.2">
      <c r="A329" s="7"/>
      <c r="B329" s="20"/>
      <c r="C329" s="21"/>
      <c r="D329" s="21"/>
      <c r="E329" s="21"/>
      <c r="F329" s="21"/>
    </row>
    <row r="330" spans="1:6" x14ac:dyDescent="0.2">
      <c r="A330" s="7"/>
      <c r="B330" s="20"/>
      <c r="C330" s="21"/>
      <c r="D330" s="21"/>
      <c r="E330" s="21"/>
      <c r="F330" s="21"/>
    </row>
    <row r="331" spans="1:6" x14ac:dyDescent="0.2">
      <c r="A331" s="7"/>
      <c r="B331" s="20"/>
      <c r="C331" s="21"/>
      <c r="D331" s="21"/>
      <c r="E331" s="21"/>
      <c r="F331" s="21"/>
    </row>
    <row r="332" spans="1:6" x14ac:dyDescent="0.2">
      <c r="A332" s="7"/>
      <c r="B332" s="20"/>
      <c r="C332" s="21"/>
      <c r="D332" s="21"/>
      <c r="E332" s="21"/>
      <c r="F332" s="21"/>
    </row>
    <row r="333" spans="1:6" x14ac:dyDescent="0.2">
      <c r="A333" s="7"/>
      <c r="B333" s="20"/>
      <c r="C333" s="21"/>
      <c r="D333" s="21"/>
      <c r="E333" s="21"/>
      <c r="F333" s="21"/>
    </row>
    <row r="334" spans="1:6" x14ac:dyDescent="0.2">
      <c r="A334" s="7"/>
      <c r="B334" s="20"/>
      <c r="C334" s="21"/>
      <c r="D334" s="21"/>
      <c r="E334" s="21"/>
      <c r="F334" s="21"/>
    </row>
    <row r="335" spans="1:6" x14ac:dyDescent="0.2">
      <c r="A335" s="7"/>
      <c r="B335" s="20"/>
      <c r="C335" s="21"/>
      <c r="D335" s="21"/>
      <c r="E335" s="21"/>
      <c r="F335" s="21"/>
    </row>
    <row r="336" spans="1:6" x14ac:dyDescent="0.2">
      <c r="A336" s="7"/>
      <c r="B336" s="20"/>
      <c r="C336" s="21"/>
      <c r="D336" s="21"/>
      <c r="E336" s="21"/>
      <c r="F336" s="21"/>
    </row>
    <row r="337" spans="1:6" x14ac:dyDescent="0.2">
      <c r="A337" s="7"/>
      <c r="B337" s="20"/>
      <c r="C337" s="21"/>
      <c r="D337" s="21"/>
      <c r="E337" s="21"/>
      <c r="F337" s="21"/>
    </row>
    <row r="338" spans="1:6" x14ac:dyDescent="0.2">
      <c r="A338" s="7"/>
      <c r="B338" s="20"/>
      <c r="C338" s="21"/>
      <c r="D338" s="21"/>
      <c r="E338" s="21"/>
      <c r="F338" s="21"/>
    </row>
    <row r="339" spans="1:6" x14ac:dyDescent="0.2">
      <c r="A339" s="7"/>
      <c r="B339" s="20"/>
      <c r="C339" s="21"/>
      <c r="D339" s="21"/>
      <c r="E339" s="21"/>
      <c r="F339" s="21"/>
    </row>
    <row r="340" spans="1:6" x14ac:dyDescent="0.2">
      <c r="A340" s="7"/>
      <c r="B340" s="20"/>
      <c r="C340" s="21"/>
      <c r="D340" s="21"/>
      <c r="E340" s="21"/>
      <c r="F340" s="21"/>
    </row>
    <row r="341" spans="1:6" x14ac:dyDescent="0.2">
      <c r="A341" s="7"/>
      <c r="B341" s="20"/>
      <c r="C341" s="21"/>
      <c r="D341" s="21"/>
      <c r="E341" s="21"/>
      <c r="F341" s="21"/>
    </row>
    <row r="342" spans="1:6" x14ac:dyDescent="0.2">
      <c r="A342" s="7"/>
      <c r="B342" s="20"/>
      <c r="C342" s="21"/>
      <c r="D342" s="21"/>
      <c r="E342" s="21"/>
      <c r="F342" s="21"/>
    </row>
    <row r="343" spans="1:6" x14ac:dyDescent="0.2">
      <c r="A343" s="7"/>
      <c r="B343" s="20"/>
      <c r="C343" s="21"/>
      <c r="D343" s="21"/>
      <c r="E343" s="21"/>
      <c r="F343" s="21"/>
    </row>
    <row r="344" spans="1:6" x14ac:dyDescent="0.2">
      <c r="A344" s="7"/>
      <c r="B344" s="20"/>
      <c r="C344" s="21"/>
      <c r="D344" s="21"/>
      <c r="E344" s="21"/>
      <c r="F344" s="21"/>
    </row>
    <row r="345" spans="1:6" x14ac:dyDescent="0.2">
      <c r="A345" s="7"/>
      <c r="B345" s="20"/>
      <c r="C345" s="21"/>
      <c r="D345" s="21"/>
      <c r="E345" s="21"/>
      <c r="F345" s="21"/>
    </row>
    <row r="346" spans="1:6" x14ac:dyDescent="0.2">
      <c r="A346" s="7"/>
      <c r="B346" s="20"/>
      <c r="C346" s="21"/>
      <c r="D346" s="21"/>
      <c r="E346" s="21"/>
      <c r="F346" s="21"/>
    </row>
    <row r="347" spans="1:6" x14ac:dyDescent="0.2">
      <c r="A347" s="7"/>
      <c r="B347" s="20"/>
      <c r="C347" s="21"/>
      <c r="D347" s="21"/>
      <c r="E347" s="21"/>
      <c r="F347" s="21"/>
    </row>
    <row r="348" spans="1:6" x14ac:dyDescent="0.2">
      <c r="A348" s="7"/>
      <c r="B348" s="20"/>
      <c r="C348" s="21"/>
      <c r="D348" s="21"/>
      <c r="E348" s="21"/>
      <c r="F348" s="21"/>
    </row>
    <row r="349" spans="1:6" x14ac:dyDescent="0.2">
      <c r="A349" s="7"/>
      <c r="B349" s="20"/>
      <c r="C349" s="21"/>
      <c r="D349" s="21"/>
      <c r="E349" s="21"/>
      <c r="F349" s="21"/>
    </row>
    <row r="350" spans="1:6" x14ac:dyDescent="0.2">
      <c r="A350" s="7"/>
      <c r="B350" s="20"/>
      <c r="C350" s="21"/>
      <c r="D350" s="21"/>
      <c r="E350" s="21"/>
      <c r="F350" s="21"/>
    </row>
    <row r="351" spans="1:6" x14ac:dyDescent="0.2">
      <c r="A351" s="7"/>
      <c r="B351" s="20"/>
      <c r="C351" s="21"/>
      <c r="D351" s="21"/>
      <c r="E351" s="21"/>
      <c r="F351" s="21"/>
    </row>
    <row r="352" spans="1:6" x14ac:dyDescent="0.2">
      <c r="A352" s="7"/>
      <c r="B352" s="20"/>
      <c r="C352" s="21"/>
      <c r="D352" s="21"/>
      <c r="E352" s="21"/>
      <c r="F352" s="21"/>
    </row>
    <row r="353" spans="1:6" x14ac:dyDescent="0.2">
      <c r="A353" s="7"/>
      <c r="B353" s="20"/>
      <c r="C353" s="21"/>
      <c r="D353" s="21"/>
      <c r="E353" s="21"/>
      <c r="F353" s="21"/>
    </row>
    <row r="354" spans="1:6" x14ac:dyDescent="0.2">
      <c r="A354" s="7"/>
      <c r="B354" s="20"/>
      <c r="C354" s="21"/>
      <c r="D354" s="21"/>
      <c r="E354" s="21"/>
      <c r="F354" s="21"/>
    </row>
    <row r="355" spans="1:6" x14ac:dyDescent="0.2">
      <c r="A355" s="7"/>
      <c r="B355" s="20"/>
      <c r="C355" s="21"/>
      <c r="D355" s="21"/>
      <c r="E355" s="21"/>
      <c r="F355" s="21"/>
    </row>
    <row r="356" spans="1:6" x14ac:dyDescent="0.2">
      <c r="A356" s="7"/>
      <c r="B356" s="20"/>
      <c r="C356" s="21"/>
      <c r="D356" s="21"/>
      <c r="E356" s="21"/>
      <c r="F356" s="21"/>
    </row>
    <row r="357" spans="1:6" x14ac:dyDescent="0.2">
      <c r="A357" s="7"/>
      <c r="B357" s="20"/>
      <c r="C357" s="21"/>
      <c r="D357" s="21"/>
      <c r="E357" s="21"/>
      <c r="F357" s="21"/>
    </row>
    <row r="358" spans="1:6" x14ac:dyDescent="0.2">
      <c r="A358" s="7"/>
      <c r="B358" s="20"/>
      <c r="C358" s="21"/>
      <c r="D358" s="21"/>
      <c r="E358" s="21"/>
      <c r="F358" s="21"/>
    </row>
    <row r="359" spans="1:6" x14ac:dyDescent="0.2">
      <c r="A359" s="7"/>
      <c r="B359" s="20"/>
      <c r="C359" s="21"/>
      <c r="D359" s="21"/>
      <c r="E359" s="21"/>
      <c r="F359" s="21"/>
    </row>
    <row r="360" spans="1:6" x14ac:dyDescent="0.2">
      <c r="A360" s="7"/>
      <c r="B360" s="20"/>
      <c r="C360" s="21"/>
      <c r="D360" s="21"/>
      <c r="E360" s="21"/>
      <c r="F360" s="21"/>
    </row>
    <row r="361" spans="1:6" x14ac:dyDescent="0.2">
      <c r="A361" s="7"/>
      <c r="B361" s="20"/>
      <c r="C361" s="21"/>
      <c r="D361" s="21"/>
      <c r="E361" s="21"/>
      <c r="F361" s="21"/>
    </row>
    <row r="362" spans="1:6" x14ac:dyDescent="0.2">
      <c r="A362" s="7"/>
      <c r="B362" s="20"/>
      <c r="C362" s="21"/>
      <c r="D362" s="21"/>
      <c r="E362" s="21"/>
      <c r="F362" s="21"/>
    </row>
    <row r="363" spans="1:6" x14ac:dyDescent="0.2">
      <c r="A363" s="7"/>
      <c r="B363" s="20"/>
      <c r="C363" s="21"/>
      <c r="D363" s="21"/>
      <c r="E363" s="21"/>
      <c r="F363" s="21"/>
    </row>
    <row r="364" spans="1:6" x14ac:dyDescent="0.2">
      <c r="A364" s="7"/>
      <c r="B364" s="20"/>
      <c r="C364" s="21"/>
      <c r="D364" s="21"/>
      <c r="E364" s="21"/>
      <c r="F364" s="21"/>
    </row>
    <row r="365" spans="1:6" x14ac:dyDescent="0.2">
      <c r="A365" s="7"/>
      <c r="B365" s="20"/>
      <c r="C365" s="21"/>
      <c r="D365" s="21"/>
      <c r="E365" s="21"/>
      <c r="F365" s="21"/>
    </row>
    <row r="366" spans="1:6" x14ac:dyDescent="0.2">
      <c r="A366" s="7"/>
      <c r="B366" s="20"/>
      <c r="C366" s="21"/>
      <c r="D366" s="21"/>
      <c r="E366" s="21"/>
      <c r="F366" s="21"/>
    </row>
    <row r="367" spans="1:6" x14ac:dyDescent="0.2">
      <c r="A367" s="7"/>
      <c r="B367" s="20"/>
      <c r="C367" s="21"/>
      <c r="D367" s="21"/>
      <c r="E367" s="21"/>
      <c r="F367" s="21"/>
    </row>
    <row r="368" spans="1:6" x14ac:dyDescent="0.2">
      <c r="A368" s="7"/>
      <c r="B368" s="20"/>
      <c r="C368" s="21"/>
      <c r="D368" s="21"/>
      <c r="E368" s="21"/>
      <c r="F368" s="21"/>
    </row>
    <row r="369" spans="1:6" x14ac:dyDescent="0.2">
      <c r="A369" s="7"/>
      <c r="B369" s="20"/>
      <c r="C369" s="21"/>
      <c r="D369" s="21"/>
      <c r="E369" s="21"/>
      <c r="F369" s="21"/>
    </row>
    <row r="370" spans="1:6" x14ac:dyDescent="0.2">
      <c r="A370" s="7"/>
      <c r="B370" s="20"/>
      <c r="C370" s="21"/>
      <c r="D370" s="21"/>
      <c r="E370" s="21"/>
      <c r="F370" s="21"/>
    </row>
    <row r="371" spans="1:6" x14ac:dyDescent="0.2">
      <c r="A371" s="7"/>
      <c r="B371" s="20"/>
      <c r="C371" s="21"/>
      <c r="D371" s="21"/>
      <c r="E371" s="21"/>
      <c r="F371" s="21"/>
    </row>
    <row r="372" spans="1:6" x14ac:dyDescent="0.2">
      <c r="A372" s="7"/>
      <c r="B372" s="20"/>
      <c r="C372" s="21"/>
      <c r="D372" s="21"/>
      <c r="E372" s="21"/>
      <c r="F372" s="21"/>
    </row>
    <row r="373" spans="1:6" x14ac:dyDescent="0.2">
      <c r="A373" s="7"/>
      <c r="B373" s="20"/>
      <c r="C373" s="21"/>
      <c r="D373" s="21"/>
      <c r="E373" s="21"/>
      <c r="F373" s="21"/>
    </row>
    <row r="374" spans="1:6" x14ac:dyDescent="0.2">
      <c r="A374" s="7"/>
      <c r="B374" s="20"/>
      <c r="C374" s="21"/>
      <c r="D374" s="21"/>
      <c r="E374" s="21"/>
      <c r="F374" s="21"/>
    </row>
    <row r="375" spans="1:6" x14ac:dyDescent="0.2">
      <c r="A375" s="7"/>
      <c r="B375" s="20"/>
      <c r="C375" s="21"/>
      <c r="D375" s="21"/>
      <c r="E375" s="21"/>
      <c r="F375" s="21"/>
    </row>
    <row r="376" spans="1:6" x14ac:dyDescent="0.2">
      <c r="A376" s="7"/>
      <c r="B376" s="20"/>
      <c r="C376" s="21"/>
      <c r="D376" s="21"/>
      <c r="E376" s="21"/>
      <c r="F376" s="21"/>
    </row>
    <row r="377" spans="1:6" x14ac:dyDescent="0.2">
      <c r="A377" s="7"/>
      <c r="B377" s="20"/>
      <c r="C377" s="21"/>
      <c r="D377" s="21"/>
      <c r="E377" s="21"/>
      <c r="F377" s="21"/>
    </row>
    <row r="378" spans="1:6" x14ac:dyDescent="0.2">
      <c r="A378" s="7"/>
      <c r="B378" s="20"/>
      <c r="C378" s="21"/>
      <c r="D378" s="21"/>
      <c r="E378" s="21"/>
      <c r="F378" s="21"/>
    </row>
    <row r="379" spans="1:6" x14ac:dyDescent="0.2">
      <c r="A379" s="7"/>
      <c r="B379" s="20"/>
      <c r="C379" s="21"/>
      <c r="D379" s="21"/>
      <c r="E379" s="21"/>
      <c r="F379" s="21"/>
    </row>
    <row r="380" spans="1:6" x14ac:dyDescent="0.2">
      <c r="A380" s="7"/>
      <c r="B380" s="20"/>
      <c r="C380" s="21"/>
      <c r="D380" s="21"/>
      <c r="E380" s="21"/>
      <c r="F380" s="21"/>
    </row>
    <row r="381" spans="1:6" x14ac:dyDescent="0.2">
      <c r="A381" s="7"/>
      <c r="B381" s="20"/>
      <c r="C381" s="21"/>
      <c r="D381" s="21"/>
      <c r="E381" s="21"/>
      <c r="F381" s="21"/>
    </row>
    <row r="382" spans="1:6" x14ac:dyDescent="0.2">
      <c r="A382" s="7"/>
      <c r="B382" s="20"/>
      <c r="C382" s="21"/>
      <c r="D382" s="21"/>
      <c r="E382" s="21"/>
      <c r="F382" s="21"/>
    </row>
    <row r="383" spans="1:6" x14ac:dyDescent="0.2">
      <c r="A383" s="7"/>
      <c r="B383" s="20"/>
      <c r="C383" s="21"/>
      <c r="D383" s="21"/>
      <c r="E383" s="21"/>
      <c r="F383" s="21"/>
    </row>
    <row r="384" spans="1:6" x14ac:dyDescent="0.2">
      <c r="A384" s="7"/>
      <c r="B384" s="20"/>
      <c r="C384" s="21"/>
      <c r="D384" s="21"/>
      <c r="E384" s="21"/>
      <c r="F384" s="21"/>
    </row>
    <row r="385" spans="1:6" x14ac:dyDescent="0.2">
      <c r="A385" s="7"/>
      <c r="B385" s="20"/>
      <c r="C385" s="21"/>
      <c r="D385" s="21"/>
      <c r="E385" s="21"/>
      <c r="F385" s="21"/>
    </row>
    <row r="386" spans="1:6" x14ac:dyDescent="0.2">
      <c r="A386" s="7"/>
      <c r="B386" s="20"/>
      <c r="C386" s="21"/>
      <c r="D386" s="21"/>
      <c r="E386" s="21"/>
      <c r="F386" s="21"/>
    </row>
    <row r="387" spans="1:6" x14ac:dyDescent="0.2">
      <c r="A387" s="7"/>
      <c r="B387" s="20"/>
      <c r="C387" s="21"/>
      <c r="D387" s="21"/>
      <c r="E387" s="21"/>
      <c r="F387" s="21"/>
    </row>
    <row r="388" spans="1:6" x14ac:dyDescent="0.2">
      <c r="A388" s="7"/>
      <c r="B388" s="20"/>
      <c r="C388" s="21"/>
      <c r="D388" s="21"/>
      <c r="E388" s="21"/>
      <c r="F388" s="21"/>
    </row>
    <row r="389" spans="1:6" x14ac:dyDescent="0.2">
      <c r="A389" s="7"/>
      <c r="B389" s="20"/>
      <c r="C389" s="21"/>
      <c r="D389" s="21"/>
      <c r="E389" s="21"/>
      <c r="F389" s="21"/>
    </row>
    <row r="390" spans="1:6" x14ac:dyDescent="0.2">
      <c r="A390" s="7"/>
      <c r="B390" s="20"/>
      <c r="C390" s="21"/>
      <c r="D390" s="21"/>
      <c r="E390" s="21"/>
      <c r="F390" s="21"/>
    </row>
    <row r="391" spans="1:6" x14ac:dyDescent="0.2">
      <c r="A391" s="7"/>
      <c r="B391" s="20"/>
      <c r="C391" s="21"/>
      <c r="D391" s="21"/>
      <c r="E391" s="21"/>
      <c r="F391" s="21"/>
    </row>
    <row r="392" spans="1:6" x14ac:dyDescent="0.2">
      <c r="A392" s="7"/>
      <c r="B392" s="20"/>
      <c r="C392" s="21"/>
      <c r="D392" s="21"/>
      <c r="E392" s="21"/>
      <c r="F392" s="21"/>
    </row>
    <row r="393" spans="1:6" x14ac:dyDescent="0.2">
      <c r="A393" s="7"/>
      <c r="B393" s="20"/>
      <c r="C393" s="21"/>
      <c r="D393" s="21"/>
      <c r="E393" s="21"/>
      <c r="F393" s="21"/>
    </row>
    <row r="394" spans="1:6" x14ac:dyDescent="0.2">
      <c r="A394" s="7"/>
      <c r="B394" s="20"/>
      <c r="C394" s="21"/>
      <c r="D394" s="21"/>
      <c r="E394" s="21"/>
      <c r="F394" s="21"/>
    </row>
    <row r="395" spans="1:6" x14ac:dyDescent="0.2">
      <c r="A395" s="7"/>
      <c r="B395" s="20"/>
      <c r="C395" s="21"/>
      <c r="D395" s="21"/>
      <c r="E395" s="21"/>
      <c r="F395" s="21"/>
    </row>
    <row r="396" spans="1:6" x14ac:dyDescent="0.2">
      <c r="A396" s="7"/>
      <c r="B396" s="20"/>
      <c r="C396" s="21"/>
      <c r="D396" s="21"/>
      <c r="E396" s="21"/>
      <c r="F396" s="21"/>
    </row>
    <row r="397" spans="1:6" x14ac:dyDescent="0.2">
      <c r="A397" s="7"/>
      <c r="B397" s="20"/>
      <c r="C397" s="21"/>
      <c r="D397" s="21"/>
      <c r="E397" s="21"/>
      <c r="F397" s="21"/>
    </row>
    <row r="398" spans="1:6" x14ac:dyDescent="0.2">
      <c r="A398" s="7"/>
      <c r="B398" s="20"/>
      <c r="C398" s="21"/>
      <c r="D398" s="21"/>
      <c r="E398" s="21"/>
      <c r="F398" s="21"/>
    </row>
    <row r="399" spans="1:6" x14ac:dyDescent="0.2">
      <c r="A399" s="7"/>
      <c r="B399" s="20"/>
      <c r="C399" s="21"/>
      <c r="D399" s="21"/>
      <c r="E399" s="21"/>
      <c r="F399" s="21"/>
    </row>
    <row r="400" spans="1:6" x14ac:dyDescent="0.2">
      <c r="A400" s="7"/>
      <c r="B400" s="20"/>
      <c r="C400" s="21"/>
      <c r="D400" s="21"/>
      <c r="E400" s="21"/>
      <c r="F400" s="21"/>
    </row>
    <row r="401" spans="1:6" x14ac:dyDescent="0.2">
      <c r="A401" s="7"/>
      <c r="B401" s="20"/>
      <c r="C401" s="21"/>
      <c r="D401" s="21"/>
      <c r="E401" s="21"/>
      <c r="F401" s="21"/>
    </row>
    <row r="402" spans="1:6" x14ac:dyDescent="0.2">
      <c r="A402" s="7"/>
      <c r="B402" s="20"/>
      <c r="C402" s="21"/>
      <c r="D402" s="21"/>
      <c r="E402" s="21"/>
      <c r="F402" s="21"/>
    </row>
    <row r="403" spans="1:6" x14ac:dyDescent="0.2">
      <c r="A403" s="7"/>
      <c r="B403" s="20"/>
      <c r="C403" s="21"/>
      <c r="D403" s="21"/>
      <c r="E403" s="21"/>
      <c r="F403" s="21"/>
    </row>
    <row r="404" spans="1:6" x14ac:dyDescent="0.2">
      <c r="A404" s="7"/>
      <c r="B404" s="20"/>
      <c r="C404" s="21"/>
      <c r="D404" s="21"/>
      <c r="E404" s="21"/>
      <c r="F404" s="21"/>
    </row>
    <row r="405" spans="1:6" x14ac:dyDescent="0.2">
      <c r="A405" s="7"/>
      <c r="B405" s="20"/>
      <c r="C405" s="21"/>
      <c r="D405" s="21"/>
      <c r="E405" s="21"/>
      <c r="F405" s="21"/>
    </row>
    <row r="406" spans="1:6" x14ac:dyDescent="0.2">
      <c r="A406" s="7"/>
      <c r="B406" s="20"/>
      <c r="C406" s="21"/>
      <c r="D406" s="21"/>
      <c r="E406" s="21"/>
      <c r="F406" s="21"/>
    </row>
    <row r="407" spans="1:6" x14ac:dyDescent="0.2">
      <c r="A407" s="7"/>
      <c r="B407" s="20"/>
      <c r="C407" s="21"/>
      <c r="D407" s="21"/>
      <c r="E407" s="21"/>
      <c r="F407" s="21"/>
    </row>
    <row r="408" spans="1:6" x14ac:dyDescent="0.2">
      <c r="A408" s="7"/>
      <c r="B408" s="20"/>
      <c r="C408" s="21"/>
      <c r="D408" s="21"/>
      <c r="E408" s="21"/>
      <c r="F408" s="21"/>
    </row>
    <row r="409" spans="1:6" x14ac:dyDescent="0.2">
      <c r="A409" s="7"/>
      <c r="B409" s="20"/>
      <c r="C409" s="21"/>
      <c r="D409" s="21"/>
      <c r="E409" s="21"/>
      <c r="F409" s="21"/>
    </row>
    <row r="410" spans="1:6" x14ac:dyDescent="0.2">
      <c r="A410" s="7"/>
      <c r="B410" s="20"/>
      <c r="C410" s="21"/>
      <c r="D410" s="21"/>
      <c r="E410" s="21"/>
      <c r="F410" s="21"/>
    </row>
    <row r="411" spans="1:6" x14ac:dyDescent="0.2">
      <c r="A411" s="7"/>
      <c r="B411" s="20"/>
      <c r="C411" s="21"/>
      <c r="D411" s="21"/>
      <c r="E411" s="21"/>
      <c r="F411" s="21"/>
    </row>
    <row r="412" spans="1:6" x14ac:dyDescent="0.2">
      <c r="A412" s="7"/>
      <c r="B412" s="20"/>
      <c r="C412" s="21"/>
      <c r="D412" s="21"/>
      <c r="E412" s="21"/>
      <c r="F412" s="21"/>
    </row>
    <row r="413" spans="1:6" x14ac:dyDescent="0.2">
      <c r="A413" s="7"/>
      <c r="B413" s="20"/>
      <c r="C413" s="21"/>
      <c r="D413" s="21"/>
      <c r="E413" s="21"/>
      <c r="F413" s="21"/>
    </row>
    <row r="414" spans="1:6" x14ac:dyDescent="0.2">
      <c r="A414" s="7"/>
      <c r="B414" s="20"/>
      <c r="C414" s="21"/>
      <c r="D414" s="21"/>
      <c r="E414" s="21"/>
      <c r="F414" s="21"/>
    </row>
    <row r="415" spans="1:6" x14ac:dyDescent="0.2">
      <c r="A415" s="7"/>
      <c r="B415" s="20"/>
      <c r="C415" s="21"/>
      <c r="D415" s="21"/>
      <c r="E415" s="21"/>
      <c r="F415" s="21"/>
    </row>
    <row r="416" spans="1:6" x14ac:dyDescent="0.2">
      <c r="A416" s="7"/>
      <c r="B416" s="20"/>
      <c r="C416" s="21"/>
      <c r="D416" s="21"/>
      <c r="E416" s="21"/>
      <c r="F416" s="21"/>
    </row>
    <row r="417" spans="1:6" x14ac:dyDescent="0.2">
      <c r="A417" s="7"/>
      <c r="B417" s="20"/>
      <c r="C417" s="21"/>
      <c r="D417" s="21"/>
      <c r="E417" s="21"/>
      <c r="F417" s="21"/>
    </row>
    <row r="418" spans="1:6" x14ac:dyDescent="0.2">
      <c r="A418" s="7"/>
      <c r="B418" s="20"/>
      <c r="C418" s="21"/>
      <c r="D418" s="21"/>
      <c r="E418" s="21"/>
      <c r="F418" s="21"/>
    </row>
    <row r="419" spans="1:6" x14ac:dyDescent="0.2">
      <c r="A419" s="7"/>
      <c r="B419" s="20"/>
      <c r="C419" s="21"/>
      <c r="D419" s="21"/>
      <c r="E419" s="21"/>
      <c r="F419" s="21"/>
    </row>
    <row r="420" spans="1:6" x14ac:dyDescent="0.2">
      <c r="A420" s="7"/>
      <c r="B420" s="20"/>
      <c r="C420" s="21"/>
      <c r="D420" s="21"/>
      <c r="E420" s="21"/>
      <c r="F420" s="21"/>
    </row>
    <row r="421" spans="1:6" x14ac:dyDescent="0.2">
      <c r="A421" s="7"/>
      <c r="B421" s="20"/>
      <c r="C421" s="21"/>
      <c r="D421" s="21"/>
      <c r="E421" s="21"/>
      <c r="F421" s="21"/>
    </row>
    <row r="422" spans="1:6" x14ac:dyDescent="0.2">
      <c r="A422" s="7"/>
      <c r="B422" s="20"/>
      <c r="C422" s="21"/>
      <c r="D422" s="21"/>
      <c r="E422" s="21"/>
      <c r="F422" s="21"/>
    </row>
    <row r="423" spans="1:6" x14ac:dyDescent="0.2">
      <c r="A423" s="7"/>
      <c r="B423" s="20"/>
      <c r="C423" s="21"/>
      <c r="D423" s="21"/>
      <c r="E423" s="21"/>
      <c r="F423" s="21"/>
    </row>
    <row r="424" spans="1:6" x14ac:dyDescent="0.2">
      <c r="A424" s="7"/>
      <c r="B424" s="20"/>
      <c r="C424" s="21"/>
      <c r="D424" s="21"/>
      <c r="E424" s="21"/>
      <c r="F424" s="21"/>
    </row>
    <row r="425" spans="1:6" x14ac:dyDescent="0.2">
      <c r="A425" s="7"/>
      <c r="B425" s="20"/>
      <c r="C425" s="21"/>
      <c r="D425" s="21"/>
      <c r="E425" s="21"/>
      <c r="F425" s="21"/>
    </row>
    <row r="426" spans="1:6" x14ac:dyDescent="0.2">
      <c r="A426" s="7"/>
      <c r="B426" s="20"/>
      <c r="C426" s="21"/>
      <c r="D426" s="21"/>
      <c r="E426" s="21"/>
      <c r="F426" s="21"/>
    </row>
    <row r="427" spans="1:6" x14ac:dyDescent="0.2">
      <c r="A427" s="7"/>
      <c r="B427" s="20"/>
      <c r="C427" s="21"/>
      <c r="D427" s="21"/>
      <c r="E427" s="21"/>
      <c r="F427" s="21"/>
    </row>
    <row r="428" spans="1:6" x14ac:dyDescent="0.2">
      <c r="A428" s="7"/>
      <c r="B428" s="20"/>
      <c r="C428" s="21"/>
      <c r="D428" s="21"/>
      <c r="E428" s="21"/>
      <c r="F428" s="21"/>
    </row>
    <row r="429" spans="1:6" x14ac:dyDescent="0.2">
      <c r="A429" s="7"/>
      <c r="B429" s="20"/>
      <c r="C429" s="21"/>
      <c r="D429" s="21"/>
      <c r="E429" s="21"/>
      <c r="F429" s="21"/>
    </row>
    <row r="430" spans="1:6" x14ac:dyDescent="0.2">
      <c r="A430" s="7"/>
      <c r="B430" s="20"/>
      <c r="C430" s="21"/>
      <c r="D430" s="21"/>
      <c r="E430" s="21"/>
      <c r="F430" s="21"/>
    </row>
    <row r="431" spans="1:6" x14ac:dyDescent="0.2">
      <c r="A431" s="7"/>
      <c r="B431" s="20"/>
      <c r="C431" s="21"/>
      <c r="D431" s="21"/>
      <c r="E431" s="21"/>
      <c r="F431" s="21"/>
    </row>
    <row r="432" spans="1:6" x14ac:dyDescent="0.2">
      <c r="A432" s="7"/>
      <c r="B432" s="20"/>
      <c r="C432" s="21"/>
      <c r="D432" s="21"/>
      <c r="E432" s="21"/>
      <c r="F432" s="21"/>
    </row>
    <row r="433" spans="1:6" x14ac:dyDescent="0.2">
      <c r="A433" s="7"/>
      <c r="B433" s="20"/>
      <c r="C433" s="21"/>
      <c r="D433" s="21"/>
      <c r="E433" s="21"/>
      <c r="F433" s="21"/>
    </row>
    <row r="434" spans="1:6" x14ac:dyDescent="0.2">
      <c r="A434" s="7"/>
      <c r="B434" s="20"/>
      <c r="C434" s="21"/>
      <c r="D434" s="21"/>
      <c r="E434" s="21"/>
      <c r="F434" s="21"/>
    </row>
    <row r="435" spans="1:6" x14ac:dyDescent="0.2">
      <c r="A435" s="7"/>
      <c r="B435" s="20"/>
      <c r="C435" s="21"/>
      <c r="D435" s="21"/>
      <c r="E435" s="21"/>
      <c r="F435" s="21"/>
    </row>
    <row r="436" spans="1:6" x14ac:dyDescent="0.2">
      <c r="A436" s="7"/>
      <c r="B436" s="20"/>
      <c r="C436" s="21"/>
      <c r="D436" s="21"/>
      <c r="E436" s="21"/>
      <c r="F436" s="21"/>
    </row>
    <row r="437" spans="1:6" x14ac:dyDescent="0.2">
      <c r="A437" s="7"/>
      <c r="B437" s="20"/>
      <c r="C437" s="21"/>
      <c r="D437" s="21"/>
      <c r="E437" s="21"/>
      <c r="F437" s="21"/>
    </row>
    <row r="438" spans="1:6" x14ac:dyDescent="0.2">
      <c r="A438" s="7"/>
      <c r="B438" s="20"/>
      <c r="C438" s="21"/>
      <c r="D438" s="21"/>
      <c r="E438" s="21"/>
      <c r="F438" s="21"/>
    </row>
    <row r="439" spans="1:6" x14ac:dyDescent="0.2">
      <c r="A439" s="7"/>
      <c r="B439" s="20"/>
      <c r="C439" s="21"/>
      <c r="D439" s="21"/>
      <c r="E439" s="21"/>
      <c r="F439" s="21"/>
    </row>
    <row r="440" spans="1:6" x14ac:dyDescent="0.2">
      <c r="A440" s="7"/>
      <c r="B440" s="20"/>
      <c r="C440" s="21"/>
      <c r="D440" s="21"/>
      <c r="E440" s="21"/>
      <c r="F440" s="21"/>
    </row>
    <row r="441" spans="1:6" x14ac:dyDescent="0.2">
      <c r="A441" s="7"/>
      <c r="B441" s="20"/>
      <c r="C441" s="21"/>
      <c r="D441" s="21"/>
      <c r="E441" s="21"/>
      <c r="F441" s="21"/>
    </row>
    <row r="442" spans="1:6" x14ac:dyDescent="0.2">
      <c r="A442" s="7"/>
      <c r="B442" s="20"/>
      <c r="C442" s="21"/>
      <c r="D442" s="21"/>
      <c r="E442" s="21"/>
      <c r="F442" s="21"/>
    </row>
    <row r="443" spans="1:6" x14ac:dyDescent="0.2">
      <c r="A443" s="7"/>
      <c r="B443" s="20"/>
      <c r="C443" s="21"/>
      <c r="D443" s="21"/>
      <c r="E443" s="21"/>
      <c r="F443" s="21"/>
    </row>
    <row r="444" spans="1:6" x14ac:dyDescent="0.2">
      <c r="A444" s="7"/>
      <c r="B444" s="20"/>
      <c r="C444" s="21"/>
      <c r="D444" s="21"/>
      <c r="E444" s="21"/>
      <c r="F444" s="21"/>
    </row>
    <row r="445" spans="1:6" x14ac:dyDescent="0.2">
      <c r="A445" s="7"/>
      <c r="B445" s="20"/>
      <c r="C445" s="21"/>
      <c r="D445" s="21"/>
      <c r="E445" s="21"/>
      <c r="F445" s="21"/>
    </row>
    <row r="446" spans="1:6" x14ac:dyDescent="0.2">
      <c r="A446" s="7"/>
      <c r="B446" s="20"/>
      <c r="C446" s="21"/>
      <c r="D446" s="21"/>
      <c r="E446" s="21"/>
      <c r="F446" s="21"/>
    </row>
    <row r="447" spans="1:6" x14ac:dyDescent="0.2">
      <c r="A447" s="7"/>
      <c r="B447" s="20"/>
      <c r="C447" s="21"/>
      <c r="D447" s="21"/>
      <c r="E447" s="21"/>
      <c r="F447" s="21"/>
    </row>
    <row r="448" spans="1:6" x14ac:dyDescent="0.2">
      <c r="A448" s="7"/>
      <c r="B448" s="20"/>
      <c r="C448" s="21"/>
      <c r="D448" s="21"/>
      <c r="E448" s="21"/>
      <c r="F448" s="21"/>
    </row>
    <row r="449" spans="1:6" x14ac:dyDescent="0.2">
      <c r="A449" s="7"/>
      <c r="B449" s="20"/>
      <c r="C449" s="21"/>
      <c r="D449" s="21"/>
      <c r="E449" s="21"/>
      <c r="F449" s="21"/>
    </row>
    <row r="450" spans="1:6" x14ac:dyDescent="0.2">
      <c r="A450" s="7"/>
      <c r="B450" s="20"/>
      <c r="C450" s="21"/>
      <c r="D450" s="21"/>
      <c r="E450" s="21"/>
      <c r="F450" s="21"/>
    </row>
    <row r="451" spans="1:6" x14ac:dyDescent="0.2">
      <c r="A451" s="7"/>
      <c r="B451" s="20"/>
      <c r="C451" s="21"/>
      <c r="D451" s="21"/>
      <c r="E451" s="21"/>
      <c r="F451" s="21"/>
    </row>
    <row r="452" spans="1:6" x14ac:dyDescent="0.2">
      <c r="A452" s="7"/>
      <c r="B452" s="20"/>
      <c r="C452" s="21"/>
      <c r="D452" s="21"/>
      <c r="E452" s="21"/>
      <c r="F452" s="21"/>
    </row>
    <row r="453" spans="1:6" x14ac:dyDescent="0.2">
      <c r="A453" s="7"/>
      <c r="B453" s="20"/>
      <c r="C453" s="21"/>
      <c r="D453" s="21"/>
      <c r="E453" s="21"/>
      <c r="F453" s="21"/>
    </row>
    <row r="454" spans="1:6" x14ac:dyDescent="0.2">
      <c r="A454" s="7"/>
      <c r="B454" s="20"/>
      <c r="C454" s="21"/>
      <c r="D454" s="21"/>
      <c r="E454" s="21"/>
      <c r="F454" s="21"/>
    </row>
    <row r="455" spans="1:6" x14ac:dyDescent="0.2">
      <c r="A455" s="7"/>
      <c r="B455" s="20"/>
      <c r="C455" s="21"/>
      <c r="D455" s="21"/>
      <c r="E455" s="21"/>
      <c r="F455" s="21"/>
    </row>
    <row r="456" spans="1:6" x14ac:dyDescent="0.2">
      <c r="A456" s="7"/>
      <c r="B456" s="20"/>
      <c r="C456" s="21"/>
      <c r="D456" s="21"/>
      <c r="E456" s="21"/>
      <c r="F456" s="21"/>
    </row>
    <row r="457" spans="1:6" x14ac:dyDescent="0.2">
      <c r="A457" s="7"/>
      <c r="B457" s="20"/>
      <c r="C457" s="21"/>
      <c r="D457" s="21"/>
      <c r="E457" s="21"/>
      <c r="F457" s="21"/>
    </row>
    <row r="458" spans="1:6" x14ac:dyDescent="0.2">
      <c r="A458" s="7"/>
      <c r="B458" s="20"/>
      <c r="C458" s="21"/>
      <c r="D458" s="21"/>
      <c r="E458" s="21"/>
      <c r="F458" s="21"/>
    </row>
    <row r="459" spans="1:6" x14ac:dyDescent="0.2">
      <c r="A459" s="7"/>
      <c r="B459" s="20"/>
      <c r="C459" s="21"/>
      <c r="D459" s="21"/>
      <c r="E459" s="21"/>
      <c r="F459" s="21"/>
    </row>
    <row r="460" spans="1:6" x14ac:dyDescent="0.2">
      <c r="A460" s="7"/>
      <c r="B460" s="20"/>
      <c r="C460" s="21"/>
      <c r="D460" s="21"/>
      <c r="E460" s="21"/>
      <c r="F460" s="21"/>
    </row>
    <row r="461" spans="1:6" x14ac:dyDescent="0.2">
      <c r="A461" s="7"/>
      <c r="B461" s="20"/>
      <c r="C461" s="21"/>
      <c r="D461" s="21"/>
      <c r="E461" s="21"/>
      <c r="F461" s="21"/>
    </row>
    <row r="462" spans="1:6" x14ac:dyDescent="0.2">
      <c r="A462" s="7"/>
      <c r="B462" s="20"/>
      <c r="C462" s="21"/>
      <c r="D462" s="21"/>
      <c r="E462" s="21"/>
      <c r="F462" s="21"/>
    </row>
    <row r="463" spans="1:6" x14ac:dyDescent="0.2">
      <c r="A463" s="7"/>
      <c r="B463" s="20"/>
      <c r="C463" s="21"/>
      <c r="D463" s="21"/>
      <c r="E463" s="21"/>
      <c r="F463" s="21"/>
    </row>
    <row r="464" spans="1:6" x14ac:dyDescent="0.2">
      <c r="A464" s="7"/>
      <c r="B464" s="20"/>
      <c r="C464" s="21"/>
      <c r="D464" s="21"/>
      <c r="E464" s="21"/>
      <c r="F464" s="21"/>
    </row>
    <row r="465" spans="1:6" x14ac:dyDescent="0.2">
      <c r="A465" s="7"/>
      <c r="B465" s="20"/>
      <c r="C465" s="21"/>
      <c r="D465" s="21"/>
      <c r="E465" s="21"/>
      <c r="F465" s="21"/>
    </row>
    <row r="466" spans="1:6" x14ac:dyDescent="0.2">
      <c r="A466" s="7"/>
      <c r="B466" s="20"/>
      <c r="C466" s="21"/>
      <c r="D466" s="21"/>
      <c r="E466" s="21"/>
      <c r="F466" s="21"/>
    </row>
    <row r="467" spans="1:6" x14ac:dyDescent="0.2">
      <c r="A467" s="7"/>
      <c r="B467" s="20"/>
      <c r="C467" s="21"/>
      <c r="D467" s="21"/>
      <c r="E467" s="21"/>
      <c r="F467" s="21"/>
    </row>
    <row r="468" spans="1:6" x14ac:dyDescent="0.2">
      <c r="A468" s="7"/>
      <c r="B468" s="20"/>
      <c r="C468" s="21"/>
      <c r="D468" s="21"/>
      <c r="E468" s="21"/>
      <c r="F468" s="21"/>
    </row>
    <row r="469" spans="1:6" x14ac:dyDescent="0.2">
      <c r="A469" s="7"/>
      <c r="B469" s="20"/>
      <c r="C469" s="21"/>
      <c r="D469" s="21"/>
      <c r="E469" s="21"/>
      <c r="F469" s="21"/>
    </row>
    <row r="470" spans="1:6" x14ac:dyDescent="0.2">
      <c r="A470" s="7"/>
      <c r="B470" s="20"/>
      <c r="C470" s="21"/>
      <c r="D470" s="21"/>
      <c r="E470" s="21"/>
      <c r="F470" s="21"/>
    </row>
    <row r="471" spans="1:6" x14ac:dyDescent="0.2">
      <c r="A471" s="7"/>
      <c r="B471" s="20"/>
      <c r="C471" s="21"/>
      <c r="D471" s="21"/>
      <c r="E471" s="21"/>
      <c r="F471" s="21"/>
    </row>
    <row r="472" spans="1:6" x14ac:dyDescent="0.2">
      <c r="A472" s="7"/>
      <c r="B472" s="20"/>
      <c r="C472" s="21"/>
      <c r="D472" s="21"/>
      <c r="E472" s="21"/>
      <c r="F472" s="21"/>
    </row>
    <row r="473" spans="1:6" x14ac:dyDescent="0.2">
      <c r="A473" s="7"/>
      <c r="B473" s="20"/>
      <c r="C473" s="21"/>
      <c r="D473" s="21"/>
      <c r="E473" s="21"/>
      <c r="F473" s="21"/>
    </row>
    <row r="474" spans="1:6" x14ac:dyDescent="0.2">
      <c r="A474" s="7"/>
      <c r="B474" s="20"/>
      <c r="C474" s="21"/>
      <c r="D474" s="21"/>
      <c r="E474" s="21"/>
      <c r="F474" s="21"/>
    </row>
    <row r="475" spans="1:6" x14ac:dyDescent="0.2">
      <c r="A475" s="7"/>
      <c r="B475" s="20"/>
      <c r="C475" s="21"/>
      <c r="D475" s="21"/>
      <c r="E475" s="21"/>
      <c r="F475" s="21"/>
    </row>
    <row r="476" spans="1:6" x14ac:dyDescent="0.2">
      <c r="A476" s="7"/>
      <c r="B476" s="20"/>
      <c r="C476" s="21"/>
      <c r="D476" s="21"/>
      <c r="E476" s="21"/>
      <c r="F476" s="21"/>
    </row>
    <row r="477" spans="1:6" x14ac:dyDescent="0.2">
      <c r="A477" s="7"/>
      <c r="B477" s="20"/>
      <c r="C477" s="21"/>
      <c r="D477" s="21"/>
      <c r="E477" s="21"/>
      <c r="F477" s="21"/>
    </row>
    <row r="478" spans="1:6" x14ac:dyDescent="0.2">
      <c r="A478" s="7"/>
      <c r="B478" s="20"/>
      <c r="C478" s="21"/>
      <c r="D478" s="21"/>
      <c r="E478" s="21"/>
      <c r="F478" s="21"/>
    </row>
    <row r="479" spans="1:6" x14ac:dyDescent="0.2">
      <c r="A479" s="7"/>
      <c r="B479" s="20"/>
      <c r="C479" s="21"/>
      <c r="D479" s="21"/>
      <c r="E479" s="21"/>
      <c r="F479" s="21"/>
    </row>
    <row r="480" spans="1:6" x14ac:dyDescent="0.2">
      <c r="A480" s="7"/>
      <c r="B480" s="20"/>
      <c r="C480" s="21"/>
      <c r="D480" s="21"/>
      <c r="E480" s="21"/>
      <c r="F480" s="21"/>
    </row>
    <row r="481" spans="1:6" x14ac:dyDescent="0.2">
      <c r="A481" s="7"/>
      <c r="B481" s="20"/>
      <c r="C481" s="21"/>
      <c r="D481" s="21"/>
      <c r="E481" s="21"/>
      <c r="F481" s="21"/>
    </row>
    <row r="482" spans="1:6" x14ac:dyDescent="0.2">
      <c r="A482" s="7"/>
      <c r="B482" s="20"/>
      <c r="C482" s="21"/>
      <c r="D482" s="21"/>
      <c r="E482" s="21"/>
      <c r="F482" s="21"/>
    </row>
    <row r="483" spans="1:6" x14ac:dyDescent="0.2">
      <c r="A483" s="7"/>
      <c r="B483" s="20"/>
      <c r="C483" s="21"/>
      <c r="D483" s="21"/>
      <c r="E483" s="21"/>
      <c r="F483" s="21"/>
    </row>
    <row r="484" spans="1:6" x14ac:dyDescent="0.2">
      <c r="A484" s="7"/>
      <c r="B484" s="20"/>
      <c r="C484" s="21"/>
      <c r="D484" s="21"/>
      <c r="E484" s="21"/>
      <c r="F484" s="21"/>
    </row>
    <row r="485" spans="1:6" x14ac:dyDescent="0.2">
      <c r="A485" s="7"/>
      <c r="B485" s="20"/>
      <c r="C485" s="21"/>
      <c r="D485" s="21"/>
      <c r="E485" s="21"/>
      <c r="F485" s="21"/>
    </row>
    <row r="486" spans="1:6" x14ac:dyDescent="0.2">
      <c r="A486" s="7"/>
      <c r="B486" s="20"/>
      <c r="C486" s="21"/>
      <c r="D486" s="21"/>
      <c r="E486" s="21"/>
      <c r="F486" s="21"/>
    </row>
    <row r="487" spans="1:6" x14ac:dyDescent="0.2">
      <c r="A487" s="7"/>
      <c r="B487" s="20"/>
      <c r="C487" s="21"/>
      <c r="D487" s="21"/>
      <c r="E487" s="21"/>
      <c r="F487" s="21"/>
    </row>
    <row r="488" spans="1:6" x14ac:dyDescent="0.2">
      <c r="A488" s="7"/>
      <c r="B488" s="20"/>
      <c r="C488" s="21"/>
      <c r="D488" s="21"/>
      <c r="E488" s="21"/>
      <c r="F488" s="21"/>
    </row>
    <row r="489" spans="1:6" x14ac:dyDescent="0.2">
      <c r="A489" s="7"/>
      <c r="B489" s="20"/>
      <c r="C489" s="21"/>
      <c r="D489" s="21"/>
      <c r="E489" s="21"/>
      <c r="F489" s="21"/>
    </row>
    <row r="490" spans="1:6" x14ac:dyDescent="0.2">
      <c r="A490" s="7"/>
      <c r="B490" s="20"/>
      <c r="C490" s="21"/>
      <c r="D490" s="21"/>
      <c r="E490" s="21"/>
      <c r="F490" s="21"/>
    </row>
    <row r="491" spans="1:6" x14ac:dyDescent="0.2">
      <c r="A491" s="7"/>
      <c r="B491" s="20"/>
      <c r="C491" s="21"/>
      <c r="D491" s="21"/>
      <c r="E491" s="21"/>
      <c r="F491" s="21"/>
    </row>
    <row r="492" spans="1:6" x14ac:dyDescent="0.2">
      <c r="A492" s="7"/>
      <c r="B492" s="20"/>
      <c r="C492" s="21"/>
      <c r="D492" s="21"/>
      <c r="E492" s="21"/>
      <c r="F492" s="21"/>
    </row>
    <row r="493" spans="1:6" x14ac:dyDescent="0.2">
      <c r="A493" s="7"/>
      <c r="B493" s="20"/>
      <c r="C493" s="21"/>
      <c r="D493" s="21"/>
      <c r="E493" s="21"/>
      <c r="F493" s="21"/>
    </row>
    <row r="494" spans="1:6" x14ac:dyDescent="0.2">
      <c r="A494" s="7"/>
      <c r="B494" s="20"/>
      <c r="C494" s="21"/>
      <c r="D494" s="21"/>
      <c r="E494" s="21"/>
      <c r="F494" s="21"/>
    </row>
    <row r="495" spans="1:6" x14ac:dyDescent="0.2">
      <c r="A495" s="7"/>
      <c r="B495" s="20"/>
      <c r="C495" s="21"/>
      <c r="D495" s="21"/>
      <c r="E495" s="21"/>
      <c r="F495" s="21"/>
    </row>
    <row r="496" spans="1:6" x14ac:dyDescent="0.2">
      <c r="A496" s="7"/>
      <c r="B496" s="20"/>
      <c r="C496" s="21"/>
      <c r="D496" s="21"/>
      <c r="E496" s="21"/>
      <c r="F496" s="21"/>
    </row>
    <row r="497" spans="1:6" x14ac:dyDescent="0.2">
      <c r="A497" s="7"/>
      <c r="B497" s="20"/>
      <c r="C497" s="21"/>
      <c r="D497" s="21"/>
      <c r="E497" s="21"/>
      <c r="F497" s="21"/>
    </row>
    <row r="498" spans="1:6" x14ac:dyDescent="0.2">
      <c r="A498" s="7"/>
      <c r="B498" s="20"/>
      <c r="C498" s="21"/>
      <c r="D498" s="21"/>
      <c r="E498" s="21"/>
      <c r="F498" s="21"/>
    </row>
    <row r="499" spans="1:6" x14ac:dyDescent="0.2">
      <c r="A499" s="7"/>
      <c r="B499" s="20"/>
      <c r="C499" s="21"/>
      <c r="D499" s="21"/>
      <c r="E499" s="21"/>
      <c r="F499" s="21"/>
    </row>
    <row r="500" spans="1:6" x14ac:dyDescent="0.2">
      <c r="A500" s="7"/>
      <c r="B500" s="20"/>
      <c r="C500" s="21"/>
      <c r="D500" s="21"/>
      <c r="E500" s="21"/>
      <c r="F500" s="21"/>
    </row>
    <row r="501" spans="1:6" x14ac:dyDescent="0.2">
      <c r="A501" s="7"/>
      <c r="B501" s="20"/>
      <c r="C501" s="21"/>
      <c r="D501" s="21"/>
      <c r="E501" s="21"/>
      <c r="F501" s="21"/>
    </row>
    <row r="502" spans="1:6" x14ac:dyDescent="0.2">
      <c r="A502" s="7"/>
      <c r="B502" s="20"/>
      <c r="C502" s="21"/>
      <c r="D502" s="21"/>
      <c r="E502" s="21"/>
      <c r="F502" s="21"/>
    </row>
    <row r="503" spans="1:6" x14ac:dyDescent="0.2">
      <c r="A503" s="7"/>
      <c r="B503" s="20"/>
      <c r="C503" s="21"/>
      <c r="D503" s="21"/>
      <c r="E503" s="21"/>
      <c r="F503" s="21"/>
    </row>
    <row r="504" spans="1:6" x14ac:dyDescent="0.2">
      <c r="A504" s="7"/>
      <c r="B504" s="20"/>
      <c r="C504" s="21"/>
      <c r="D504" s="21"/>
      <c r="E504" s="21"/>
      <c r="F504" s="21"/>
    </row>
    <row r="505" spans="1:6" x14ac:dyDescent="0.2">
      <c r="A505" s="7"/>
      <c r="B505" s="20"/>
      <c r="C505" s="21"/>
      <c r="D505" s="21"/>
      <c r="E505" s="21"/>
      <c r="F505" s="21"/>
    </row>
    <row r="506" spans="1:6" x14ac:dyDescent="0.2">
      <c r="A506" s="7"/>
      <c r="B506" s="20"/>
      <c r="C506" s="21"/>
      <c r="D506" s="21"/>
      <c r="E506" s="21"/>
      <c r="F506" s="21"/>
    </row>
    <row r="507" spans="1:6" x14ac:dyDescent="0.2">
      <c r="A507" s="7"/>
      <c r="B507" s="20"/>
      <c r="C507" s="21"/>
      <c r="D507" s="21"/>
      <c r="E507" s="21"/>
      <c r="F507" s="21"/>
    </row>
    <row r="508" spans="1:6" x14ac:dyDescent="0.2">
      <c r="A508" s="7"/>
      <c r="B508" s="20"/>
      <c r="C508" s="21"/>
      <c r="D508" s="21"/>
      <c r="E508" s="21"/>
      <c r="F508" s="21"/>
    </row>
    <row r="509" spans="1:6" x14ac:dyDescent="0.2">
      <c r="A509" s="7"/>
      <c r="B509" s="20"/>
      <c r="C509" s="21"/>
      <c r="D509" s="21"/>
      <c r="E509" s="21"/>
      <c r="F509" s="21"/>
    </row>
    <row r="510" spans="1:6" x14ac:dyDescent="0.2">
      <c r="A510" s="7"/>
      <c r="B510" s="20"/>
      <c r="C510" s="21"/>
      <c r="D510" s="21"/>
      <c r="E510" s="21"/>
      <c r="F510" s="21"/>
    </row>
    <row r="511" spans="1:6" x14ac:dyDescent="0.2">
      <c r="A511" s="7"/>
      <c r="B511" s="20"/>
      <c r="C511" s="21"/>
      <c r="D511" s="21"/>
      <c r="E511" s="21"/>
      <c r="F511" s="21"/>
    </row>
    <row r="512" spans="1:6" x14ac:dyDescent="0.2">
      <c r="A512" s="7"/>
      <c r="B512" s="20"/>
      <c r="C512" s="21"/>
      <c r="D512" s="21"/>
      <c r="E512" s="21"/>
      <c r="F512" s="21"/>
    </row>
    <row r="513" spans="1:6" x14ac:dyDescent="0.2">
      <c r="A513" s="7"/>
      <c r="B513" s="20"/>
      <c r="C513" s="21"/>
      <c r="D513" s="21"/>
      <c r="E513" s="21"/>
      <c r="F513" s="21"/>
    </row>
    <row r="514" spans="1:6" x14ac:dyDescent="0.2">
      <c r="A514" s="7"/>
      <c r="B514" s="20"/>
      <c r="C514" s="21"/>
      <c r="D514" s="21"/>
      <c r="E514" s="21"/>
      <c r="F514" s="21"/>
    </row>
    <row r="515" spans="1:6" x14ac:dyDescent="0.2">
      <c r="A515" s="7"/>
      <c r="B515" s="20"/>
      <c r="C515" s="21"/>
      <c r="D515" s="21"/>
      <c r="E515" s="21"/>
      <c r="F515" s="21"/>
    </row>
    <row r="516" spans="1:6" x14ac:dyDescent="0.2">
      <c r="A516" s="7"/>
      <c r="B516" s="20"/>
      <c r="C516" s="21"/>
      <c r="D516" s="21"/>
      <c r="E516" s="21"/>
      <c r="F516" s="21"/>
    </row>
    <row r="517" spans="1:6" x14ac:dyDescent="0.2">
      <c r="A517" s="7"/>
      <c r="B517" s="20"/>
      <c r="C517" s="21"/>
      <c r="D517" s="21"/>
      <c r="E517" s="21"/>
      <c r="F517" s="21"/>
    </row>
    <row r="518" spans="1:6" x14ac:dyDescent="0.2">
      <c r="A518" s="7"/>
      <c r="B518" s="20"/>
      <c r="C518" s="21"/>
      <c r="D518" s="21"/>
      <c r="E518" s="21"/>
      <c r="F518" s="21"/>
    </row>
    <row r="519" spans="1:6" x14ac:dyDescent="0.2">
      <c r="A519" s="7"/>
      <c r="B519" s="20"/>
      <c r="C519" s="21"/>
      <c r="D519" s="21"/>
      <c r="E519" s="21"/>
      <c r="F519" s="21"/>
    </row>
    <row r="520" spans="1:6" x14ac:dyDescent="0.2">
      <c r="A520" s="7"/>
      <c r="B520" s="20"/>
      <c r="C520" s="21"/>
      <c r="D520" s="21"/>
      <c r="E520" s="21"/>
      <c r="F520" s="21"/>
    </row>
    <row r="521" spans="1:6" x14ac:dyDescent="0.2">
      <c r="A521" s="7"/>
      <c r="B521" s="20"/>
      <c r="C521" s="21"/>
      <c r="D521" s="21"/>
      <c r="E521" s="21"/>
      <c r="F521" s="21"/>
    </row>
    <row r="522" spans="1:6" x14ac:dyDescent="0.2">
      <c r="A522" s="7"/>
      <c r="B522" s="20"/>
      <c r="C522" s="21"/>
      <c r="D522" s="21"/>
      <c r="E522" s="21"/>
      <c r="F522" s="21"/>
    </row>
    <row r="523" spans="1:6" x14ac:dyDescent="0.2">
      <c r="A523" s="7"/>
      <c r="B523" s="20"/>
      <c r="C523" s="21"/>
      <c r="D523" s="21"/>
      <c r="E523" s="21"/>
      <c r="F523" s="21"/>
    </row>
    <row r="524" spans="1:6" x14ac:dyDescent="0.2">
      <c r="A524" s="7"/>
      <c r="B524" s="20"/>
      <c r="C524" s="21"/>
      <c r="D524" s="21"/>
      <c r="E524" s="21"/>
      <c r="F524" s="21"/>
    </row>
    <row r="525" spans="1:6" x14ac:dyDescent="0.2">
      <c r="A525" s="7"/>
      <c r="B525" s="20"/>
      <c r="C525" s="21"/>
      <c r="D525" s="21"/>
      <c r="E525" s="21"/>
      <c r="F525" s="21"/>
    </row>
    <row r="526" spans="1:6" x14ac:dyDescent="0.2">
      <c r="A526" s="7"/>
      <c r="B526" s="20"/>
      <c r="C526" s="21"/>
      <c r="D526" s="21"/>
      <c r="E526" s="21"/>
      <c r="F526" s="21"/>
    </row>
    <row r="527" spans="1:6" x14ac:dyDescent="0.2">
      <c r="A527" s="7"/>
      <c r="B527" s="20"/>
      <c r="C527" s="21"/>
      <c r="D527" s="21"/>
      <c r="E527" s="21"/>
      <c r="F527" s="21"/>
    </row>
    <row r="528" spans="1:6" x14ac:dyDescent="0.2">
      <c r="A528" s="7"/>
      <c r="B528" s="20"/>
      <c r="C528" s="21"/>
      <c r="D528" s="21"/>
      <c r="E528" s="21"/>
      <c r="F528" s="21"/>
    </row>
    <row r="529" spans="1:6" x14ac:dyDescent="0.2">
      <c r="A529" s="7"/>
      <c r="B529" s="20"/>
      <c r="C529" s="21"/>
      <c r="D529" s="21"/>
      <c r="E529" s="21"/>
      <c r="F529" s="21"/>
    </row>
    <row r="530" spans="1:6" x14ac:dyDescent="0.2">
      <c r="A530" s="7"/>
      <c r="B530" s="20"/>
      <c r="C530" s="21"/>
      <c r="D530" s="21"/>
      <c r="E530" s="21"/>
      <c r="F530" s="21"/>
    </row>
    <row r="531" spans="1:6" x14ac:dyDescent="0.2">
      <c r="A531" s="7"/>
      <c r="B531" s="20"/>
      <c r="C531" s="21"/>
      <c r="D531" s="21"/>
      <c r="E531" s="21"/>
      <c r="F531" s="21"/>
    </row>
    <row r="532" spans="1:6" x14ac:dyDescent="0.2">
      <c r="A532" s="7"/>
      <c r="B532" s="20"/>
      <c r="C532" s="21"/>
      <c r="D532" s="21"/>
      <c r="E532" s="21"/>
      <c r="F532" s="21"/>
    </row>
    <row r="533" spans="1:6" x14ac:dyDescent="0.2">
      <c r="A533" s="7"/>
      <c r="B533" s="20"/>
      <c r="C533" s="21"/>
      <c r="D533" s="21"/>
      <c r="E533" s="21"/>
      <c r="F533" s="21"/>
    </row>
    <row r="534" spans="1:6" x14ac:dyDescent="0.2">
      <c r="A534" s="7"/>
      <c r="B534" s="20"/>
      <c r="C534" s="21"/>
      <c r="D534" s="21"/>
      <c r="E534" s="21"/>
      <c r="F534" s="21"/>
    </row>
    <row r="535" spans="1:6" x14ac:dyDescent="0.2">
      <c r="A535" s="7"/>
      <c r="B535" s="20"/>
      <c r="C535" s="21"/>
      <c r="D535" s="21"/>
      <c r="E535" s="21"/>
      <c r="F535" s="21"/>
    </row>
    <row r="536" spans="1:6" x14ac:dyDescent="0.2">
      <c r="A536" s="7"/>
      <c r="B536" s="20"/>
      <c r="C536" s="21"/>
      <c r="D536" s="21"/>
      <c r="E536" s="21"/>
      <c r="F536" s="21"/>
    </row>
    <row r="537" spans="1:6" x14ac:dyDescent="0.2">
      <c r="A537" s="7"/>
      <c r="B537" s="20"/>
      <c r="C537" s="21"/>
      <c r="D537" s="21"/>
      <c r="E537" s="21"/>
      <c r="F537" s="21"/>
    </row>
    <row r="538" spans="1:6" x14ac:dyDescent="0.2">
      <c r="A538" s="7"/>
      <c r="B538" s="20"/>
      <c r="C538" s="21"/>
      <c r="D538" s="21"/>
      <c r="E538" s="21"/>
      <c r="F538" s="21"/>
    </row>
    <row r="539" spans="1:6" x14ac:dyDescent="0.2">
      <c r="A539" s="7"/>
      <c r="B539" s="20"/>
      <c r="C539" s="21"/>
      <c r="D539" s="21"/>
      <c r="E539" s="21"/>
      <c r="F539" s="21"/>
    </row>
    <row r="540" spans="1:6" x14ac:dyDescent="0.2">
      <c r="A540" s="7"/>
      <c r="B540" s="20"/>
      <c r="C540" s="21"/>
      <c r="D540" s="21"/>
      <c r="E540" s="21"/>
      <c r="F540" s="21"/>
    </row>
    <row r="541" spans="1:6" x14ac:dyDescent="0.2">
      <c r="A541" s="7"/>
      <c r="B541" s="20"/>
      <c r="C541" s="21"/>
      <c r="D541" s="21"/>
      <c r="E541" s="21"/>
      <c r="F541" s="21"/>
    </row>
    <row r="542" spans="1:6" x14ac:dyDescent="0.2">
      <c r="A542" s="7"/>
      <c r="B542" s="20"/>
      <c r="C542" s="21"/>
      <c r="D542" s="21"/>
      <c r="E542" s="21"/>
      <c r="F542" s="21"/>
    </row>
    <row r="543" spans="1:6" x14ac:dyDescent="0.2">
      <c r="A543" s="7"/>
      <c r="B543" s="20"/>
      <c r="C543" s="21"/>
      <c r="D543" s="21"/>
      <c r="E543" s="21"/>
      <c r="F543" s="21"/>
    </row>
    <row r="544" spans="1:6" x14ac:dyDescent="0.2">
      <c r="A544" s="7"/>
      <c r="B544" s="20"/>
      <c r="C544" s="21"/>
      <c r="D544" s="21"/>
      <c r="E544" s="21"/>
      <c r="F544" s="21"/>
    </row>
    <row r="545" spans="1:6" x14ac:dyDescent="0.2">
      <c r="A545" s="7"/>
      <c r="B545" s="20"/>
      <c r="C545" s="21"/>
      <c r="D545" s="21"/>
      <c r="E545" s="21"/>
      <c r="F545" s="21"/>
    </row>
    <row r="546" spans="1:6" x14ac:dyDescent="0.2">
      <c r="A546" s="7"/>
      <c r="B546" s="20"/>
      <c r="C546" s="21"/>
      <c r="D546" s="21"/>
      <c r="E546" s="21"/>
      <c r="F546" s="21"/>
    </row>
    <row r="547" spans="1:6" x14ac:dyDescent="0.2">
      <c r="A547" s="7"/>
      <c r="B547" s="20"/>
      <c r="C547" s="21"/>
      <c r="D547" s="21"/>
      <c r="E547" s="21"/>
      <c r="F547" s="21"/>
    </row>
    <row r="548" spans="1:6" x14ac:dyDescent="0.2">
      <c r="A548" s="7"/>
      <c r="B548" s="20"/>
      <c r="C548" s="21"/>
      <c r="D548" s="21"/>
      <c r="E548" s="21"/>
      <c r="F548" s="21"/>
    </row>
    <row r="549" spans="1:6" x14ac:dyDescent="0.2">
      <c r="A549" s="7"/>
      <c r="B549" s="20"/>
      <c r="C549" s="21"/>
      <c r="D549" s="21"/>
      <c r="E549" s="21"/>
      <c r="F549" s="21"/>
    </row>
    <row r="550" spans="1:6" x14ac:dyDescent="0.2">
      <c r="A550" s="7"/>
      <c r="B550" s="20"/>
      <c r="C550" s="21"/>
      <c r="D550" s="21"/>
      <c r="E550" s="21"/>
      <c r="F550" s="21"/>
    </row>
    <row r="551" spans="1:6" x14ac:dyDescent="0.2">
      <c r="A551" s="7"/>
      <c r="B551" s="20"/>
      <c r="C551" s="21"/>
      <c r="D551" s="21"/>
      <c r="E551" s="21"/>
      <c r="F551" s="21"/>
    </row>
    <row r="552" spans="1:6" x14ac:dyDescent="0.2">
      <c r="A552" s="7"/>
      <c r="B552" s="20"/>
      <c r="C552" s="21"/>
      <c r="D552" s="21"/>
      <c r="E552" s="21"/>
      <c r="F552" s="21"/>
    </row>
    <row r="553" spans="1:6" x14ac:dyDescent="0.2">
      <c r="A553" s="7"/>
      <c r="B553" s="20"/>
      <c r="C553" s="21"/>
      <c r="D553" s="21"/>
      <c r="E553" s="21"/>
      <c r="F553" s="21"/>
    </row>
    <row r="554" spans="1:6" x14ac:dyDescent="0.2">
      <c r="A554" s="7"/>
      <c r="B554" s="20"/>
      <c r="C554" s="21"/>
      <c r="D554" s="21"/>
      <c r="E554" s="21"/>
      <c r="F554" s="21"/>
    </row>
    <row r="555" spans="1:6" x14ac:dyDescent="0.2">
      <c r="A555" s="7"/>
      <c r="B555" s="20"/>
      <c r="C555" s="21"/>
      <c r="D555" s="21"/>
      <c r="E555" s="21"/>
      <c r="F555" s="21"/>
    </row>
    <row r="556" spans="1:6" x14ac:dyDescent="0.2">
      <c r="A556" s="7"/>
      <c r="B556" s="20"/>
      <c r="C556" s="21"/>
      <c r="D556" s="21"/>
      <c r="E556" s="21"/>
      <c r="F556" s="21"/>
    </row>
    <row r="557" spans="1:6" x14ac:dyDescent="0.2">
      <c r="A557" s="7"/>
      <c r="B557" s="20"/>
      <c r="C557" s="21"/>
      <c r="D557" s="21"/>
      <c r="E557" s="21"/>
      <c r="F557" s="21"/>
    </row>
    <row r="558" spans="1:6" x14ac:dyDescent="0.2">
      <c r="A558" s="7"/>
      <c r="B558" s="20"/>
      <c r="C558" s="21"/>
      <c r="D558" s="21"/>
      <c r="E558" s="21"/>
      <c r="F558" s="21"/>
    </row>
    <row r="559" spans="1:6" x14ac:dyDescent="0.2">
      <c r="A559" s="7"/>
      <c r="B559" s="20"/>
      <c r="C559" s="21"/>
      <c r="D559" s="21"/>
      <c r="E559" s="21"/>
      <c r="F559" s="21"/>
    </row>
    <row r="560" spans="1:6" x14ac:dyDescent="0.2">
      <c r="A560" s="7"/>
      <c r="B560" s="20"/>
      <c r="C560" s="21"/>
      <c r="D560" s="21"/>
      <c r="E560" s="21"/>
      <c r="F560" s="21"/>
    </row>
    <row r="561" spans="1:6" x14ac:dyDescent="0.2">
      <c r="A561" s="7"/>
      <c r="B561" s="20"/>
      <c r="C561" s="21"/>
      <c r="D561" s="21"/>
      <c r="E561" s="21"/>
      <c r="F561" s="21"/>
    </row>
    <row r="562" spans="1:6" x14ac:dyDescent="0.2">
      <c r="A562" s="7"/>
      <c r="B562" s="20"/>
      <c r="C562" s="21"/>
      <c r="D562" s="21"/>
      <c r="E562" s="21"/>
      <c r="F562" s="21"/>
    </row>
    <row r="563" spans="1:6" x14ac:dyDescent="0.2">
      <c r="A563" s="7"/>
      <c r="B563" s="20"/>
      <c r="C563" s="21"/>
      <c r="D563" s="21"/>
      <c r="E563" s="21"/>
      <c r="F563" s="21"/>
    </row>
    <row r="564" spans="1:6" x14ac:dyDescent="0.2">
      <c r="A564" s="7"/>
      <c r="B564" s="20"/>
      <c r="C564" s="21"/>
      <c r="D564" s="21"/>
      <c r="E564" s="21"/>
      <c r="F564" s="21"/>
    </row>
    <row r="565" spans="1:6" x14ac:dyDescent="0.2">
      <c r="A565" s="7"/>
      <c r="B565" s="20"/>
      <c r="C565" s="21"/>
      <c r="D565" s="21"/>
      <c r="E565" s="21"/>
      <c r="F565" s="21"/>
    </row>
    <row r="566" spans="1:6" x14ac:dyDescent="0.2">
      <c r="A566" s="7"/>
      <c r="B566" s="20"/>
      <c r="C566" s="21"/>
      <c r="D566" s="21"/>
      <c r="E566" s="21"/>
      <c r="F566" s="21"/>
    </row>
    <row r="567" spans="1:6" x14ac:dyDescent="0.2">
      <c r="A567" s="7"/>
      <c r="B567" s="20"/>
      <c r="C567" s="21"/>
      <c r="D567" s="21"/>
      <c r="E567" s="21"/>
      <c r="F567" s="21"/>
    </row>
    <row r="568" spans="1:6" x14ac:dyDescent="0.2">
      <c r="A568" s="7"/>
      <c r="B568" s="20"/>
      <c r="C568" s="21"/>
      <c r="D568" s="21"/>
      <c r="E568" s="21"/>
      <c r="F568" s="21"/>
    </row>
    <row r="569" spans="1:6" x14ac:dyDescent="0.2">
      <c r="A569" s="7"/>
      <c r="B569" s="20"/>
      <c r="C569" s="21"/>
      <c r="D569" s="21"/>
      <c r="E569" s="21"/>
      <c r="F569" s="21"/>
    </row>
    <row r="570" spans="1:6" x14ac:dyDescent="0.2">
      <c r="A570" s="7"/>
      <c r="B570" s="20"/>
      <c r="C570" s="21"/>
      <c r="D570" s="21"/>
      <c r="E570" s="21"/>
      <c r="F570" s="21"/>
    </row>
    <row r="571" spans="1:6" x14ac:dyDescent="0.2">
      <c r="A571" s="7"/>
      <c r="B571" s="20"/>
      <c r="C571" s="21"/>
      <c r="D571" s="21"/>
      <c r="E571" s="21"/>
      <c r="F571" s="21"/>
    </row>
    <row r="572" spans="1:6" x14ac:dyDescent="0.2">
      <c r="A572" s="7"/>
      <c r="B572" s="20"/>
      <c r="C572" s="21"/>
      <c r="D572" s="21"/>
      <c r="E572" s="21"/>
      <c r="F572" s="21"/>
    </row>
    <row r="573" spans="1:6" x14ac:dyDescent="0.2">
      <c r="A573" s="7"/>
      <c r="B573" s="20"/>
      <c r="C573" s="21"/>
      <c r="D573" s="21"/>
      <c r="E573" s="21"/>
      <c r="F573" s="21"/>
    </row>
    <row r="574" spans="1:6" x14ac:dyDescent="0.2">
      <c r="A574" s="7"/>
      <c r="B574" s="20"/>
      <c r="C574" s="21"/>
      <c r="D574" s="21"/>
      <c r="E574" s="21"/>
      <c r="F574" s="21"/>
    </row>
    <row r="575" spans="1:6" x14ac:dyDescent="0.2">
      <c r="A575" s="7"/>
      <c r="B575" s="20"/>
      <c r="C575" s="21"/>
      <c r="D575" s="21"/>
      <c r="E575" s="21"/>
      <c r="F575" s="21"/>
    </row>
    <row r="576" spans="1:6" x14ac:dyDescent="0.2">
      <c r="A576" s="7"/>
      <c r="B576" s="20"/>
      <c r="C576" s="21"/>
      <c r="D576" s="21"/>
      <c r="E576" s="21"/>
      <c r="F576" s="21"/>
    </row>
    <row r="577" spans="1:6" x14ac:dyDescent="0.2">
      <c r="A577" s="7"/>
      <c r="B577" s="20"/>
      <c r="C577" s="21"/>
      <c r="D577" s="21"/>
      <c r="E577" s="21"/>
      <c r="F577" s="21"/>
    </row>
    <row r="578" spans="1:6" x14ac:dyDescent="0.2">
      <c r="A578" s="7"/>
      <c r="B578" s="20"/>
      <c r="C578" s="21"/>
      <c r="D578" s="21"/>
      <c r="E578" s="21"/>
      <c r="F578" s="21"/>
    </row>
    <row r="579" spans="1:6" x14ac:dyDescent="0.2">
      <c r="A579" s="7"/>
      <c r="B579" s="20"/>
      <c r="C579" s="21"/>
      <c r="D579" s="21"/>
      <c r="E579" s="21"/>
      <c r="F579" s="21"/>
    </row>
    <row r="580" spans="1:6" x14ac:dyDescent="0.2">
      <c r="A580" s="7"/>
      <c r="B580" s="20"/>
      <c r="C580" s="21"/>
      <c r="D580" s="21"/>
      <c r="E580" s="21"/>
      <c r="F580" s="21"/>
    </row>
    <row r="581" spans="1:6" x14ac:dyDescent="0.2">
      <c r="A581" s="7"/>
      <c r="B581" s="20"/>
      <c r="C581" s="21"/>
      <c r="D581" s="21"/>
      <c r="E581" s="21"/>
      <c r="F581" s="21"/>
    </row>
    <row r="582" spans="1:6" x14ac:dyDescent="0.2">
      <c r="A582" s="7"/>
      <c r="B582" s="20"/>
      <c r="C582" s="21"/>
      <c r="D582" s="21"/>
      <c r="E582" s="21"/>
      <c r="F582" s="21"/>
    </row>
    <row r="583" spans="1:6" x14ac:dyDescent="0.2">
      <c r="A583" s="7"/>
      <c r="B583" s="20"/>
      <c r="C583" s="21"/>
      <c r="D583" s="21"/>
      <c r="E583" s="21"/>
      <c r="F583" s="21"/>
    </row>
    <row r="584" spans="1:6" x14ac:dyDescent="0.2">
      <c r="A584" s="7"/>
      <c r="B584" s="20"/>
      <c r="C584" s="21"/>
      <c r="D584" s="21"/>
      <c r="E584" s="21"/>
      <c r="F584" s="21"/>
    </row>
    <row r="585" spans="1:6" x14ac:dyDescent="0.2">
      <c r="A585" s="7"/>
      <c r="B585" s="20"/>
      <c r="C585" s="21"/>
      <c r="D585" s="21"/>
      <c r="E585" s="21"/>
      <c r="F585" s="21"/>
    </row>
    <row r="586" spans="1:6" x14ac:dyDescent="0.2">
      <c r="A586" s="7"/>
      <c r="B586" s="20"/>
      <c r="C586" s="21"/>
      <c r="D586" s="21"/>
      <c r="E586" s="21"/>
      <c r="F586" s="21"/>
    </row>
    <row r="587" spans="1:6" x14ac:dyDescent="0.2">
      <c r="A587" s="7"/>
      <c r="B587" s="20"/>
      <c r="C587" s="21"/>
      <c r="D587" s="21"/>
      <c r="E587" s="21"/>
      <c r="F587" s="21"/>
    </row>
    <row r="588" spans="1:6" x14ac:dyDescent="0.2">
      <c r="A588" s="7"/>
      <c r="B588" s="20"/>
      <c r="C588" s="21"/>
      <c r="D588" s="21"/>
      <c r="E588" s="21"/>
      <c r="F588" s="21"/>
    </row>
    <row r="589" spans="1:6" x14ac:dyDescent="0.2">
      <c r="A589" s="7"/>
      <c r="B589" s="20"/>
      <c r="C589" s="21"/>
      <c r="D589" s="21"/>
      <c r="E589" s="21"/>
      <c r="F589" s="21"/>
    </row>
    <row r="590" spans="1:6" x14ac:dyDescent="0.2">
      <c r="A590" s="7"/>
      <c r="B590" s="20"/>
      <c r="C590" s="21"/>
      <c r="D590" s="21"/>
      <c r="E590" s="21"/>
      <c r="F590" s="21"/>
    </row>
    <row r="591" spans="1:6" x14ac:dyDescent="0.2">
      <c r="A591" s="7"/>
      <c r="B591" s="20"/>
      <c r="C591" s="21"/>
      <c r="D591" s="21"/>
      <c r="E591" s="21"/>
      <c r="F591" s="21"/>
    </row>
    <row r="592" spans="1:6" x14ac:dyDescent="0.2">
      <c r="A592" s="7"/>
      <c r="B592" s="20"/>
      <c r="C592" s="21"/>
      <c r="D592" s="21"/>
      <c r="E592" s="21"/>
      <c r="F592" s="21"/>
    </row>
    <row r="593" spans="1:6" x14ac:dyDescent="0.2">
      <c r="A593" s="7"/>
      <c r="B593" s="20"/>
      <c r="C593" s="21"/>
      <c r="D593" s="21"/>
      <c r="E593" s="21"/>
      <c r="F593" s="21"/>
    </row>
    <row r="594" spans="1:6" x14ac:dyDescent="0.2">
      <c r="A594" s="7"/>
      <c r="B594" s="20"/>
      <c r="C594" s="21"/>
      <c r="D594" s="21"/>
      <c r="E594" s="21"/>
      <c r="F594" s="21"/>
    </row>
    <row r="595" spans="1:6" x14ac:dyDescent="0.2">
      <c r="A595" s="7"/>
      <c r="B595" s="20"/>
      <c r="C595" s="21"/>
      <c r="D595" s="21"/>
      <c r="E595" s="21"/>
      <c r="F595" s="21"/>
    </row>
    <row r="596" spans="1:6" x14ac:dyDescent="0.2">
      <c r="A596" s="7"/>
      <c r="B596" s="20"/>
      <c r="C596" s="21"/>
      <c r="D596" s="21"/>
      <c r="E596" s="21"/>
      <c r="F596" s="21"/>
    </row>
    <row r="597" spans="1:6" x14ac:dyDescent="0.2">
      <c r="A597" s="7"/>
      <c r="B597" s="20"/>
      <c r="C597" s="21"/>
      <c r="D597" s="21"/>
      <c r="E597" s="21"/>
      <c r="F597" s="21"/>
    </row>
    <row r="598" spans="1:6" x14ac:dyDescent="0.2">
      <c r="A598" s="7"/>
      <c r="B598" s="20"/>
      <c r="C598" s="21"/>
      <c r="D598" s="21"/>
      <c r="E598" s="21"/>
      <c r="F598" s="21"/>
    </row>
    <row r="599" spans="1:6" x14ac:dyDescent="0.2">
      <c r="A599" s="7"/>
      <c r="B599" s="20"/>
      <c r="C599" s="21"/>
      <c r="D599" s="21"/>
      <c r="E599" s="21"/>
      <c r="F599" s="21"/>
    </row>
    <row r="600" spans="1:6" x14ac:dyDescent="0.2">
      <c r="A600" s="7"/>
      <c r="B600" s="20"/>
      <c r="C600" s="21"/>
      <c r="D600" s="21"/>
      <c r="E600" s="21"/>
      <c r="F600" s="21"/>
    </row>
    <row r="601" spans="1:6" x14ac:dyDescent="0.2">
      <c r="A601" s="7"/>
      <c r="B601" s="20"/>
      <c r="C601" s="21"/>
      <c r="D601" s="21"/>
      <c r="E601" s="21"/>
      <c r="F601" s="21"/>
    </row>
    <row r="602" spans="1:6" x14ac:dyDescent="0.2">
      <c r="A602" s="7"/>
      <c r="B602" s="20"/>
      <c r="C602" s="21"/>
      <c r="D602" s="21"/>
      <c r="E602" s="21"/>
      <c r="F602" s="21"/>
    </row>
    <row r="603" spans="1:6" x14ac:dyDescent="0.2">
      <c r="A603" s="7"/>
      <c r="B603" s="20"/>
      <c r="C603" s="21"/>
      <c r="D603" s="21"/>
      <c r="E603" s="21"/>
      <c r="F603" s="21"/>
    </row>
    <row r="604" spans="1:6" x14ac:dyDescent="0.2">
      <c r="A604" s="7"/>
      <c r="B604" s="20"/>
      <c r="C604" s="21"/>
      <c r="D604" s="21"/>
      <c r="E604" s="21"/>
      <c r="F604" s="21"/>
    </row>
    <row r="605" spans="1:6" x14ac:dyDescent="0.2">
      <c r="A605" s="7"/>
      <c r="B605" s="20"/>
      <c r="C605" s="21"/>
      <c r="D605" s="21"/>
      <c r="E605" s="21"/>
      <c r="F605" s="21"/>
    </row>
    <row r="606" spans="1:6" x14ac:dyDescent="0.2">
      <c r="A606" s="7"/>
      <c r="B606" s="20"/>
      <c r="C606" s="21"/>
      <c r="D606" s="21"/>
      <c r="E606" s="21"/>
      <c r="F606" s="21"/>
    </row>
    <row r="607" spans="1:6" x14ac:dyDescent="0.2">
      <c r="A607" s="7"/>
      <c r="B607" s="20"/>
      <c r="C607" s="21"/>
      <c r="D607" s="21"/>
      <c r="E607" s="21"/>
      <c r="F607" s="21"/>
    </row>
    <row r="608" spans="1:6" x14ac:dyDescent="0.2">
      <c r="A608" s="7"/>
      <c r="B608" s="20"/>
      <c r="C608" s="21"/>
      <c r="D608" s="21"/>
      <c r="E608" s="21"/>
      <c r="F608" s="21"/>
    </row>
    <row r="609" spans="1:6" x14ac:dyDescent="0.2">
      <c r="A609" s="7"/>
      <c r="B609" s="20"/>
      <c r="C609" s="21"/>
      <c r="D609" s="21"/>
      <c r="E609" s="21"/>
      <c r="F609" s="21"/>
    </row>
    <row r="610" spans="1:6" x14ac:dyDescent="0.2">
      <c r="A610" s="7"/>
      <c r="B610" s="20"/>
      <c r="C610" s="21"/>
      <c r="D610" s="21"/>
      <c r="E610" s="21"/>
      <c r="F610" s="21"/>
    </row>
    <row r="611" spans="1:6" x14ac:dyDescent="0.2">
      <c r="A611" s="7"/>
      <c r="B611" s="20"/>
      <c r="C611" s="21"/>
      <c r="D611" s="21"/>
      <c r="E611" s="21"/>
      <c r="F611" s="21"/>
    </row>
    <row r="612" spans="1:6" x14ac:dyDescent="0.2">
      <c r="A612" s="7"/>
      <c r="B612" s="20"/>
      <c r="C612" s="21"/>
      <c r="D612" s="21"/>
      <c r="E612" s="21"/>
      <c r="F612" s="21"/>
    </row>
    <row r="613" spans="1:6" x14ac:dyDescent="0.2">
      <c r="A613" s="7"/>
      <c r="B613" s="20"/>
      <c r="C613" s="21"/>
      <c r="D613" s="21"/>
      <c r="E613" s="21"/>
      <c r="F613" s="21"/>
    </row>
    <row r="614" spans="1:6" x14ac:dyDescent="0.2">
      <c r="A614" s="7"/>
      <c r="B614" s="20"/>
      <c r="C614" s="21"/>
      <c r="D614" s="21"/>
      <c r="E614" s="21"/>
      <c r="F614" s="21"/>
    </row>
    <row r="615" spans="1:6" x14ac:dyDescent="0.2">
      <c r="A615" s="7"/>
      <c r="B615" s="20"/>
      <c r="C615" s="21"/>
      <c r="D615" s="21"/>
      <c r="E615" s="21"/>
      <c r="F615" s="21"/>
    </row>
    <row r="616" spans="1:6" x14ac:dyDescent="0.2">
      <c r="A616" s="7"/>
      <c r="B616" s="20"/>
      <c r="C616" s="21"/>
      <c r="D616" s="21"/>
      <c r="E616" s="21"/>
      <c r="F616" s="21"/>
    </row>
    <row r="617" spans="1:6" x14ac:dyDescent="0.2">
      <c r="A617" s="7"/>
      <c r="B617" s="20"/>
      <c r="C617" s="21"/>
      <c r="D617" s="21"/>
      <c r="E617" s="21"/>
      <c r="F617" s="21"/>
    </row>
    <row r="618" spans="1:6" x14ac:dyDescent="0.2">
      <c r="A618" s="7"/>
      <c r="B618" s="20"/>
      <c r="C618" s="21"/>
      <c r="D618" s="21"/>
      <c r="E618" s="21"/>
      <c r="F618" s="21"/>
    </row>
    <row r="619" spans="1:6" x14ac:dyDescent="0.2">
      <c r="A619" s="7"/>
      <c r="B619" s="20"/>
      <c r="C619" s="21"/>
      <c r="D619" s="21"/>
      <c r="E619" s="21"/>
      <c r="F619" s="21"/>
    </row>
    <row r="620" spans="1:6" x14ac:dyDescent="0.2">
      <c r="A620" s="7"/>
      <c r="B620" s="20"/>
      <c r="C620" s="21"/>
      <c r="D620" s="21"/>
      <c r="E620" s="21"/>
      <c r="F620" s="21"/>
    </row>
    <row r="621" spans="1:6" x14ac:dyDescent="0.2">
      <c r="A621" s="7"/>
      <c r="B621" s="20"/>
      <c r="C621" s="21"/>
      <c r="D621" s="21"/>
      <c r="E621" s="21"/>
      <c r="F621" s="21"/>
    </row>
    <row r="622" spans="1:6" x14ac:dyDescent="0.2">
      <c r="A622" s="7"/>
      <c r="B622" s="20"/>
      <c r="C622" s="21"/>
      <c r="D622" s="21"/>
      <c r="E622" s="21"/>
      <c r="F622" s="21"/>
    </row>
    <row r="623" spans="1:6" x14ac:dyDescent="0.2">
      <c r="A623" s="7"/>
      <c r="B623" s="20"/>
      <c r="C623" s="21"/>
      <c r="D623" s="21"/>
      <c r="E623" s="21"/>
      <c r="F623" s="21"/>
    </row>
    <row r="624" spans="1:6" x14ac:dyDescent="0.2">
      <c r="A624" s="7"/>
      <c r="B624" s="20"/>
      <c r="C624" s="21"/>
      <c r="D624" s="21"/>
      <c r="E624" s="21"/>
      <c r="F624" s="21"/>
    </row>
    <row r="625" spans="1:6" x14ac:dyDescent="0.2">
      <c r="A625" s="7"/>
      <c r="B625" s="20"/>
      <c r="C625" s="21"/>
      <c r="D625" s="21"/>
      <c r="E625" s="21"/>
      <c r="F625" s="21"/>
    </row>
    <row r="626" spans="1:6" x14ac:dyDescent="0.2">
      <c r="A626" s="7"/>
      <c r="B626" s="20"/>
      <c r="C626" s="21"/>
      <c r="D626" s="21"/>
      <c r="E626" s="21"/>
      <c r="F626" s="21"/>
    </row>
    <row r="627" spans="1:6" x14ac:dyDescent="0.2">
      <c r="A627" s="7"/>
      <c r="B627" s="20"/>
      <c r="C627" s="21"/>
      <c r="D627" s="21"/>
      <c r="E627" s="21"/>
      <c r="F627" s="21"/>
    </row>
    <row r="628" spans="1:6" x14ac:dyDescent="0.2">
      <c r="A628" s="7"/>
      <c r="B628" s="20"/>
      <c r="C628" s="21"/>
      <c r="D628" s="21"/>
      <c r="E628" s="21"/>
      <c r="F628" s="21"/>
    </row>
    <row r="629" spans="1:6" x14ac:dyDescent="0.2">
      <c r="A629" s="7"/>
      <c r="B629" s="20"/>
      <c r="C629" s="21"/>
      <c r="D629" s="21"/>
      <c r="E629" s="21"/>
      <c r="F629" s="21"/>
    </row>
    <row r="630" spans="1:6" x14ac:dyDescent="0.2">
      <c r="A630" s="7"/>
      <c r="B630" s="20"/>
      <c r="C630" s="21"/>
      <c r="D630" s="21"/>
      <c r="E630" s="21"/>
      <c r="F630" s="21"/>
    </row>
    <row r="631" spans="1:6" x14ac:dyDescent="0.2">
      <c r="A631" s="7"/>
      <c r="B631" s="20"/>
      <c r="C631" s="21"/>
      <c r="D631" s="21"/>
      <c r="E631" s="21"/>
      <c r="F631" s="21"/>
    </row>
    <row r="632" spans="1:6" x14ac:dyDescent="0.2">
      <c r="A632" s="7"/>
      <c r="B632" s="20"/>
      <c r="C632" s="21"/>
      <c r="D632" s="21"/>
      <c r="E632" s="21"/>
      <c r="F632" s="21"/>
    </row>
    <row r="633" spans="1:6" x14ac:dyDescent="0.2">
      <c r="A633" s="7"/>
      <c r="B633" s="20"/>
      <c r="C633" s="21"/>
      <c r="D633" s="21"/>
      <c r="E633" s="21"/>
      <c r="F633" s="21"/>
    </row>
    <row r="634" spans="1:6" x14ac:dyDescent="0.2">
      <c r="A634" s="7"/>
      <c r="B634" s="20"/>
      <c r="C634" s="21"/>
      <c r="D634" s="21"/>
      <c r="E634" s="21"/>
      <c r="F634" s="21"/>
    </row>
    <row r="635" spans="1:6" x14ac:dyDescent="0.2">
      <c r="A635" s="7"/>
      <c r="B635" s="20"/>
      <c r="C635" s="21"/>
      <c r="D635" s="21"/>
      <c r="E635" s="21"/>
      <c r="F635" s="21"/>
    </row>
    <row r="636" spans="1:6" x14ac:dyDescent="0.2">
      <c r="A636" s="7"/>
      <c r="B636" s="20"/>
      <c r="C636" s="21"/>
      <c r="D636" s="21"/>
      <c r="E636" s="21"/>
      <c r="F636" s="21"/>
    </row>
    <row r="637" spans="1:6" x14ac:dyDescent="0.2">
      <c r="A637" s="7"/>
      <c r="B637" s="20"/>
      <c r="C637" s="21"/>
      <c r="D637" s="21"/>
      <c r="E637" s="21"/>
      <c r="F637" s="21"/>
    </row>
    <row r="638" spans="1:6" x14ac:dyDescent="0.2">
      <c r="A638" s="7"/>
      <c r="B638" s="20"/>
      <c r="C638" s="21"/>
      <c r="D638" s="21"/>
      <c r="E638" s="21"/>
      <c r="F638" s="21"/>
    </row>
    <row r="639" spans="1:6" x14ac:dyDescent="0.2">
      <c r="A639" s="7"/>
      <c r="B639" s="20"/>
      <c r="C639" s="21"/>
      <c r="D639" s="21"/>
      <c r="E639" s="21"/>
      <c r="F639" s="21"/>
    </row>
    <row r="640" spans="1:6" x14ac:dyDescent="0.2">
      <c r="A640" s="7"/>
      <c r="B640" s="20"/>
      <c r="C640" s="21"/>
      <c r="D640" s="21"/>
      <c r="E640" s="21"/>
      <c r="F640" s="21"/>
    </row>
    <row r="641" spans="1:6" x14ac:dyDescent="0.2">
      <c r="A641" s="7"/>
      <c r="B641" s="20"/>
      <c r="C641" s="21"/>
      <c r="D641" s="21"/>
      <c r="E641" s="21"/>
      <c r="F641" s="21"/>
    </row>
    <row r="642" spans="1:6" x14ac:dyDescent="0.2">
      <c r="A642" s="7"/>
      <c r="B642" s="20"/>
      <c r="C642" s="21"/>
      <c r="D642" s="21"/>
      <c r="E642" s="21"/>
      <c r="F642" s="21"/>
    </row>
    <row r="643" spans="1:6" x14ac:dyDescent="0.2">
      <c r="A643" s="7"/>
      <c r="B643" s="20"/>
      <c r="C643" s="21"/>
      <c r="D643" s="21"/>
      <c r="E643" s="21"/>
      <c r="F643" s="21"/>
    </row>
    <row r="644" spans="1:6" x14ac:dyDescent="0.2">
      <c r="A644" s="7"/>
      <c r="B644" s="20"/>
      <c r="C644" s="21"/>
      <c r="D644" s="21"/>
      <c r="E644" s="21"/>
      <c r="F644" s="21"/>
    </row>
    <row r="645" spans="1:6" x14ac:dyDescent="0.2">
      <c r="A645" s="7"/>
      <c r="B645" s="20"/>
      <c r="C645" s="21"/>
      <c r="D645" s="21"/>
      <c r="E645" s="21"/>
      <c r="F645" s="21"/>
    </row>
    <row r="646" spans="1:6" x14ac:dyDescent="0.2">
      <c r="A646" s="7"/>
      <c r="B646" s="20"/>
      <c r="C646" s="21"/>
      <c r="D646" s="21"/>
      <c r="E646" s="21"/>
      <c r="F646" s="21"/>
    </row>
    <row r="647" spans="1:6" x14ac:dyDescent="0.2">
      <c r="A647" s="7"/>
      <c r="B647" s="20"/>
      <c r="C647" s="21"/>
      <c r="D647" s="21"/>
      <c r="E647" s="21"/>
      <c r="F647" s="21"/>
    </row>
    <row r="648" spans="1:6" x14ac:dyDescent="0.2">
      <c r="A648" s="7"/>
      <c r="B648" s="20"/>
      <c r="C648" s="21"/>
      <c r="D648" s="21"/>
      <c r="E648" s="21"/>
      <c r="F648" s="21"/>
    </row>
    <row r="649" spans="1:6" x14ac:dyDescent="0.2">
      <c r="A649" s="7"/>
      <c r="B649" s="20"/>
      <c r="C649" s="21"/>
      <c r="D649" s="21"/>
      <c r="E649" s="21"/>
      <c r="F649" s="21"/>
    </row>
    <row r="650" spans="1:6" x14ac:dyDescent="0.2">
      <c r="A650" s="7"/>
      <c r="B650" s="20"/>
      <c r="C650" s="21"/>
      <c r="D650" s="21"/>
      <c r="E650" s="21"/>
      <c r="F650" s="21"/>
    </row>
    <row r="651" spans="1:6" x14ac:dyDescent="0.2">
      <c r="A651" s="7"/>
      <c r="B651" s="20"/>
      <c r="C651" s="21"/>
      <c r="D651" s="21"/>
      <c r="E651" s="21"/>
      <c r="F651" s="21"/>
    </row>
    <row r="652" spans="1:6" x14ac:dyDescent="0.2">
      <c r="A652" s="7"/>
      <c r="B652" s="20"/>
      <c r="C652" s="21"/>
      <c r="D652" s="21"/>
      <c r="E652" s="21"/>
      <c r="F652" s="21"/>
    </row>
    <row r="653" spans="1:6" x14ac:dyDescent="0.2">
      <c r="A653" s="7"/>
      <c r="B653" s="20"/>
      <c r="C653" s="21"/>
      <c r="D653" s="21"/>
      <c r="E653" s="21"/>
      <c r="F653" s="21"/>
    </row>
    <row r="654" spans="1:6" x14ac:dyDescent="0.2">
      <c r="A654" s="7"/>
      <c r="B654" s="20"/>
      <c r="C654" s="21"/>
      <c r="D654" s="21"/>
      <c r="E654" s="21"/>
      <c r="F654" s="21"/>
    </row>
    <row r="655" spans="1:6" x14ac:dyDescent="0.2">
      <c r="A655" s="7"/>
      <c r="B655" s="20"/>
      <c r="C655" s="21"/>
      <c r="D655" s="21"/>
      <c r="E655" s="21"/>
      <c r="F655" s="21"/>
    </row>
    <row r="656" spans="1:6" x14ac:dyDescent="0.2">
      <c r="A656" s="7"/>
      <c r="B656" s="20"/>
      <c r="C656" s="21"/>
      <c r="D656" s="21"/>
      <c r="E656" s="21"/>
      <c r="F656" s="21"/>
    </row>
    <row r="657" spans="1:6" x14ac:dyDescent="0.2">
      <c r="A657" s="7"/>
      <c r="B657" s="20"/>
      <c r="C657" s="21"/>
      <c r="D657" s="21"/>
      <c r="E657" s="21"/>
      <c r="F657" s="21"/>
    </row>
    <row r="658" spans="1:6" x14ac:dyDescent="0.2">
      <c r="A658" s="7"/>
      <c r="B658" s="20"/>
      <c r="C658" s="21"/>
      <c r="D658" s="21"/>
      <c r="E658" s="21"/>
      <c r="F658" s="21"/>
    </row>
    <row r="659" spans="1:6" x14ac:dyDescent="0.2">
      <c r="A659" s="7"/>
      <c r="B659" s="20"/>
      <c r="C659" s="21"/>
      <c r="D659" s="21"/>
      <c r="E659" s="21"/>
      <c r="F659" s="21"/>
    </row>
    <row r="660" spans="1:6" x14ac:dyDescent="0.2">
      <c r="A660" s="7"/>
      <c r="B660" s="20"/>
      <c r="C660" s="21"/>
      <c r="D660" s="21"/>
      <c r="E660" s="21"/>
      <c r="F660" s="21"/>
    </row>
    <row r="661" spans="1:6" x14ac:dyDescent="0.2">
      <c r="A661" s="7"/>
      <c r="B661" s="20"/>
      <c r="C661" s="21"/>
      <c r="D661" s="21"/>
      <c r="E661" s="21"/>
      <c r="F661" s="21"/>
    </row>
    <row r="662" spans="1:6" x14ac:dyDescent="0.2">
      <c r="A662" s="7"/>
      <c r="B662" s="20"/>
      <c r="C662" s="21"/>
      <c r="D662" s="21"/>
      <c r="E662" s="21"/>
      <c r="F662" s="21"/>
    </row>
    <row r="663" spans="1:6" x14ac:dyDescent="0.2">
      <c r="A663" s="7"/>
      <c r="B663" s="20"/>
      <c r="C663" s="21"/>
      <c r="D663" s="21"/>
      <c r="E663" s="21"/>
      <c r="F663" s="21"/>
    </row>
    <row r="664" spans="1:6" x14ac:dyDescent="0.2">
      <c r="A664" s="7"/>
      <c r="B664" s="20"/>
      <c r="C664" s="21"/>
      <c r="D664" s="21"/>
      <c r="E664" s="21"/>
      <c r="F664" s="21"/>
    </row>
    <row r="665" spans="1:6" x14ac:dyDescent="0.2">
      <c r="A665" s="7"/>
      <c r="B665" s="20"/>
      <c r="C665" s="21"/>
      <c r="D665" s="21"/>
      <c r="E665" s="21"/>
      <c r="F665" s="21"/>
    </row>
    <row r="666" spans="1:6" x14ac:dyDescent="0.2">
      <c r="A666" s="7"/>
      <c r="B666" s="20"/>
      <c r="C666" s="21"/>
      <c r="D666" s="21"/>
      <c r="E666" s="21"/>
      <c r="F666" s="21"/>
    </row>
    <row r="667" spans="1:6" x14ac:dyDescent="0.2">
      <c r="A667" s="7"/>
      <c r="B667" s="20"/>
      <c r="C667" s="21"/>
      <c r="D667" s="21"/>
      <c r="E667" s="21"/>
      <c r="F667" s="21"/>
    </row>
    <row r="668" spans="1:6" x14ac:dyDescent="0.2">
      <c r="A668" s="7"/>
      <c r="B668" s="20"/>
      <c r="C668" s="21"/>
      <c r="D668" s="21"/>
      <c r="E668" s="21"/>
      <c r="F668" s="21"/>
    </row>
    <row r="669" spans="1:6" x14ac:dyDescent="0.2">
      <c r="A669" s="7"/>
      <c r="B669" s="20"/>
      <c r="C669" s="21"/>
      <c r="D669" s="21"/>
      <c r="E669" s="21"/>
      <c r="F669" s="21"/>
    </row>
    <row r="670" spans="1:6" x14ac:dyDescent="0.2">
      <c r="A670" s="7"/>
      <c r="B670" s="20"/>
      <c r="C670" s="21"/>
      <c r="D670" s="21"/>
      <c r="E670" s="21"/>
      <c r="F670" s="21"/>
    </row>
    <row r="671" spans="1:6" x14ac:dyDescent="0.2">
      <c r="A671" s="7"/>
      <c r="B671" s="20"/>
      <c r="C671" s="21"/>
      <c r="D671" s="21"/>
      <c r="E671" s="21"/>
      <c r="F671" s="21"/>
    </row>
    <row r="672" spans="1:6" x14ac:dyDescent="0.2">
      <c r="A672" s="7"/>
      <c r="B672" s="20"/>
      <c r="C672" s="21"/>
      <c r="D672" s="21"/>
      <c r="E672" s="21"/>
      <c r="F672" s="21"/>
    </row>
    <row r="673" spans="1:6" x14ac:dyDescent="0.2">
      <c r="A673" s="7"/>
      <c r="B673" s="20"/>
      <c r="C673" s="21"/>
      <c r="D673" s="21"/>
      <c r="E673" s="21"/>
      <c r="F673" s="21"/>
    </row>
    <row r="674" spans="1:6" x14ac:dyDescent="0.2">
      <c r="A674" s="7"/>
      <c r="B674" s="20"/>
      <c r="C674" s="21"/>
      <c r="D674" s="21"/>
      <c r="E674" s="21"/>
      <c r="F674" s="21"/>
    </row>
    <row r="675" spans="1:6" x14ac:dyDescent="0.2">
      <c r="A675" s="7"/>
      <c r="B675" s="20"/>
      <c r="C675" s="21"/>
      <c r="D675" s="21"/>
      <c r="E675" s="21"/>
      <c r="F675" s="21"/>
    </row>
    <row r="676" spans="1:6" x14ac:dyDescent="0.2">
      <c r="A676" s="7"/>
      <c r="B676" s="20"/>
      <c r="C676" s="21"/>
      <c r="D676" s="21"/>
      <c r="E676" s="21"/>
      <c r="F676" s="21"/>
    </row>
    <row r="677" spans="1:6" x14ac:dyDescent="0.2">
      <c r="A677" s="7"/>
      <c r="B677" s="20"/>
      <c r="C677" s="21"/>
      <c r="D677" s="21"/>
      <c r="E677" s="21"/>
      <c r="F677" s="21"/>
    </row>
    <row r="678" spans="1:6" x14ac:dyDescent="0.2">
      <c r="A678" s="7"/>
      <c r="B678" s="20"/>
      <c r="C678" s="21"/>
      <c r="D678" s="21"/>
      <c r="E678" s="21"/>
      <c r="F678" s="21"/>
    </row>
    <row r="679" spans="1:6" x14ac:dyDescent="0.2">
      <c r="A679" s="7"/>
      <c r="B679" s="20"/>
      <c r="C679" s="21"/>
      <c r="D679" s="21"/>
      <c r="E679" s="21"/>
      <c r="F679" s="21"/>
    </row>
    <row r="680" spans="1:6" x14ac:dyDescent="0.2">
      <c r="A680" s="7"/>
      <c r="B680" s="20"/>
      <c r="C680" s="21"/>
      <c r="D680" s="21"/>
      <c r="E680" s="21"/>
      <c r="F680" s="21"/>
    </row>
    <row r="681" spans="1:6" x14ac:dyDescent="0.2">
      <c r="A681" s="7"/>
      <c r="B681" s="20"/>
      <c r="C681" s="21"/>
      <c r="D681" s="21"/>
      <c r="E681" s="21"/>
      <c r="F681" s="21"/>
    </row>
    <row r="682" spans="1:6" x14ac:dyDescent="0.2">
      <c r="A682" s="7"/>
      <c r="B682" s="20"/>
      <c r="C682" s="21"/>
      <c r="D682" s="21"/>
      <c r="E682" s="21"/>
      <c r="F682" s="21"/>
    </row>
    <row r="683" spans="1:6" x14ac:dyDescent="0.2">
      <c r="A683" s="7"/>
      <c r="B683" s="20"/>
      <c r="C683" s="21"/>
      <c r="D683" s="21"/>
      <c r="E683" s="21"/>
      <c r="F683" s="21"/>
    </row>
    <row r="684" spans="1:6" x14ac:dyDescent="0.2">
      <c r="A684" s="7"/>
      <c r="B684" s="20"/>
      <c r="C684" s="21"/>
      <c r="D684" s="21"/>
      <c r="E684" s="21"/>
      <c r="F684" s="21"/>
    </row>
    <row r="685" spans="1:6" x14ac:dyDescent="0.2">
      <c r="A685" s="7"/>
      <c r="B685" s="20"/>
      <c r="C685" s="21"/>
      <c r="D685" s="21"/>
      <c r="E685" s="21"/>
      <c r="F685" s="21"/>
    </row>
    <row r="686" spans="1:6" x14ac:dyDescent="0.2">
      <c r="A686" s="7"/>
      <c r="B686" s="20"/>
      <c r="C686" s="21"/>
      <c r="D686" s="21"/>
      <c r="E686" s="21"/>
      <c r="F686" s="21"/>
    </row>
    <row r="687" spans="1:6" x14ac:dyDescent="0.2">
      <c r="A687" s="7"/>
      <c r="B687" s="20"/>
      <c r="C687" s="21"/>
      <c r="D687" s="21"/>
      <c r="E687" s="21"/>
      <c r="F687" s="21"/>
    </row>
    <row r="688" spans="1:6" x14ac:dyDescent="0.2">
      <c r="A688" s="7"/>
      <c r="B688" s="20"/>
      <c r="C688" s="21"/>
      <c r="D688" s="21"/>
      <c r="E688" s="21"/>
      <c r="F688" s="21"/>
    </row>
    <row r="689" spans="1:6" x14ac:dyDescent="0.2">
      <c r="A689" s="7"/>
      <c r="B689" s="20"/>
      <c r="C689" s="21"/>
      <c r="D689" s="21"/>
      <c r="E689" s="21"/>
      <c r="F689" s="21"/>
    </row>
    <row r="690" spans="1:6" x14ac:dyDescent="0.2">
      <c r="A690" s="7"/>
      <c r="B690" s="20"/>
      <c r="C690" s="21"/>
      <c r="D690" s="21"/>
      <c r="E690" s="21"/>
      <c r="F690" s="21"/>
    </row>
    <row r="691" spans="1:6" x14ac:dyDescent="0.2">
      <c r="A691" s="7"/>
      <c r="B691" s="20"/>
      <c r="C691" s="21"/>
      <c r="D691" s="21"/>
      <c r="E691" s="21"/>
      <c r="F691" s="21"/>
    </row>
    <row r="692" spans="1:6" x14ac:dyDescent="0.2">
      <c r="A692" s="7"/>
      <c r="B692" s="20"/>
      <c r="C692" s="21"/>
      <c r="D692" s="21"/>
      <c r="E692" s="21"/>
      <c r="F692" s="21"/>
    </row>
    <row r="693" spans="1:6" x14ac:dyDescent="0.2">
      <c r="A693" s="7"/>
      <c r="B693" s="20"/>
      <c r="C693" s="21"/>
      <c r="D693" s="21"/>
      <c r="E693" s="21"/>
      <c r="F693" s="21"/>
    </row>
    <row r="694" spans="1:6" x14ac:dyDescent="0.2">
      <c r="A694" s="7"/>
      <c r="B694" s="20"/>
      <c r="C694" s="21"/>
      <c r="D694" s="21"/>
      <c r="E694" s="21"/>
      <c r="F694" s="21"/>
    </row>
    <row r="695" spans="1:6" x14ac:dyDescent="0.2">
      <c r="A695" s="7"/>
      <c r="B695" s="20"/>
      <c r="C695" s="21"/>
      <c r="D695" s="21"/>
      <c r="E695" s="21"/>
      <c r="F695" s="21"/>
    </row>
    <row r="696" spans="1:6" x14ac:dyDescent="0.2">
      <c r="A696" s="7"/>
      <c r="B696" s="20"/>
      <c r="C696" s="21"/>
      <c r="D696" s="21"/>
      <c r="E696" s="21"/>
      <c r="F696" s="21"/>
    </row>
    <row r="697" spans="1:6" x14ac:dyDescent="0.2">
      <c r="A697" s="7"/>
      <c r="B697" s="20"/>
      <c r="C697" s="21"/>
      <c r="D697" s="21"/>
      <c r="E697" s="21"/>
      <c r="F697" s="21"/>
    </row>
    <row r="698" spans="1:6" x14ac:dyDescent="0.2">
      <c r="A698" s="7"/>
      <c r="B698" s="20"/>
      <c r="C698" s="21"/>
      <c r="D698" s="21"/>
      <c r="E698" s="21"/>
      <c r="F698" s="21"/>
    </row>
    <row r="699" spans="1:6" x14ac:dyDescent="0.2">
      <c r="A699" s="7"/>
      <c r="B699" s="20"/>
      <c r="C699" s="21"/>
      <c r="D699" s="21"/>
      <c r="E699" s="21"/>
      <c r="F699" s="21"/>
    </row>
    <row r="700" spans="1:6" x14ac:dyDescent="0.2">
      <c r="A700" s="7"/>
      <c r="B700" s="20"/>
      <c r="C700" s="21"/>
      <c r="D700" s="21"/>
      <c r="E700" s="21"/>
      <c r="F700" s="21"/>
    </row>
    <row r="701" spans="1:6" x14ac:dyDescent="0.2">
      <c r="A701" s="7"/>
      <c r="B701" s="20"/>
      <c r="C701" s="21"/>
      <c r="D701" s="21"/>
      <c r="E701" s="21"/>
      <c r="F701" s="21"/>
    </row>
    <row r="702" spans="1:6" x14ac:dyDescent="0.2">
      <c r="A702" s="7"/>
      <c r="B702" s="20"/>
      <c r="C702" s="21"/>
      <c r="D702" s="21"/>
      <c r="E702" s="21"/>
      <c r="F702" s="21"/>
    </row>
    <row r="703" spans="1:6" x14ac:dyDescent="0.2">
      <c r="A703" s="7"/>
      <c r="B703" s="20"/>
      <c r="C703" s="21"/>
      <c r="D703" s="21"/>
      <c r="E703" s="21"/>
      <c r="F703" s="21"/>
    </row>
    <row r="704" spans="1:6" x14ac:dyDescent="0.2">
      <c r="A704" s="7"/>
      <c r="B704" s="20"/>
      <c r="C704" s="21"/>
      <c r="D704" s="21"/>
      <c r="E704" s="21"/>
      <c r="F704" s="21"/>
    </row>
    <row r="705" spans="1:6" x14ac:dyDescent="0.2">
      <c r="A705" s="7"/>
      <c r="B705" s="20"/>
      <c r="C705" s="21"/>
      <c r="D705" s="21"/>
      <c r="E705" s="21"/>
      <c r="F705" s="21"/>
    </row>
    <row r="706" spans="1:6" x14ac:dyDescent="0.2">
      <c r="A706" s="7"/>
      <c r="B706" s="20"/>
      <c r="C706" s="21"/>
      <c r="D706" s="21"/>
      <c r="E706" s="21"/>
      <c r="F706" s="21"/>
    </row>
    <row r="707" spans="1:6" x14ac:dyDescent="0.2">
      <c r="A707" s="7"/>
      <c r="B707" s="20"/>
      <c r="C707" s="21"/>
      <c r="D707" s="21"/>
      <c r="E707" s="21"/>
      <c r="F707" s="21"/>
    </row>
    <row r="708" spans="1:6" x14ac:dyDescent="0.2">
      <c r="A708" s="7"/>
      <c r="B708" s="20"/>
      <c r="C708" s="21"/>
      <c r="D708" s="21"/>
      <c r="E708" s="21"/>
      <c r="F708" s="21"/>
    </row>
    <row r="709" spans="1:6" x14ac:dyDescent="0.2">
      <c r="A709" s="7"/>
      <c r="B709" s="20"/>
      <c r="C709" s="21"/>
      <c r="D709" s="21"/>
      <c r="E709" s="21"/>
      <c r="F709" s="21"/>
    </row>
    <row r="710" spans="1:6" x14ac:dyDescent="0.2">
      <c r="A710" s="7"/>
      <c r="B710" s="20"/>
      <c r="C710" s="21"/>
      <c r="D710" s="21"/>
      <c r="E710" s="21"/>
      <c r="F710" s="21"/>
    </row>
    <row r="711" spans="1:6" x14ac:dyDescent="0.2">
      <c r="A711" s="7"/>
      <c r="B711" s="20"/>
      <c r="C711" s="21"/>
      <c r="D711" s="21"/>
      <c r="E711" s="21"/>
      <c r="F711" s="21"/>
    </row>
    <row r="712" spans="1:6" x14ac:dyDescent="0.2">
      <c r="A712" s="7"/>
      <c r="B712" s="20"/>
      <c r="C712" s="21"/>
      <c r="D712" s="21"/>
      <c r="E712" s="21"/>
      <c r="F712" s="21"/>
    </row>
    <row r="713" spans="1:6" x14ac:dyDescent="0.2">
      <c r="A713" s="7"/>
      <c r="B713" s="20"/>
      <c r="C713" s="21"/>
      <c r="D713" s="21"/>
      <c r="E713" s="21"/>
      <c r="F713" s="21"/>
    </row>
    <row r="714" spans="1:6" x14ac:dyDescent="0.2">
      <c r="A714" s="7"/>
      <c r="B714" s="20"/>
      <c r="C714" s="21"/>
      <c r="D714" s="21"/>
      <c r="E714" s="21"/>
      <c r="F714" s="21"/>
    </row>
    <row r="715" spans="1:6" x14ac:dyDescent="0.2">
      <c r="A715" s="7"/>
      <c r="B715" s="20"/>
      <c r="C715" s="21"/>
      <c r="D715" s="21"/>
      <c r="E715" s="21"/>
      <c r="F715" s="21"/>
    </row>
    <row r="716" spans="1:6" x14ac:dyDescent="0.2">
      <c r="A716" s="7"/>
      <c r="B716" s="20"/>
      <c r="C716" s="21"/>
      <c r="D716" s="21"/>
      <c r="E716" s="21"/>
      <c r="F716" s="21"/>
    </row>
    <row r="717" spans="1:6" x14ac:dyDescent="0.2">
      <c r="A717" s="7"/>
      <c r="B717" s="20"/>
      <c r="C717" s="21"/>
      <c r="D717" s="21"/>
      <c r="E717" s="21"/>
      <c r="F717" s="21"/>
    </row>
    <row r="718" spans="1:6" x14ac:dyDescent="0.2">
      <c r="A718" s="7"/>
      <c r="B718" s="20"/>
      <c r="C718" s="21"/>
      <c r="D718" s="21"/>
      <c r="E718" s="21"/>
      <c r="F718" s="21"/>
    </row>
    <row r="719" spans="1:6" x14ac:dyDescent="0.2">
      <c r="A719" s="7"/>
      <c r="B719" s="20"/>
      <c r="C719" s="21"/>
      <c r="D719" s="21"/>
      <c r="E719" s="21"/>
      <c r="F719" s="21"/>
    </row>
    <row r="720" spans="1:6" x14ac:dyDescent="0.2">
      <c r="A720" s="7"/>
      <c r="B720" s="20"/>
      <c r="C720" s="21"/>
      <c r="D720" s="21"/>
      <c r="E720" s="21"/>
      <c r="F720" s="21"/>
    </row>
    <row r="721" spans="1:6" x14ac:dyDescent="0.2">
      <c r="A721" s="7"/>
      <c r="B721" s="20"/>
      <c r="C721" s="21"/>
      <c r="D721" s="21"/>
      <c r="E721" s="21"/>
      <c r="F721" s="21"/>
    </row>
    <row r="722" spans="1:6" x14ac:dyDescent="0.2">
      <c r="A722" s="7"/>
      <c r="B722" s="20"/>
      <c r="C722" s="21"/>
      <c r="D722" s="21"/>
      <c r="E722" s="21"/>
      <c r="F722" s="21"/>
    </row>
    <row r="723" spans="1:6" x14ac:dyDescent="0.2">
      <c r="A723" s="7"/>
      <c r="B723" s="20"/>
      <c r="C723" s="21"/>
      <c r="D723" s="21"/>
      <c r="E723" s="21"/>
      <c r="F723" s="21"/>
    </row>
    <row r="724" spans="1:6" x14ac:dyDescent="0.2">
      <c r="A724" s="7"/>
      <c r="B724" s="20"/>
      <c r="C724" s="21"/>
      <c r="D724" s="21"/>
      <c r="E724" s="21"/>
      <c r="F724" s="21"/>
    </row>
    <row r="725" spans="1:6" x14ac:dyDescent="0.2">
      <c r="A725" s="7"/>
      <c r="B725" s="20"/>
      <c r="C725" s="21"/>
      <c r="D725" s="21"/>
      <c r="E725" s="21"/>
      <c r="F725" s="21"/>
    </row>
    <row r="726" spans="1:6" x14ac:dyDescent="0.2">
      <c r="A726" s="7"/>
      <c r="B726" s="20"/>
      <c r="C726" s="21"/>
      <c r="D726" s="21"/>
      <c r="E726" s="21"/>
      <c r="F726" s="21"/>
    </row>
    <row r="727" spans="1:6" x14ac:dyDescent="0.2">
      <c r="A727" s="7"/>
      <c r="B727" s="20"/>
      <c r="C727" s="21"/>
      <c r="D727" s="21"/>
      <c r="E727" s="21"/>
      <c r="F727" s="21"/>
    </row>
    <row r="728" spans="1:6" x14ac:dyDescent="0.2">
      <c r="A728" s="7"/>
      <c r="B728" s="20"/>
      <c r="C728" s="21"/>
      <c r="D728" s="21"/>
      <c r="E728" s="21"/>
      <c r="F728" s="21"/>
    </row>
    <row r="729" spans="1:6" x14ac:dyDescent="0.2">
      <c r="A729" s="7"/>
      <c r="B729" s="20"/>
      <c r="C729" s="21"/>
      <c r="D729" s="21"/>
      <c r="E729" s="21"/>
      <c r="F729" s="21"/>
    </row>
    <row r="730" spans="1:6" x14ac:dyDescent="0.2">
      <c r="A730" s="7"/>
      <c r="B730" s="20"/>
      <c r="C730" s="21"/>
      <c r="D730" s="21"/>
      <c r="E730" s="21"/>
      <c r="F730" s="21"/>
    </row>
    <row r="731" spans="1:6" x14ac:dyDescent="0.2">
      <c r="A731" s="7"/>
      <c r="B731" s="20"/>
      <c r="C731" s="21"/>
      <c r="D731" s="21"/>
      <c r="E731" s="21"/>
      <c r="F731" s="21"/>
    </row>
    <row r="732" spans="1:6" x14ac:dyDescent="0.2">
      <c r="A732" s="7"/>
      <c r="B732" s="20"/>
      <c r="C732" s="21"/>
      <c r="D732" s="21"/>
      <c r="E732" s="21"/>
      <c r="F732" s="21"/>
    </row>
    <row r="733" spans="1:6" x14ac:dyDescent="0.2">
      <c r="A733" s="7"/>
      <c r="B733" s="20"/>
      <c r="C733" s="21"/>
      <c r="D733" s="21"/>
      <c r="E733" s="21"/>
      <c r="F733" s="21"/>
    </row>
    <row r="734" spans="1:6" x14ac:dyDescent="0.2">
      <c r="A734" s="7"/>
      <c r="B734" s="20"/>
      <c r="C734" s="21"/>
      <c r="D734" s="21"/>
      <c r="E734" s="21"/>
      <c r="F734" s="21"/>
    </row>
    <row r="735" spans="1:6" x14ac:dyDescent="0.2">
      <c r="A735" s="7"/>
      <c r="B735" s="20"/>
      <c r="C735" s="21"/>
      <c r="D735" s="21"/>
      <c r="E735" s="21"/>
      <c r="F735" s="21"/>
    </row>
    <row r="736" spans="1:6" x14ac:dyDescent="0.2">
      <c r="A736" s="7"/>
      <c r="B736" s="20"/>
      <c r="C736" s="21"/>
      <c r="D736" s="21"/>
      <c r="E736" s="21"/>
      <c r="F736" s="21"/>
    </row>
    <row r="737" spans="1:6" x14ac:dyDescent="0.2">
      <c r="A737" s="7"/>
      <c r="B737" s="20"/>
      <c r="C737" s="21"/>
      <c r="D737" s="21"/>
      <c r="E737" s="21"/>
      <c r="F737" s="21"/>
    </row>
    <row r="738" spans="1:6" x14ac:dyDescent="0.2">
      <c r="A738" s="7"/>
      <c r="B738" s="20"/>
      <c r="C738" s="21"/>
      <c r="D738" s="21"/>
      <c r="E738" s="21"/>
      <c r="F738" s="21"/>
    </row>
    <row r="739" spans="1:6" x14ac:dyDescent="0.2">
      <c r="A739" s="7"/>
      <c r="B739" s="20"/>
      <c r="C739" s="21"/>
      <c r="D739" s="21"/>
      <c r="E739" s="21"/>
      <c r="F739" s="21"/>
    </row>
    <row r="740" spans="1:6" x14ac:dyDescent="0.2">
      <c r="A740" s="7"/>
      <c r="B740" s="20"/>
      <c r="C740" s="21"/>
      <c r="D740" s="21"/>
      <c r="E740" s="21"/>
      <c r="F740" s="21"/>
    </row>
    <row r="741" spans="1:6" x14ac:dyDescent="0.2">
      <c r="A741" s="7"/>
      <c r="B741" s="20"/>
      <c r="C741" s="21"/>
      <c r="D741" s="21"/>
      <c r="E741" s="21"/>
      <c r="F741" s="21"/>
    </row>
    <row r="742" spans="1:6" x14ac:dyDescent="0.2">
      <c r="A742" s="7"/>
      <c r="B742" s="20"/>
      <c r="C742" s="21"/>
      <c r="D742" s="21"/>
      <c r="E742" s="21"/>
      <c r="F742" s="21"/>
    </row>
    <row r="743" spans="1:6" x14ac:dyDescent="0.2">
      <c r="A743" s="7"/>
      <c r="B743" s="20"/>
      <c r="C743" s="21"/>
      <c r="D743" s="21"/>
      <c r="E743" s="21"/>
      <c r="F743" s="21"/>
    </row>
    <row r="744" spans="1:6" x14ac:dyDescent="0.2">
      <c r="A744" s="7"/>
      <c r="B744" s="20"/>
      <c r="C744" s="21"/>
      <c r="D744" s="21"/>
      <c r="E744" s="21"/>
      <c r="F744" s="21"/>
    </row>
    <row r="745" spans="1:6" x14ac:dyDescent="0.2">
      <c r="A745" s="7"/>
      <c r="B745" s="20"/>
      <c r="C745" s="21"/>
      <c r="D745" s="21"/>
      <c r="E745" s="21"/>
      <c r="F745" s="21"/>
    </row>
    <row r="746" spans="1:6" x14ac:dyDescent="0.2">
      <c r="A746" s="7"/>
      <c r="B746" s="20"/>
      <c r="C746" s="21"/>
      <c r="D746" s="21"/>
      <c r="E746" s="21"/>
      <c r="F746" s="21"/>
    </row>
    <row r="747" spans="1:6" x14ac:dyDescent="0.2">
      <c r="A747" s="7"/>
      <c r="B747" s="20"/>
      <c r="C747" s="21"/>
      <c r="D747" s="21"/>
      <c r="E747" s="21"/>
      <c r="F747" s="21"/>
    </row>
    <row r="748" spans="1:6" x14ac:dyDescent="0.2">
      <c r="A748" s="7"/>
      <c r="B748" s="20"/>
      <c r="C748" s="21"/>
      <c r="D748" s="21"/>
      <c r="E748" s="21"/>
      <c r="F748" s="21"/>
    </row>
    <row r="749" spans="1:6" x14ac:dyDescent="0.2">
      <c r="A749" s="7"/>
      <c r="B749" s="20"/>
      <c r="C749" s="21"/>
      <c r="D749" s="21"/>
      <c r="E749" s="21"/>
      <c r="F749" s="21"/>
    </row>
    <row r="750" spans="1:6" x14ac:dyDescent="0.2">
      <c r="A750" s="7"/>
      <c r="B750" s="20"/>
      <c r="C750" s="21"/>
      <c r="D750" s="21"/>
      <c r="E750" s="21"/>
      <c r="F750" s="21"/>
    </row>
    <row r="751" spans="1:6" x14ac:dyDescent="0.2">
      <c r="A751" s="7"/>
      <c r="B751" s="20"/>
      <c r="C751" s="21"/>
      <c r="D751" s="21"/>
      <c r="E751" s="21"/>
      <c r="F751" s="21"/>
    </row>
    <row r="752" spans="1:6" x14ac:dyDescent="0.2">
      <c r="A752" s="7"/>
      <c r="B752" s="20"/>
      <c r="C752" s="21"/>
      <c r="D752" s="21"/>
      <c r="E752" s="21"/>
      <c r="F752" s="21"/>
    </row>
    <row r="753" spans="1:6" x14ac:dyDescent="0.2">
      <c r="A753" s="7"/>
      <c r="B753" s="20"/>
      <c r="C753" s="21"/>
      <c r="D753" s="21"/>
      <c r="E753" s="21"/>
      <c r="F753" s="21"/>
    </row>
    <row r="754" spans="1:6" x14ac:dyDescent="0.2">
      <c r="A754" s="7"/>
      <c r="B754" s="20"/>
      <c r="C754" s="21"/>
      <c r="D754" s="21"/>
      <c r="E754" s="21"/>
      <c r="F754" s="21"/>
    </row>
    <row r="755" spans="1:6" x14ac:dyDescent="0.2">
      <c r="A755" s="7"/>
      <c r="B755" s="20"/>
      <c r="C755" s="21"/>
      <c r="D755" s="21"/>
      <c r="E755" s="21"/>
      <c r="F755" s="21"/>
    </row>
    <row r="756" spans="1:6" x14ac:dyDescent="0.2">
      <c r="A756" s="7"/>
      <c r="B756" s="20"/>
      <c r="C756" s="21"/>
      <c r="D756" s="21"/>
      <c r="E756" s="21"/>
      <c r="F756" s="21"/>
    </row>
    <row r="757" spans="1:6" x14ac:dyDescent="0.2">
      <c r="A757" s="7"/>
      <c r="B757" s="20"/>
      <c r="C757" s="21"/>
      <c r="D757" s="21"/>
      <c r="E757" s="21"/>
      <c r="F757" s="21"/>
    </row>
    <row r="758" spans="1:6" x14ac:dyDescent="0.2">
      <c r="A758" s="7"/>
      <c r="B758" s="20"/>
      <c r="C758" s="21"/>
      <c r="D758" s="21"/>
      <c r="E758" s="21"/>
      <c r="F758" s="21"/>
    </row>
    <row r="759" spans="1:6" x14ac:dyDescent="0.2">
      <c r="A759" s="7"/>
      <c r="B759" s="20"/>
      <c r="C759" s="21"/>
      <c r="D759" s="21"/>
      <c r="E759" s="21"/>
      <c r="F759" s="21"/>
    </row>
    <row r="760" spans="1:6" x14ac:dyDescent="0.2">
      <c r="A760" s="7"/>
      <c r="B760" s="20"/>
      <c r="C760" s="21"/>
      <c r="D760" s="21"/>
      <c r="E760" s="21"/>
      <c r="F760" s="21"/>
    </row>
    <row r="761" spans="1:6" x14ac:dyDescent="0.2">
      <c r="A761" s="7"/>
      <c r="B761" s="20"/>
      <c r="C761" s="21"/>
      <c r="D761" s="21"/>
      <c r="E761" s="21"/>
      <c r="F761" s="21"/>
    </row>
    <row r="762" spans="1:6" x14ac:dyDescent="0.2">
      <c r="A762" s="7"/>
      <c r="B762" s="20"/>
      <c r="C762" s="21"/>
      <c r="D762" s="21"/>
      <c r="E762" s="21"/>
      <c r="F762" s="21"/>
    </row>
    <row r="763" spans="1:6" x14ac:dyDescent="0.2">
      <c r="A763" s="7"/>
      <c r="B763" s="20"/>
      <c r="C763" s="21"/>
      <c r="D763" s="21"/>
      <c r="E763" s="21"/>
      <c r="F763" s="21"/>
    </row>
    <row r="764" spans="1:6" x14ac:dyDescent="0.2">
      <c r="A764" s="7"/>
      <c r="B764" s="20"/>
      <c r="C764" s="21"/>
      <c r="D764" s="21"/>
      <c r="E764" s="21"/>
      <c r="F764" s="21"/>
    </row>
    <row r="765" spans="1:6" x14ac:dyDescent="0.2">
      <c r="A765" s="7"/>
      <c r="B765" s="20"/>
      <c r="C765" s="21"/>
      <c r="D765" s="21"/>
      <c r="E765" s="21"/>
      <c r="F765" s="21"/>
    </row>
    <row r="766" spans="1:6" x14ac:dyDescent="0.2">
      <c r="A766" s="7"/>
      <c r="B766" s="20"/>
      <c r="C766" s="21"/>
      <c r="D766" s="21"/>
      <c r="E766" s="21"/>
      <c r="F766" s="21"/>
    </row>
    <row r="767" spans="1:6" x14ac:dyDescent="0.2">
      <c r="A767" s="7"/>
      <c r="B767" s="20"/>
      <c r="C767" s="21"/>
      <c r="D767" s="21"/>
      <c r="E767" s="21"/>
      <c r="F767" s="21"/>
    </row>
    <row r="768" spans="1:6" x14ac:dyDescent="0.2">
      <c r="A768" s="7"/>
      <c r="B768" s="20"/>
      <c r="C768" s="21"/>
      <c r="D768" s="21"/>
      <c r="E768" s="21"/>
      <c r="F768" s="21"/>
    </row>
    <row r="769" spans="1:6" x14ac:dyDescent="0.2">
      <c r="A769" s="7"/>
      <c r="B769" s="20"/>
      <c r="C769" s="21"/>
      <c r="D769" s="21"/>
      <c r="E769" s="21"/>
      <c r="F769" s="21"/>
    </row>
    <row r="770" spans="1:6" x14ac:dyDescent="0.2">
      <c r="A770" s="7"/>
      <c r="B770" s="20"/>
      <c r="C770" s="21"/>
      <c r="D770" s="21"/>
      <c r="E770" s="21"/>
      <c r="F770" s="21"/>
    </row>
    <row r="771" spans="1:6" x14ac:dyDescent="0.2">
      <c r="A771" s="7"/>
      <c r="B771" s="20"/>
      <c r="C771" s="21"/>
      <c r="D771" s="21"/>
      <c r="E771" s="21"/>
      <c r="F771" s="21"/>
    </row>
    <row r="772" spans="1:6" x14ac:dyDescent="0.2">
      <c r="A772" s="7"/>
      <c r="B772" s="20"/>
      <c r="C772" s="21"/>
      <c r="D772" s="21"/>
      <c r="E772" s="21"/>
      <c r="F772" s="21"/>
    </row>
    <row r="773" spans="1:6" x14ac:dyDescent="0.2">
      <c r="A773" s="7"/>
      <c r="B773" s="20"/>
      <c r="C773" s="21"/>
      <c r="D773" s="21"/>
      <c r="E773" s="21"/>
      <c r="F773" s="21"/>
    </row>
    <row r="774" spans="1:6" x14ac:dyDescent="0.2">
      <c r="A774" s="7"/>
      <c r="B774" s="20"/>
      <c r="C774" s="21"/>
      <c r="D774" s="21"/>
      <c r="E774" s="21"/>
      <c r="F774" s="21"/>
    </row>
    <row r="775" spans="1:6" x14ac:dyDescent="0.2">
      <c r="A775" s="7"/>
      <c r="B775" s="20"/>
      <c r="C775" s="21"/>
      <c r="D775" s="21"/>
      <c r="E775" s="21"/>
      <c r="F775" s="21"/>
    </row>
    <row r="776" spans="1:6" x14ac:dyDescent="0.2">
      <c r="A776" s="7"/>
      <c r="B776" s="20"/>
      <c r="C776" s="21"/>
      <c r="D776" s="21"/>
      <c r="E776" s="21"/>
      <c r="F776" s="21"/>
    </row>
    <row r="777" spans="1:6" x14ac:dyDescent="0.2">
      <c r="A777" s="7"/>
      <c r="B777" s="20"/>
      <c r="C777" s="21"/>
      <c r="D777" s="21"/>
      <c r="E777" s="21"/>
      <c r="F777" s="21"/>
    </row>
    <row r="778" spans="1:6" x14ac:dyDescent="0.2">
      <c r="A778" s="7"/>
      <c r="B778" s="20"/>
      <c r="C778" s="21"/>
      <c r="D778" s="21"/>
      <c r="E778" s="21"/>
      <c r="F778" s="21"/>
    </row>
    <row r="779" spans="1:6" x14ac:dyDescent="0.2">
      <c r="A779" s="7"/>
      <c r="B779" s="20"/>
      <c r="C779" s="21"/>
      <c r="D779" s="21"/>
      <c r="E779" s="21"/>
      <c r="F779" s="21"/>
    </row>
    <row r="780" spans="1:6" x14ac:dyDescent="0.2">
      <c r="A780" s="7"/>
      <c r="B780" s="20"/>
      <c r="C780" s="21"/>
      <c r="D780" s="21"/>
      <c r="E780" s="21"/>
      <c r="F780" s="21"/>
    </row>
    <row r="781" spans="1:6" x14ac:dyDescent="0.2">
      <c r="A781" s="7"/>
      <c r="B781" s="20"/>
      <c r="C781" s="21"/>
      <c r="D781" s="21"/>
      <c r="E781" s="21"/>
      <c r="F781" s="21"/>
    </row>
    <row r="782" spans="1:6" x14ac:dyDescent="0.2">
      <c r="A782" s="7"/>
      <c r="B782" s="20"/>
      <c r="C782" s="21"/>
      <c r="D782" s="21"/>
      <c r="E782" s="21"/>
      <c r="F782" s="21"/>
    </row>
    <row r="783" spans="1:6" x14ac:dyDescent="0.2">
      <c r="A783" s="7"/>
      <c r="B783" s="20"/>
      <c r="C783" s="21"/>
      <c r="D783" s="21"/>
      <c r="E783" s="21"/>
      <c r="F783" s="21"/>
    </row>
    <row r="784" spans="1:6" x14ac:dyDescent="0.2">
      <c r="A784" s="7"/>
      <c r="B784" s="20"/>
      <c r="C784" s="21"/>
      <c r="D784" s="21"/>
      <c r="E784" s="21"/>
      <c r="F784" s="21"/>
    </row>
    <row r="785" spans="1:6" x14ac:dyDescent="0.2">
      <c r="A785" s="7"/>
      <c r="B785" s="20"/>
      <c r="C785" s="21"/>
      <c r="D785" s="21"/>
      <c r="E785" s="21"/>
      <c r="F785" s="21"/>
    </row>
    <row r="786" spans="1:6" x14ac:dyDescent="0.2">
      <c r="A786" s="7"/>
      <c r="B786" s="20"/>
      <c r="C786" s="21"/>
      <c r="D786" s="21"/>
      <c r="E786" s="21"/>
      <c r="F786" s="21"/>
    </row>
    <row r="787" spans="1:6" x14ac:dyDescent="0.2">
      <c r="A787" s="7"/>
      <c r="B787" s="20"/>
      <c r="C787" s="21"/>
      <c r="D787" s="21"/>
      <c r="E787" s="21"/>
      <c r="F787" s="21"/>
    </row>
    <row r="788" spans="1:6" x14ac:dyDescent="0.2">
      <c r="A788" s="7"/>
      <c r="B788" s="20"/>
      <c r="C788" s="21"/>
      <c r="D788" s="21"/>
      <c r="E788" s="21"/>
      <c r="F788" s="21"/>
    </row>
    <row r="789" spans="1:6" x14ac:dyDescent="0.2">
      <c r="A789" s="7"/>
      <c r="B789" s="20"/>
      <c r="C789" s="21"/>
      <c r="D789" s="21"/>
      <c r="E789" s="21"/>
      <c r="F789" s="21"/>
    </row>
    <row r="790" spans="1:6" x14ac:dyDescent="0.2">
      <c r="A790" s="7"/>
      <c r="B790" s="20"/>
      <c r="C790" s="21"/>
      <c r="D790" s="21"/>
      <c r="E790" s="21"/>
      <c r="F790" s="21"/>
    </row>
    <row r="791" spans="1:6" x14ac:dyDescent="0.2">
      <c r="A791" s="7"/>
      <c r="B791" s="20"/>
      <c r="C791" s="21"/>
      <c r="D791" s="21"/>
      <c r="E791" s="21"/>
      <c r="F791" s="21"/>
    </row>
    <row r="792" spans="1:6" x14ac:dyDescent="0.2">
      <c r="A792" s="7"/>
      <c r="B792" s="20"/>
      <c r="C792" s="21"/>
      <c r="D792" s="21"/>
      <c r="E792" s="21"/>
      <c r="F792" s="21"/>
    </row>
    <row r="793" spans="1:6" x14ac:dyDescent="0.2">
      <c r="A793" s="7"/>
      <c r="B793" s="20"/>
      <c r="C793" s="21"/>
      <c r="D793" s="21"/>
      <c r="E793" s="21"/>
      <c r="F793" s="21"/>
    </row>
    <row r="794" spans="1:6" x14ac:dyDescent="0.2">
      <c r="A794" s="7"/>
      <c r="B794" s="20"/>
      <c r="C794" s="21"/>
      <c r="D794" s="21"/>
      <c r="E794" s="21"/>
      <c r="F794" s="21"/>
    </row>
    <row r="795" spans="1:6" x14ac:dyDescent="0.2">
      <c r="A795" s="7"/>
      <c r="B795" s="20"/>
      <c r="C795" s="21"/>
      <c r="D795" s="21"/>
      <c r="E795" s="21"/>
      <c r="F795" s="21"/>
    </row>
    <row r="796" spans="1:6" x14ac:dyDescent="0.2">
      <c r="A796" s="7"/>
      <c r="B796" s="20"/>
      <c r="C796" s="21"/>
      <c r="D796" s="21"/>
      <c r="E796" s="21"/>
      <c r="F796" s="21"/>
    </row>
    <row r="797" spans="1:6" x14ac:dyDescent="0.2">
      <c r="A797" s="7"/>
      <c r="B797" s="20"/>
      <c r="C797" s="21"/>
      <c r="D797" s="21"/>
      <c r="E797" s="21"/>
      <c r="F797" s="21"/>
    </row>
    <row r="798" spans="1:6" x14ac:dyDescent="0.2">
      <c r="A798" s="7"/>
      <c r="B798" s="20"/>
      <c r="C798" s="21"/>
      <c r="D798" s="21"/>
      <c r="E798" s="21"/>
      <c r="F798" s="21"/>
    </row>
    <row r="799" spans="1:6" x14ac:dyDescent="0.2">
      <c r="A799" s="7"/>
      <c r="B799" s="20"/>
      <c r="C799" s="21"/>
      <c r="D799" s="21"/>
      <c r="E799" s="21"/>
      <c r="F799" s="21"/>
    </row>
    <row r="800" spans="1:6" x14ac:dyDescent="0.2">
      <c r="A800" s="7"/>
      <c r="B800" s="20"/>
      <c r="C800" s="21"/>
      <c r="D800" s="21"/>
      <c r="E800" s="21"/>
      <c r="F800" s="21"/>
    </row>
    <row r="801" spans="1:6" x14ac:dyDescent="0.2">
      <c r="A801" s="7"/>
      <c r="B801" s="20"/>
      <c r="C801" s="21"/>
      <c r="D801" s="21"/>
      <c r="E801" s="21"/>
      <c r="F801" s="21"/>
    </row>
    <row r="802" spans="1:6" x14ac:dyDescent="0.2">
      <c r="A802" s="7"/>
      <c r="B802" s="20"/>
      <c r="C802" s="21"/>
      <c r="D802" s="21"/>
      <c r="E802" s="21"/>
      <c r="F802" s="21"/>
    </row>
    <row r="803" spans="1:6" x14ac:dyDescent="0.2">
      <c r="A803" s="7"/>
      <c r="B803" s="20"/>
      <c r="C803" s="21"/>
      <c r="D803" s="21"/>
      <c r="E803" s="21"/>
      <c r="F803" s="21"/>
    </row>
    <row r="804" spans="1:6" x14ac:dyDescent="0.2">
      <c r="A804" s="7"/>
      <c r="B804" s="20"/>
      <c r="C804" s="21"/>
      <c r="D804" s="21"/>
      <c r="E804" s="21"/>
      <c r="F804" s="21"/>
    </row>
    <row r="805" spans="1:6" x14ac:dyDescent="0.2">
      <c r="A805" s="7"/>
      <c r="B805" s="20"/>
      <c r="C805" s="21"/>
      <c r="D805" s="21"/>
      <c r="E805" s="21"/>
      <c r="F805" s="21"/>
    </row>
    <row r="806" spans="1:6" x14ac:dyDescent="0.2">
      <c r="A806" s="7"/>
      <c r="B806" s="20"/>
      <c r="C806" s="21"/>
      <c r="D806" s="21"/>
      <c r="E806" s="21"/>
      <c r="F806" s="21"/>
    </row>
    <row r="807" spans="1:6" x14ac:dyDescent="0.2">
      <c r="A807" s="7"/>
      <c r="B807" s="20"/>
      <c r="C807" s="21"/>
      <c r="D807" s="21"/>
      <c r="E807" s="21"/>
      <c r="F807" s="21"/>
    </row>
    <row r="808" spans="1:6" x14ac:dyDescent="0.2">
      <c r="A808" s="7"/>
      <c r="B808" s="20"/>
      <c r="C808" s="21"/>
      <c r="D808" s="21"/>
      <c r="E808" s="21"/>
      <c r="F808" s="21"/>
    </row>
    <row r="809" spans="1:6" x14ac:dyDescent="0.2">
      <c r="A809" s="7"/>
      <c r="B809" s="20"/>
      <c r="C809" s="21"/>
      <c r="D809" s="21"/>
      <c r="E809" s="21"/>
      <c r="F809" s="21"/>
    </row>
    <row r="810" spans="1:6" x14ac:dyDescent="0.2">
      <c r="A810" s="7"/>
      <c r="B810" s="20"/>
      <c r="C810" s="21"/>
      <c r="D810" s="21"/>
      <c r="E810" s="21"/>
      <c r="F810" s="21"/>
    </row>
    <row r="811" spans="1:6" x14ac:dyDescent="0.2">
      <c r="A811" s="7"/>
      <c r="B811" s="20"/>
      <c r="C811" s="21"/>
      <c r="D811" s="21"/>
      <c r="E811" s="21"/>
      <c r="F811" s="21"/>
    </row>
    <row r="812" spans="1:6" x14ac:dyDescent="0.2">
      <c r="A812" s="7"/>
      <c r="B812" s="20"/>
      <c r="C812" s="21"/>
      <c r="D812" s="21"/>
      <c r="E812" s="21"/>
      <c r="F812" s="21"/>
    </row>
    <row r="813" spans="1:6" x14ac:dyDescent="0.2">
      <c r="A813" s="7"/>
      <c r="B813" s="20"/>
      <c r="C813" s="21"/>
      <c r="D813" s="21"/>
      <c r="E813" s="21"/>
      <c r="F813" s="21"/>
    </row>
    <row r="814" spans="1:6" x14ac:dyDescent="0.2">
      <c r="A814" s="7"/>
      <c r="B814" s="20"/>
      <c r="C814" s="21"/>
      <c r="D814" s="21"/>
      <c r="E814" s="21"/>
      <c r="F814" s="21"/>
    </row>
    <row r="815" spans="1:6" x14ac:dyDescent="0.2">
      <c r="A815" s="7"/>
      <c r="B815" s="20"/>
      <c r="C815" s="21"/>
      <c r="D815" s="21"/>
      <c r="E815" s="21"/>
      <c r="F815" s="21"/>
    </row>
    <row r="816" spans="1:6" x14ac:dyDescent="0.2">
      <c r="A816" s="7"/>
      <c r="B816" s="20"/>
      <c r="C816" s="21"/>
      <c r="D816" s="21"/>
      <c r="E816" s="21"/>
      <c r="F816" s="21"/>
    </row>
    <row r="817" spans="1:6" x14ac:dyDescent="0.2">
      <c r="A817" s="7"/>
      <c r="B817" s="20"/>
      <c r="C817" s="21"/>
      <c r="D817" s="21"/>
      <c r="E817" s="21"/>
      <c r="F817" s="21"/>
    </row>
    <row r="818" spans="1:6" x14ac:dyDescent="0.2">
      <c r="A818" s="7"/>
      <c r="B818" s="20"/>
      <c r="C818" s="21"/>
      <c r="D818" s="21"/>
      <c r="E818" s="21"/>
      <c r="F818" s="21"/>
    </row>
    <row r="819" spans="1:6" x14ac:dyDescent="0.2">
      <c r="A819" s="7"/>
      <c r="B819" s="20"/>
      <c r="C819" s="21"/>
      <c r="D819" s="21"/>
      <c r="E819" s="21"/>
      <c r="F819" s="21"/>
    </row>
    <row r="820" spans="1:6" x14ac:dyDescent="0.2">
      <c r="A820" s="7"/>
      <c r="B820" s="20"/>
      <c r="C820" s="21"/>
      <c r="D820" s="21"/>
      <c r="E820" s="21"/>
      <c r="F820" s="21"/>
    </row>
    <row r="821" spans="1:6" x14ac:dyDescent="0.2">
      <c r="A821" s="7"/>
      <c r="B821" s="20"/>
      <c r="C821" s="21"/>
      <c r="D821" s="21"/>
      <c r="E821" s="21"/>
      <c r="F821" s="21"/>
    </row>
    <row r="822" spans="1:6" x14ac:dyDescent="0.2">
      <c r="A822" s="7"/>
      <c r="B822" s="20"/>
      <c r="C822" s="21"/>
      <c r="D822" s="21"/>
      <c r="E822" s="21"/>
      <c r="F822" s="21"/>
    </row>
    <row r="823" spans="1:6" x14ac:dyDescent="0.2">
      <c r="A823" s="7"/>
      <c r="B823" s="20"/>
      <c r="C823" s="21"/>
      <c r="D823" s="21"/>
      <c r="E823" s="21"/>
      <c r="F823" s="21"/>
    </row>
    <row r="824" spans="1:6" x14ac:dyDescent="0.2">
      <c r="A824" s="7"/>
      <c r="B824" s="20"/>
      <c r="C824" s="21"/>
      <c r="D824" s="21"/>
      <c r="E824" s="21"/>
      <c r="F824" s="21"/>
    </row>
    <row r="825" spans="1:6" x14ac:dyDescent="0.2">
      <c r="A825" s="7"/>
      <c r="B825" s="20"/>
      <c r="C825" s="21"/>
      <c r="D825" s="21"/>
      <c r="E825" s="21"/>
      <c r="F825" s="21"/>
    </row>
    <row r="826" spans="1:6" x14ac:dyDescent="0.2">
      <c r="A826" s="7"/>
      <c r="B826" s="20"/>
      <c r="C826" s="21"/>
      <c r="D826" s="21"/>
      <c r="E826" s="21"/>
      <c r="F826" s="21"/>
    </row>
    <row r="827" spans="1:6" x14ac:dyDescent="0.2">
      <c r="A827" s="7"/>
      <c r="B827" s="20"/>
      <c r="C827" s="21"/>
      <c r="D827" s="21"/>
      <c r="E827" s="21"/>
      <c r="F827" s="21"/>
    </row>
    <row r="828" spans="1:6" x14ac:dyDescent="0.2">
      <c r="A828" s="7"/>
      <c r="B828" s="20"/>
      <c r="C828" s="21"/>
      <c r="D828" s="21"/>
      <c r="E828" s="21"/>
      <c r="F828" s="21"/>
    </row>
    <row r="829" spans="1:6" x14ac:dyDescent="0.2">
      <c r="A829" s="7"/>
      <c r="B829" s="20"/>
      <c r="C829" s="21"/>
      <c r="D829" s="21"/>
      <c r="E829" s="21"/>
      <c r="F829" s="21"/>
    </row>
    <row r="830" spans="1:6" x14ac:dyDescent="0.2">
      <c r="A830" s="7"/>
      <c r="B830" s="20"/>
      <c r="C830" s="21"/>
      <c r="D830" s="21"/>
      <c r="E830" s="21"/>
      <c r="F830" s="21"/>
    </row>
    <row r="831" spans="1:6" x14ac:dyDescent="0.2">
      <c r="A831" s="7"/>
      <c r="B831" s="20"/>
      <c r="C831" s="21"/>
      <c r="D831" s="21"/>
      <c r="E831" s="21"/>
      <c r="F831" s="21"/>
    </row>
    <row r="832" spans="1:6" x14ac:dyDescent="0.2">
      <c r="A832" s="7"/>
      <c r="B832" s="20"/>
      <c r="C832" s="21"/>
      <c r="D832" s="21"/>
      <c r="E832" s="21"/>
      <c r="F832" s="21"/>
    </row>
    <row r="833" spans="1:6" x14ac:dyDescent="0.2">
      <c r="A833" s="7"/>
      <c r="B833" s="20"/>
      <c r="C833" s="21"/>
      <c r="D833" s="21"/>
      <c r="E833" s="21"/>
      <c r="F833" s="21"/>
    </row>
    <row r="834" spans="1:6" x14ac:dyDescent="0.2">
      <c r="A834" s="7"/>
      <c r="B834" s="20"/>
      <c r="C834" s="21"/>
      <c r="D834" s="21"/>
      <c r="E834" s="21"/>
      <c r="F834" s="21"/>
    </row>
    <row r="835" spans="1:6" x14ac:dyDescent="0.2">
      <c r="A835" s="7"/>
      <c r="B835" s="20"/>
      <c r="C835" s="21"/>
      <c r="D835" s="21"/>
      <c r="E835" s="21"/>
      <c r="F835" s="21"/>
    </row>
    <row r="836" spans="1:6" x14ac:dyDescent="0.2">
      <c r="A836" s="7"/>
      <c r="B836" s="20"/>
      <c r="C836" s="21"/>
      <c r="D836" s="21"/>
      <c r="E836" s="21"/>
      <c r="F836" s="21"/>
    </row>
    <row r="837" spans="1:6" x14ac:dyDescent="0.2">
      <c r="A837" s="7"/>
      <c r="B837" s="20"/>
      <c r="C837" s="21"/>
      <c r="D837" s="21"/>
      <c r="E837" s="21"/>
      <c r="F837" s="21"/>
    </row>
    <row r="838" spans="1:6" x14ac:dyDescent="0.2">
      <c r="A838" s="7"/>
      <c r="B838" s="20"/>
      <c r="C838" s="21"/>
      <c r="D838" s="21"/>
      <c r="E838" s="21"/>
      <c r="F838" s="21"/>
    </row>
    <row r="839" spans="1:6" x14ac:dyDescent="0.2">
      <c r="A839" s="7"/>
      <c r="B839" s="20"/>
      <c r="C839" s="21"/>
      <c r="D839" s="21"/>
      <c r="E839" s="21"/>
      <c r="F839" s="21"/>
    </row>
    <row r="840" spans="1:6" x14ac:dyDescent="0.2">
      <c r="A840" s="7"/>
      <c r="B840" s="20"/>
      <c r="C840" s="21"/>
      <c r="D840" s="21"/>
      <c r="E840" s="21"/>
      <c r="F840" s="21"/>
    </row>
    <row r="841" spans="1:6" x14ac:dyDescent="0.2">
      <c r="A841" s="7"/>
      <c r="B841" s="20"/>
      <c r="C841" s="21"/>
      <c r="D841" s="21"/>
      <c r="E841" s="21"/>
      <c r="F841" s="21"/>
    </row>
    <row r="842" spans="1:6" x14ac:dyDescent="0.2">
      <c r="A842" s="7"/>
      <c r="B842" s="20"/>
      <c r="C842" s="21"/>
      <c r="D842" s="21"/>
      <c r="E842" s="21"/>
      <c r="F842" s="21"/>
    </row>
    <row r="843" spans="1:6" x14ac:dyDescent="0.2">
      <c r="A843" s="7"/>
      <c r="B843" s="20"/>
      <c r="C843" s="21"/>
      <c r="D843" s="21"/>
      <c r="E843" s="21"/>
      <c r="F843" s="21"/>
    </row>
    <row r="844" spans="1:6" x14ac:dyDescent="0.2">
      <c r="A844" s="7"/>
      <c r="B844" s="20"/>
      <c r="C844" s="21"/>
      <c r="D844" s="21"/>
      <c r="E844" s="21"/>
      <c r="F844" s="21"/>
    </row>
    <row r="845" spans="1:6" x14ac:dyDescent="0.2">
      <c r="A845" s="7"/>
      <c r="B845" s="20"/>
      <c r="C845" s="21"/>
      <c r="D845" s="21"/>
      <c r="E845" s="21"/>
      <c r="F845" s="21"/>
    </row>
    <row r="846" spans="1:6" x14ac:dyDescent="0.2">
      <c r="A846" s="7"/>
      <c r="B846" s="20"/>
      <c r="C846" s="21"/>
      <c r="D846" s="21"/>
      <c r="E846" s="21"/>
      <c r="F846" s="21"/>
    </row>
    <row r="847" spans="1:6" x14ac:dyDescent="0.2">
      <c r="A847" s="7"/>
      <c r="B847" s="20"/>
      <c r="C847" s="21"/>
      <c r="D847" s="21"/>
      <c r="E847" s="21"/>
      <c r="F847" s="21"/>
    </row>
    <row r="848" spans="1:6" x14ac:dyDescent="0.2">
      <c r="A848" s="7"/>
      <c r="B848" s="20"/>
      <c r="C848" s="21"/>
      <c r="D848" s="21"/>
      <c r="E848" s="21"/>
      <c r="F848" s="21"/>
    </row>
    <row r="849" spans="1:6" x14ac:dyDescent="0.2">
      <c r="A849" s="7"/>
      <c r="B849" s="20"/>
      <c r="C849" s="21"/>
      <c r="D849" s="21"/>
      <c r="E849" s="21"/>
      <c r="F849" s="21"/>
    </row>
    <row r="850" spans="1:6" x14ac:dyDescent="0.2">
      <c r="A850" s="7"/>
      <c r="B850" s="20"/>
      <c r="C850" s="21"/>
      <c r="D850" s="21"/>
      <c r="E850" s="21"/>
      <c r="F850" s="21"/>
    </row>
    <row r="851" spans="1:6" x14ac:dyDescent="0.2">
      <c r="A851" s="7"/>
      <c r="B851" s="20"/>
      <c r="C851" s="21"/>
      <c r="D851" s="21"/>
      <c r="E851" s="21"/>
      <c r="F851" s="21"/>
    </row>
    <row r="852" spans="1:6" x14ac:dyDescent="0.2">
      <c r="A852" s="7"/>
      <c r="B852" s="20"/>
      <c r="C852" s="21"/>
      <c r="D852" s="21"/>
      <c r="E852" s="21"/>
      <c r="F852" s="21"/>
    </row>
    <row r="853" spans="1:6" x14ac:dyDescent="0.2">
      <c r="A853" s="7"/>
      <c r="B853" s="20"/>
      <c r="C853" s="21"/>
      <c r="D853" s="21"/>
      <c r="E853" s="21"/>
      <c r="F853" s="21"/>
    </row>
    <row r="854" spans="1:6" x14ac:dyDescent="0.2">
      <c r="A854" s="7"/>
      <c r="B854" s="20"/>
      <c r="C854" s="21"/>
      <c r="D854" s="21"/>
      <c r="E854" s="21"/>
      <c r="F854" s="21"/>
    </row>
    <row r="855" spans="1:6" x14ac:dyDescent="0.2">
      <c r="A855" s="7"/>
      <c r="B855" s="20"/>
      <c r="C855" s="21"/>
      <c r="D855" s="21"/>
      <c r="E855" s="21"/>
      <c r="F855" s="21"/>
    </row>
    <row r="856" spans="1:6" x14ac:dyDescent="0.2">
      <c r="A856" s="7"/>
      <c r="B856" s="20"/>
      <c r="C856" s="21"/>
      <c r="D856" s="21"/>
      <c r="E856" s="21"/>
      <c r="F856" s="21"/>
    </row>
    <row r="857" spans="1:6" x14ac:dyDescent="0.2">
      <c r="A857" s="7"/>
      <c r="B857" s="20"/>
      <c r="C857" s="21"/>
      <c r="D857" s="21"/>
      <c r="E857" s="21"/>
      <c r="F857" s="21"/>
    </row>
    <row r="858" spans="1:6" x14ac:dyDescent="0.2">
      <c r="A858" s="7"/>
      <c r="B858" s="20"/>
      <c r="C858" s="21"/>
      <c r="D858" s="21"/>
      <c r="E858" s="21"/>
      <c r="F858" s="21"/>
    </row>
    <row r="859" spans="1:6" x14ac:dyDescent="0.2">
      <c r="A859" s="7"/>
      <c r="B859" s="20"/>
      <c r="C859" s="21"/>
      <c r="D859" s="21"/>
      <c r="E859" s="21"/>
      <c r="F859" s="21"/>
    </row>
    <row r="860" spans="1:6" x14ac:dyDescent="0.2">
      <c r="A860" s="7"/>
      <c r="B860" s="20"/>
      <c r="C860" s="21"/>
      <c r="D860" s="21"/>
      <c r="E860" s="21"/>
      <c r="F860" s="21"/>
    </row>
    <row r="861" spans="1:6" x14ac:dyDescent="0.2">
      <c r="A861" s="7"/>
      <c r="B861" s="20"/>
      <c r="C861" s="21"/>
      <c r="D861" s="21"/>
      <c r="E861" s="21"/>
      <c r="F861" s="21"/>
    </row>
    <row r="862" spans="1:6" x14ac:dyDescent="0.2">
      <c r="A862" s="7"/>
      <c r="B862" s="20"/>
      <c r="C862" s="21"/>
      <c r="D862" s="21"/>
      <c r="E862" s="21"/>
      <c r="F862" s="21"/>
    </row>
    <row r="863" spans="1:6" x14ac:dyDescent="0.2">
      <c r="A863" s="7"/>
      <c r="B863" s="20"/>
      <c r="C863" s="21"/>
      <c r="D863" s="21"/>
      <c r="E863" s="21"/>
      <c r="F863" s="21"/>
    </row>
    <row r="864" spans="1:6" x14ac:dyDescent="0.2">
      <c r="A864" s="7"/>
      <c r="B864" s="20"/>
      <c r="C864" s="21"/>
      <c r="D864" s="21"/>
      <c r="E864" s="21"/>
      <c r="F864" s="21"/>
    </row>
    <row r="865" spans="1:6" x14ac:dyDescent="0.2">
      <c r="A865" s="7"/>
      <c r="B865" s="20"/>
      <c r="C865" s="21"/>
      <c r="D865" s="21"/>
      <c r="E865" s="21"/>
      <c r="F865" s="21"/>
    </row>
    <row r="866" spans="1:6" x14ac:dyDescent="0.2">
      <c r="A866" s="7"/>
      <c r="B866" s="20"/>
      <c r="C866" s="21"/>
      <c r="D866" s="21"/>
      <c r="E866" s="21"/>
      <c r="F866" s="21"/>
    </row>
    <row r="867" spans="1:6" x14ac:dyDescent="0.2">
      <c r="A867" s="7"/>
      <c r="B867" s="20"/>
      <c r="C867" s="21"/>
      <c r="D867" s="21"/>
      <c r="E867" s="21"/>
      <c r="F867" s="21"/>
    </row>
    <row r="868" spans="1:6" x14ac:dyDescent="0.2">
      <c r="A868" s="7"/>
      <c r="B868" s="20"/>
      <c r="C868" s="21"/>
      <c r="D868" s="21"/>
      <c r="E868" s="21"/>
      <c r="F868" s="21"/>
    </row>
    <row r="869" spans="1:6" x14ac:dyDescent="0.2">
      <c r="A869" s="7"/>
      <c r="B869" s="20"/>
      <c r="C869" s="21"/>
      <c r="D869" s="21"/>
      <c r="E869" s="21"/>
      <c r="F869" s="21"/>
    </row>
    <row r="870" spans="1:6" x14ac:dyDescent="0.2">
      <c r="A870" s="7"/>
      <c r="B870" s="20"/>
      <c r="C870" s="21"/>
      <c r="D870" s="21"/>
      <c r="E870" s="21"/>
      <c r="F870" s="21"/>
    </row>
    <row r="871" spans="1:6" x14ac:dyDescent="0.2">
      <c r="A871" s="7"/>
      <c r="B871" s="20"/>
      <c r="C871" s="21"/>
      <c r="D871" s="21"/>
      <c r="E871" s="21"/>
      <c r="F871" s="21"/>
    </row>
    <row r="872" spans="1:6" x14ac:dyDescent="0.2">
      <c r="A872" s="7"/>
      <c r="B872" s="20"/>
      <c r="C872" s="21"/>
      <c r="D872" s="21"/>
      <c r="E872" s="21"/>
      <c r="F872" s="21"/>
    </row>
    <row r="873" spans="1:6" x14ac:dyDescent="0.2">
      <c r="A873" s="7"/>
      <c r="B873" s="20"/>
      <c r="C873" s="21"/>
      <c r="D873" s="21"/>
      <c r="E873" s="21"/>
      <c r="F873" s="21"/>
    </row>
    <row r="874" spans="1:6" x14ac:dyDescent="0.2">
      <c r="A874" s="7"/>
      <c r="B874" s="20"/>
      <c r="C874" s="21"/>
      <c r="D874" s="21"/>
      <c r="E874" s="21"/>
      <c r="F874" s="21"/>
    </row>
    <row r="875" spans="1:6" x14ac:dyDescent="0.2">
      <c r="A875" s="7"/>
      <c r="B875" s="20"/>
      <c r="C875" s="21"/>
      <c r="D875" s="21"/>
      <c r="E875" s="21"/>
      <c r="F875" s="21"/>
    </row>
    <row r="876" spans="1:6" x14ac:dyDescent="0.2">
      <c r="A876" s="7"/>
      <c r="B876" s="20"/>
      <c r="C876" s="21"/>
      <c r="D876" s="21"/>
      <c r="E876" s="21"/>
      <c r="F876" s="21"/>
    </row>
    <row r="877" spans="1:6" x14ac:dyDescent="0.2">
      <c r="A877" s="7"/>
      <c r="B877" s="20"/>
      <c r="C877" s="21"/>
      <c r="D877" s="21"/>
      <c r="E877" s="21"/>
      <c r="F877" s="21"/>
    </row>
    <row r="878" spans="1:6" x14ac:dyDescent="0.2">
      <c r="A878" s="7"/>
      <c r="B878" s="20"/>
      <c r="C878" s="21"/>
      <c r="D878" s="21"/>
      <c r="E878" s="21"/>
      <c r="F878" s="21"/>
    </row>
    <row r="879" spans="1:6" x14ac:dyDescent="0.2">
      <c r="A879" s="7"/>
      <c r="B879" s="20"/>
      <c r="C879" s="21"/>
      <c r="D879" s="21"/>
      <c r="E879" s="21"/>
      <c r="F879" s="21"/>
    </row>
    <row r="880" spans="1:6" x14ac:dyDescent="0.2">
      <c r="A880" s="7"/>
      <c r="B880" s="20"/>
      <c r="C880" s="21"/>
      <c r="D880" s="21"/>
      <c r="E880" s="21"/>
      <c r="F880" s="21"/>
    </row>
    <row r="881" spans="1:6" x14ac:dyDescent="0.2">
      <c r="A881" s="7"/>
      <c r="B881" s="20"/>
      <c r="C881" s="21"/>
      <c r="D881" s="21"/>
      <c r="E881" s="21"/>
      <c r="F881" s="21"/>
    </row>
    <row r="882" spans="1:6" x14ac:dyDescent="0.2">
      <c r="A882" s="7"/>
      <c r="B882" s="20"/>
      <c r="C882" s="21"/>
      <c r="D882" s="21"/>
      <c r="E882" s="21"/>
      <c r="F882" s="21"/>
    </row>
    <row r="883" spans="1:6" x14ac:dyDescent="0.2">
      <c r="A883" s="7"/>
      <c r="B883" s="20"/>
      <c r="C883" s="21"/>
      <c r="D883" s="21"/>
      <c r="E883" s="21"/>
      <c r="F883" s="21"/>
    </row>
    <row r="884" spans="1:6" x14ac:dyDescent="0.2">
      <c r="A884" s="7"/>
      <c r="B884" s="20"/>
      <c r="C884" s="21"/>
      <c r="D884" s="21"/>
      <c r="E884" s="21"/>
      <c r="F884" s="21"/>
    </row>
    <row r="885" spans="1:6" x14ac:dyDescent="0.2">
      <c r="A885" s="7"/>
      <c r="B885" s="20"/>
      <c r="C885" s="21"/>
      <c r="D885" s="21"/>
      <c r="E885" s="21"/>
      <c r="F885" s="21"/>
    </row>
    <row r="886" spans="1:6" x14ac:dyDescent="0.2">
      <c r="A886" s="7"/>
      <c r="B886" s="20"/>
      <c r="C886" s="21"/>
      <c r="D886" s="21"/>
      <c r="E886" s="21"/>
      <c r="F886" s="21"/>
    </row>
    <row r="887" spans="1:6" x14ac:dyDescent="0.2">
      <c r="A887" s="7"/>
      <c r="B887" s="20"/>
      <c r="C887" s="21"/>
      <c r="D887" s="21"/>
      <c r="E887" s="21"/>
      <c r="F887" s="21"/>
    </row>
    <row r="888" spans="1:6" x14ac:dyDescent="0.2">
      <c r="A888" s="7"/>
      <c r="B888" s="20"/>
      <c r="C888" s="21"/>
      <c r="D888" s="21"/>
      <c r="E888" s="21"/>
      <c r="F888" s="21"/>
    </row>
    <row r="889" spans="1:6" x14ac:dyDescent="0.2">
      <c r="A889" s="7"/>
      <c r="B889" s="20"/>
      <c r="C889" s="21"/>
      <c r="D889" s="21"/>
      <c r="E889" s="21"/>
      <c r="F889" s="21"/>
    </row>
    <row r="890" spans="1:6" x14ac:dyDescent="0.2">
      <c r="A890" s="7"/>
      <c r="B890" s="20"/>
      <c r="C890" s="21"/>
      <c r="D890" s="21"/>
      <c r="E890" s="21"/>
      <c r="F890" s="21"/>
    </row>
    <row r="891" spans="1:6" x14ac:dyDescent="0.2">
      <c r="A891" s="7"/>
      <c r="B891" s="20"/>
      <c r="C891" s="21"/>
      <c r="D891" s="21"/>
      <c r="E891" s="21"/>
      <c r="F891" s="21"/>
    </row>
    <row r="892" spans="1:6" x14ac:dyDescent="0.2">
      <c r="A892" s="7"/>
      <c r="B892" s="20"/>
      <c r="C892" s="21"/>
      <c r="D892" s="21"/>
      <c r="E892" s="21"/>
      <c r="F892" s="21"/>
    </row>
    <row r="893" spans="1:6" x14ac:dyDescent="0.2">
      <c r="A893" s="7"/>
      <c r="B893" s="20"/>
      <c r="C893" s="21"/>
      <c r="D893" s="21"/>
      <c r="E893" s="21"/>
      <c r="F893" s="21"/>
    </row>
    <row r="894" spans="1:6" x14ac:dyDescent="0.2">
      <c r="A894" s="7"/>
      <c r="B894" s="20"/>
      <c r="C894" s="21"/>
      <c r="D894" s="21"/>
      <c r="E894" s="21"/>
      <c r="F894" s="21"/>
    </row>
    <row r="895" spans="1:6" x14ac:dyDescent="0.2">
      <c r="A895" s="7"/>
      <c r="B895" s="20"/>
      <c r="C895" s="21"/>
      <c r="D895" s="21"/>
      <c r="E895" s="21"/>
      <c r="F895" s="21"/>
    </row>
    <row r="896" spans="1:6" x14ac:dyDescent="0.2">
      <c r="A896" s="7"/>
      <c r="B896" s="20"/>
      <c r="C896" s="21"/>
      <c r="D896" s="21"/>
      <c r="E896" s="21"/>
      <c r="F896" s="21"/>
    </row>
    <row r="897" spans="1:6" x14ac:dyDescent="0.2">
      <c r="A897" s="7"/>
      <c r="B897" s="20"/>
      <c r="C897" s="21"/>
      <c r="D897" s="21"/>
      <c r="E897" s="21"/>
      <c r="F897" s="21"/>
    </row>
    <row r="898" spans="1:6" x14ac:dyDescent="0.2">
      <c r="A898" s="7"/>
      <c r="B898" s="20"/>
      <c r="C898" s="21"/>
      <c r="D898" s="21"/>
      <c r="E898" s="21"/>
      <c r="F898" s="21"/>
    </row>
    <row r="899" spans="1:6" x14ac:dyDescent="0.2">
      <c r="A899" s="7"/>
      <c r="B899" s="20"/>
      <c r="C899" s="21"/>
      <c r="D899" s="21"/>
      <c r="E899" s="21"/>
      <c r="F899" s="21"/>
    </row>
    <row r="900" spans="1:6" x14ac:dyDescent="0.2">
      <c r="A900" s="7"/>
      <c r="B900" s="20"/>
      <c r="C900" s="21"/>
      <c r="D900" s="21"/>
      <c r="E900" s="21"/>
      <c r="F900" s="21"/>
    </row>
    <row r="901" spans="1:6" x14ac:dyDescent="0.2">
      <c r="A901" s="7"/>
      <c r="B901" s="20"/>
      <c r="C901" s="21"/>
      <c r="D901" s="21"/>
      <c r="E901" s="21"/>
      <c r="F901" s="21"/>
    </row>
    <row r="902" spans="1:6" x14ac:dyDescent="0.2">
      <c r="A902" s="7"/>
      <c r="B902" s="20"/>
      <c r="C902" s="21"/>
      <c r="D902" s="21"/>
      <c r="E902" s="21"/>
      <c r="F902" s="21"/>
    </row>
    <row r="903" spans="1:6" x14ac:dyDescent="0.2">
      <c r="A903" s="7"/>
      <c r="B903" s="20"/>
      <c r="C903" s="21"/>
      <c r="D903" s="21"/>
      <c r="E903" s="21"/>
      <c r="F903" s="21"/>
    </row>
    <row r="904" spans="1:6" x14ac:dyDescent="0.2">
      <c r="A904" s="7"/>
      <c r="B904" s="20"/>
      <c r="C904" s="21"/>
      <c r="D904" s="21"/>
      <c r="E904" s="21"/>
      <c r="F904" s="21"/>
    </row>
    <row r="905" spans="1:6" x14ac:dyDescent="0.2">
      <c r="A905" s="7"/>
      <c r="B905" s="20"/>
      <c r="C905" s="21"/>
      <c r="D905" s="21"/>
      <c r="E905" s="21"/>
      <c r="F905" s="21"/>
    </row>
    <row r="906" spans="1:6" x14ac:dyDescent="0.2">
      <c r="A906" s="7"/>
      <c r="B906" s="20"/>
      <c r="C906" s="21"/>
      <c r="D906" s="21"/>
      <c r="E906" s="21"/>
      <c r="F906" s="21"/>
    </row>
    <row r="907" spans="1:6" x14ac:dyDescent="0.2">
      <c r="A907" s="7"/>
      <c r="B907" s="20"/>
      <c r="C907" s="21"/>
      <c r="D907" s="21"/>
      <c r="E907" s="21"/>
      <c r="F907" s="21"/>
    </row>
    <row r="908" spans="1:6" x14ac:dyDescent="0.2">
      <c r="A908" s="7"/>
      <c r="B908" s="20"/>
      <c r="C908" s="21"/>
      <c r="D908" s="21"/>
      <c r="E908" s="21"/>
      <c r="F908" s="21"/>
    </row>
    <row r="909" spans="1:6" x14ac:dyDescent="0.2">
      <c r="A909" s="7"/>
      <c r="B909" s="20"/>
      <c r="C909" s="21"/>
      <c r="D909" s="21"/>
      <c r="E909" s="21"/>
      <c r="F909" s="21"/>
    </row>
    <row r="910" spans="1:6" x14ac:dyDescent="0.2">
      <c r="A910" s="7"/>
      <c r="B910" s="20"/>
      <c r="C910" s="21"/>
      <c r="D910" s="21"/>
      <c r="E910" s="21"/>
      <c r="F910" s="21"/>
    </row>
    <row r="911" spans="1:6" x14ac:dyDescent="0.2">
      <c r="A911" s="7"/>
      <c r="B911" s="20"/>
      <c r="C911" s="21"/>
      <c r="D911" s="21"/>
      <c r="E911" s="21"/>
      <c r="F911" s="21"/>
    </row>
    <row r="912" spans="1:6" x14ac:dyDescent="0.2">
      <c r="A912" s="7"/>
      <c r="B912" s="20"/>
      <c r="C912" s="21"/>
      <c r="D912" s="21"/>
      <c r="E912" s="21"/>
      <c r="F912" s="21"/>
    </row>
    <row r="913" spans="1:6" x14ac:dyDescent="0.2">
      <c r="A913" s="7"/>
      <c r="B913" s="20"/>
      <c r="C913" s="21"/>
      <c r="D913" s="21"/>
      <c r="E913" s="21"/>
      <c r="F913" s="21"/>
    </row>
    <row r="914" spans="1:6" x14ac:dyDescent="0.2">
      <c r="A914" s="7"/>
      <c r="B914" s="20"/>
      <c r="C914" s="21"/>
      <c r="D914" s="21"/>
      <c r="E914" s="21"/>
      <c r="F914" s="21"/>
    </row>
    <row r="915" spans="1:6" x14ac:dyDescent="0.2">
      <c r="A915" s="7"/>
      <c r="B915" s="20"/>
      <c r="C915" s="21"/>
      <c r="D915" s="21"/>
      <c r="E915" s="21"/>
      <c r="F915" s="21"/>
    </row>
    <row r="916" spans="1:6" x14ac:dyDescent="0.2">
      <c r="A916" s="7"/>
      <c r="B916" s="20"/>
      <c r="C916" s="21"/>
      <c r="D916" s="21"/>
      <c r="E916" s="21"/>
      <c r="F916" s="21"/>
    </row>
    <row r="917" spans="1:6" x14ac:dyDescent="0.2">
      <c r="A917" s="7"/>
      <c r="B917" s="20"/>
      <c r="C917" s="21"/>
      <c r="D917" s="21"/>
      <c r="E917" s="21"/>
      <c r="F917" s="21"/>
    </row>
    <row r="918" spans="1:6" x14ac:dyDescent="0.2">
      <c r="A918" s="7"/>
      <c r="B918" s="20"/>
      <c r="C918" s="21"/>
      <c r="D918" s="21"/>
      <c r="E918" s="21"/>
      <c r="F918" s="21"/>
    </row>
    <row r="919" spans="1:6" x14ac:dyDescent="0.2">
      <c r="A919" s="7"/>
      <c r="B919" s="20"/>
      <c r="C919" s="21"/>
      <c r="D919" s="21"/>
      <c r="E919" s="21"/>
      <c r="F919" s="21"/>
    </row>
    <row r="920" spans="1:6" x14ac:dyDescent="0.2">
      <c r="A920" s="7"/>
      <c r="B920" s="20"/>
      <c r="C920" s="21"/>
      <c r="D920" s="21"/>
      <c r="E920" s="21"/>
      <c r="F920" s="21"/>
    </row>
    <row r="921" spans="1:6" x14ac:dyDescent="0.2">
      <c r="A921" s="7"/>
      <c r="B921" s="20"/>
      <c r="C921" s="21"/>
      <c r="D921" s="21"/>
      <c r="E921" s="21"/>
      <c r="F921" s="21"/>
    </row>
    <row r="922" spans="1:6" x14ac:dyDescent="0.2">
      <c r="A922" s="7"/>
      <c r="B922" s="20"/>
      <c r="C922" s="21"/>
      <c r="D922" s="21"/>
      <c r="E922" s="21"/>
      <c r="F922" s="21"/>
    </row>
    <row r="923" spans="1:6" x14ac:dyDescent="0.2">
      <c r="A923" s="7"/>
      <c r="B923" s="20"/>
      <c r="C923" s="21"/>
      <c r="D923" s="21"/>
      <c r="E923" s="21"/>
      <c r="F923" s="21"/>
    </row>
    <row r="924" spans="1:6" x14ac:dyDescent="0.2">
      <c r="A924" s="7"/>
      <c r="B924" s="20"/>
      <c r="C924" s="21"/>
      <c r="D924" s="21"/>
      <c r="E924" s="21"/>
      <c r="F924" s="21"/>
    </row>
    <row r="925" spans="1:6" x14ac:dyDescent="0.2">
      <c r="A925" s="7"/>
      <c r="B925" s="20"/>
      <c r="C925" s="21"/>
      <c r="D925" s="21"/>
      <c r="E925" s="21"/>
      <c r="F925" s="21"/>
    </row>
    <row r="926" spans="1:6" x14ac:dyDescent="0.2">
      <c r="A926" s="7"/>
      <c r="B926" s="20"/>
      <c r="C926" s="21"/>
      <c r="D926" s="21"/>
      <c r="E926" s="21"/>
      <c r="F926" s="21"/>
    </row>
    <row r="927" spans="1:6" x14ac:dyDescent="0.2">
      <c r="A927" s="7"/>
      <c r="B927" s="20"/>
      <c r="C927" s="21"/>
      <c r="D927" s="21"/>
      <c r="E927" s="21"/>
      <c r="F927" s="21"/>
    </row>
    <row r="928" spans="1:6" x14ac:dyDescent="0.2">
      <c r="A928" s="7"/>
      <c r="B928" s="20"/>
      <c r="C928" s="21"/>
      <c r="D928" s="21"/>
      <c r="E928" s="21"/>
      <c r="F928" s="21"/>
    </row>
    <row r="929" spans="1:6" x14ac:dyDescent="0.2">
      <c r="A929" s="7"/>
      <c r="B929" s="20"/>
      <c r="C929" s="21"/>
      <c r="D929" s="21"/>
      <c r="E929" s="21"/>
      <c r="F929" s="21"/>
    </row>
    <row r="930" spans="1:6" x14ac:dyDescent="0.2">
      <c r="A930" s="7"/>
      <c r="B930" s="20"/>
      <c r="C930" s="21"/>
      <c r="D930" s="21"/>
      <c r="E930" s="21"/>
      <c r="F930" s="21"/>
    </row>
    <row r="931" spans="1:6" x14ac:dyDescent="0.2">
      <c r="A931" s="7"/>
      <c r="B931" s="20"/>
      <c r="C931" s="21"/>
      <c r="D931" s="21"/>
      <c r="E931" s="21"/>
      <c r="F931" s="21"/>
    </row>
    <row r="932" spans="1:6" x14ac:dyDescent="0.2">
      <c r="A932" s="7"/>
      <c r="B932" s="20"/>
      <c r="C932" s="21"/>
      <c r="D932" s="21"/>
      <c r="E932" s="21"/>
      <c r="F932" s="21"/>
    </row>
    <row r="933" spans="1:6" x14ac:dyDescent="0.2">
      <c r="A933" s="7"/>
      <c r="B933" s="20"/>
      <c r="C933" s="21"/>
      <c r="D933" s="21"/>
      <c r="E933" s="21"/>
      <c r="F933" s="21"/>
    </row>
    <row r="934" spans="1:6" x14ac:dyDescent="0.2">
      <c r="A934" s="7"/>
      <c r="B934" s="20"/>
      <c r="C934" s="21"/>
      <c r="D934" s="21"/>
      <c r="E934" s="21"/>
      <c r="F934" s="21"/>
    </row>
    <row r="935" spans="1:6" x14ac:dyDescent="0.2">
      <c r="A935" s="7"/>
      <c r="B935" s="20"/>
      <c r="C935" s="21"/>
      <c r="D935" s="21"/>
      <c r="E935" s="21"/>
      <c r="F935" s="21"/>
    </row>
    <row r="936" spans="1:6" x14ac:dyDescent="0.2">
      <c r="A936" s="7"/>
      <c r="B936" s="20"/>
      <c r="C936" s="21"/>
      <c r="D936" s="21"/>
      <c r="E936" s="21"/>
      <c r="F936" s="21"/>
    </row>
    <row r="937" spans="1:6" x14ac:dyDescent="0.2">
      <c r="A937" s="7"/>
      <c r="B937" s="20"/>
      <c r="C937" s="21"/>
      <c r="D937" s="21"/>
      <c r="E937" s="21"/>
      <c r="F937" s="21"/>
    </row>
    <row r="938" spans="1:6" x14ac:dyDescent="0.2">
      <c r="A938" s="7"/>
      <c r="B938" s="20"/>
      <c r="C938" s="21"/>
      <c r="D938" s="21"/>
      <c r="E938" s="21"/>
      <c r="F938" s="21"/>
    </row>
    <row r="939" spans="1:6" x14ac:dyDescent="0.2">
      <c r="A939" s="7"/>
      <c r="B939" s="20"/>
      <c r="C939" s="21"/>
      <c r="D939" s="21"/>
      <c r="E939" s="21"/>
      <c r="F939" s="21"/>
    </row>
    <row r="940" spans="1:6" x14ac:dyDescent="0.2">
      <c r="A940" s="7"/>
      <c r="B940" s="20"/>
      <c r="C940" s="21"/>
      <c r="D940" s="21"/>
      <c r="E940" s="21"/>
      <c r="F940" s="21"/>
    </row>
    <row r="941" spans="1:6" x14ac:dyDescent="0.2">
      <c r="A941" s="7"/>
      <c r="B941" s="20"/>
      <c r="C941" s="21"/>
      <c r="D941" s="21"/>
      <c r="E941" s="21"/>
      <c r="F941" s="21"/>
    </row>
    <row r="942" spans="1:6" x14ac:dyDescent="0.2">
      <c r="A942" s="7"/>
      <c r="B942" s="20"/>
      <c r="C942" s="21"/>
      <c r="D942" s="21"/>
      <c r="E942" s="21"/>
      <c r="F942" s="21"/>
    </row>
    <row r="943" spans="1:6" x14ac:dyDescent="0.2">
      <c r="A943" s="7"/>
      <c r="B943" s="20"/>
      <c r="C943" s="21"/>
      <c r="D943" s="21"/>
      <c r="E943" s="21"/>
      <c r="F943" s="21"/>
    </row>
    <row r="944" spans="1:6" x14ac:dyDescent="0.2">
      <c r="A944" s="7"/>
      <c r="B944" s="20"/>
      <c r="C944" s="21"/>
      <c r="D944" s="21"/>
      <c r="E944" s="21"/>
      <c r="F944" s="21"/>
    </row>
    <row r="945" spans="1:6" x14ac:dyDescent="0.2">
      <c r="A945" s="7"/>
      <c r="B945" s="20"/>
      <c r="C945" s="21"/>
      <c r="D945" s="21"/>
      <c r="E945" s="21"/>
      <c r="F945" s="21"/>
    </row>
    <row r="946" spans="1:6" x14ac:dyDescent="0.2">
      <c r="A946" s="7"/>
      <c r="B946" s="20"/>
      <c r="C946" s="21"/>
      <c r="D946" s="21"/>
      <c r="E946" s="21"/>
      <c r="F946" s="21"/>
    </row>
    <row r="947" spans="1:6" x14ac:dyDescent="0.2">
      <c r="A947" s="7"/>
      <c r="B947" s="20"/>
      <c r="C947" s="21"/>
      <c r="D947" s="21"/>
      <c r="E947" s="21"/>
      <c r="F947" s="21"/>
    </row>
    <row r="948" spans="1:6" x14ac:dyDescent="0.2">
      <c r="A948" s="7"/>
      <c r="B948" s="20"/>
      <c r="C948" s="21"/>
      <c r="D948" s="21"/>
      <c r="E948" s="21"/>
      <c r="F948" s="21"/>
    </row>
    <row r="949" spans="1:6" x14ac:dyDescent="0.2">
      <c r="A949" s="7"/>
      <c r="B949" s="20"/>
      <c r="C949" s="21"/>
      <c r="D949" s="21"/>
      <c r="E949" s="21"/>
      <c r="F949" s="21"/>
    </row>
    <row r="950" spans="1:6" x14ac:dyDescent="0.2">
      <c r="A950" s="7"/>
      <c r="B950" s="20"/>
      <c r="C950" s="21"/>
      <c r="D950" s="21"/>
      <c r="E950" s="21"/>
      <c r="F950" s="21"/>
    </row>
    <row r="951" spans="1:6" x14ac:dyDescent="0.2">
      <c r="A951" s="7"/>
      <c r="B951" s="20"/>
      <c r="C951" s="21"/>
      <c r="D951" s="21"/>
      <c r="E951" s="21"/>
      <c r="F951" s="21"/>
    </row>
    <row r="952" spans="1:6" x14ac:dyDescent="0.2">
      <c r="A952" s="7"/>
      <c r="B952" s="20"/>
      <c r="C952" s="21"/>
      <c r="D952" s="21"/>
      <c r="E952" s="21"/>
      <c r="F952" s="21"/>
    </row>
    <row r="953" spans="1:6" x14ac:dyDescent="0.2">
      <c r="A953" s="7"/>
      <c r="B953" s="20"/>
      <c r="C953" s="21"/>
      <c r="D953" s="21"/>
      <c r="E953" s="21"/>
      <c r="F953" s="21"/>
    </row>
    <row r="954" spans="1:6" x14ac:dyDescent="0.2">
      <c r="A954" s="7"/>
      <c r="B954" s="20"/>
      <c r="C954" s="21"/>
      <c r="D954" s="21"/>
      <c r="E954" s="21"/>
      <c r="F954" s="21"/>
    </row>
    <row r="955" spans="1:6" x14ac:dyDescent="0.2">
      <c r="A955" s="7"/>
      <c r="B955" s="20"/>
      <c r="C955" s="21"/>
      <c r="D955" s="21"/>
      <c r="E955" s="21"/>
      <c r="F955" s="21"/>
    </row>
    <row r="956" spans="1:6" x14ac:dyDescent="0.2">
      <c r="A956" s="7"/>
      <c r="B956" s="20"/>
      <c r="C956" s="21"/>
      <c r="D956" s="21"/>
      <c r="E956" s="21"/>
      <c r="F956" s="21"/>
    </row>
    <row r="957" spans="1:6" x14ac:dyDescent="0.2">
      <c r="A957" s="7"/>
      <c r="B957" s="20"/>
      <c r="C957" s="21"/>
      <c r="D957" s="21"/>
      <c r="E957" s="21"/>
      <c r="F957" s="21"/>
    </row>
    <row r="958" spans="1:6" x14ac:dyDescent="0.2">
      <c r="A958" s="7"/>
      <c r="B958" s="20"/>
      <c r="C958" s="21"/>
      <c r="D958" s="21"/>
      <c r="E958" s="21"/>
      <c r="F958" s="21"/>
    </row>
    <row r="959" spans="1:6" x14ac:dyDescent="0.2">
      <c r="A959" s="7"/>
      <c r="B959" s="20"/>
      <c r="C959" s="21"/>
      <c r="D959" s="21"/>
      <c r="E959" s="21"/>
      <c r="F959" s="21"/>
    </row>
    <row r="960" spans="1:6" x14ac:dyDescent="0.2">
      <c r="A960" s="7"/>
      <c r="B960" s="20"/>
      <c r="C960" s="21"/>
      <c r="D960" s="21"/>
      <c r="E960" s="21"/>
      <c r="F960" s="21"/>
    </row>
    <row r="961" spans="1:6" x14ac:dyDescent="0.2">
      <c r="A961" s="7"/>
      <c r="B961" s="20"/>
      <c r="C961" s="21"/>
      <c r="D961" s="21"/>
      <c r="E961" s="21"/>
      <c r="F961" s="21"/>
    </row>
    <row r="962" spans="1:6" x14ac:dyDescent="0.2">
      <c r="A962" s="7"/>
      <c r="B962" s="20"/>
      <c r="C962" s="21"/>
      <c r="D962" s="21"/>
      <c r="E962" s="21"/>
      <c r="F962" s="21"/>
    </row>
    <row r="963" spans="1:6" x14ac:dyDescent="0.2">
      <c r="A963" s="7"/>
      <c r="B963" s="20"/>
      <c r="C963" s="21"/>
      <c r="D963" s="21"/>
      <c r="E963" s="21"/>
      <c r="F963" s="21"/>
    </row>
    <row r="964" spans="1:6" x14ac:dyDescent="0.2">
      <c r="A964" s="7"/>
      <c r="B964" s="20"/>
      <c r="C964" s="21"/>
      <c r="D964" s="21"/>
      <c r="E964" s="21"/>
      <c r="F964" s="21"/>
    </row>
    <row r="965" spans="1:6" x14ac:dyDescent="0.2">
      <c r="A965" s="7"/>
      <c r="B965" s="20"/>
      <c r="C965" s="21"/>
      <c r="D965" s="21"/>
      <c r="E965" s="21"/>
      <c r="F965" s="21"/>
    </row>
    <row r="966" spans="1:6" x14ac:dyDescent="0.2">
      <c r="A966" s="7"/>
      <c r="B966" s="20"/>
      <c r="C966" s="21"/>
      <c r="D966" s="21"/>
      <c r="E966" s="21"/>
      <c r="F966" s="21"/>
    </row>
    <row r="967" spans="1:6" x14ac:dyDescent="0.2">
      <c r="A967" s="7"/>
      <c r="B967" s="20"/>
      <c r="C967" s="21"/>
      <c r="D967" s="21"/>
      <c r="E967" s="21"/>
      <c r="F967" s="21"/>
    </row>
    <row r="968" spans="1:6" x14ac:dyDescent="0.2">
      <c r="A968" s="7"/>
      <c r="B968" s="20"/>
      <c r="C968" s="21"/>
      <c r="D968" s="21"/>
      <c r="E968" s="21"/>
      <c r="F968" s="21"/>
    </row>
    <row r="969" spans="1:6" x14ac:dyDescent="0.2">
      <c r="A969" s="7"/>
      <c r="B969" s="20"/>
      <c r="C969" s="21"/>
      <c r="D969" s="21"/>
      <c r="E969" s="21"/>
      <c r="F969" s="21"/>
    </row>
    <row r="970" spans="1:6" x14ac:dyDescent="0.2">
      <c r="A970" s="7"/>
      <c r="B970" s="20"/>
      <c r="C970" s="21"/>
      <c r="D970" s="21"/>
      <c r="E970" s="21"/>
      <c r="F970" s="21"/>
    </row>
    <row r="971" spans="1:6" x14ac:dyDescent="0.2">
      <c r="A971" s="7"/>
      <c r="B971" s="20"/>
      <c r="C971" s="21"/>
      <c r="D971" s="21"/>
      <c r="E971" s="21"/>
      <c r="F971" s="21"/>
    </row>
    <row r="972" spans="1:6" x14ac:dyDescent="0.2">
      <c r="A972" s="7"/>
      <c r="B972" s="20"/>
      <c r="C972" s="21"/>
      <c r="D972" s="21"/>
      <c r="E972" s="21"/>
      <c r="F972" s="21"/>
    </row>
    <row r="973" spans="1:6" x14ac:dyDescent="0.2">
      <c r="A973" s="7"/>
      <c r="B973" s="20"/>
      <c r="C973" s="21"/>
      <c r="D973" s="21"/>
      <c r="E973" s="21"/>
      <c r="F973" s="21"/>
    </row>
    <row r="974" spans="1:6" x14ac:dyDescent="0.2">
      <c r="A974" s="7"/>
      <c r="B974" s="20"/>
      <c r="C974" s="21"/>
      <c r="D974" s="21"/>
      <c r="E974" s="21"/>
      <c r="F974" s="21"/>
    </row>
    <row r="975" spans="1:6" x14ac:dyDescent="0.2">
      <c r="A975" s="7"/>
      <c r="B975" s="20"/>
      <c r="C975" s="21"/>
      <c r="D975" s="21"/>
      <c r="E975" s="21"/>
      <c r="F975" s="21"/>
    </row>
    <row r="976" spans="1:6" x14ac:dyDescent="0.2">
      <c r="A976" s="7"/>
      <c r="B976" s="20"/>
      <c r="C976" s="21"/>
      <c r="D976" s="21"/>
      <c r="E976" s="21"/>
      <c r="F976" s="21"/>
    </row>
    <row r="977" spans="1:6" x14ac:dyDescent="0.2">
      <c r="A977" s="7"/>
      <c r="B977" s="20"/>
      <c r="C977" s="21"/>
      <c r="D977" s="21"/>
      <c r="E977" s="21"/>
      <c r="F977" s="21"/>
    </row>
    <row r="978" spans="1:6" x14ac:dyDescent="0.2">
      <c r="A978" s="7"/>
      <c r="B978" s="20"/>
      <c r="C978" s="21"/>
      <c r="D978" s="21"/>
      <c r="E978" s="21"/>
      <c r="F978" s="21"/>
    </row>
    <row r="979" spans="1:6" x14ac:dyDescent="0.2">
      <c r="A979" s="7"/>
      <c r="B979" s="20"/>
      <c r="C979" s="21"/>
      <c r="D979" s="21"/>
      <c r="E979" s="21"/>
      <c r="F979" s="21"/>
    </row>
    <row r="980" spans="1:6" x14ac:dyDescent="0.2">
      <c r="A980" s="7"/>
      <c r="B980" s="20"/>
      <c r="C980" s="21"/>
      <c r="D980" s="21"/>
      <c r="E980" s="21"/>
      <c r="F980" s="21"/>
    </row>
    <row r="981" spans="1:6" x14ac:dyDescent="0.2">
      <c r="A981" s="7"/>
      <c r="B981" s="20"/>
      <c r="C981" s="21"/>
      <c r="D981" s="21"/>
      <c r="E981" s="21"/>
      <c r="F981" s="21"/>
    </row>
    <row r="982" spans="1:6" x14ac:dyDescent="0.2">
      <c r="A982" s="7"/>
      <c r="B982" s="20"/>
      <c r="C982" s="21"/>
      <c r="D982" s="21"/>
      <c r="E982" s="21"/>
      <c r="F982" s="21"/>
    </row>
    <row r="983" spans="1:6" x14ac:dyDescent="0.2">
      <c r="A983" s="7"/>
      <c r="B983" s="20"/>
      <c r="C983" s="21"/>
      <c r="D983" s="21"/>
      <c r="E983" s="21"/>
      <c r="F983" s="21"/>
    </row>
    <row r="984" spans="1:6" x14ac:dyDescent="0.2">
      <c r="A984" s="7"/>
      <c r="B984" s="20"/>
      <c r="C984" s="21"/>
      <c r="D984" s="21"/>
      <c r="E984" s="21"/>
      <c r="F984" s="21"/>
    </row>
    <row r="985" spans="1:6" x14ac:dyDescent="0.2">
      <c r="A985" s="7"/>
      <c r="B985" s="20"/>
      <c r="C985" s="21"/>
      <c r="D985" s="21"/>
      <c r="E985" s="21"/>
      <c r="F985" s="21"/>
    </row>
    <row r="986" spans="1:6" x14ac:dyDescent="0.2">
      <c r="A986" s="7"/>
      <c r="B986" s="20"/>
      <c r="C986" s="21"/>
      <c r="D986" s="21"/>
      <c r="E986" s="21"/>
      <c r="F986" s="21"/>
    </row>
    <row r="987" spans="1:6" x14ac:dyDescent="0.2">
      <c r="A987" s="7"/>
      <c r="B987" s="20"/>
      <c r="C987" s="21"/>
      <c r="D987" s="21"/>
      <c r="E987" s="21"/>
      <c r="F987" s="21"/>
    </row>
    <row r="988" spans="1:6" x14ac:dyDescent="0.2">
      <c r="A988" s="7"/>
      <c r="B988" s="20"/>
      <c r="C988" s="21"/>
      <c r="D988" s="21"/>
      <c r="E988" s="21"/>
      <c r="F988" s="21"/>
    </row>
    <row r="989" spans="1:6" x14ac:dyDescent="0.2">
      <c r="A989" s="7"/>
      <c r="B989" s="20"/>
      <c r="C989" s="21"/>
      <c r="D989" s="21"/>
      <c r="E989" s="21"/>
      <c r="F989" s="21"/>
    </row>
    <row r="990" spans="1:6" x14ac:dyDescent="0.2">
      <c r="A990" s="7"/>
      <c r="B990" s="20"/>
      <c r="C990" s="21"/>
      <c r="D990" s="21"/>
      <c r="E990" s="21"/>
      <c r="F990" s="21"/>
    </row>
    <row r="991" spans="1:6" x14ac:dyDescent="0.2">
      <c r="A991" s="7"/>
      <c r="B991" s="20"/>
      <c r="C991" s="21"/>
      <c r="D991" s="21"/>
      <c r="E991" s="21"/>
      <c r="F991" s="21"/>
    </row>
    <row r="992" spans="1:6" x14ac:dyDescent="0.2">
      <c r="A992" s="7"/>
      <c r="B992" s="20"/>
      <c r="C992" s="21"/>
      <c r="D992" s="21"/>
      <c r="E992" s="21"/>
      <c r="F992" s="21"/>
    </row>
    <row r="993" spans="1:6" x14ac:dyDescent="0.2">
      <c r="A993" s="7"/>
      <c r="B993" s="20"/>
      <c r="C993" s="21"/>
      <c r="D993" s="21"/>
      <c r="E993" s="21"/>
      <c r="F993" s="21"/>
    </row>
    <row r="994" spans="1:6" x14ac:dyDescent="0.2">
      <c r="A994" s="7"/>
      <c r="B994" s="20"/>
      <c r="C994" s="21"/>
      <c r="D994" s="21"/>
      <c r="E994" s="21"/>
      <c r="F994" s="21"/>
    </row>
    <row r="995" spans="1:6" x14ac:dyDescent="0.2">
      <c r="A995" s="7"/>
      <c r="B995" s="20"/>
      <c r="C995" s="21"/>
      <c r="D995" s="21"/>
      <c r="E995" s="21"/>
      <c r="F995" s="21"/>
    </row>
    <row r="996" spans="1:6" x14ac:dyDescent="0.2">
      <c r="A996" s="7"/>
      <c r="B996" s="20"/>
      <c r="C996" s="21"/>
      <c r="D996" s="21"/>
      <c r="E996" s="21"/>
      <c r="F996" s="21"/>
    </row>
    <row r="997" spans="1:6" x14ac:dyDescent="0.2">
      <c r="A997" s="7"/>
      <c r="B997" s="20"/>
      <c r="C997" s="21"/>
      <c r="D997" s="21"/>
      <c r="E997" s="21"/>
      <c r="F997" s="21"/>
    </row>
    <row r="998" spans="1:6" x14ac:dyDescent="0.2">
      <c r="A998" s="7"/>
      <c r="B998" s="20"/>
      <c r="C998" s="21"/>
      <c r="D998" s="21"/>
      <c r="E998" s="21"/>
      <c r="F998" s="21"/>
    </row>
    <row r="999" spans="1:6" x14ac:dyDescent="0.2">
      <c r="A999" s="7"/>
      <c r="B999" s="20"/>
      <c r="C999" s="21"/>
      <c r="D999" s="21"/>
      <c r="E999" s="21"/>
      <c r="F999" s="21"/>
    </row>
    <row r="1000" spans="1:6" x14ac:dyDescent="0.2">
      <c r="A1000" s="7"/>
      <c r="B1000" s="20"/>
      <c r="C1000" s="21"/>
      <c r="D1000" s="21"/>
      <c r="E1000" s="21"/>
      <c r="F1000" s="21"/>
    </row>
  </sheetData>
  <mergeCells count="1">
    <mergeCell ref="C9:F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10"/>
  <sheetViews>
    <sheetView workbookViewId="0"/>
  </sheetViews>
  <sheetFormatPr defaultColWidth="12.5703125" defaultRowHeight="15.75" customHeight="1" x14ac:dyDescent="0.2"/>
  <cols>
    <col min="1" max="1" width="45.42578125" customWidth="1"/>
    <col min="2" max="2" width="35" customWidth="1"/>
  </cols>
  <sheetData>
    <row r="1" spans="1:2" x14ac:dyDescent="0.2">
      <c r="A1" s="1" t="s">
        <v>23</v>
      </c>
      <c r="B1" s="1" t="s">
        <v>24</v>
      </c>
    </row>
    <row r="2" spans="1:2" x14ac:dyDescent="0.2">
      <c r="A2" s="22" t="s">
        <v>25</v>
      </c>
      <c r="B2" s="22" t="s">
        <v>26</v>
      </c>
    </row>
    <row r="3" spans="1:2" x14ac:dyDescent="0.2">
      <c r="A3" s="22" t="s">
        <v>27</v>
      </c>
      <c r="B3" s="22" t="s">
        <v>28</v>
      </c>
    </row>
    <row r="4" spans="1:2" x14ac:dyDescent="0.2">
      <c r="A4" s="22" t="s">
        <v>29</v>
      </c>
      <c r="B4" s="22" t="s">
        <v>30</v>
      </c>
    </row>
    <row r="5" spans="1:2" x14ac:dyDescent="0.2">
      <c r="A5" s="22" t="s">
        <v>31</v>
      </c>
      <c r="B5" s="22" t="s">
        <v>32</v>
      </c>
    </row>
    <row r="6" spans="1:2" x14ac:dyDescent="0.2">
      <c r="A6" s="22" t="s">
        <v>33</v>
      </c>
      <c r="B6" s="22" t="s">
        <v>28</v>
      </c>
    </row>
    <row r="7" spans="1:2" x14ac:dyDescent="0.2">
      <c r="A7" s="22" t="s">
        <v>34</v>
      </c>
      <c r="B7" s="22" t="s">
        <v>35</v>
      </c>
    </row>
    <row r="8" spans="1:2" x14ac:dyDescent="0.2">
      <c r="A8" s="22" t="s">
        <v>36</v>
      </c>
      <c r="B8" s="22" t="s">
        <v>37</v>
      </c>
    </row>
    <row r="9" spans="1:2" x14ac:dyDescent="0.2">
      <c r="A9" s="22" t="s">
        <v>38</v>
      </c>
      <c r="B9" s="22" t="s">
        <v>39</v>
      </c>
    </row>
    <row r="10" spans="1:2" x14ac:dyDescent="0.2">
      <c r="A10" s="22" t="s">
        <v>40</v>
      </c>
      <c r="B10" s="22" t="s">
        <v>41</v>
      </c>
    </row>
  </sheetData>
  <dataValidations count="9">
    <dataValidation type="list" allowBlank="1" showErrorMessage="1" sqref="B4" xr:uid="{00000000-0002-0000-0500-000000000000}">
      <formula1>"стрімке зростання,стрімке падіння,хаотичний,стабільний "</formula1>
    </dataValidation>
    <dataValidation type="list" allowBlank="1" showErrorMessage="1" sqref="B6" xr:uid="{00000000-0002-0000-0500-000001000000}">
      <formula1>"січень,березень,квітень,липень"</formula1>
    </dataValidation>
    <dataValidation type="list" allowBlank="1" showErrorMessage="1" sqref="B9" xr:uid="{00000000-0002-0000-0500-000002000000}">
      <formula1>"нові користувачі дуже активні,нові користувачі малоактивні,нові користувачі відсутні,неможливо визначити"</formula1>
    </dataValidation>
    <dataValidation type="list" allowBlank="1" showErrorMessage="1" sqref="B3" xr:uid="{00000000-0002-0000-0500-000003000000}">
      <formula1>"червень,липень,квітень,травень"</formula1>
    </dataValidation>
    <dataValidation type="list" allowBlank="1" showErrorMessage="1" sqref="B7" xr:uid="{00000000-0002-0000-0500-000004000000}">
      <formula1>"зростання DAU,падіння MAU ,падіння DAU,зростаня MAU "</formula1>
    </dataValidation>
    <dataValidation type="list" allowBlank="1" showErrorMessage="1" sqref="B2" xr:uid="{00000000-0002-0000-0500-000005000000}">
      <formula1>"січень,лютий,березень,квітень"</formula1>
    </dataValidation>
    <dataValidation type="list" allowBlank="1" showErrorMessage="1" sqref="B5" xr:uid="{00000000-0002-0000-0500-000006000000}">
      <formula1>"негативний,позитивний,стабільний,дуже нестабільний"</formula1>
    </dataValidation>
    <dataValidation type="list" allowBlank="1" showErrorMessage="1" sqref="B8" xr:uid="{00000000-0002-0000-0500-000007000000}">
      <formula1>"має високу популярність,не викликає щоденої звички,викликає щоденну звичку,нічого не означає"</formula1>
    </dataValidation>
    <dataValidation type="list" allowBlank="1" showErrorMessage="1" sqref="B10" xr:uid="{00000000-0002-0000-0500-000008000000}">
      <formula1>"стабільно користуються продуктом,йдуть з продукту,демонструють зростання інтересу,неможливо визначити"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6</vt:i4>
      </vt:variant>
    </vt:vector>
  </HeadingPairs>
  <TitlesOfParts>
    <vt:vector size="6" baseType="lpstr">
      <vt:lpstr>onboarding_funnel_dataset</vt:lpstr>
      <vt:lpstr>purchases</vt:lpstr>
      <vt:lpstr>dau</vt:lpstr>
      <vt:lpstr>wau</vt:lpstr>
      <vt:lpstr>mau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Dmytro Onishchuk</dc:creator>
  <cp:lastModifiedBy>Dmytro Onishchuk</cp:lastModifiedBy>
  <dcterms:created xsi:type="dcterms:W3CDTF">2026-06-30T21:12:30Z</dcterms:created>
  <dcterms:modified xsi:type="dcterms:W3CDTF">2026-06-30T21:12:31Z</dcterms:modified>
</cp:coreProperties>
</file>